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600" yWindow="120" windowWidth="14115" windowHeight="8670"/>
  </bookViews>
  <sheets>
    <sheet name="Summary" sheetId="1" r:id="rId1"/>
    <sheet name="ALA Guide to Reference" sheetId="2" r:id="rId2"/>
    <sheet name="ARTstor" sheetId="3" r:id="rId3"/>
    <sheet name="CIAO" sheetId="4" r:id="rId4"/>
    <sheet name="Cochrane" sheetId="5" r:id="rId5"/>
    <sheet name="Compendex(EI)" sheetId="6" r:id="rId6"/>
    <sheet name="CQ Researcher" sheetId="7" r:id="rId7"/>
    <sheet name="CSA" sheetId="8" r:id="rId8"/>
    <sheet name="EBSCOhost" sheetId="9" r:id="rId9"/>
    <sheet name="Elsevier" sheetId="10" r:id="rId10"/>
    <sheet name="EMBASE" sheetId="11" r:id="rId11"/>
    <sheet name="FirstSearch" sheetId="12" r:id="rId12"/>
    <sheet name="Greenwood" sheetId="13" r:id="rId13"/>
    <sheet name="InfoTrac" sheetId="14" r:id="rId14"/>
    <sheet name="ICPSR" sheetId="15" r:id="rId15"/>
    <sheet name="ITER" sheetId="16" r:id="rId16"/>
    <sheet name="JSTOR" sheetId="17" r:id="rId17"/>
    <sheet name="KCDL" sheetId="18" r:id="rId18"/>
    <sheet name="Lexi-Comp" sheetId="19" r:id="rId19"/>
    <sheet name="LexisNexis" sheetId="20" r:id="rId20"/>
    <sheet name="MathSciNet" sheetId="21" r:id="rId21"/>
    <sheet name="Mergent" sheetId="22" r:id="rId22"/>
    <sheet name="netLibrary" sheetId="23" r:id="rId23"/>
    <sheet name="Newsbank" sheetId="24" r:id="rId24"/>
    <sheet name="OVID" sheetId="25" r:id="rId25"/>
    <sheet name="Oxford" sheetId="26" r:id="rId26"/>
    <sheet name="ProQuest" sheetId="27" r:id="rId27"/>
    <sheet name="ReferenceUSA" sheetId="28" r:id="rId28"/>
    <sheet name="RefWorks" sheetId="29" r:id="rId29"/>
    <sheet name="SciFinderScholar" sheetId="30" r:id="rId30"/>
    <sheet name="WebofScience" sheetId="31" r:id="rId31"/>
    <sheet name="WilsonWeb" sheetId="32" r:id="rId32"/>
  </sheets>
  <calcPr calcId="125725"/>
</workbook>
</file>

<file path=xl/calcChain.xml><?xml version="1.0" encoding="utf-8"?>
<calcChain xmlns="http://schemas.openxmlformats.org/spreadsheetml/2006/main">
  <c r="H17" i="1"/>
  <c r="J31"/>
  <c r="H42"/>
  <c r="J42"/>
  <c r="J47"/>
  <c r="J50"/>
  <c r="J51"/>
  <c r="D53"/>
  <c r="J57"/>
  <c r="J58"/>
  <c r="J59"/>
  <c r="E61"/>
  <c r="K61" s="1"/>
  <c r="E62"/>
  <c r="D64"/>
  <c r="E65"/>
  <c r="D68"/>
  <c r="E68"/>
  <c r="D71"/>
  <c r="H77"/>
  <c r="J85"/>
  <c r="J89"/>
  <c r="D97"/>
  <c r="D98"/>
  <c r="E99"/>
  <c r="H99"/>
  <c r="J99"/>
  <c r="K99" s="1"/>
  <c r="D106"/>
  <c r="H106"/>
  <c r="E107"/>
  <c r="K107" s="1"/>
  <c r="E110"/>
  <c r="K110" s="1"/>
  <c r="E115"/>
  <c r="K115" s="1"/>
  <c r="D120"/>
  <c r="H120"/>
  <c r="E121"/>
  <c r="H123"/>
  <c r="E127"/>
  <c r="K127" s="1"/>
  <c r="E128"/>
  <c r="K128" s="1"/>
  <c r="E129"/>
  <c r="D131"/>
  <c r="J133"/>
  <c r="K133"/>
  <c r="J135"/>
  <c r="K135"/>
  <c r="E137"/>
  <c r="K137" s="1"/>
  <c r="E138"/>
  <c r="K138" s="1"/>
  <c r="E148"/>
  <c r="K148" s="1"/>
  <c r="E163"/>
  <c r="K163" s="1"/>
  <c r="D164"/>
  <c r="H164"/>
  <c r="E165"/>
  <c r="H166"/>
  <c r="E167"/>
  <c r="K167" s="1"/>
  <c r="N8" i="2"/>
  <c r="D11" i="1" s="1"/>
  <c r="P8" i="2"/>
  <c r="N8" i="3"/>
  <c r="P8"/>
  <c r="N9"/>
  <c r="D20" i="1" s="1"/>
  <c r="P9" i="3"/>
  <c r="N10"/>
  <c r="P10"/>
  <c r="N11"/>
  <c r="P11"/>
  <c r="N12"/>
  <c r="P12"/>
  <c r="N8" i="4"/>
  <c r="I36" i="1" s="1"/>
  <c r="P8" i="4"/>
  <c r="N9"/>
  <c r="D36" i="1" s="1"/>
  <c r="P9" i="4"/>
  <c r="N10"/>
  <c r="E36" i="1" s="1"/>
  <c r="K36" s="1"/>
  <c r="P10" i="4"/>
  <c r="N11"/>
  <c r="N12"/>
  <c r="P12" s="1"/>
  <c r="N8" i="5"/>
  <c r="D39" i="1" s="1"/>
  <c r="N9" i="5"/>
  <c r="E39" i="1" s="1"/>
  <c r="K39" s="1"/>
  <c r="P9" i="5"/>
  <c r="N10"/>
  <c r="N11"/>
  <c r="N8" i="6"/>
  <c r="D42" i="1" s="1"/>
  <c r="N9" i="6"/>
  <c r="E42" i="1" s="1"/>
  <c r="K42" s="1"/>
  <c r="N8" i="7"/>
  <c r="D44" i="1" s="1"/>
  <c r="N9" i="7"/>
  <c r="E44" i="1" s="1"/>
  <c r="K44" s="1"/>
  <c r="P9" i="7"/>
  <c r="N10"/>
  <c r="I44" i="1" s="1"/>
  <c r="P10" i="7"/>
  <c r="N11"/>
  <c r="H44" i="1" s="1"/>
  <c r="N8" i="8"/>
  <c r="E26" i="1" s="1"/>
  <c r="K26" s="1"/>
  <c r="N13" i="8"/>
  <c r="E21" i="1" s="1"/>
  <c r="K21" s="1"/>
  <c r="N18" i="8"/>
  <c r="E22" i="1" s="1"/>
  <c r="K22" s="1"/>
  <c r="N23" i="8"/>
  <c r="E23" i="1" s="1"/>
  <c r="K23" s="1"/>
  <c r="N28" i="8"/>
  <c r="E24" i="1" s="1"/>
  <c r="K24" s="1"/>
  <c r="N33" i="8"/>
  <c r="E25" i="1" s="1"/>
  <c r="K25" s="1"/>
  <c r="N38" i="8"/>
  <c r="E27" i="1" s="1"/>
  <c r="N43" i="8"/>
  <c r="E34" i="1" s="1"/>
  <c r="N48" i="8"/>
  <c r="E40" i="1" s="1"/>
  <c r="K40" s="1"/>
  <c r="P48" i="8"/>
  <c r="N53"/>
  <c r="E43" i="1" s="1"/>
  <c r="P53" i="8"/>
  <c r="N58"/>
  <c r="E56" i="1" s="1"/>
  <c r="K56" s="1"/>
  <c r="N63" i="8"/>
  <c r="E52" i="1" s="1"/>
  <c r="N68" i="8"/>
  <c r="P68"/>
  <c r="N73"/>
  <c r="N78"/>
  <c r="E63" i="1" s="1"/>
  <c r="N83" i="8"/>
  <c r="N88"/>
  <c r="E75" i="1" s="1"/>
  <c r="K75" s="1"/>
  <c r="N93" i="8"/>
  <c r="E76" i="1" s="1"/>
  <c r="K76" s="1"/>
  <c r="N98" i="8"/>
  <c r="N102"/>
  <c r="E80" i="1" s="1"/>
  <c r="N107" i="8"/>
  <c r="E86" i="1" s="1"/>
  <c r="N112" i="8"/>
  <c r="E88" i="1" s="1"/>
  <c r="K88" s="1"/>
  <c r="N117" i="8"/>
  <c r="E114" i="1" s="1"/>
  <c r="K114" s="1"/>
  <c r="N122" i="8"/>
  <c r="E113" i="1" s="1"/>
  <c r="N127" i="8"/>
  <c r="P127"/>
  <c r="N132"/>
  <c r="E119" i="1" s="1"/>
  <c r="N137" i="8"/>
  <c r="E125" i="1" s="1"/>
  <c r="K125" s="1"/>
  <c r="N142" i="8"/>
  <c r="E124" i="1" s="1"/>
  <c r="N147" i="8"/>
  <c r="P147"/>
  <c r="N152"/>
  <c r="P152"/>
  <c r="N157"/>
  <c r="N162"/>
  <c r="E130" i="1" s="1"/>
  <c r="N166" i="8"/>
  <c r="P166"/>
  <c r="N170"/>
  <c r="P170"/>
  <c r="N175"/>
  <c r="E145" i="1" s="1"/>
  <c r="N180" i="8"/>
  <c r="E150" i="1" s="1"/>
  <c r="N185" i="8"/>
  <c r="E151" i="1" s="1"/>
  <c r="K151" s="1"/>
  <c r="P185" i="8"/>
  <c r="N190"/>
  <c r="E152" i="1" s="1"/>
  <c r="K152" s="1"/>
  <c r="N195" i="8"/>
  <c r="E156" i="1" s="1"/>
  <c r="N200" i="8"/>
  <c r="E157" i="1" s="1"/>
  <c r="N205" i="8"/>
  <c r="E160" i="1" s="1"/>
  <c r="N210" i="8"/>
  <c r="D47" i="1" s="1"/>
  <c r="N211" i="8"/>
  <c r="E47" i="1" s="1"/>
  <c r="N8" i="9"/>
  <c r="D9" i="1" s="1"/>
  <c r="N9" i="9"/>
  <c r="E9" i="1" s="1"/>
  <c r="N14" i="9"/>
  <c r="D10" i="1" s="1"/>
  <c r="N15" i="9"/>
  <c r="E10" i="1" s="1"/>
  <c r="K10" s="1"/>
  <c r="P15" i="9"/>
  <c r="N20"/>
  <c r="D14" i="1" s="1"/>
  <c r="N21" i="9"/>
  <c r="E14" i="1" s="1"/>
  <c r="K14" s="1"/>
  <c r="N26" i="9"/>
  <c r="D37" i="1" s="1"/>
  <c r="N27" i="9"/>
  <c r="E37" i="1" s="1"/>
  <c r="K37" s="1"/>
  <c r="P27" i="9"/>
  <c r="N32"/>
  <c r="D41" i="1" s="1"/>
  <c r="N33" i="9"/>
  <c r="E41" i="1" s="1"/>
  <c r="K41" s="1"/>
  <c r="N38" i="9"/>
  <c r="D45" i="1" s="1"/>
  <c r="N39" i="9"/>
  <c r="E45" i="1" s="1"/>
  <c r="K45" s="1"/>
  <c r="P39" i="9"/>
  <c r="N44"/>
  <c r="N45"/>
  <c r="H71" i="1" s="1"/>
  <c r="N50" i="9"/>
  <c r="D72" i="1" s="1"/>
  <c r="N51" i="9"/>
  <c r="E72" i="1" s="1"/>
  <c r="N56" i="9"/>
  <c r="N57"/>
  <c r="P57"/>
  <c r="N62"/>
  <c r="N63"/>
  <c r="E71" i="1" s="1"/>
  <c r="K71" s="1"/>
  <c r="N65" i="9"/>
  <c r="N70"/>
  <c r="N71"/>
  <c r="N76"/>
  <c r="D78" i="1" s="1"/>
  <c r="N77" i="9"/>
  <c r="E78" i="1" s="1"/>
  <c r="N82" i="9"/>
  <c r="D81" i="1" s="1"/>
  <c r="N83" i="9"/>
  <c r="E81" i="1" s="1"/>
  <c r="N88" i="9"/>
  <c r="D82" i="1" s="1"/>
  <c r="N89" i="9"/>
  <c r="E82" i="1" s="1"/>
  <c r="K82" s="1"/>
  <c r="N94" i="9"/>
  <c r="D83" i="1" s="1"/>
  <c r="N95" i="9"/>
  <c r="E83" i="1" s="1"/>
  <c r="N100" i="9"/>
  <c r="D87" i="1" s="1"/>
  <c r="N101" i="9"/>
  <c r="E87" i="1" s="1"/>
  <c r="K87" s="1"/>
  <c r="P101" i="9"/>
  <c r="N106"/>
  <c r="N107"/>
  <c r="E97" i="1" s="1"/>
  <c r="N112" i="9"/>
  <c r="N113"/>
  <c r="E98" i="1" s="1"/>
  <c r="K98" s="1"/>
  <c r="N118" i="9"/>
  <c r="D101" i="1" s="1"/>
  <c r="N119" i="9"/>
  <c r="E101" i="1" s="1"/>
  <c r="N124" i="9"/>
  <c r="D102" i="1" s="1"/>
  <c r="N125" i="9"/>
  <c r="E102" i="1" s="1"/>
  <c r="N130" i="9"/>
  <c r="D105" i="1" s="1"/>
  <c r="N131" i="9"/>
  <c r="E105" i="1" s="1"/>
  <c r="N136" i="9"/>
  <c r="D107" i="1" s="1"/>
  <c r="N137" i="9"/>
  <c r="P137"/>
  <c r="N139"/>
  <c r="H107" i="1" s="1"/>
  <c r="N144" i="9"/>
  <c r="D111" i="1" s="1"/>
  <c r="N145" i="9"/>
  <c r="E111" i="1" s="1"/>
  <c r="N150" i="9"/>
  <c r="D112" i="1" s="1"/>
  <c r="N151" i="9"/>
  <c r="E112" i="1" s="1"/>
  <c r="N156" i="9"/>
  <c r="D115" i="1" s="1"/>
  <c r="N157" i="9"/>
  <c r="P157"/>
  <c r="N162"/>
  <c r="N163"/>
  <c r="E131" i="1" s="1"/>
  <c r="N168" i="9"/>
  <c r="D144" i="1" s="1"/>
  <c r="N169" i="9"/>
  <c r="E144" i="1" s="1"/>
  <c r="N174" i="9"/>
  <c r="D153" i="1" s="1"/>
  <c r="N175" i="9"/>
  <c r="E153" i="1" s="1"/>
  <c r="N180" i="9"/>
  <c r="D154" i="1" s="1"/>
  <c r="N181" i="9"/>
  <c r="E154" i="1" s="1"/>
  <c r="K154" s="1"/>
  <c r="N186" i="9"/>
  <c r="D155" i="1" s="1"/>
  <c r="N187" i="9"/>
  <c r="E155" i="1" s="1"/>
  <c r="N192" i="9"/>
  <c r="D163" i="1" s="1"/>
  <c r="N193" i="9"/>
  <c r="P193"/>
  <c r="N198"/>
  <c r="D51" i="1" s="1"/>
  <c r="N199" i="9"/>
  <c r="E51" i="1" s="1"/>
  <c r="N200" i="9"/>
  <c r="I51" i="1" s="1"/>
  <c r="O200" i="9"/>
  <c r="N8" i="10"/>
  <c r="N9"/>
  <c r="N13"/>
  <c r="P13"/>
  <c r="N18"/>
  <c r="P18"/>
  <c r="K59" i="1" s="1"/>
  <c r="N8" i="11"/>
  <c r="D57" i="1" s="1"/>
  <c r="N9" i="11"/>
  <c r="E57" i="1" s="1"/>
  <c r="K57" s="1"/>
  <c r="N8" i="12"/>
  <c r="E12" i="1" s="1"/>
  <c r="N13" i="12"/>
  <c r="E13" i="1" s="1"/>
  <c r="N18" i="12"/>
  <c r="D19" i="1" s="1"/>
  <c r="N19" i="12"/>
  <c r="E19" i="1" s="1"/>
  <c r="N21" i="12"/>
  <c r="H19" i="1" s="1"/>
  <c r="N26" i="12"/>
  <c r="D38" i="1" s="1"/>
  <c r="N27" i="12"/>
  <c r="E38" i="1" s="1"/>
  <c r="N29" i="12"/>
  <c r="H38" i="1" s="1"/>
  <c r="N34" i="12"/>
  <c r="D67" i="1" s="1"/>
  <c r="N35" i="12"/>
  <c r="E67" i="1" s="1"/>
  <c r="N37" i="12"/>
  <c r="H67" i="1" s="1"/>
  <c r="N42" i="12"/>
  <c r="E74" i="1" s="1"/>
  <c r="N47" i="12"/>
  <c r="D77" i="1" s="1"/>
  <c r="N48" i="12"/>
  <c r="E77" i="1" s="1"/>
  <c r="N50" i="12"/>
  <c r="N55"/>
  <c r="N56"/>
  <c r="E106" i="1" s="1"/>
  <c r="N58" i="12"/>
  <c r="N63"/>
  <c r="D118" i="1" s="1"/>
  <c r="N64" i="12"/>
  <c r="E118" i="1" s="1"/>
  <c r="N66" i="12"/>
  <c r="H118" i="1" s="1"/>
  <c r="N71" i="12"/>
  <c r="N72"/>
  <c r="E120" i="1" s="1"/>
  <c r="N74" i="12"/>
  <c r="N79"/>
  <c r="D121" i="1" s="1"/>
  <c r="N80" i="12"/>
  <c r="N82"/>
  <c r="H121" i="1" s="1"/>
  <c r="N87" i="12"/>
  <c r="D126" i="1" s="1"/>
  <c r="N88" i="12"/>
  <c r="E126" i="1" s="1"/>
  <c r="N90" i="12"/>
  <c r="N95"/>
  <c r="D132" i="1" s="1"/>
  <c r="N96" i="12"/>
  <c r="E132" i="1" s="1"/>
  <c r="N98" i="12"/>
  <c r="H132" i="1" s="1"/>
  <c r="N103" i="12"/>
  <c r="N104"/>
  <c r="E164" i="1" s="1"/>
  <c r="N106" i="12"/>
  <c r="N111"/>
  <c r="D166" i="1" s="1"/>
  <c r="N112" i="12"/>
  <c r="E166" i="1" s="1"/>
  <c r="P112" i="12"/>
  <c r="N114"/>
  <c r="N119"/>
  <c r="D165" i="1" s="1"/>
  <c r="N120" i="12"/>
  <c r="N122"/>
  <c r="H165" i="1" s="1"/>
  <c r="N128" i="12"/>
  <c r="D70" i="1" s="1"/>
  <c r="N129" i="12"/>
  <c r="E70" i="1" s="1"/>
  <c r="K70" s="1"/>
  <c r="N131" i="12"/>
  <c r="H70" i="1" s="1"/>
  <c r="N136" i="12"/>
  <c r="E69" i="1" s="1"/>
  <c r="N8" i="13"/>
  <c r="E16" i="1" s="1"/>
  <c r="N9" i="13"/>
  <c r="D16" i="1" s="1"/>
  <c r="N8" i="14"/>
  <c r="P8"/>
  <c r="N9"/>
  <c r="D99" i="1" s="1"/>
  <c r="N10" i="14"/>
  <c r="N11"/>
  <c r="N8" i="15"/>
  <c r="P8" s="1"/>
  <c r="N9"/>
  <c r="N10"/>
  <c r="E85" i="1" s="1"/>
  <c r="K85" s="1"/>
  <c r="N11" i="15"/>
  <c r="N12"/>
  <c r="N13"/>
  <c r="N14"/>
  <c r="N15"/>
  <c r="N16"/>
  <c r="N17"/>
  <c r="N8" i="16"/>
  <c r="D28" i="1" s="1"/>
  <c r="N9" i="16"/>
  <c r="E28" i="1" s="1"/>
  <c r="N14" i="16"/>
  <c r="D89" i="1" s="1"/>
  <c r="N15" i="16"/>
  <c r="E89" i="1" s="1"/>
  <c r="K89" s="1"/>
  <c r="P15" i="16"/>
  <c r="N20"/>
  <c r="N21"/>
  <c r="P21" s="1"/>
  <c r="N26"/>
  <c r="N27"/>
  <c r="P27"/>
  <c r="N8" i="17"/>
  <c r="D91" i="1" s="1"/>
  <c r="N9" i="17"/>
  <c r="P9" s="1"/>
  <c r="N10"/>
  <c r="N8" i="18"/>
  <c r="E92" i="1" s="1"/>
  <c r="K92" s="1"/>
  <c r="P8" i="18"/>
  <c r="N9"/>
  <c r="N8" i="19"/>
  <c r="D93" i="1" s="1"/>
  <c r="N9" i="19"/>
  <c r="E93" i="1" s="1"/>
  <c r="N10" i="19"/>
  <c r="N8" i="20"/>
  <c r="D94" i="1" s="1"/>
  <c r="N9" i="20"/>
  <c r="E94" i="1" s="1"/>
  <c r="K94" s="1"/>
  <c r="N14" i="20"/>
  <c r="D95" i="1" s="1"/>
  <c r="N15" i="20"/>
  <c r="E95" i="1" s="1"/>
  <c r="K95" s="1"/>
  <c r="P15" i="20"/>
  <c r="N8" i="21"/>
  <c r="D103" i="1" s="1"/>
  <c r="N9" i="21"/>
  <c r="E103" i="1" s="1"/>
  <c r="K103" s="1"/>
  <c r="N8" i="22"/>
  <c r="D108" i="1" s="1"/>
  <c r="N9" i="22"/>
  <c r="E108" i="1" s="1"/>
  <c r="K108" s="1"/>
  <c r="P9" i="22"/>
  <c r="N10"/>
  <c r="P10"/>
  <c r="N15"/>
  <c r="D109" i="1" s="1"/>
  <c r="N16" i="22"/>
  <c r="E109" i="1" s="1"/>
  <c r="N17" i="22"/>
  <c r="N8" i="23"/>
  <c r="D116" i="1" s="1"/>
  <c r="N9" i="23"/>
  <c r="H116" i="1" s="1"/>
  <c r="N8" i="24"/>
  <c r="E15" i="1" s="1"/>
  <c r="N14" i="24"/>
  <c r="N20"/>
  <c r="E158" i="1" s="1"/>
  <c r="K158" s="1"/>
  <c r="N26" i="24"/>
  <c r="E117" i="1" s="1"/>
  <c r="N27" i="24"/>
  <c r="D117" i="1" s="1"/>
  <c r="N8" i="25"/>
  <c r="E30" i="1" s="1"/>
  <c r="N9" i="25"/>
  <c r="D30" i="1" s="1"/>
  <c r="N10" i="25"/>
  <c r="H30" i="1" s="1"/>
  <c r="N15" i="25"/>
  <c r="E32" i="1" s="1"/>
  <c r="N16" i="25"/>
  <c r="D32" i="1" s="1"/>
  <c r="N17" i="25"/>
  <c r="H32" i="1" s="1"/>
  <c r="N22" i="25"/>
  <c r="E104" i="1" s="1"/>
  <c r="N23" i="25"/>
  <c r="D104" i="1" s="1"/>
  <c r="N24" i="25"/>
  <c r="H104" i="1" s="1"/>
  <c r="N29" i="25"/>
  <c r="E90" i="1" s="1"/>
  <c r="K90" s="1"/>
  <c r="N30" i="25"/>
  <c r="D90" i="1" s="1"/>
  <c r="N31" i="25"/>
  <c r="H92" i="1" s="1"/>
  <c r="N37" i="25"/>
  <c r="N38"/>
  <c r="D167" i="1" s="1"/>
  <c r="N39" i="25"/>
  <c r="H167" i="1" s="1"/>
  <c r="N44" i="25"/>
  <c r="E122" i="1" s="1"/>
  <c r="N45" i="25"/>
  <c r="D122" i="1" s="1"/>
  <c r="N46" i="25"/>
  <c r="H122" i="1" s="1"/>
  <c r="N8" i="26"/>
  <c r="D79" i="1" s="1"/>
  <c r="N9" i="26"/>
  <c r="I79" i="1" s="1"/>
  <c r="N10" i="26"/>
  <c r="E79" i="1" s="1"/>
  <c r="K79" s="1"/>
  <c r="P10" i="26"/>
  <c r="N11"/>
  <c r="H79" i="1" s="1"/>
  <c r="N15" i="26"/>
  <c r="N16"/>
  <c r="N17"/>
  <c r="P17" s="1"/>
  <c r="N18"/>
  <c r="N21"/>
  <c r="I123" i="1" s="1"/>
  <c r="N22" i="26"/>
  <c r="N23"/>
  <c r="E123" i="1" s="1"/>
  <c r="K123" s="1"/>
  <c r="P23" i="26"/>
  <c r="N24"/>
  <c r="N8" i="27"/>
  <c r="E6" i="1" s="1"/>
  <c r="N9" i="27"/>
  <c r="D6" i="1" s="1"/>
  <c r="N14" i="27"/>
  <c r="E7" i="1" s="1"/>
  <c r="K7" s="1"/>
  <c r="N15" i="27"/>
  <c r="D7" i="1" s="1"/>
  <c r="N20" i="27"/>
  <c r="E8" i="1" s="1"/>
  <c r="N21" i="27"/>
  <c r="D8" i="1" s="1"/>
  <c r="N26" i="27"/>
  <c r="E48" i="1" s="1"/>
  <c r="N31" i="27"/>
  <c r="E50" i="1" s="1"/>
  <c r="N32" i="27"/>
  <c r="D50" i="1" s="1"/>
  <c r="N37" i="27"/>
  <c r="E49" i="1" s="1"/>
  <c r="N38" i="27"/>
  <c r="D49" i="1" s="1"/>
  <c r="N43" i="27"/>
  <c r="E73" i="1" s="1"/>
  <c r="K73" s="1"/>
  <c r="N44" i="27"/>
  <c r="D73" i="1" s="1"/>
  <c r="N49" i="27"/>
  <c r="E100" i="1" s="1"/>
  <c r="N50" i="27"/>
  <c r="D100" i="1" s="1"/>
  <c r="N55" i="27"/>
  <c r="E133" i="1" s="1"/>
  <c r="N56" i="27"/>
  <c r="D133" i="1" s="1"/>
  <c r="N61" i="27"/>
  <c r="E134" i="1" s="1"/>
  <c r="K134" s="1"/>
  <c r="P61" i="27"/>
  <c r="N62"/>
  <c r="D134" i="1" s="1"/>
  <c r="N67" i="27"/>
  <c r="E135" i="1" s="1"/>
  <c r="N72" i="27"/>
  <c r="E136" i="1" s="1"/>
  <c r="K136" s="1"/>
  <c r="P72" i="27"/>
  <c r="N73"/>
  <c r="D136" i="1" s="1"/>
  <c r="N77" i="27"/>
  <c r="D146" i="1" s="1"/>
  <c r="N78" i="27"/>
  <c r="E146" i="1" s="1"/>
  <c r="N82" i="27"/>
  <c r="E159" i="1" s="1"/>
  <c r="N83" i="27"/>
  <c r="D159" i="1" s="1"/>
  <c r="N8" i="28"/>
  <c r="N9"/>
  <c r="E140" i="1" s="1"/>
  <c r="N10" i="28"/>
  <c r="I140" i="1" s="1"/>
  <c r="N11" i="28"/>
  <c r="N12"/>
  <c r="N13"/>
  <c r="N14"/>
  <c r="N15"/>
  <c r="N16"/>
  <c r="N17"/>
  <c r="N18"/>
  <c r="N19"/>
  <c r="N20"/>
  <c r="N21"/>
  <c r="N26"/>
  <c r="N27"/>
  <c r="E141" i="1" s="1"/>
  <c r="K141" s="1"/>
  <c r="N28" i="28"/>
  <c r="I141" i="1" s="1"/>
  <c r="N29" i="28"/>
  <c r="N30"/>
  <c r="N31"/>
  <c r="N32"/>
  <c r="N33"/>
  <c r="N34"/>
  <c r="N35"/>
  <c r="N36"/>
  <c r="N37"/>
  <c r="N38"/>
  <c r="N39"/>
  <c r="B44"/>
  <c r="C44"/>
  <c r="D44"/>
  <c r="E44"/>
  <c r="F44"/>
  <c r="G44"/>
  <c r="H44"/>
  <c r="I44"/>
  <c r="J44"/>
  <c r="K44"/>
  <c r="L44"/>
  <c r="M44"/>
  <c r="N44"/>
  <c r="D142" i="1" s="1"/>
  <c r="B45" i="28"/>
  <c r="C45"/>
  <c r="N45" s="1"/>
  <c r="D45"/>
  <c r="E45"/>
  <c r="F45"/>
  <c r="G45"/>
  <c r="H45"/>
  <c r="I45"/>
  <c r="J45"/>
  <c r="K45"/>
  <c r="L45"/>
  <c r="M45"/>
  <c r="B46"/>
  <c r="C46"/>
  <c r="N46" s="1"/>
  <c r="I142" i="1" s="1"/>
  <c r="D46" i="28"/>
  <c r="E46"/>
  <c r="F46"/>
  <c r="G46"/>
  <c r="H46"/>
  <c r="I46"/>
  <c r="J46"/>
  <c r="K46"/>
  <c r="L46"/>
  <c r="M46"/>
  <c r="B47"/>
  <c r="C47"/>
  <c r="D47"/>
  <c r="E47"/>
  <c r="F47"/>
  <c r="G47"/>
  <c r="H47"/>
  <c r="I47"/>
  <c r="J47"/>
  <c r="K47"/>
  <c r="L47"/>
  <c r="M47"/>
  <c r="N47"/>
  <c r="B48"/>
  <c r="C48"/>
  <c r="N48" s="1"/>
  <c r="D48"/>
  <c r="E48"/>
  <c r="F48"/>
  <c r="G48"/>
  <c r="H48"/>
  <c r="I48"/>
  <c r="J48"/>
  <c r="K48"/>
  <c r="L48"/>
  <c r="M48"/>
  <c r="B49"/>
  <c r="C49"/>
  <c r="D49"/>
  <c r="E49"/>
  <c r="F49"/>
  <c r="G49"/>
  <c r="H49"/>
  <c r="I49"/>
  <c r="J49"/>
  <c r="K49"/>
  <c r="L49"/>
  <c r="N49" s="1"/>
  <c r="M49"/>
  <c r="B50"/>
  <c r="C50"/>
  <c r="N50" s="1"/>
  <c r="D50"/>
  <c r="E50"/>
  <c r="F50"/>
  <c r="G50"/>
  <c r="H50"/>
  <c r="I50"/>
  <c r="J50"/>
  <c r="K50"/>
  <c r="L50"/>
  <c r="M50"/>
  <c r="B51"/>
  <c r="C51"/>
  <c r="D51"/>
  <c r="E51"/>
  <c r="F51"/>
  <c r="G51"/>
  <c r="H51"/>
  <c r="I51"/>
  <c r="J51"/>
  <c r="K51"/>
  <c r="L51"/>
  <c r="M51"/>
  <c r="N51"/>
  <c r="B52"/>
  <c r="C52"/>
  <c r="N52" s="1"/>
  <c r="D52"/>
  <c r="E52"/>
  <c r="F52"/>
  <c r="G52"/>
  <c r="H52"/>
  <c r="I52"/>
  <c r="J52"/>
  <c r="K52"/>
  <c r="L52"/>
  <c r="M52"/>
  <c r="B53"/>
  <c r="C53"/>
  <c r="D53"/>
  <c r="E53"/>
  <c r="F53"/>
  <c r="G53"/>
  <c r="H53"/>
  <c r="I53"/>
  <c r="J53"/>
  <c r="K53"/>
  <c r="L53"/>
  <c r="N53" s="1"/>
  <c r="M53"/>
  <c r="B54"/>
  <c r="C54"/>
  <c r="N54" s="1"/>
  <c r="D54"/>
  <c r="E54"/>
  <c r="F54"/>
  <c r="G54"/>
  <c r="H54"/>
  <c r="I54"/>
  <c r="J54"/>
  <c r="K54"/>
  <c r="L54"/>
  <c r="M54"/>
  <c r="B55"/>
  <c r="C55"/>
  <c r="D55"/>
  <c r="E55"/>
  <c r="F55"/>
  <c r="G55"/>
  <c r="H55"/>
  <c r="I55"/>
  <c r="J55"/>
  <c r="K55"/>
  <c r="L55"/>
  <c r="M55"/>
  <c r="N55"/>
  <c r="B56"/>
  <c r="C56"/>
  <c r="N56" s="1"/>
  <c r="D56"/>
  <c r="E56"/>
  <c r="F56"/>
  <c r="G56"/>
  <c r="H56"/>
  <c r="I56"/>
  <c r="J56"/>
  <c r="K56"/>
  <c r="L56"/>
  <c r="M56"/>
  <c r="B57"/>
  <c r="C57"/>
  <c r="D57"/>
  <c r="E57"/>
  <c r="F57"/>
  <c r="G57"/>
  <c r="H57"/>
  <c r="I57"/>
  <c r="J57"/>
  <c r="K57"/>
  <c r="L57"/>
  <c r="M57"/>
  <c r="N57"/>
  <c r="N7" i="29"/>
  <c r="P7"/>
  <c r="N8"/>
  <c r="P8"/>
  <c r="N9"/>
  <c r="P9"/>
  <c r="N10"/>
  <c r="D143" i="1" s="1"/>
  <c r="P10" i="29"/>
  <c r="N11"/>
  <c r="P11"/>
  <c r="N12"/>
  <c r="E143" i="1" s="1"/>
  <c r="K143" s="1"/>
  <c r="P12" i="29"/>
  <c r="N13"/>
  <c r="P13"/>
  <c r="N8" i="30"/>
  <c r="D147" i="1" s="1"/>
  <c r="N9" i="30"/>
  <c r="E147" i="1" s="1"/>
  <c r="K147" s="1"/>
  <c r="N10" i="30"/>
  <c r="H147" i="1" s="1"/>
  <c r="N8" i="31"/>
  <c r="D33" i="1" s="1"/>
  <c r="N9" i="31"/>
  <c r="E33" i="1" s="1"/>
  <c r="K33" s="1"/>
  <c r="N14" i="31"/>
  <c r="D46" i="1" s="1"/>
  <c r="N15" i="31"/>
  <c r="E46" i="1" s="1"/>
  <c r="N20" i="31"/>
  <c r="D161" i="1" s="1"/>
  <c r="N25" i="31"/>
  <c r="D162" i="1" s="1"/>
  <c r="N26" i="31"/>
  <c r="E162" i="1" s="1"/>
  <c r="K162" s="1"/>
  <c r="N31" i="31"/>
  <c r="D60" i="1" s="1"/>
  <c r="N32" i="31"/>
  <c r="N33"/>
  <c r="N34"/>
  <c r="N35"/>
  <c r="N36"/>
  <c r="E60" i="1" s="1"/>
  <c r="N37" i="31"/>
  <c r="N38"/>
  <c r="N39"/>
  <c r="N40"/>
  <c r="N8" i="32"/>
  <c r="D17" i="1" s="1"/>
  <c r="N9" i="32"/>
  <c r="E17" i="1" s="1"/>
  <c r="K17" s="1"/>
  <c r="P9" i="32"/>
  <c r="N10"/>
  <c r="N16"/>
  <c r="D18" i="1" s="1"/>
  <c r="N17" i="32"/>
  <c r="E18" i="1" s="1"/>
  <c r="K18" s="1"/>
  <c r="P17" i="32"/>
  <c r="N18"/>
  <c r="H18" i="1" s="1"/>
  <c r="N24" i="32"/>
  <c r="N25"/>
  <c r="P25"/>
  <c r="N26"/>
  <c r="N32"/>
  <c r="D31" i="1" s="1"/>
  <c r="N33" i="32"/>
  <c r="E31" i="1" s="1"/>
  <c r="P33" i="32"/>
  <c r="K31" i="1" s="1"/>
  <c r="N34" i="32"/>
  <c r="H31" i="1" s="1"/>
  <c r="N40" i="32"/>
  <c r="N41"/>
  <c r="P41"/>
  <c r="N42"/>
  <c r="N48"/>
  <c r="D54" i="1" s="1"/>
  <c r="N49" i="32"/>
  <c r="E54" i="1" s="1"/>
  <c r="K54" s="1"/>
  <c r="P49" i="32"/>
  <c r="N50"/>
  <c r="H54" i="1" s="1"/>
  <c r="N56" i="32"/>
  <c r="D55" i="1" s="1"/>
  <c r="N57" i="32"/>
  <c r="E55" i="1" s="1"/>
  <c r="K55" s="1"/>
  <c r="P57" i="32"/>
  <c r="N58"/>
  <c r="H55" i="1" s="1"/>
  <c r="N64" i="32"/>
  <c r="D66" i="1" s="1"/>
  <c r="N65" i="32"/>
  <c r="E66" i="1" s="1"/>
  <c r="P65" i="32"/>
  <c r="N66"/>
  <c r="H66" i="1" s="1"/>
  <c r="N72" i="32"/>
  <c r="D84" i="1" s="1"/>
  <c r="N73" i="32"/>
  <c r="E84" i="1" s="1"/>
  <c r="K84" s="1"/>
  <c r="P73" i="32"/>
  <c r="N74"/>
  <c r="H84" i="1" s="1"/>
  <c r="N80" i="32"/>
  <c r="N81"/>
  <c r="P81"/>
  <c r="N82"/>
  <c r="N89"/>
  <c r="D139" i="1" s="1"/>
  <c r="N90" i="32"/>
  <c r="E139" i="1" s="1"/>
  <c r="K139" s="1"/>
  <c r="P90" i="32"/>
  <c r="N91"/>
  <c r="H139" i="1" s="1"/>
  <c r="N97" i="32"/>
  <c r="N98"/>
  <c r="P98"/>
  <c r="N99"/>
  <c r="E142" i="1" l="1"/>
  <c r="P45" i="28"/>
  <c r="P200" i="9"/>
  <c r="P26" i="31"/>
  <c r="P9"/>
  <c r="P9" i="30"/>
  <c r="P31" i="27"/>
  <c r="K50" i="1" s="1"/>
  <c r="P14" i="27"/>
  <c r="P9" i="21"/>
  <c r="P9" i="20"/>
  <c r="P9" i="16"/>
  <c r="P8" i="13"/>
  <c r="P129" i="12"/>
  <c r="P9" i="11"/>
  <c r="P199" i="9"/>
  <c r="P181"/>
  <c r="P113"/>
  <c r="P89"/>
  <c r="P63"/>
  <c r="P45"/>
  <c r="P33"/>
  <c r="P21"/>
  <c r="P211" i="8"/>
  <c r="K47" i="1" s="1"/>
  <c r="P137" i="8"/>
  <c r="P117"/>
  <c r="P112"/>
  <c r="P88"/>
  <c r="P8"/>
  <c r="P9" i="6"/>
  <c r="H126" i="1"/>
  <c r="D123"/>
  <c r="E91"/>
  <c r="K91" s="1"/>
  <c r="E64"/>
  <c r="E53"/>
  <c r="K53" s="1"/>
</calcChain>
</file>

<file path=xl/sharedStrings.xml><?xml version="1.0" encoding="utf-8"?>
<sst xmlns="http://schemas.openxmlformats.org/spreadsheetml/2006/main" count="2920" uniqueCount="421">
  <si>
    <t>SciFinder Scholar</t>
  </si>
  <si>
    <t>World Almanacs*</t>
  </si>
  <si>
    <t>InfoUSA</t>
  </si>
  <si>
    <t xml:space="preserve">
</t>
  </si>
  <si>
    <t>MLA Directory of Periodicals</t>
  </si>
  <si>
    <t>Textile Technology Index</t>
  </si>
  <si>
    <t>Busy</t>
  </si>
  <si>
    <t>FirstSearch (“per-search” block searches)</t>
  </si>
  <si>
    <t>Ecology Abstracts</t>
  </si>
  <si>
    <t>* usage constrained by limitations on concurrent users</t>
  </si>
  <si>
    <t>Database Turnaways</t>
  </si>
  <si>
    <t>Historical Abstracts</t>
  </si>
  <si>
    <t>Industrial and Applied Microbiology Abstracts (Microbiology A)</t>
  </si>
  <si>
    <t>ERIC*</t>
  </si>
  <si>
    <t>Total Monthly Users</t>
  </si>
  <si>
    <t xml:space="preserve"> </t>
  </si>
  <si>
    <t>Total Records on Results</t>
  </si>
  <si>
    <t>COUNTER-Compliant?:</t>
  </si>
  <si>
    <t xml:space="preserve">ITER Bibliography </t>
  </si>
  <si>
    <t>Searches run</t>
  </si>
  <si>
    <t>U.S. Congressional Serial Set 1817-1994</t>
  </si>
  <si>
    <t>Total Sessions</t>
  </si>
  <si>
    <t>Searches, prev. yr</t>
  </si>
  <si>
    <t xml:space="preserve">Total minutes used by all sessions.
</t>
  </si>
  <si>
    <t>Dissertations &amp; Theses @ University of Rhode Island / Rhode Island College</t>
  </si>
  <si>
    <t>Nov-2010</t>
  </si>
  <si>
    <t>ERIC</t>
  </si>
  <si>
    <t>2010-2011 Price</t>
  </si>
  <si>
    <t>?</t>
  </si>
  <si>
    <t>EI</t>
  </si>
  <si>
    <t>Funk &amp; Wagnall's New World Encyclopedia</t>
  </si>
  <si>
    <t>WorldCat Dissertations &amp; Theses*</t>
  </si>
  <si>
    <t>Vendor / Platform</t>
  </si>
  <si>
    <t xml:space="preserve">Number of unique users who logged in during the time period. All users who did not log in are counted as one additional users. The numbers of monthly users are not additive, i.e. the sum of monthly users is not equal to the total number of unique users for all time.
</t>
  </si>
  <si>
    <t xml:space="preserve">  </t>
  </si>
  <si>
    <t>Teacher Reference Center (free)</t>
  </si>
  <si>
    <t>Philosopher's Index</t>
  </si>
  <si>
    <t>ASFA 1 (Biosciences...)</t>
  </si>
  <si>
    <t>Successful full-text downloads</t>
  </si>
  <si>
    <t>Book Review Digest Retrospective</t>
  </si>
  <si>
    <t>Encyclopedia of Ocean Sciences, 2nd ed.</t>
  </si>
  <si>
    <t>CSA (all databases)</t>
  </si>
  <si>
    <t>INSPEC Current</t>
  </si>
  <si>
    <t>ABI/INFORM Global</t>
  </si>
  <si>
    <t>Readers Guide Retrospective</t>
  </si>
  <si>
    <t>Oxford Art Online</t>
  </si>
  <si>
    <t>NA/</t>
  </si>
  <si>
    <t>MAS Ultra – School edition</t>
  </si>
  <si>
    <t>COUNTER-compliant?</t>
  </si>
  <si>
    <t>GPO Monthly Catalog</t>
  </si>
  <si>
    <t>InfoTRAC</t>
  </si>
  <si>
    <t>America History &amp; Life</t>
  </si>
  <si>
    <t>ALA Guide to Reference</t>
  </si>
  <si>
    <t>Middle Search Plus (statewide database trial)</t>
  </si>
  <si>
    <t>GreenFILE (free)</t>
  </si>
  <si>
    <t>Short Story Index Retrospective *</t>
  </si>
  <si>
    <t>ProQuest</t>
  </si>
  <si>
    <t>Sep-2010</t>
  </si>
  <si>
    <t>World Almanacs</t>
  </si>
  <si>
    <t>Environmental Sciences and Pollution Mgmt</t>
  </si>
  <si>
    <t>ReferenceUSA</t>
  </si>
  <si>
    <t>Mergent Online</t>
  </si>
  <si>
    <t>GPO Monthly Catalog*</t>
  </si>
  <si>
    <t>Jun-2011</t>
  </si>
  <si>
    <t>Apr-2011</t>
  </si>
  <si>
    <t>Cost per Search</t>
  </si>
  <si>
    <t>PsycArticles</t>
  </si>
  <si>
    <t>Total Pages Served</t>
  </si>
  <si>
    <t>% change</t>
  </si>
  <si>
    <t>ITER Databases</t>
  </si>
  <si>
    <t>Members-only datasets downloaded</t>
  </si>
  <si>
    <t>Summary</t>
  </si>
  <si>
    <t>Note: We have 4,478 shared titles</t>
  </si>
  <si>
    <t>NetLibrary</t>
  </si>
  <si>
    <t>ProQuest Historical Newspapers The New York Times (1851-2006)</t>
  </si>
  <si>
    <t>EMBASE.com</t>
  </si>
  <si>
    <t>ICPSR</t>
  </si>
  <si>
    <t>Clase and Periodica*</t>
  </si>
  <si>
    <t>1m28sec</t>
  </si>
  <si>
    <t>TOTAL FirstSearch Block Use</t>
  </si>
  <si>
    <t>InfoTrac</t>
  </si>
  <si>
    <t>Oceanic Abstracts</t>
  </si>
  <si>
    <t>ARBA Online</t>
  </si>
  <si>
    <t>Dissertations &amp; Theses: A&amp;I</t>
  </si>
  <si>
    <t>Dissertations &amp; Theses</t>
  </si>
  <si>
    <t>Price per search</t>
  </si>
  <si>
    <t>PsycINFO</t>
  </si>
  <si>
    <t>=((((((((((((((((((((((((((((R[-190]C+R[-184]C)+R[-178]C)+R[-172]C)+R[-154]C)+R[-148]C)+R[-142]C)+R[-136]C)+R[-128]C)+R[-122]C)+R[-116]C)+R[-110]C)+R[-104]C)+R[-98]C)+R[-92]C)+R[-86]C)+R[-80]C)+R[-74]C)+R[-68]C)+R[-62]C)+R[-54]C)+R[-48]C)+R[-42]C)+R[-36]C)+{})+R[-30]C)+R[-24]C)+R[-18]C)+R[-12]C)+R[-6]C</t>
  </si>
  <si>
    <t>Library, Info Sci &amp; Tech Abstracts (NO full text) (free)</t>
  </si>
  <si>
    <t>WorldCat</t>
  </si>
  <si>
    <t>Unique files downloaded</t>
  </si>
  <si>
    <t>Book Review Digest Retrospective*</t>
  </si>
  <si>
    <t>Aug-2010</t>
  </si>
  <si>
    <t>History Reference Center (statewide database trial)</t>
  </si>
  <si>
    <t>OCLC Electronic Collections Online*</t>
  </si>
  <si>
    <t>Total Records Downloaded</t>
  </si>
  <si>
    <t>Art Index Retrospective*</t>
  </si>
  <si>
    <t>Environmental Engineering Abstracts</t>
  </si>
  <si>
    <t>Average References added per user</t>
  </si>
  <si>
    <t>MEDLINE*</t>
  </si>
  <si>
    <t>CQ</t>
  </si>
  <si>
    <t>ProceedingsFirst</t>
  </si>
  <si>
    <t>ABI/INFORM Trade &amp; Industry</t>
  </si>
  <si>
    <t>Women's Studies International</t>
  </si>
  <si>
    <t>Criminal Justice Abstracts</t>
  </si>
  <si>
    <t>Your Journals@Ovid</t>
  </si>
  <si>
    <t>Users</t>
  </si>
  <si>
    <t xml:space="preserve">Sessions:
</t>
  </si>
  <si>
    <t>Newsbank (all databases)</t>
  </si>
  <si>
    <t>Humanities &amp; Social Sciences Index Retrospective*</t>
  </si>
  <si>
    <t># of Prints</t>
  </si>
  <si>
    <t>ArticleFirst</t>
  </si>
  <si>
    <t>Mar-2011</t>
  </si>
  <si>
    <t>PILOTS</t>
  </si>
  <si>
    <t>Number of sessions.</t>
  </si>
  <si>
    <t>BIOSIS Previews</t>
  </si>
  <si>
    <t>GeoRef in Process</t>
  </si>
  <si>
    <t>CIAO</t>
  </si>
  <si>
    <t>Logins</t>
  </si>
  <si>
    <t>Art Abstracts</t>
  </si>
  <si>
    <t>Communication Abstracts</t>
  </si>
  <si>
    <t>OAIster</t>
  </si>
  <si>
    <t>No of Visits</t>
  </si>
  <si>
    <t xml:space="preserve">Events:
</t>
  </si>
  <si>
    <t>Teacher Reference Center</t>
  </si>
  <si>
    <t>ASFA 2 (Ocean Technology...)</t>
  </si>
  <si>
    <t>Web of Science</t>
  </si>
  <si>
    <t>ITER Bibliography</t>
  </si>
  <si>
    <t>Journals@Ovid Full Text</t>
  </si>
  <si>
    <t>Meteorological &amp; Geoastrophysical Abstracts</t>
  </si>
  <si>
    <t>2010/11 Price</t>
  </si>
  <si>
    <t>Music Index</t>
  </si>
  <si>
    <t>Toxicology Abstracts</t>
  </si>
  <si>
    <t>Companies Viewed</t>
  </si>
  <si>
    <t>Note: Subscription started November 19, 2009. Price was pro-rated.</t>
  </si>
  <si>
    <t>Academic</t>
  </si>
  <si>
    <t>Art Index Retrospective</t>
  </si>
  <si>
    <t>Median for other institutions in Classification Category</t>
  </si>
  <si>
    <t>Full Text Downloads</t>
  </si>
  <si>
    <t>Encyclopedia of Ocean Sciences</t>
  </si>
  <si>
    <t>Feb-2011</t>
  </si>
  <si>
    <t xml:space="preserve">2010-2011 </t>
  </si>
  <si>
    <t># of Downloads</t>
  </si>
  <si>
    <t>American State Papers, 1789-1838</t>
  </si>
  <si>
    <t>Jan-2011</t>
  </si>
  <si>
    <t>GeoRef</t>
  </si>
  <si>
    <t>Clinical Pharmacology</t>
  </si>
  <si>
    <t>Alternative Press Index Archive</t>
  </si>
  <si>
    <t>Number of new registrations.</t>
  </si>
  <si>
    <t>EBSCOhost (all databases)</t>
  </si>
  <si>
    <t>CSA Databases total</t>
  </si>
  <si>
    <t>No</t>
  </si>
  <si>
    <t>Members-only studies downloaded</t>
  </si>
  <si>
    <t>CSA Databases</t>
  </si>
  <si>
    <t>EIS: Digests of Environmental Impact Statements</t>
  </si>
  <si>
    <t>Total Sessions per month</t>
  </si>
  <si>
    <t>U.S. Congressional Serial Set</t>
  </si>
  <si>
    <t>ALA Editions</t>
  </si>
  <si>
    <t>Sessions Run</t>
  </si>
  <si>
    <t>Providence Journal-Bulletin</t>
  </si>
  <si>
    <t>Mergent</t>
  </si>
  <si>
    <t>Military &amp; Government Collection</t>
  </si>
  <si>
    <t>ASFA 2 (Ocean Technology…)</t>
  </si>
  <si>
    <t>One-time purchase.</t>
  </si>
  <si>
    <t xml:space="preserve">N/A </t>
  </si>
  <si>
    <t>Education Index Retrospective</t>
  </si>
  <si>
    <t>Social Services Abstracts, CSA</t>
  </si>
  <si>
    <t>Literature Resource Center</t>
  </si>
  <si>
    <t>EBSCOhost Databases</t>
  </si>
  <si>
    <t>SIMULTANEOUS USERS:</t>
  </si>
  <si>
    <t>2009-2010 Price</t>
  </si>
  <si>
    <t>CAS</t>
  </si>
  <si>
    <t>Cochrane Library (Wiley)</t>
  </si>
  <si>
    <t>Risk Abstracts</t>
  </si>
  <si>
    <t>TOTAL FirstSearch</t>
  </si>
  <si>
    <t>Price per unit</t>
  </si>
  <si>
    <t xml:space="preserve">N/A
</t>
  </si>
  <si>
    <t>Military &amp; Government Collection (free)</t>
  </si>
  <si>
    <t>Newsbank (Readex)</t>
  </si>
  <si>
    <t>Bacteriology Abstracts (Microbiology B)</t>
  </si>
  <si>
    <t>Medici Archives Project</t>
  </si>
  <si>
    <t>COUNTER-Compliant?</t>
  </si>
  <si>
    <t>Articles Viewed</t>
  </si>
  <si>
    <t>ABI/INFORM Dateline</t>
  </si>
  <si>
    <t>LexisNexis Congressional</t>
  </si>
  <si>
    <t>ASFA 3 (Aquatic Pollution…)</t>
  </si>
  <si>
    <t>Total Subscriber References added</t>
  </si>
  <si>
    <t>MEDLINE (free)</t>
  </si>
  <si>
    <t>Reference Database Statistics Summary</t>
  </si>
  <si>
    <t>Lexi-Comp</t>
  </si>
  <si>
    <t>Wiley InterScience</t>
  </si>
  <si>
    <t>PapersFirst*</t>
  </si>
  <si>
    <t>Yes</t>
  </si>
  <si>
    <t>ProQuest National Newspapers Core</t>
  </si>
  <si>
    <t>Dissertations &amp; Theses @ University of Rhode Island</t>
  </si>
  <si>
    <t>U.S. Business</t>
  </si>
  <si>
    <t>Documents Retrieved</t>
  </si>
  <si>
    <t>Environmental Sciences and Pollution Management</t>
  </si>
  <si>
    <t>Pollution Abstracts</t>
  </si>
  <si>
    <t>EconLit</t>
  </si>
  <si>
    <t>Searched</t>
  </si>
  <si>
    <t>MLA International Bibliography</t>
  </si>
  <si>
    <t>Total datasets downloaded</t>
  </si>
  <si>
    <t>Readers Guide Retrospective*</t>
  </si>
  <si>
    <t>U.S. Standard White Pages</t>
  </si>
  <si>
    <t>Oxford English Dictionary</t>
  </si>
  <si>
    <t>American Mathematical Society</t>
  </si>
  <si>
    <t>Total Records Emailed</t>
  </si>
  <si>
    <t>Searches</t>
  </si>
  <si>
    <t>CINAHL</t>
  </si>
  <si>
    <t>FSTA Food Science &amp; Technology Abstracts*</t>
  </si>
  <si>
    <t>WorldCat*</t>
  </si>
  <si>
    <t>Congressional</t>
  </si>
  <si>
    <t>Health Source: Nursing/Academic Edition (statewide database trial)</t>
  </si>
  <si>
    <t>CWYW Format Bibliography</t>
  </si>
  <si>
    <t>PAIS Archive</t>
  </si>
  <si>
    <t>Members-only files downloaded</t>
  </si>
  <si>
    <t>Biological Abstracts</t>
  </si>
  <si>
    <t>OVID</t>
  </si>
  <si>
    <t>MergentOnline</t>
  </si>
  <si>
    <t>Successful full-text article requests</t>
  </si>
  <si>
    <t>MAS Ultra - School Edition (free)</t>
  </si>
  <si>
    <t>Queries</t>
  </si>
  <si>
    <t>One-time purchase 4/2010</t>
  </si>
  <si>
    <t>ARTstor</t>
  </si>
  <si>
    <t>Serial Set Maps</t>
  </si>
  <si>
    <t>COUNTER-compliant: Yes</t>
  </si>
  <si>
    <t>Successful</t>
  </si>
  <si>
    <t>Turnaways</t>
  </si>
  <si>
    <t>Academic Search Premier</t>
  </si>
  <si>
    <t>Clase and Periodica</t>
  </si>
  <si>
    <t>N/A</t>
  </si>
  <si>
    <t>WilsonWeb</t>
  </si>
  <si>
    <t>OCLC Electronic Books</t>
  </si>
  <si>
    <t>Web of Science (Thomson)</t>
  </si>
  <si>
    <t>Requests for full text chapters</t>
  </si>
  <si>
    <t>ProceedingsFirst*</t>
  </si>
  <si>
    <t>4m49sec</t>
  </si>
  <si>
    <t xml:space="preserve">Users:
</t>
  </si>
  <si>
    <t>Repeat Users</t>
  </si>
  <si>
    <t>Searches (Total)</t>
  </si>
  <si>
    <t>User Limit</t>
  </si>
  <si>
    <t>Yes (R3)</t>
  </si>
  <si>
    <t>No of Visitors</t>
  </si>
  <si>
    <t>Database Name</t>
  </si>
  <si>
    <t>Web Pages Delivered</t>
  </si>
  <si>
    <t>ArtSTOR</t>
  </si>
  <si>
    <t>—</t>
  </si>
  <si>
    <t>Lexi-Comp Online</t>
  </si>
  <si>
    <t>EBSCOhost</t>
  </si>
  <si>
    <t>Baptisteria Sacra Index</t>
  </si>
  <si>
    <t>Library, Info Sci &amp; Tech Abstracts with Full-Text</t>
  </si>
  <si>
    <t>Yes (R2)</t>
  </si>
  <si>
    <t xml:space="preserve">Number of events.
</t>
  </si>
  <si>
    <t xml:space="preserve">Conference Papers Index
</t>
  </si>
  <si>
    <t>n/a</t>
  </si>
  <si>
    <t>Full-Text (Total)</t>
  </si>
  <si>
    <t>Sessions</t>
  </si>
  <si>
    <t>Total Accesses</t>
  </si>
  <si>
    <t>ERIC (free)</t>
  </si>
  <si>
    <t>Biography Index Retrospective*</t>
  </si>
  <si>
    <t>TOXLINE</t>
  </si>
  <si>
    <t>Grove Music Online</t>
  </si>
  <si>
    <t>WorldCat Dissertations &amp; Theses</t>
  </si>
  <si>
    <t>ProQuest Historical Newspapers — The New York Times (1851-2002)</t>
  </si>
  <si>
    <t>Session (Logins)</t>
  </si>
  <si>
    <t>FirstSearch (all databases)</t>
  </si>
  <si>
    <t>ASFA Marine Biotechnology Abstracts</t>
  </si>
  <si>
    <t>Exports</t>
  </si>
  <si>
    <t>Wilson Web</t>
  </si>
  <si>
    <t>Sustainability Science Abstracts</t>
  </si>
  <si>
    <t>OCLC Electronic Books*</t>
  </si>
  <si>
    <t>Simultaneous users</t>
  </si>
  <si>
    <t>Successful Full-Text Article Requests</t>
  </si>
  <si>
    <t>May-2011</t>
  </si>
  <si>
    <t>Access Denied</t>
  </si>
  <si>
    <t>OCLC Electronic Collections Online</t>
  </si>
  <si>
    <t>Compendex (Engineering Index)</t>
  </si>
  <si>
    <t>ASFA (all)</t>
  </si>
  <si>
    <t>2010-2011</t>
  </si>
  <si>
    <t>Jul-2010</t>
  </si>
  <si>
    <t>ASFA Aquaculture Abstracts</t>
  </si>
  <si>
    <t>Total for Service Newsbank</t>
  </si>
  <si>
    <t>New Users</t>
  </si>
  <si>
    <t>Total files downloaded</t>
  </si>
  <si>
    <t>Mergent WebReports purchased 4/2010.</t>
  </si>
  <si>
    <t>Funk &amp; Wagnall's New World Encyclopedia (free)</t>
  </si>
  <si>
    <t>ComDisDome</t>
  </si>
  <si>
    <t xml:space="preserve">Registrations:
</t>
  </si>
  <si>
    <t>Newsbank</t>
  </si>
  <si>
    <t>Reference USA (U.S. Business)</t>
  </si>
  <si>
    <t>Humanities &amp; Social Sciences Retrospective</t>
  </si>
  <si>
    <t>Water Resources Abstracts</t>
  </si>
  <si>
    <t>Oxford</t>
  </si>
  <si>
    <t>Web of Knowledge</t>
  </si>
  <si>
    <t>Mergent WebReports</t>
  </si>
  <si>
    <t>ITER</t>
  </si>
  <si>
    <t>Ovid (Total databases)</t>
  </si>
  <si>
    <t>Short Story Index Retrospective</t>
  </si>
  <si>
    <t>PsycARTICLES</t>
  </si>
  <si>
    <t>Dec-2010</t>
  </si>
  <si>
    <t>Imports</t>
  </si>
  <si>
    <t>ProQuest Newspapers</t>
  </si>
  <si>
    <t>Total Detail Records Viewed</t>
  </si>
  <si>
    <t>Primary Search</t>
  </si>
  <si>
    <t>Film &amp; Television Literature Index</t>
  </si>
  <si>
    <t>Logons</t>
  </si>
  <si>
    <t>Compendex</t>
  </si>
  <si>
    <t>Events</t>
  </si>
  <si>
    <t>Biotechnology Research Abstracts</t>
  </si>
  <si>
    <t>Max Ports in Use</t>
  </si>
  <si>
    <t>Average Visit Duration</t>
  </si>
  <si>
    <t>Sociological Abstracts, CSA</t>
  </si>
  <si>
    <t>netLibrary</t>
  </si>
  <si>
    <t>Residential Searches</t>
  </si>
  <si>
    <t>MasterFILE Premier (statewide database trial)</t>
  </si>
  <si>
    <t>Wall Street Journal</t>
  </si>
  <si>
    <t>MathSciNet</t>
  </si>
  <si>
    <t>Library, Info Sci &amp; Tech Abstracts w/ full text</t>
  </si>
  <si>
    <t>Safari Books Online</t>
  </si>
  <si>
    <t>Cochrane Library</t>
  </si>
  <si>
    <t>Oct-2010</t>
  </si>
  <si>
    <t>No of Google Searches</t>
  </si>
  <si>
    <t>EndNote Web</t>
  </si>
  <si>
    <t>JSTOR</t>
  </si>
  <si>
    <t>ArticleFirst*</t>
  </si>
  <si>
    <t>Education Full Text</t>
  </si>
  <si>
    <t>Free</t>
  </si>
  <si>
    <t>Total for Service Ovid</t>
  </si>
  <si>
    <t>Mental Measurements Yearbook</t>
  </si>
  <si>
    <t>Library Literature &amp; Information Science Retrospective</t>
  </si>
  <si>
    <t>CQ Researcher</t>
  </si>
  <si>
    <t>OAIster*</t>
  </si>
  <si>
    <t>User Sessions</t>
  </si>
  <si>
    <t>COUNTER-compliant: Yes (R2)</t>
  </si>
  <si>
    <t>ASFA: Aquatic Science &amp; Fisheries Abstracts (all)</t>
  </si>
  <si>
    <t>Conference Papers Index</t>
  </si>
  <si>
    <t>CrossSearch</t>
  </si>
  <si>
    <t>Unique users</t>
  </si>
  <si>
    <t>Social Services Abstracts</t>
  </si>
  <si>
    <t xml:space="preserve">Minutes:
</t>
  </si>
  <si>
    <t>CWYW Traveling Library</t>
  </si>
  <si>
    <t>Full-Content Units Requested</t>
  </si>
  <si>
    <t>Health and Safety Science Abstracts</t>
  </si>
  <si>
    <t>OvidSP</t>
  </si>
  <si>
    <t>Access fee only</t>
  </si>
  <si>
    <t>International Pharmaceutical Abstracts</t>
  </si>
  <si>
    <t>GEOBASE</t>
  </si>
  <si>
    <t>Biological &amp; Agricultural Index Plus</t>
  </si>
  <si>
    <t># of Detail Views</t>
  </si>
  <si>
    <t>ASFA 3 (Aquatic Pollution...)</t>
  </si>
  <si>
    <t>Simultaneous Users</t>
  </si>
  <si>
    <t>Alternative Press Index</t>
  </si>
  <si>
    <t>Average Sessions Per User</t>
  </si>
  <si>
    <t>Total Searches Run</t>
  </si>
  <si>
    <t>ERIC (Free)</t>
  </si>
  <si>
    <t>GreenFILE</t>
  </si>
  <si>
    <t>Environment Abstracts</t>
  </si>
  <si>
    <t># of Emails</t>
  </si>
  <si>
    <t>Academic Search Complete (statewide database trial)</t>
  </si>
  <si>
    <t>LexisNexis</t>
  </si>
  <si>
    <t>ICPSR (Univ. Mich.)</t>
  </si>
  <si>
    <t>PapersFirst</t>
  </si>
  <si>
    <t>Ovid</t>
  </si>
  <si>
    <t>Library, Info Sci &amp; Tech Abstracts (NO full text)</t>
  </si>
  <si>
    <t>RefWorks</t>
  </si>
  <si>
    <t># of Result Pages</t>
  </si>
  <si>
    <t>FirstSearch</t>
  </si>
  <si>
    <t>YourJournals@Ovid</t>
  </si>
  <si>
    <t>SciFinder Scholar*</t>
  </si>
  <si>
    <t>Queries (Searches)</t>
  </si>
  <si>
    <t>Total</t>
  </si>
  <si>
    <t>NOTE: CSA Databases totals do not equal the sum of the totals given for each database above because the CSA databases total includes searches of CSA's "Web Resources" databases and other "extras."</t>
  </si>
  <si>
    <t>Searches Run</t>
  </si>
  <si>
    <t>Unique studies downloaded</t>
  </si>
  <si>
    <t>Regional Business News (statewide database trial)</t>
  </si>
  <si>
    <t>EMBASE</t>
  </si>
  <si>
    <t>Gender Watch</t>
  </si>
  <si>
    <t>EBSCOhost databases (all)</t>
  </si>
  <si>
    <t>Greenwood Press</t>
  </si>
  <si>
    <t>Mental Measurements Yearbook*</t>
  </si>
  <si>
    <t>CQ Researcher*</t>
  </si>
  <si>
    <t>Unique datasets downloaded</t>
  </si>
  <si>
    <t>Registrations</t>
  </si>
  <si>
    <t>CSA</t>
  </si>
  <si>
    <t>Music Index Online, The</t>
  </si>
  <si>
    <t># of Purchases</t>
  </si>
  <si>
    <t>KCDL Online</t>
  </si>
  <si>
    <t>Elsevier</t>
  </si>
  <si>
    <t>Ovid MEDLINE (free)</t>
  </si>
  <si>
    <t>Captures</t>
  </si>
  <si>
    <t>LexisNexis Academic</t>
  </si>
  <si>
    <t>Primary Search (free)</t>
  </si>
  <si>
    <t>Gateway to the Middle Ages</t>
  </si>
  <si>
    <t>Library Literature &amp; Information Science Retrospective*</t>
  </si>
  <si>
    <t>Los Angeles Times</t>
  </si>
  <si>
    <t>JSTOR Databases</t>
  </si>
  <si>
    <t>Total Records Printed</t>
  </si>
  <si>
    <t>Biography Index Retrospective</t>
  </si>
  <si>
    <t>Reference USA (U.S. Residential)</t>
  </si>
  <si>
    <t>TOPICsearch (statewide database trial)</t>
  </si>
  <si>
    <t>FSTA Food Science &amp; Technology Abstracts</t>
  </si>
  <si>
    <t>Time in database</t>
  </si>
  <si>
    <t>ProQuest databases</t>
  </si>
  <si>
    <t>Total Records Purchased</t>
  </si>
  <si>
    <t>Education Index Retrospective*</t>
  </si>
  <si>
    <t>Physical Education Index</t>
  </si>
  <si>
    <t>Sociological Abstracts</t>
  </si>
  <si>
    <t>New References</t>
  </si>
  <si>
    <t>No of Views</t>
  </si>
  <si>
    <t># of Searches</t>
  </si>
  <si>
    <t>Compendex (EI)</t>
  </si>
  <si>
    <t>EMBASE.COM</t>
  </si>
  <si>
    <t>Attempts</t>
  </si>
  <si>
    <t>ReferenceUSA (all databases)</t>
  </si>
  <si>
    <t>PAIS International</t>
  </si>
  <si>
    <t>Total studies downloaded</t>
  </si>
  <si>
    <t>2010-2011 price</t>
  </si>
  <si>
    <t>Access fee only.</t>
  </si>
  <si>
    <t>Encyclopedia of Ocean Sciences, second ed.</t>
  </si>
  <si>
    <t>Minutes</t>
  </si>
</sst>
</file>

<file path=xl/styles.xml><?xml version="1.0" encoding="utf-8"?>
<styleSheet xmlns="http://schemas.openxmlformats.org/spreadsheetml/2006/main">
  <numFmts count="4">
    <numFmt numFmtId="164" formatCode="&quot;$&quot;#,##0.00"/>
    <numFmt numFmtId="165" formatCode="#,##0.###############"/>
    <numFmt numFmtId="166" formatCode="mmm\-yy;@"/>
    <numFmt numFmtId="167" formatCode="&quot;$&quot;#,##0.00;[Red]&quot;$&quot;\(#,##0.00\);&quot;$&quot;@"/>
  </numFmts>
  <fonts count="13">
    <font>
      <sz val="10"/>
      <name val="Arial"/>
      <family val="2"/>
    </font>
    <font>
      <b/>
      <sz val="16"/>
      <color indexed="8"/>
      <name val="arial,sans-serif"/>
      <family val="2"/>
    </font>
    <font>
      <sz val="10"/>
      <color indexed="8"/>
      <name val="arial,sans-serif"/>
      <family val="2"/>
    </font>
    <font>
      <b/>
      <sz val="10"/>
      <color indexed="8"/>
      <name val="arial,sans-serif"/>
      <family val="2"/>
    </font>
    <font>
      <b/>
      <sz val="14"/>
      <color indexed="8"/>
      <name val="arial,sans-serif"/>
      <family val="2"/>
    </font>
    <font>
      <b/>
      <sz val="10"/>
      <name val="Arial"/>
      <family val="2"/>
    </font>
    <font>
      <b/>
      <sz val="10"/>
      <color indexed="8"/>
      <name val="MS Sans Serif"/>
      <family val="2"/>
    </font>
    <font>
      <b/>
      <sz val="10"/>
      <color indexed="8"/>
      <name val="Arial"/>
      <family val="2"/>
    </font>
    <font>
      <sz val="10"/>
      <color indexed="8"/>
      <name val="Arial"/>
      <family val="2"/>
    </font>
    <font>
      <sz val="10"/>
      <color indexed="15"/>
      <name val="arial,sans-serif"/>
      <family val="2"/>
    </font>
    <font>
      <sz val="10"/>
      <name val="arial,sans-serif"/>
      <family val="2"/>
    </font>
    <font>
      <b/>
      <sz val="14"/>
      <name val="Arial"/>
      <family val="2"/>
    </font>
    <font>
      <sz val="10"/>
      <color indexed="8"/>
      <name val="Courier New"/>
      <family val="2"/>
    </font>
  </fonts>
  <fills count="5">
    <fill>
      <patternFill patternType="none"/>
    </fill>
    <fill>
      <patternFill patternType="gray125"/>
    </fill>
    <fill>
      <patternFill patternType="solid">
        <fgColor indexed="12"/>
        <bgColor indexed="64"/>
      </patternFill>
    </fill>
    <fill>
      <patternFill patternType="solid">
        <fgColor indexed="22"/>
        <bgColor indexed="64"/>
      </patternFill>
    </fill>
    <fill>
      <patternFill patternType="solid">
        <fgColor indexed="34"/>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194">
    <xf numFmtId="0" fontId="0" fillId="0" borderId="0" xfId="0">
      <alignment vertical="center"/>
    </xf>
    <xf numFmtId="0" fontId="1" fillId="0" borderId="0" xfId="0" applyNumberFormat="1" applyFont="1" applyFill="1" applyAlignment="1"/>
    <xf numFmtId="0" fontId="2" fillId="0" borderId="0" xfId="0" applyNumberFormat="1" applyFont="1" applyFill="1" applyAlignment="1"/>
    <xf numFmtId="0" fontId="2" fillId="0" borderId="0" xfId="0" applyNumberFormat="1" applyFont="1" applyFill="1" applyAlignment="1">
      <alignment horizontal="right"/>
    </xf>
    <xf numFmtId="0" fontId="0" fillId="0" borderId="0" xfId="0" applyNumberFormat="1" applyFont="1" applyFill="1" applyAlignment="1">
      <alignment horizontal="right" wrapText="1"/>
    </xf>
    <xf numFmtId="0" fontId="2" fillId="0" borderId="1" xfId="0" applyNumberFormat="1" applyFont="1" applyFill="1" applyBorder="1" applyAlignment="1"/>
    <xf numFmtId="0" fontId="0" fillId="0" borderId="1" xfId="0" applyNumberFormat="1" applyFont="1" applyFill="1" applyBorder="1" applyAlignment="1">
      <alignment wrapText="1"/>
    </xf>
    <xf numFmtId="0" fontId="0" fillId="0" borderId="1" xfId="0" applyNumberFormat="1" applyFont="1" applyFill="1" applyBorder="1" applyAlignment="1">
      <alignment horizontal="right" wrapText="1"/>
    </xf>
    <xf numFmtId="0" fontId="2" fillId="0" borderId="1" xfId="0" applyNumberFormat="1" applyFont="1" applyFill="1" applyBorder="1" applyAlignment="1">
      <alignment horizontal="right"/>
    </xf>
    <xf numFmtId="0" fontId="3" fillId="0" borderId="2" xfId="0" applyNumberFormat="1" applyFont="1" applyFill="1" applyBorder="1" applyAlignment="1">
      <alignment horizontal="center" wrapText="1"/>
    </xf>
    <xf numFmtId="0" fontId="2" fillId="0" borderId="3" xfId="0" applyNumberFormat="1" applyFont="1" applyFill="1" applyBorder="1" applyAlignment="1"/>
    <xf numFmtId="0" fontId="2" fillId="0" borderId="2" xfId="0" applyNumberFormat="1" applyFont="1" applyFill="1" applyBorder="1" applyAlignment="1">
      <alignment vertical="top" wrapText="1"/>
    </xf>
    <xf numFmtId="0" fontId="2" fillId="0" borderId="2" xfId="0" applyNumberFormat="1" applyFont="1" applyFill="1" applyBorder="1" applyAlignment="1">
      <alignment wrapText="1"/>
    </xf>
    <xf numFmtId="0" fontId="2" fillId="0" borderId="2" xfId="0" applyNumberFormat="1" applyFont="1" applyFill="1" applyBorder="1" applyAlignment="1">
      <alignment horizontal="right" wrapText="1"/>
    </xf>
    <xf numFmtId="3" fontId="2" fillId="0" borderId="2" xfId="0" applyNumberFormat="1" applyFont="1" applyFill="1" applyBorder="1" applyAlignment="1">
      <alignment horizontal="right" wrapText="1"/>
    </xf>
    <xf numFmtId="0" fontId="2" fillId="2" borderId="2" xfId="0" applyNumberFormat="1" applyFont="1" applyFill="1" applyBorder="1" applyAlignment="1">
      <alignment horizontal="right" wrapText="1"/>
    </xf>
    <xf numFmtId="0" fontId="2" fillId="0" borderId="2" xfId="0" applyNumberFormat="1" applyFont="1" applyFill="1" applyBorder="1" applyAlignment="1">
      <alignment horizontal="right" vertical="top" wrapText="1"/>
    </xf>
    <xf numFmtId="164" fontId="2" fillId="0" borderId="2" xfId="0" applyNumberFormat="1" applyFont="1" applyFill="1" applyBorder="1" applyAlignment="1">
      <alignment horizontal="right" wrapText="1"/>
    </xf>
    <xf numFmtId="0" fontId="0" fillId="0" borderId="3" xfId="0" applyNumberFormat="1" applyFont="1" applyFill="1" applyBorder="1" applyAlignment="1">
      <alignment wrapText="1"/>
    </xf>
    <xf numFmtId="0" fontId="2" fillId="0" borderId="2" xfId="0" applyNumberFormat="1" applyFont="1" applyFill="1" applyBorder="1" applyAlignment="1">
      <alignment horizontal="right"/>
    </xf>
    <xf numFmtId="3" fontId="2" fillId="0" borderId="2" xfId="0" applyNumberFormat="1" applyFont="1" applyFill="1" applyBorder="1" applyAlignment="1">
      <alignment horizontal="right"/>
    </xf>
    <xf numFmtId="0" fontId="2" fillId="2" borderId="2" xfId="0" applyNumberFormat="1" applyFont="1" applyFill="1" applyBorder="1" applyAlignment="1">
      <alignment horizontal="right"/>
    </xf>
    <xf numFmtId="164" fontId="2" fillId="0" borderId="2" xfId="0" applyNumberFormat="1" applyFont="1" applyFill="1" applyBorder="1" applyAlignment="1">
      <alignment horizontal="right"/>
    </xf>
    <xf numFmtId="164" fontId="2" fillId="0" borderId="2" xfId="0" applyNumberFormat="1" applyFont="1" applyFill="1" applyBorder="1" applyAlignment="1">
      <alignment horizontal="right" vertical="top" wrapText="1"/>
    </xf>
    <xf numFmtId="3" fontId="2" fillId="0" borderId="2" xfId="0" applyNumberFormat="1" applyFont="1" applyFill="1" applyBorder="1" applyAlignment="1">
      <alignment horizontal="right" vertical="top" wrapText="1"/>
    </xf>
    <xf numFmtId="0" fontId="2" fillId="2" borderId="2" xfId="0" applyNumberFormat="1" applyFont="1" applyFill="1" applyBorder="1" applyAlignment="1">
      <alignment horizontal="right" vertical="top" wrapText="1"/>
    </xf>
    <xf numFmtId="165" fontId="2" fillId="0" borderId="2" xfId="0" applyNumberFormat="1" applyFont="1" applyFill="1" applyBorder="1" applyAlignment="1">
      <alignment horizontal="right" vertical="top" wrapText="1"/>
    </xf>
    <xf numFmtId="164" fontId="2" fillId="0" borderId="4" xfId="0" applyNumberFormat="1" applyFont="1" applyFill="1" applyBorder="1" applyAlignment="1">
      <alignment horizontal="right" vertical="top" wrapText="1"/>
    </xf>
    <xf numFmtId="0" fontId="2" fillId="0" borderId="4" xfId="0" applyNumberFormat="1" applyFont="1" applyFill="1" applyBorder="1" applyAlignment="1">
      <alignment vertical="top" wrapText="1"/>
    </xf>
    <xf numFmtId="0" fontId="2" fillId="0" borderId="4" xfId="0" applyNumberFormat="1" applyFont="1" applyFill="1" applyBorder="1" applyAlignment="1">
      <alignment horizontal="right" vertical="top" wrapText="1"/>
    </xf>
    <xf numFmtId="0" fontId="2" fillId="2" borderId="4" xfId="0" applyNumberFormat="1" applyFont="1" applyFill="1" applyBorder="1" applyAlignment="1">
      <alignment horizontal="right" vertical="top" wrapText="1"/>
    </xf>
    <xf numFmtId="164" fontId="2" fillId="0" borderId="5" xfId="0" applyNumberFormat="1" applyFont="1" applyFill="1" applyBorder="1" applyAlignment="1">
      <alignment horizontal="right" vertical="top" wrapText="1"/>
    </xf>
    <xf numFmtId="0" fontId="2" fillId="0" borderId="5" xfId="0" applyNumberFormat="1" applyFont="1" applyFill="1" applyBorder="1" applyAlignment="1">
      <alignment vertical="top" wrapText="1"/>
    </xf>
    <xf numFmtId="3" fontId="2" fillId="0" borderId="5" xfId="0" applyNumberFormat="1" applyFont="1" applyFill="1" applyBorder="1" applyAlignment="1">
      <alignment horizontal="right" vertical="top" wrapText="1"/>
    </xf>
    <xf numFmtId="0" fontId="2" fillId="2" borderId="5" xfId="0" applyNumberFormat="1" applyFont="1" applyFill="1" applyBorder="1" applyAlignment="1">
      <alignment horizontal="right" vertical="top" wrapText="1"/>
    </xf>
    <xf numFmtId="0" fontId="2" fillId="0" borderId="5" xfId="0" applyNumberFormat="1" applyFont="1" applyFill="1" applyBorder="1" applyAlignment="1">
      <alignment horizontal="right" vertical="top" wrapText="1"/>
    </xf>
    <xf numFmtId="3" fontId="2" fillId="2" borderId="2" xfId="0" applyNumberFormat="1" applyFont="1" applyFill="1" applyBorder="1" applyAlignment="1">
      <alignment horizontal="right" vertical="top" wrapText="1"/>
    </xf>
    <xf numFmtId="1" fontId="2" fillId="0" borderId="2" xfId="0" applyNumberFormat="1" applyFont="1" applyFill="1" applyBorder="1" applyAlignment="1">
      <alignment horizontal="right" vertical="top" wrapText="1"/>
    </xf>
    <xf numFmtId="165" fontId="2" fillId="0" borderId="2" xfId="0" applyNumberFormat="1" applyFont="1" applyFill="1" applyBorder="1" applyAlignment="1">
      <alignment horizontal="right" wrapText="1"/>
    </xf>
    <xf numFmtId="0" fontId="2" fillId="0" borderId="2" xfId="0" applyNumberFormat="1" applyFont="1" applyFill="1" applyBorder="1" applyAlignment="1"/>
    <xf numFmtId="0" fontId="0" fillId="0" borderId="2" xfId="0" applyNumberFormat="1" applyFont="1" applyFill="1" applyBorder="1" applyAlignment="1">
      <alignment wrapText="1"/>
    </xf>
    <xf numFmtId="0" fontId="0" fillId="0" borderId="2" xfId="0" applyNumberFormat="1" applyFont="1" applyFill="1" applyBorder="1" applyAlignment="1">
      <alignment horizontal="right" wrapText="1"/>
    </xf>
    <xf numFmtId="0" fontId="2" fillId="0" borderId="6" xfId="0" applyNumberFormat="1" applyFont="1" applyFill="1" applyBorder="1" applyAlignment="1"/>
    <xf numFmtId="0" fontId="0" fillId="0" borderId="7" xfId="0" applyNumberFormat="1" applyFont="1" applyFill="1" applyBorder="1" applyAlignment="1">
      <alignment wrapText="1"/>
    </xf>
    <xf numFmtId="0" fontId="0" fillId="0" borderId="7" xfId="0" applyNumberFormat="1" applyFont="1" applyFill="1" applyBorder="1" applyAlignment="1">
      <alignment horizontal="right" wrapText="1"/>
    </xf>
    <xf numFmtId="0" fontId="2" fillId="0" borderId="8" xfId="0" applyNumberFormat="1" applyFont="1" applyFill="1" applyBorder="1" applyAlignment="1">
      <alignment horizontal="right"/>
    </xf>
    <xf numFmtId="0" fontId="2" fillId="0" borderId="6" xfId="0" applyNumberFormat="1" applyFont="1" applyFill="1" applyBorder="1" applyAlignment="1">
      <alignment horizontal="right"/>
    </xf>
    <xf numFmtId="0" fontId="2" fillId="0" borderId="7" xfId="0" applyNumberFormat="1" applyFont="1" applyFill="1" applyBorder="1" applyAlignment="1">
      <alignment horizontal="right"/>
    </xf>
    <xf numFmtId="0" fontId="4" fillId="0" borderId="0" xfId="0" applyNumberFormat="1" applyFont="1" applyFill="1" applyAlignment="1"/>
    <xf numFmtId="0" fontId="0" fillId="0" borderId="0" xfId="0" applyNumberFormat="1" applyFont="1" applyFill="1" applyAlignment="1">
      <alignment wrapText="1"/>
    </xf>
    <xf numFmtId="0" fontId="5" fillId="0" borderId="9" xfId="0" applyNumberFormat="1" applyFont="1" applyFill="1" applyBorder="1" applyAlignment="1">
      <alignment wrapText="1"/>
    </xf>
    <xf numFmtId="0" fontId="5" fillId="0" borderId="9" xfId="0" applyNumberFormat="1" applyFont="1" applyFill="1" applyBorder="1" applyAlignment="1">
      <alignment horizontal="center" wrapText="1"/>
    </xf>
    <xf numFmtId="0" fontId="5" fillId="0" borderId="7" xfId="0" applyNumberFormat="1" applyFont="1" applyFill="1" applyBorder="1" applyAlignment="1">
      <alignment wrapText="1"/>
    </xf>
    <xf numFmtId="0" fontId="0" fillId="0" borderId="9" xfId="0" applyNumberFormat="1" applyFont="1" applyFill="1" applyBorder="1" applyAlignment="1">
      <alignment wrapText="1"/>
    </xf>
    <xf numFmtId="0" fontId="0" fillId="0" borderId="10" xfId="0" applyNumberFormat="1" applyFont="1" applyFill="1" applyBorder="1" applyAlignment="1">
      <alignment wrapText="1"/>
    </xf>
    <xf numFmtId="0" fontId="0" fillId="3" borderId="2" xfId="0" applyNumberFormat="1" applyFont="1" applyFill="1" applyBorder="1" applyAlignment="1">
      <alignment wrapText="1"/>
    </xf>
    <xf numFmtId="164" fontId="0" fillId="0" borderId="3" xfId="0" applyNumberFormat="1" applyFont="1" applyFill="1" applyBorder="1" applyAlignment="1">
      <alignment wrapText="1"/>
    </xf>
    <xf numFmtId="164" fontId="0" fillId="0" borderId="0" xfId="0" applyNumberFormat="1" applyFont="1" applyFill="1" applyAlignment="1">
      <alignment wrapText="1"/>
    </xf>
    <xf numFmtId="0" fontId="6" fillId="0" borderId="9" xfId="0" applyNumberFormat="1" applyFont="1" applyFill="1" applyBorder="1" applyAlignment="1">
      <alignment horizontal="center" vertical="top" wrapText="1"/>
    </xf>
    <xf numFmtId="166" fontId="3" fillId="0" borderId="9" xfId="0" applyNumberFormat="1" applyFont="1" applyFill="1" applyBorder="1" applyAlignment="1">
      <alignment horizontal="center" wrapText="1"/>
    </xf>
    <xf numFmtId="0" fontId="3" fillId="0" borderId="9" xfId="0" applyNumberFormat="1" applyFont="1" applyFill="1" applyBorder="1" applyAlignment="1">
      <alignment horizontal="center" wrapText="1"/>
    </xf>
    <xf numFmtId="0" fontId="3" fillId="0" borderId="9" xfId="0" applyNumberFormat="1" applyFont="1" applyFill="1" applyBorder="1" applyAlignment="1">
      <alignment wrapText="1"/>
    </xf>
    <xf numFmtId="165" fontId="0" fillId="0" borderId="2" xfId="0" applyNumberFormat="1" applyFont="1" applyFill="1" applyBorder="1" applyAlignment="1">
      <alignment wrapText="1"/>
    </xf>
    <xf numFmtId="165" fontId="0" fillId="3" borderId="2" xfId="0" applyNumberFormat="1" applyFont="1" applyFill="1" applyBorder="1" applyAlignment="1">
      <alignment wrapText="1"/>
    </xf>
    <xf numFmtId="164" fontId="0" fillId="0" borderId="2" xfId="0" applyNumberFormat="1" applyFont="1" applyFill="1" applyBorder="1" applyAlignment="1">
      <alignment wrapText="1"/>
    </xf>
    <xf numFmtId="0" fontId="5" fillId="0" borderId="0" xfId="0" applyNumberFormat="1" applyFont="1" applyFill="1" applyAlignment="1">
      <alignment wrapText="1"/>
    </xf>
    <xf numFmtId="0" fontId="5" fillId="0" borderId="0" xfId="0" applyNumberFormat="1" applyFont="1" applyFill="1" applyAlignment="1">
      <alignment vertical="top" wrapText="1"/>
    </xf>
    <xf numFmtId="0" fontId="3" fillId="0" borderId="7" xfId="0" applyNumberFormat="1" applyFont="1" applyFill="1" applyBorder="1" applyAlignment="1"/>
    <xf numFmtId="0" fontId="2" fillId="0" borderId="9" xfId="0" applyNumberFormat="1" applyFont="1" applyFill="1" applyBorder="1" applyAlignment="1">
      <alignment vertical="top"/>
    </xf>
    <xf numFmtId="0" fontId="2" fillId="0" borderId="9" xfId="0" applyNumberFormat="1" applyFont="1" applyFill="1" applyBorder="1" applyAlignment="1">
      <alignment vertical="top" wrapText="1"/>
    </xf>
    <xf numFmtId="164" fontId="2" fillId="0" borderId="7" xfId="0" applyNumberFormat="1" applyFont="1" applyFill="1" applyBorder="1" applyAlignment="1"/>
    <xf numFmtId="0" fontId="2" fillId="0" borderId="10" xfId="0" applyNumberFormat="1" applyFont="1" applyFill="1" applyBorder="1" applyAlignment="1"/>
    <xf numFmtId="3" fontId="2" fillId="0" borderId="2" xfId="0" applyNumberFormat="1" applyFont="1" applyFill="1" applyBorder="1" applyAlignment="1"/>
    <xf numFmtId="3" fontId="2" fillId="3" borderId="2" xfId="0" applyNumberFormat="1" applyFont="1" applyFill="1" applyBorder="1" applyAlignment="1"/>
    <xf numFmtId="164" fontId="2" fillId="0" borderId="3" xfId="0" applyNumberFormat="1" applyFont="1" applyFill="1" applyBorder="1" applyAlignment="1"/>
    <xf numFmtId="164" fontId="2" fillId="0" borderId="0" xfId="0" applyNumberFormat="1" applyFont="1" applyFill="1" applyAlignment="1"/>
    <xf numFmtId="164" fontId="2" fillId="0" borderId="0" xfId="0" applyNumberFormat="1" applyFont="1" applyFill="1" applyAlignment="1">
      <alignment horizontal="right"/>
    </xf>
    <xf numFmtId="0" fontId="2" fillId="0" borderId="10" xfId="0" applyNumberFormat="1" applyFont="1" applyFill="1" applyBorder="1" applyAlignment="1">
      <alignment horizontal="left" vertical="top"/>
    </xf>
    <xf numFmtId="0" fontId="0" fillId="0" borderId="2" xfId="0" applyNumberFormat="1" applyFont="1" applyFill="1" applyBorder="1" applyAlignment="1">
      <alignment horizontal="right" vertical="top" wrapText="1"/>
    </xf>
    <xf numFmtId="0" fontId="0" fillId="0" borderId="2" xfId="0" applyNumberFormat="1" applyFont="1" applyFill="1" applyBorder="1" applyAlignment="1">
      <alignment horizontal="right" vertical="top"/>
    </xf>
    <xf numFmtId="3" fontId="2" fillId="3" borderId="2" xfId="0" applyNumberFormat="1" applyFont="1" applyFill="1" applyBorder="1" applyAlignment="1">
      <alignment horizontal="left" vertical="top"/>
    </xf>
    <xf numFmtId="4" fontId="2" fillId="0" borderId="0" xfId="0" applyNumberFormat="1" applyFont="1" applyFill="1" applyAlignment="1"/>
    <xf numFmtId="0" fontId="2" fillId="0" borderId="7" xfId="0" applyNumberFormat="1" applyFont="1" applyFill="1" applyBorder="1" applyAlignment="1"/>
    <xf numFmtId="0" fontId="0" fillId="0" borderId="0" xfId="0" applyNumberFormat="1" applyFont="1" applyFill="1" applyAlignment="1">
      <alignment horizontal="left" wrapText="1"/>
    </xf>
    <xf numFmtId="0" fontId="3" fillId="0" borderId="0" xfId="0" applyNumberFormat="1" applyFont="1" applyFill="1" applyAlignment="1"/>
    <xf numFmtId="0" fontId="3" fillId="0" borderId="1" xfId="0" applyNumberFormat="1" applyFont="1" applyFill="1" applyBorder="1" applyAlignment="1"/>
    <xf numFmtId="0" fontId="2" fillId="0" borderId="1" xfId="0" applyNumberFormat="1" applyFont="1" applyFill="1" applyBorder="1" applyAlignment="1">
      <alignment vertical="top"/>
    </xf>
    <xf numFmtId="3" fontId="2" fillId="0" borderId="7" xfId="0" applyNumberFormat="1" applyFont="1" applyFill="1" applyBorder="1" applyAlignment="1">
      <alignment horizontal="right" vertical="top" wrapText="1"/>
    </xf>
    <xf numFmtId="3" fontId="2" fillId="0" borderId="7" xfId="0" applyNumberFormat="1" applyFont="1" applyFill="1" applyBorder="1" applyAlignment="1"/>
    <xf numFmtId="3" fontId="2" fillId="0" borderId="1" xfId="0" applyNumberFormat="1" applyFont="1" applyFill="1" applyBorder="1" applyAlignment="1">
      <alignment horizontal="right" vertical="top" wrapText="1"/>
    </xf>
    <xf numFmtId="3" fontId="2" fillId="0" borderId="1" xfId="0" applyNumberFormat="1" applyFont="1" applyFill="1" applyBorder="1" applyAlignment="1"/>
    <xf numFmtId="164" fontId="2" fillId="0" borderId="1" xfId="0" applyNumberFormat="1" applyFont="1" applyFill="1" applyBorder="1" applyAlignment="1"/>
    <xf numFmtId="0" fontId="7" fillId="0" borderId="7" xfId="0" applyNumberFormat="1" applyFont="1" applyFill="1" applyBorder="1" applyAlignment="1">
      <alignment wrapText="1"/>
    </xf>
    <xf numFmtId="0" fontId="2" fillId="0" borderId="9" xfId="0" applyNumberFormat="1" applyFont="1" applyFill="1" applyBorder="1" applyAlignment="1">
      <alignment wrapText="1"/>
    </xf>
    <xf numFmtId="0" fontId="2" fillId="0" borderId="7" xfId="0" applyNumberFormat="1" applyFont="1" applyFill="1" applyBorder="1" applyAlignment="1">
      <alignment wrapText="1"/>
    </xf>
    <xf numFmtId="0" fontId="8" fillId="0" borderId="0" xfId="0" applyNumberFormat="1" applyFont="1" applyFill="1" applyAlignment="1">
      <alignment wrapText="1"/>
    </xf>
    <xf numFmtId="0" fontId="2" fillId="0" borderId="0" xfId="0" applyNumberFormat="1" applyFont="1" applyFill="1" applyAlignment="1">
      <alignment wrapText="1"/>
    </xf>
    <xf numFmtId="0" fontId="8" fillId="0" borderId="1" xfId="0" applyNumberFormat="1" applyFont="1" applyFill="1" applyBorder="1" applyAlignment="1">
      <alignment wrapText="1"/>
    </xf>
    <xf numFmtId="0" fontId="2" fillId="0" borderId="1" xfId="0" applyNumberFormat="1" applyFont="1" applyFill="1" applyBorder="1" applyAlignment="1">
      <alignment wrapText="1"/>
    </xf>
    <xf numFmtId="0" fontId="10" fillId="0" borderId="1" xfId="0" applyNumberFormat="1" applyFont="1" applyFill="1" applyBorder="1" applyAlignment="1"/>
    <xf numFmtId="3" fontId="10" fillId="0" borderId="1" xfId="0" applyNumberFormat="1" applyFont="1" applyFill="1" applyBorder="1" applyAlignment="1">
      <alignment horizontal="right" vertical="top" wrapText="1"/>
    </xf>
    <xf numFmtId="0" fontId="10" fillId="0" borderId="0" xfId="0" applyNumberFormat="1" applyFont="1" applyFill="1" applyAlignment="1"/>
    <xf numFmtId="3" fontId="10" fillId="0" borderId="7" xfId="0" applyNumberFormat="1" applyFont="1" applyFill="1" applyBorder="1" applyAlignment="1">
      <alignment horizontal="right" vertical="top" wrapText="1"/>
    </xf>
    <xf numFmtId="164" fontId="2" fillId="0" borderId="1" xfId="0" applyNumberFormat="1" applyFont="1" applyFill="1" applyBorder="1" applyAlignment="1">
      <alignment horizontal="right"/>
    </xf>
    <xf numFmtId="164" fontId="2" fillId="0" borderId="7" xfId="0" applyNumberFormat="1" applyFont="1" applyFill="1" applyBorder="1" applyAlignment="1">
      <alignment horizontal="right"/>
    </xf>
    <xf numFmtId="3" fontId="2" fillId="0" borderId="9" xfId="0" applyNumberFormat="1" applyFont="1" applyFill="1" applyBorder="1" applyAlignment="1">
      <alignment horizontal="right" vertical="top" wrapText="1"/>
    </xf>
    <xf numFmtId="3" fontId="2" fillId="0" borderId="9" xfId="0" applyNumberFormat="1" applyFont="1" applyFill="1" applyBorder="1" applyAlignment="1"/>
    <xf numFmtId="0" fontId="6" fillId="0" borderId="1" xfId="0" applyNumberFormat="1" applyFont="1" applyFill="1" applyBorder="1" applyAlignment="1">
      <alignment horizontal="center" vertical="top" wrapText="1"/>
    </xf>
    <xf numFmtId="166" fontId="3" fillId="0" borderId="1" xfId="0" applyNumberFormat="1" applyFont="1" applyFill="1" applyBorder="1" applyAlignment="1">
      <alignment horizontal="center" wrapText="1"/>
    </xf>
    <xf numFmtId="0" fontId="3" fillId="0" borderId="1" xfId="0" applyNumberFormat="1" applyFont="1" applyFill="1" applyBorder="1" applyAlignment="1">
      <alignment horizontal="center" wrapText="1"/>
    </xf>
    <xf numFmtId="0" fontId="3" fillId="0" borderId="1" xfId="0" applyNumberFormat="1" applyFont="1" applyFill="1" applyBorder="1" applyAlignment="1">
      <alignment wrapText="1"/>
    </xf>
    <xf numFmtId="0" fontId="2" fillId="0" borderId="11" xfId="0" applyNumberFormat="1" applyFont="1" applyFill="1" applyBorder="1" applyAlignment="1"/>
    <xf numFmtId="164" fontId="2" fillId="0" borderId="12" xfId="0" applyNumberFormat="1" applyFont="1" applyFill="1" applyBorder="1" applyAlignment="1"/>
    <xf numFmtId="165" fontId="2" fillId="0" borderId="2" xfId="0" applyNumberFormat="1" applyFont="1" applyFill="1" applyBorder="1" applyAlignment="1">
      <alignment wrapText="1"/>
    </xf>
    <xf numFmtId="0" fontId="2" fillId="0" borderId="0" xfId="0" applyNumberFormat="1" applyFont="1" applyFill="1" applyAlignment="1">
      <alignment horizontal="left" vertical="top" wrapText="1"/>
    </xf>
    <xf numFmtId="0" fontId="3" fillId="0" borderId="7" xfId="0" applyNumberFormat="1" applyFont="1" applyFill="1" applyBorder="1" applyAlignment="1">
      <alignment wrapText="1"/>
    </xf>
    <xf numFmtId="164" fontId="2" fillId="0" borderId="3" xfId="0" applyNumberFormat="1" applyFont="1" applyFill="1" applyBorder="1" applyAlignment="1">
      <alignment horizontal="right"/>
    </xf>
    <xf numFmtId="3" fontId="2" fillId="3" borderId="4" xfId="0" applyNumberFormat="1" applyFont="1" applyFill="1" applyBorder="1" applyAlignment="1"/>
    <xf numFmtId="3" fontId="2" fillId="0" borderId="12" xfId="0" applyNumberFormat="1" applyFont="1" applyFill="1" applyBorder="1" applyAlignment="1"/>
    <xf numFmtId="166" fontId="3" fillId="0" borderId="2" xfId="0" applyNumberFormat="1" applyFont="1" applyFill="1" applyBorder="1" applyAlignment="1">
      <alignment horizontal="center" wrapText="1"/>
    </xf>
    <xf numFmtId="166" fontId="3" fillId="0" borderId="14" xfId="0" applyNumberFormat="1" applyFont="1" applyFill="1" applyBorder="1" applyAlignment="1">
      <alignment horizontal="center" wrapText="1"/>
    </xf>
    <xf numFmtId="1" fontId="2" fillId="0" borderId="9" xfId="0" applyNumberFormat="1" applyFont="1" applyFill="1" applyBorder="1" applyAlignment="1"/>
    <xf numFmtId="0" fontId="2" fillId="0" borderId="1" xfId="0" applyNumberFormat="1" applyFont="1" applyFill="1" applyBorder="1" applyAlignment="1">
      <alignment horizontal="right" vertical="top" wrapText="1"/>
    </xf>
    <xf numFmtId="3" fontId="2" fillId="0" borderId="1" xfId="0" applyNumberFormat="1" applyFont="1" applyFill="1" applyBorder="1" applyAlignment="1">
      <alignment horizontal="right" wrapText="1"/>
    </xf>
    <xf numFmtId="0" fontId="2" fillId="0" borderId="7" xfId="0" applyNumberFormat="1" applyFont="1" applyFill="1" applyBorder="1" applyAlignment="1">
      <alignment horizontal="right" vertical="top" wrapText="1"/>
    </xf>
    <xf numFmtId="3" fontId="2" fillId="0" borderId="7" xfId="0" applyNumberFormat="1" applyFont="1" applyFill="1" applyBorder="1" applyAlignment="1">
      <alignment horizontal="right" wrapText="1"/>
    </xf>
    <xf numFmtId="3" fontId="2" fillId="0" borderId="1" xfId="0" applyNumberFormat="1" applyFont="1" applyFill="1" applyBorder="1" applyAlignment="1">
      <alignment horizontal="right"/>
    </xf>
    <xf numFmtId="1" fontId="2" fillId="0" borderId="1" xfId="0" applyNumberFormat="1" applyFont="1" applyFill="1" applyBorder="1" applyAlignment="1"/>
    <xf numFmtId="1" fontId="2" fillId="0" borderId="7" xfId="0" applyNumberFormat="1" applyFont="1" applyFill="1" applyBorder="1" applyAlignment="1"/>
    <xf numFmtId="0" fontId="2" fillId="3" borderId="2" xfId="0" applyNumberFormat="1" applyFont="1" applyFill="1" applyBorder="1" applyAlignment="1"/>
    <xf numFmtId="3" fontId="2" fillId="0" borderId="7" xfId="0" applyNumberFormat="1" applyFont="1" applyFill="1" applyBorder="1" applyAlignment="1">
      <alignment wrapText="1"/>
    </xf>
    <xf numFmtId="3" fontId="2" fillId="0" borderId="7" xfId="0" applyNumberFormat="1" applyFont="1" applyFill="1" applyBorder="1" applyAlignment="1">
      <alignment horizontal="right"/>
    </xf>
    <xf numFmtId="1" fontId="2" fillId="0" borderId="0" xfId="0" applyNumberFormat="1" applyFont="1" applyFill="1" applyAlignment="1"/>
    <xf numFmtId="0" fontId="2" fillId="0" borderId="10" xfId="0" applyNumberFormat="1" applyFont="1" applyFill="1" applyBorder="1" applyAlignment="1">
      <alignment wrapText="1"/>
    </xf>
    <xf numFmtId="3" fontId="2" fillId="3" borderId="2" xfId="0" applyNumberFormat="1" applyFont="1" applyFill="1" applyBorder="1" applyAlignment="1">
      <alignment vertical="center"/>
    </xf>
    <xf numFmtId="0" fontId="2" fillId="0" borderId="0" xfId="0" applyNumberFormat="1" applyFont="1" applyFill="1" applyAlignment="1">
      <alignment vertical="top"/>
    </xf>
    <xf numFmtId="0" fontId="2" fillId="0" borderId="0" xfId="0" applyNumberFormat="1" applyFont="1" applyFill="1" applyAlignment="1">
      <alignment horizontal="left"/>
    </xf>
    <xf numFmtId="3" fontId="2" fillId="0" borderId="0" xfId="0" applyNumberFormat="1" applyFont="1" applyFill="1" applyAlignment="1">
      <alignment horizontal="right"/>
    </xf>
    <xf numFmtId="3" fontId="2" fillId="3" borderId="0" xfId="0" applyNumberFormat="1" applyFont="1" applyFill="1" applyAlignment="1"/>
    <xf numFmtId="0" fontId="11" fillId="0" borderId="0" xfId="0" applyNumberFormat="1" applyFont="1" applyFill="1" applyAlignment="1">
      <alignment wrapText="1"/>
    </xf>
    <xf numFmtId="164" fontId="2" fillId="4" borderId="3" xfId="0" applyNumberFormat="1" applyFont="1" applyFill="1" applyBorder="1" applyAlignment="1"/>
    <xf numFmtId="3" fontId="2" fillId="0" borderId="0" xfId="0" applyNumberFormat="1" applyFont="1" applyFill="1" applyAlignment="1">
      <alignment wrapText="1"/>
    </xf>
    <xf numFmtId="3" fontId="2" fillId="0" borderId="0" xfId="0" applyNumberFormat="1" applyFont="1" applyFill="1" applyAlignment="1"/>
    <xf numFmtId="1" fontId="2" fillId="3" borderId="2" xfId="0" applyNumberFormat="1" applyFont="1" applyFill="1" applyBorder="1" applyAlignment="1"/>
    <xf numFmtId="0" fontId="0" fillId="4" borderId="3" xfId="0" applyNumberFormat="1" applyFont="1" applyFill="1" applyBorder="1" applyAlignment="1">
      <alignment wrapText="1"/>
    </xf>
    <xf numFmtId="0" fontId="0" fillId="3" borderId="2" xfId="0" applyNumberFormat="1" applyFont="1" applyFill="1" applyBorder="1" applyAlignment="1">
      <alignment horizontal="right" wrapText="1"/>
    </xf>
    <xf numFmtId="164" fontId="0" fillId="4" borderId="3" xfId="0" applyNumberFormat="1" applyFont="1" applyFill="1" applyBorder="1" applyAlignment="1">
      <alignment wrapText="1"/>
    </xf>
    <xf numFmtId="0" fontId="6" fillId="0" borderId="14" xfId="0" applyNumberFormat="1" applyFont="1" applyFill="1" applyBorder="1" applyAlignment="1">
      <alignment horizontal="center" vertical="top" wrapText="1"/>
    </xf>
    <xf numFmtId="0" fontId="2" fillId="0" borderId="9" xfId="0" applyNumberFormat="1" applyFont="1" applyFill="1" applyBorder="1" applyAlignment="1"/>
    <xf numFmtId="3" fontId="2" fillId="0" borderId="4" xfId="0" applyNumberFormat="1" applyFont="1" applyFill="1" applyBorder="1" applyAlignment="1">
      <alignment horizontal="right" vertical="top" wrapText="1"/>
    </xf>
    <xf numFmtId="166" fontId="2" fillId="0" borderId="2" xfId="0" applyNumberFormat="1" applyFont="1" applyFill="1" applyBorder="1" applyAlignment="1">
      <alignment horizontal="right" wrapText="1"/>
    </xf>
    <xf numFmtId="3" fontId="2" fillId="0" borderId="0" xfId="0" applyNumberFormat="1" applyFont="1" applyFill="1" applyAlignment="1">
      <alignment horizontal="right" vertical="top" wrapText="1"/>
    </xf>
    <xf numFmtId="0" fontId="3" fillId="0" borderId="0" xfId="0" applyNumberFormat="1" applyFont="1" applyFill="1" applyAlignment="1">
      <alignment wrapText="1"/>
    </xf>
    <xf numFmtId="3" fontId="2" fillId="0" borderId="2" xfId="0" applyNumberFormat="1" applyFont="1" applyFill="1" applyBorder="1" applyAlignment="1">
      <alignment wrapText="1"/>
    </xf>
    <xf numFmtId="0" fontId="3" fillId="0" borderId="10" xfId="0" applyNumberFormat="1" applyFont="1" applyFill="1" applyBorder="1" applyAlignment="1"/>
    <xf numFmtId="3" fontId="3" fillId="3" borderId="2" xfId="0" applyNumberFormat="1" applyFont="1" applyFill="1" applyBorder="1" applyAlignment="1"/>
    <xf numFmtId="3" fontId="2" fillId="2" borderId="2" xfId="0" applyNumberFormat="1" applyFont="1" applyFill="1" applyBorder="1" applyAlignment="1">
      <alignment horizontal="right" wrapText="1"/>
    </xf>
    <xf numFmtId="3" fontId="3" fillId="2" borderId="2" xfId="0" applyNumberFormat="1" applyFont="1" applyFill="1" applyBorder="1" applyAlignment="1">
      <alignment horizontal="right" wrapText="1"/>
    </xf>
    <xf numFmtId="3" fontId="2" fillId="2" borderId="2" xfId="0" applyNumberFormat="1" applyFont="1" applyFill="1" applyBorder="1" applyAlignment="1">
      <alignment wrapText="1"/>
    </xf>
    <xf numFmtId="3" fontId="2" fillId="2" borderId="2" xfId="0" applyNumberFormat="1" applyFont="1" applyFill="1" applyBorder="1" applyAlignment="1"/>
    <xf numFmtId="0" fontId="2" fillId="0" borderId="8" xfId="0" applyNumberFormat="1" applyFont="1" applyFill="1" applyBorder="1" applyAlignment="1"/>
    <xf numFmtId="3" fontId="2" fillId="0" borderId="2" xfId="0" applyNumberFormat="1" applyFont="1" applyFill="1" applyBorder="1" applyAlignment="1">
      <alignment horizontal="right" vertical="top"/>
    </xf>
    <xf numFmtId="167" fontId="2" fillId="0" borderId="2" xfId="0" applyNumberFormat="1" applyFont="1" applyFill="1" applyBorder="1" applyAlignment="1">
      <alignment horizontal="right"/>
    </xf>
    <xf numFmtId="164" fontId="2" fillId="0" borderId="2" xfId="0" applyNumberFormat="1" applyFont="1" applyFill="1" applyBorder="1" applyAlignment="1"/>
    <xf numFmtId="164" fontId="3" fillId="0" borderId="2" xfId="0" applyNumberFormat="1" applyFont="1" applyFill="1" applyBorder="1" applyAlignment="1"/>
    <xf numFmtId="4" fontId="2" fillId="0" borderId="2" xfId="0" applyNumberFormat="1" applyFont="1" applyFill="1" applyBorder="1" applyAlignment="1">
      <alignment horizontal="right" vertical="top"/>
    </xf>
    <xf numFmtId="4" fontId="2" fillId="3" borderId="2" xfId="0" applyNumberFormat="1" applyFont="1" applyFill="1" applyBorder="1" applyAlignment="1"/>
    <xf numFmtId="0" fontId="12" fillId="0" borderId="0" xfId="0" applyNumberFormat="1" applyFont="1" applyFill="1" applyAlignment="1"/>
    <xf numFmtId="0" fontId="6" fillId="0" borderId="7" xfId="0" applyNumberFormat="1" applyFont="1" applyFill="1" applyBorder="1" applyAlignment="1">
      <alignment horizontal="center" vertical="top" wrapText="1"/>
    </xf>
    <xf numFmtId="0" fontId="3" fillId="0" borderId="7" xfId="0" applyNumberFormat="1" applyFont="1" applyFill="1" applyBorder="1" applyAlignment="1">
      <alignment horizontal="center" wrapText="1"/>
    </xf>
    <xf numFmtId="0" fontId="7" fillId="0" borderId="1" xfId="0" applyNumberFormat="1" applyFont="1" applyFill="1" applyBorder="1" applyAlignment="1">
      <alignment wrapText="1"/>
    </xf>
    <xf numFmtId="164" fontId="2" fillId="0" borderId="6" xfId="0" applyNumberFormat="1" applyFont="1" applyFill="1" applyBorder="1" applyAlignment="1"/>
    <xf numFmtId="0" fontId="0" fillId="0" borderId="4" xfId="0" applyNumberFormat="1" applyFont="1" applyFill="1" applyBorder="1" applyAlignment="1">
      <alignment wrapText="1"/>
    </xf>
    <xf numFmtId="0" fontId="2" fillId="0" borderId="4" xfId="0" applyNumberFormat="1" applyFont="1" applyFill="1" applyBorder="1" applyAlignment="1">
      <alignment horizontal="right" wrapText="1"/>
    </xf>
    <xf numFmtId="3" fontId="2" fillId="3" borderId="14" xfId="0" applyNumberFormat="1" applyFont="1" applyFill="1" applyBorder="1" applyAlignment="1"/>
    <xf numFmtId="0" fontId="1" fillId="0" borderId="0" xfId="0" applyNumberFormat="1" applyFont="1" applyFill="1" applyAlignment="1"/>
    <xf numFmtId="0" fontId="2" fillId="0" borderId="0" xfId="0" applyNumberFormat="1" applyFont="1" applyFill="1" applyAlignment="1"/>
    <xf numFmtId="0" fontId="2" fillId="0" borderId="1" xfId="0" applyNumberFormat="1" applyFont="1" applyFill="1" applyBorder="1" applyAlignment="1"/>
    <xf numFmtId="0" fontId="0" fillId="0" borderId="0" xfId="0">
      <alignment vertical="center"/>
    </xf>
    <xf numFmtId="0" fontId="5" fillId="0" borderId="7" xfId="0" applyNumberFormat="1" applyFont="1" applyFill="1" applyBorder="1" applyAlignment="1">
      <alignment wrapText="1"/>
    </xf>
    <xf numFmtId="0" fontId="0" fillId="0" borderId="9" xfId="0" applyNumberFormat="1" applyFont="1" applyFill="1" applyBorder="1" applyAlignment="1">
      <alignment wrapText="1"/>
    </xf>
    <xf numFmtId="0" fontId="0" fillId="0" borderId="0" xfId="0" applyNumberFormat="1" applyFont="1" applyFill="1" applyAlignment="1">
      <alignment wrapText="1"/>
    </xf>
    <xf numFmtId="0" fontId="4" fillId="0" borderId="0" xfId="0" applyNumberFormat="1" applyFont="1" applyFill="1" applyAlignment="1"/>
    <xf numFmtId="0" fontId="3" fillId="0" borderId="7" xfId="0" applyNumberFormat="1" applyFont="1" applyFill="1" applyBorder="1" applyAlignment="1"/>
    <xf numFmtId="166" fontId="3" fillId="0" borderId="9" xfId="0" applyNumberFormat="1" applyFont="1" applyFill="1" applyBorder="1" applyAlignment="1">
      <alignment horizontal="center" wrapText="1"/>
    </xf>
    <xf numFmtId="0" fontId="9" fillId="0" borderId="0" xfId="0" applyNumberFormat="1" applyFont="1" applyFill="1" applyAlignment="1"/>
    <xf numFmtId="3" fontId="9" fillId="0" borderId="7" xfId="0" applyNumberFormat="1" applyFont="1" applyFill="1" applyBorder="1" applyAlignment="1">
      <alignment horizontal="right" vertical="top" wrapText="1"/>
    </xf>
    <xf numFmtId="0" fontId="2" fillId="0" borderId="7" xfId="0" applyNumberFormat="1" applyFont="1" applyFill="1" applyBorder="1" applyAlignment="1">
      <alignment horizontal="left" vertical="top" wrapText="1"/>
    </xf>
    <xf numFmtId="0" fontId="0" fillId="0" borderId="7" xfId="0" applyNumberFormat="1" applyFont="1" applyFill="1" applyBorder="1" applyAlignment="1">
      <alignment wrapText="1"/>
    </xf>
    <xf numFmtId="166" fontId="3" fillId="0" borderId="13" xfId="0" applyNumberFormat="1" applyFont="1" applyFill="1" applyBorder="1" applyAlignment="1">
      <alignment horizontal="center" wrapText="1"/>
    </xf>
    <xf numFmtId="166" fontId="3" fillId="0" borderId="7" xfId="0" applyNumberFormat="1" applyFont="1" applyFill="1" applyBorder="1" applyAlignment="1">
      <alignment horizontal="center" wrapText="1"/>
    </xf>
    <xf numFmtId="164" fontId="2" fillId="0" borderId="7" xfId="0" applyNumberFormat="1" applyFont="1" applyFill="1" applyBorder="1" applyAlignment="1">
      <alignment horizontal="left"/>
    </xf>
    <xf numFmtId="0" fontId="11" fillId="0" borderId="0" xfId="0" applyNumberFormat="1" applyFont="1" applyFill="1" applyAlignment="1">
      <alignment wrapText="1"/>
    </xf>
    <xf numFmtId="164" fontId="2" fillId="0" borderId="7" xfId="0" applyNumberFormat="1" applyFont="1" applyFill="1" applyBorder="1" applyAlignme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C0C0C0"/>
      <rgbColor rgb="00FF6600"/>
      <rgbColor rgb="0099CCFF"/>
      <rgbColor rgb="00DDDDDD"/>
      <rgbColor rgb="00FFFF00"/>
      <rgbColor rgb="00FFFFFF"/>
      <rgbColor rgb="00FF0000"/>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7"/>
  <sheetViews>
    <sheetView tabSelected="1" zoomScaleNormal="100" workbookViewId="0">
      <pane ySplit="5" topLeftCell="A6" activePane="bottomLeft" state="frozen"/>
      <selection pane="bottomLeft" activeCell="A6" sqref="A6"/>
    </sheetView>
  </sheetViews>
  <sheetFormatPr defaultColWidth="9.140625" defaultRowHeight="12.75" customHeight="1"/>
  <cols>
    <col min="1" max="1" width="44.42578125" customWidth="1"/>
    <col min="2" max="2" width="15.7109375" customWidth="1"/>
    <col min="3" max="3" width="5" customWidth="1"/>
    <col min="4" max="4" width="9" customWidth="1"/>
    <col min="5" max="5" width="9.42578125" customWidth="1"/>
    <col min="6" max="6" width="7.5703125" customWidth="1"/>
    <col min="7" max="7" width="6.140625" customWidth="1"/>
    <col min="8" max="8" width="10.85546875" customWidth="1"/>
    <col min="9" max="9" width="12.28515625" customWidth="1"/>
    <col min="10" max="10" width="10.5703125" customWidth="1"/>
    <col min="11" max="11" width="7" customWidth="1"/>
    <col min="12" max="12" width="9.140625" customWidth="1"/>
  </cols>
  <sheetData>
    <row r="1" spans="1:12" ht="20.25">
      <c r="A1" s="175" t="s">
        <v>188</v>
      </c>
      <c r="B1" s="176"/>
      <c r="C1" s="2"/>
      <c r="D1" s="3"/>
      <c r="E1" s="3"/>
      <c r="F1" s="3"/>
      <c r="G1" s="3"/>
      <c r="H1" s="3"/>
      <c r="I1" s="3"/>
      <c r="J1" s="3"/>
      <c r="K1" s="3"/>
      <c r="L1" s="2"/>
    </row>
    <row r="2" spans="1:12" ht="20.25">
      <c r="A2" s="1" t="s">
        <v>279</v>
      </c>
      <c r="B2" s="2"/>
      <c r="C2" s="2"/>
      <c r="D2" s="3"/>
      <c r="E2" s="3"/>
      <c r="F2" s="3"/>
      <c r="G2" s="3"/>
      <c r="H2" s="3"/>
      <c r="I2" s="3"/>
      <c r="J2" s="3"/>
      <c r="K2" s="3"/>
      <c r="L2" s="2"/>
    </row>
    <row r="3" spans="1:12">
      <c r="A3" s="2"/>
      <c r="B3" s="2"/>
      <c r="D3" s="4"/>
      <c r="E3" s="3"/>
      <c r="F3" s="3"/>
      <c r="G3" s="3"/>
      <c r="H3" s="3"/>
      <c r="I3" s="3"/>
      <c r="J3" s="3"/>
      <c r="K3" s="3"/>
    </row>
    <row r="4" spans="1:12">
      <c r="A4" s="177" t="s">
        <v>9</v>
      </c>
      <c r="B4" s="177"/>
      <c r="C4" s="6"/>
      <c r="D4" s="7"/>
      <c r="E4" s="8"/>
      <c r="F4" s="8"/>
      <c r="G4" s="8"/>
      <c r="H4" s="8"/>
      <c r="I4" s="8"/>
      <c r="J4" s="8"/>
      <c r="K4" s="8"/>
    </row>
    <row r="5" spans="1:12" ht="76.5">
      <c r="A5" s="9" t="s">
        <v>244</v>
      </c>
      <c r="B5" s="9" t="s">
        <v>32</v>
      </c>
      <c r="C5" s="9" t="s">
        <v>48</v>
      </c>
      <c r="D5" s="9" t="s">
        <v>257</v>
      </c>
      <c r="E5" s="9" t="s">
        <v>208</v>
      </c>
      <c r="F5" s="9" t="s">
        <v>22</v>
      </c>
      <c r="G5" s="9" t="s">
        <v>68</v>
      </c>
      <c r="H5" s="9" t="s">
        <v>228</v>
      </c>
      <c r="I5" s="9" t="s">
        <v>220</v>
      </c>
      <c r="J5" s="9" t="s">
        <v>130</v>
      </c>
      <c r="K5" s="9" t="s">
        <v>65</v>
      </c>
      <c r="L5" s="10"/>
    </row>
    <row r="6" spans="1:12">
      <c r="A6" s="11" t="s">
        <v>183</v>
      </c>
      <c r="B6" s="11" t="s">
        <v>56</v>
      </c>
      <c r="C6" s="12" t="s">
        <v>192</v>
      </c>
      <c r="D6" s="13">
        <f>ProQuest!N9</f>
        <v>4004</v>
      </c>
      <c r="E6" s="14">
        <f>ProQuest!N8</f>
        <v>11634</v>
      </c>
      <c r="F6" s="15"/>
      <c r="G6" s="13"/>
      <c r="H6" s="13">
        <v>0</v>
      </c>
      <c r="I6" s="16" t="s">
        <v>231</v>
      </c>
      <c r="J6" s="17">
        <v>6440</v>
      </c>
      <c r="K6" s="17" t="s">
        <v>231</v>
      </c>
      <c r="L6" s="18"/>
    </row>
    <row r="7" spans="1:12">
      <c r="A7" s="11" t="s">
        <v>43</v>
      </c>
      <c r="B7" s="11" t="s">
        <v>56</v>
      </c>
      <c r="C7" s="12" t="s">
        <v>192</v>
      </c>
      <c r="D7" s="19">
        <f>ProQuest!N15</f>
        <v>5554</v>
      </c>
      <c r="E7" s="20">
        <f>ProQuest!N14</f>
        <v>17551</v>
      </c>
      <c r="F7" s="21"/>
      <c r="G7" s="19"/>
      <c r="H7" s="19">
        <v>0</v>
      </c>
      <c r="I7" s="16" t="s">
        <v>231</v>
      </c>
      <c r="J7" s="22">
        <v>6440</v>
      </c>
      <c r="K7" s="23">
        <f>J7/E7</f>
        <v>0.36693065922169676</v>
      </c>
      <c r="L7" s="18"/>
    </row>
    <row r="8" spans="1:12">
      <c r="A8" s="11" t="s">
        <v>102</v>
      </c>
      <c r="B8" s="11" t="s">
        <v>56</v>
      </c>
      <c r="C8" s="11" t="s">
        <v>192</v>
      </c>
      <c r="D8" s="16">
        <f>ProQuest!N21</f>
        <v>4013</v>
      </c>
      <c r="E8" s="24">
        <f>ProQuest!N20</f>
        <v>12029</v>
      </c>
      <c r="F8" s="25"/>
      <c r="G8" s="16"/>
      <c r="H8" s="16">
        <v>0</v>
      </c>
      <c r="I8" s="16" t="s">
        <v>231</v>
      </c>
      <c r="J8" s="23">
        <v>6440</v>
      </c>
      <c r="K8" s="23" t="s">
        <v>231</v>
      </c>
      <c r="L8" s="18"/>
    </row>
    <row r="9" spans="1:12" ht="25.5">
      <c r="A9" s="11" t="s">
        <v>359</v>
      </c>
      <c r="B9" s="11" t="s">
        <v>249</v>
      </c>
      <c r="C9" s="11" t="s">
        <v>192</v>
      </c>
      <c r="D9" s="26">
        <f>EBSCOhost!N8</f>
        <v>57015</v>
      </c>
      <c r="E9" s="26">
        <f>EBSCOhost!N9</f>
        <v>186507</v>
      </c>
      <c r="F9" s="25"/>
      <c r="G9" s="16"/>
      <c r="H9" s="16">
        <v>0</v>
      </c>
      <c r="I9" s="16" t="s">
        <v>231</v>
      </c>
      <c r="J9" s="23">
        <v>0</v>
      </c>
      <c r="K9" s="16" t="s">
        <v>231</v>
      </c>
      <c r="L9" s="18"/>
    </row>
    <row r="10" spans="1:12">
      <c r="A10" s="11" t="s">
        <v>229</v>
      </c>
      <c r="B10" s="11" t="s">
        <v>249</v>
      </c>
      <c r="C10" s="11" t="s">
        <v>192</v>
      </c>
      <c r="D10" s="24">
        <f>EBSCOhost!N14</f>
        <v>28242</v>
      </c>
      <c r="E10" s="24">
        <f>EBSCOhost!N15</f>
        <v>48546</v>
      </c>
      <c r="F10" s="25"/>
      <c r="G10" s="16"/>
      <c r="H10" s="16">
        <v>0</v>
      </c>
      <c r="I10" s="24" t="s">
        <v>231</v>
      </c>
      <c r="J10" s="23">
        <v>21582</v>
      </c>
      <c r="K10" s="23">
        <f>J10/E10</f>
        <v>0.44456803856136445</v>
      </c>
      <c r="L10" s="18"/>
    </row>
    <row r="11" spans="1:12">
      <c r="A11" s="12" t="s">
        <v>52</v>
      </c>
      <c r="B11" s="12" t="s">
        <v>157</v>
      </c>
      <c r="C11" s="12" t="s">
        <v>151</v>
      </c>
      <c r="D11" s="13">
        <f>'ALA Guide to Reference'!N8</f>
        <v>11</v>
      </c>
      <c r="E11" s="13" t="s">
        <v>231</v>
      </c>
      <c r="F11" s="15"/>
      <c r="G11" s="13"/>
      <c r="H11" s="13" t="s">
        <v>231</v>
      </c>
      <c r="I11" s="13" t="s">
        <v>231</v>
      </c>
      <c r="J11" s="17">
        <v>1238</v>
      </c>
      <c r="K11" s="13" t="s">
        <v>231</v>
      </c>
      <c r="L11" s="18"/>
    </row>
    <row r="12" spans="1:12">
      <c r="A12" s="11" t="s">
        <v>352</v>
      </c>
      <c r="B12" s="11" t="s">
        <v>367</v>
      </c>
      <c r="C12" s="11" t="s">
        <v>192</v>
      </c>
      <c r="D12" s="16" t="s">
        <v>231</v>
      </c>
      <c r="E12" s="24">
        <f>FirstSearch!N8</f>
        <v>0</v>
      </c>
      <c r="F12" s="25"/>
      <c r="G12" s="16"/>
      <c r="H12" s="16">
        <v>0</v>
      </c>
      <c r="I12" s="16" t="s">
        <v>231</v>
      </c>
      <c r="J12" s="27" t="s">
        <v>231</v>
      </c>
      <c r="K12" s="27" t="s">
        <v>231</v>
      </c>
      <c r="L12" s="10"/>
    </row>
    <row r="13" spans="1:12">
      <c r="A13" s="11" t="s">
        <v>147</v>
      </c>
      <c r="B13" s="28" t="s">
        <v>367</v>
      </c>
      <c r="C13" s="28" t="s">
        <v>192</v>
      </c>
      <c r="D13" s="29" t="s">
        <v>231</v>
      </c>
      <c r="E13" s="29">
        <f>FirstSearch!N13</f>
        <v>0</v>
      </c>
      <c r="F13" s="30"/>
      <c r="G13" s="29"/>
      <c r="H13" s="29">
        <v>0</v>
      </c>
      <c r="I13" s="29" t="s">
        <v>231</v>
      </c>
      <c r="J13" s="31" t="s">
        <v>231</v>
      </c>
      <c r="K13" s="31" t="s">
        <v>231</v>
      </c>
      <c r="L13" s="10"/>
    </row>
    <row r="14" spans="1:12">
      <c r="A14" s="11" t="s">
        <v>51</v>
      </c>
      <c r="B14" s="32" t="s">
        <v>249</v>
      </c>
      <c r="C14" s="32" t="s">
        <v>192</v>
      </c>
      <c r="D14" s="33">
        <f>EBSCOhost!N20</f>
        <v>2255</v>
      </c>
      <c r="E14" s="33">
        <f>EBSCOhost!N21</f>
        <v>10227</v>
      </c>
      <c r="F14" s="34"/>
      <c r="G14" s="35"/>
      <c r="H14" s="35">
        <v>0</v>
      </c>
      <c r="I14" s="35" t="s">
        <v>231</v>
      </c>
      <c r="J14" s="23">
        <v>8117</v>
      </c>
      <c r="K14" s="23">
        <f>J14/E14</f>
        <v>0.79368338711254527</v>
      </c>
      <c r="L14" s="18"/>
    </row>
    <row r="15" spans="1:12" ht="25.5">
      <c r="A15" s="11" t="s">
        <v>143</v>
      </c>
      <c r="B15" s="11" t="s">
        <v>289</v>
      </c>
      <c r="C15" s="11" t="s">
        <v>252</v>
      </c>
      <c r="D15" s="16" t="s">
        <v>231</v>
      </c>
      <c r="E15" s="16">
        <f>Newsbank!N8</f>
        <v>12</v>
      </c>
      <c r="F15" s="25"/>
      <c r="G15" s="16"/>
      <c r="H15" s="16">
        <v>0</v>
      </c>
      <c r="I15" s="16" t="s">
        <v>231</v>
      </c>
      <c r="J15" s="23">
        <v>583.33000000000004</v>
      </c>
      <c r="K15" s="23" t="s">
        <v>231</v>
      </c>
      <c r="L15" s="18"/>
    </row>
    <row r="16" spans="1:12" ht="25.5">
      <c r="A16" s="11" t="s">
        <v>82</v>
      </c>
      <c r="B16" s="11" t="s">
        <v>379</v>
      </c>
      <c r="C16" s="11" t="s">
        <v>252</v>
      </c>
      <c r="D16" s="24">
        <f>Greenwood!N9</f>
        <v>9</v>
      </c>
      <c r="E16" s="24">
        <f>Greenwood!N8</f>
        <v>0</v>
      </c>
      <c r="F16" s="25"/>
      <c r="G16" s="16"/>
      <c r="H16" s="16">
        <v>0</v>
      </c>
      <c r="I16" s="16" t="s">
        <v>231</v>
      </c>
      <c r="J16" s="23">
        <v>239</v>
      </c>
      <c r="K16" s="23" t="s">
        <v>231</v>
      </c>
      <c r="L16" s="18"/>
    </row>
    <row r="17" spans="1:12" ht="25.5">
      <c r="A17" s="11" t="s">
        <v>119</v>
      </c>
      <c r="B17" s="11" t="s">
        <v>232</v>
      </c>
      <c r="C17" s="11" t="s">
        <v>252</v>
      </c>
      <c r="D17" s="24">
        <f>WilsonWeb!N8</f>
        <v>602</v>
      </c>
      <c r="E17" s="24">
        <f>WilsonWeb!N9</f>
        <v>2678</v>
      </c>
      <c r="F17" s="36"/>
      <c r="G17" s="24"/>
      <c r="H17" s="24" t="str">
        <f>WilsonWeb!N11</f>
        <v>N/A</v>
      </c>
      <c r="I17" s="16" t="s">
        <v>231</v>
      </c>
      <c r="J17" s="23">
        <v>6480</v>
      </c>
      <c r="K17" s="23">
        <f>J17/E17</f>
        <v>2.4197162061239732</v>
      </c>
      <c r="L17" s="18"/>
    </row>
    <row r="18" spans="1:12" ht="25.5">
      <c r="A18" s="11" t="s">
        <v>96</v>
      </c>
      <c r="B18" s="11" t="s">
        <v>232</v>
      </c>
      <c r="C18" s="11" t="s">
        <v>252</v>
      </c>
      <c r="D18" s="24">
        <f>WilsonWeb!N16</f>
        <v>169</v>
      </c>
      <c r="E18" s="24">
        <f>WilsonWeb!N17</f>
        <v>530</v>
      </c>
      <c r="F18" s="36"/>
      <c r="G18" s="24"/>
      <c r="H18" s="24">
        <f>WilsonWeb!N18</f>
        <v>10</v>
      </c>
      <c r="I18" s="16" t="s">
        <v>231</v>
      </c>
      <c r="J18" s="23">
        <v>581</v>
      </c>
      <c r="K18" s="23">
        <f>J18/E18</f>
        <v>1.0962264150943397</v>
      </c>
      <c r="L18" s="18"/>
    </row>
    <row r="19" spans="1:12">
      <c r="A19" s="11" t="s">
        <v>325</v>
      </c>
      <c r="B19" s="11" t="s">
        <v>367</v>
      </c>
      <c r="C19" s="11" t="s">
        <v>192</v>
      </c>
      <c r="D19" s="24">
        <f>FirstSearch!N18</f>
        <v>1097</v>
      </c>
      <c r="E19" s="24">
        <f>FirstSearch!N19</f>
        <v>4977</v>
      </c>
      <c r="F19" s="25"/>
      <c r="G19" s="16"/>
      <c r="H19" s="37">
        <f>FirstSearch!N21</f>
        <v>31</v>
      </c>
      <c r="I19" s="16" t="s">
        <v>231</v>
      </c>
      <c r="J19" s="23">
        <v>0</v>
      </c>
      <c r="K19" s="23" t="s">
        <v>231</v>
      </c>
      <c r="L19" s="18"/>
    </row>
    <row r="20" spans="1:12">
      <c r="A20" s="12" t="s">
        <v>224</v>
      </c>
      <c r="B20" s="12" t="s">
        <v>246</v>
      </c>
      <c r="C20" s="12" t="s">
        <v>151</v>
      </c>
      <c r="D20" s="38">
        <f>ARTstor!N9</f>
        <v>2602</v>
      </c>
      <c r="E20" s="38" t="s">
        <v>231</v>
      </c>
      <c r="F20" s="15"/>
      <c r="G20" s="13"/>
      <c r="H20" s="13" t="s">
        <v>231</v>
      </c>
      <c r="I20" s="13" t="s">
        <v>231</v>
      </c>
      <c r="J20" s="17">
        <v>13432.5</v>
      </c>
      <c r="K20" s="23" t="s">
        <v>231</v>
      </c>
      <c r="L20" s="18"/>
    </row>
    <row r="21" spans="1:12" ht="25.5">
      <c r="A21" s="11" t="s">
        <v>37</v>
      </c>
      <c r="B21" s="11" t="s">
        <v>384</v>
      </c>
      <c r="C21" s="12" t="s">
        <v>242</v>
      </c>
      <c r="D21" s="19" t="s">
        <v>231</v>
      </c>
      <c r="E21" s="24">
        <f>CSA!N13</f>
        <v>1988</v>
      </c>
      <c r="F21" s="36"/>
      <c r="G21" s="24"/>
      <c r="H21" s="24">
        <v>0</v>
      </c>
      <c r="I21" s="16" t="s">
        <v>231</v>
      </c>
      <c r="J21" s="23">
        <v>1377.5</v>
      </c>
      <c r="K21" s="23">
        <f t="shared" ref="K21:K26" si="0">J21/E21</f>
        <v>0.69290744466800802</v>
      </c>
      <c r="L21" s="18"/>
    </row>
    <row r="22" spans="1:12" ht="25.5">
      <c r="A22" s="11" t="s">
        <v>125</v>
      </c>
      <c r="B22" s="11" t="s">
        <v>384</v>
      </c>
      <c r="C22" s="12" t="s">
        <v>242</v>
      </c>
      <c r="D22" s="19" t="s">
        <v>231</v>
      </c>
      <c r="E22" s="24">
        <f>CSA!N18</f>
        <v>972</v>
      </c>
      <c r="F22" s="36"/>
      <c r="G22" s="24"/>
      <c r="H22" s="24">
        <v>0</v>
      </c>
      <c r="I22" s="16" t="s">
        <v>231</v>
      </c>
      <c r="J22" s="23">
        <v>1377.5</v>
      </c>
      <c r="K22" s="23">
        <f t="shared" si="0"/>
        <v>1.4171810699588476</v>
      </c>
      <c r="L22" s="18"/>
    </row>
    <row r="23" spans="1:12" ht="25.5">
      <c r="A23" s="11" t="s">
        <v>350</v>
      </c>
      <c r="B23" s="11" t="s">
        <v>384</v>
      </c>
      <c r="C23" s="12" t="s">
        <v>242</v>
      </c>
      <c r="D23" s="19" t="s">
        <v>231</v>
      </c>
      <c r="E23" s="24">
        <f>CSA!N23</f>
        <v>1260</v>
      </c>
      <c r="F23" s="36"/>
      <c r="G23" s="24"/>
      <c r="H23" s="24">
        <v>0</v>
      </c>
      <c r="I23" s="16" t="s">
        <v>231</v>
      </c>
      <c r="J23" s="23">
        <v>1377.5</v>
      </c>
      <c r="K23" s="23">
        <f t="shared" si="0"/>
        <v>1.0932539682539681</v>
      </c>
      <c r="L23" s="18"/>
    </row>
    <row r="24" spans="1:12" ht="25.5">
      <c r="A24" s="11" t="s">
        <v>281</v>
      </c>
      <c r="B24" s="11" t="s">
        <v>384</v>
      </c>
      <c r="C24" s="12" t="s">
        <v>242</v>
      </c>
      <c r="D24" s="19" t="s">
        <v>231</v>
      </c>
      <c r="E24" s="24">
        <f>CSA!N28</f>
        <v>1437</v>
      </c>
      <c r="F24" s="36"/>
      <c r="G24" s="24"/>
      <c r="H24" s="24">
        <v>0</v>
      </c>
      <c r="I24" s="16" t="s">
        <v>231</v>
      </c>
      <c r="J24" s="23">
        <v>1377.5</v>
      </c>
      <c r="K24" s="23">
        <f t="shared" si="0"/>
        <v>0.9585942936673626</v>
      </c>
      <c r="L24" s="18"/>
    </row>
    <row r="25" spans="1:12" ht="25.5">
      <c r="A25" s="11" t="s">
        <v>267</v>
      </c>
      <c r="B25" s="11" t="s">
        <v>384</v>
      </c>
      <c r="C25" s="12" t="s">
        <v>242</v>
      </c>
      <c r="D25" s="19" t="s">
        <v>231</v>
      </c>
      <c r="E25" s="24">
        <f>CSA!N33</f>
        <v>1158</v>
      </c>
      <c r="F25" s="36"/>
      <c r="G25" s="24"/>
      <c r="H25" s="24">
        <v>0</v>
      </c>
      <c r="I25" s="16" t="s">
        <v>231</v>
      </c>
      <c r="J25" s="23">
        <v>1377.5</v>
      </c>
      <c r="K25" s="23">
        <f t="shared" si="0"/>
        <v>1.1895509499136443</v>
      </c>
      <c r="L25" s="18"/>
    </row>
    <row r="26" spans="1:12" ht="25.5">
      <c r="A26" s="11" t="s">
        <v>335</v>
      </c>
      <c r="B26" s="11" t="s">
        <v>384</v>
      </c>
      <c r="C26" s="12" t="s">
        <v>242</v>
      </c>
      <c r="D26" s="19" t="s">
        <v>231</v>
      </c>
      <c r="E26" s="24">
        <f>CSA!N8</f>
        <v>5663</v>
      </c>
      <c r="F26" s="36"/>
      <c r="G26" s="24"/>
      <c r="H26" s="24">
        <v>0</v>
      </c>
      <c r="I26" s="16" t="s">
        <v>231</v>
      </c>
      <c r="J26" s="23">
        <v>1377.5</v>
      </c>
      <c r="K26" s="23">
        <f t="shared" si="0"/>
        <v>0.24324562952498677</v>
      </c>
      <c r="L26" s="18"/>
    </row>
    <row r="27" spans="1:12" ht="25.5">
      <c r="A27" s="11" t="s">
        <v>179</v>
      </c>
      <c r="B27" s="11" t="s">
        <v>384</v>
      </c>
      <c r="C27" s="12" t="s">
        <v>242</v>
      </c>
      <c r="D27" s="13" t="s">
        <v>231</v>
      </c>
      <c r="E27" s="16">
        <f>CSA!N38</f>
        <v>0</v>
      </c>
      <c r="F27" s="25"/>
      <c r="G27" s="16"/>
      <c r="H27" s="16" t="s">
        <v>231</v>
      </c>
      <c r="I27" s="16" t="s">
        <v>231</v>
      </c>
      <c r="J27" s="23">
        <v>0</v>
      </c>
      <c r="K27" s="16" t="s">
        <v>231</v>
      </c>
      <c r="L27" s="18"/>
    </row>
    <row r="28" spans="1:12">
      <c r="A28" s="11" t="s">
        <v>250</v>
      </c>
      <c r="B28" s="11" t="s">
        <v>296</v>
      </c>
      <c r="C28" s="12"/>
      <c r="D28" s="13">
        <f>ITER!N8</f>
        <v>0</v>
      </c>
      <c r="E28" s="16">
        <f>ITER!N9</f>
        <v>0</v>
      </c>
      <c r="F28" s="25"/>
      <c r="G28" s="16"/>
      <c r="H28" s="16"/>
      <c r="I28" s="16"/>
      <c r="J28" s="23">
        <v>0</v>
      </c>
      <c r="K28" s="16" t="s">
        <v>231</v>
      </c>
      <c r="L28" s="18"/>
    </row>
    <row r="29" spans="1:12" ht="25.5">
      <c r="A29" s="11" t="s">
        <v>260</v>
      </c>
      <c r="B29" s="11" t="s">
        <v>232</v>
      </c>
      <c r="C29" s="11" t="s">
        <v>252</v>
      </c>
      <c r="D29" s="24" t="s">
        <v>231</v>
      </c>
      <c r="E29" s="24" t="s">
        <v>231</v>
      </c>
      <c r="F29" s="36"/>
      <c r="G29" s="24"/>
      <c r="H29" s="24" t="s">
        <v>231</v>
      </c>
      <c r="I29" s="16" t="s">
        <v>231</v>
      </c>
      <c r="J29" s="23">
        <v>59</v>
      </c>
      <c r="K29" s="23" t="s">
        <v>231</v>
      </c>
      <c r="L29" s="18"/>
    </row>
    <row r="30" spans="1:12" ht="25.5">
      <c r="A30" s="11" t="s">
        <v>217</v>
      </c>
      <c r="B30" s="11" t="s">
        <v>363</v>
      </c>
      <c r="C30" s="11" t="s">
        <v>242</v>
      </c>
      <c r="D30" s="24">
        <f>OVID!N9</f>
        <v>7</v>
      </c>
      <c r="E30" s="24">
        <f>OVID!N8</f>
        <v>17</v>
      </c>
      <c r="F30" s="36"/>
      <c r="G30" s="24"/>
      <c r="H30" s="24">
        <f>OVID!N10</f>
        <v>0</v>
      </c>
      <c r="I30" s="16" t="s">
        <v>231</v>
      </c>
      <c r="J30" s="23">
        <v>0</v>
      </c>
      <c r="K30" s="23" t="s">
        <v>231</v>
      </c>
      <c r="L30" s="18"/>
    </row>
    <row r="31" spans="1:12" ht="25.5">
      <c r="A31" s="11" t="s">
        <v>348</v>
      </c>
      <c r="B31" s="11" t="s">
        <v>232</v>
      </c>
      <c r="C31" s="11" t="s">
        <v>252</v>
      </c>
      <c r="D31" s="24">
        <f>WilsonWeb!N32</f>
        <v>461</v>
      </c>
      <c r="E31" s="24">
        <f>WilsonWeb!N33</f>
        <v>1089</v>
      </c>
      <c r="F31" s="36"/>
      <c r="G31" s="24"/>
      <c r="H31" s="24">
        <f>WilsonWeb!N34</f>
        <v>0</v>
      </c>
      <c r="I31" s="16" t="s">
        <v>231</v>
      </c>
      <c r="J31" s="23">
        <f>WilsonWeb!O33</f>
        <v>0</v>
      </c>
      <c r="K31" s="23">
        <f>WilsonWeb!P33</f>
        <v>0</v>
      </c>
      <c r="L31" s="18"/>
    </row>
    <row r="32" spans="1:12">
      <c r="A32" s="11" t="s">
        <v>115</v>
      </c>
      <c r="B32" s="11" t="s">
        <v>363</v>
      </c>
      <c r="C32" s="11" t="s">
        <v>192</v>
      </c>
      <c r="D32" s="24">
        <f>OVID!N16</f>
        <v>0</v>
      </c>
      <c r="E32" s="24">
        <f>OVID!N15</f>
        <v>0</v>
      </c>
      <c r="F32" s="36"/>
      <c r="G32" s="24"/>
      <c r="H32" s="24">
        <f>OVID!N17</f>
        <v>0</v>
      </c>
      <c r="I32" s="16" t="s">
        <v>231</v>
      </c>
      <c r="J32" s="23">
        <v>0</v>
      </c>
      <c r="K32" s="23" t="s">
        <v>231</v>
      </c>
      <c r="L32" s="18"/>
    </row>
    <row r="33" spans="1:12">
      <c r="A33" s="11" t="s">
        <v>115</v>
      </c>
      <c r="B33" s="11" t="s">
        <v>126</v>
      </c>
      <c r="C33" s="11" t="s">
        <v>192</v>
      </c>
      <c r="D33" s="24">
        <f>WebofScience!N8</f>
        <v>745</v>
      </c>
      <c r="E33" s="24">
        <f>WebofScience!N9</f>
        <v>2989</v>
      </c>
      <c r="F33" s="36"/>
      <c r="G33" s="24"/>
      <c r="H33" s="24">
        <v>0</v>
      </c>
      <c r="I33" s="16" t="s">
        <v>231</v>
      </c>
      <c r="J33" s="23">
        <v>30545</v>
      </c>
      <c r="K33" s="23">
        <f>J33/E33</f>
        <v>10.219136835061894</v>
      </c>
      <c r="L33" s="18"/>
    </row>
    <row r="34" spans="1:12" ht="25.5">
      <c r="A34" s="11" t="s">
        <v>309</v>
      </c>
      <c r="B34" s="11" t="s">
        <v>384</v>
      </c>
      <c r="C34" s="11" t="s">
        <v>242</v>
      </c>
      <c r="D34" s="16" t="s">
        <v>231</v>
      </c>
      <c r="E34" s="16">
        <f>CSA!N43</f>
        <v>0</v>
      </c>
      <c r="F34" s="25"/>
      <c r="G34" s="16"/>
      <c r="H34" s="16">
        <v>0</v>
      </c>
      <c r="I34" s="16" t="s">
        <v>231</v>
      </c>
      <c r="J34" s="23">
        <v>0</v>
      </c>
      <c r="K34" s="16" t="s">
        <v>231</v>
      </c>
      <c r="L34" s="18"/>
    </row>
    <row r="35" spans="1:12" ht="25.5">
      <c r="A35" s="11" t="s">
        <v>91</v>
      </c>
      <c r="B35" s="11" t="s">
        <v>232</v>
      </c>
      <c r="C35" s="11" t="s">
        <v>252</v>
      </c>
      <c r="D35" s="24" t="s">
        <v>231</v>
      </c>
      <c r="E35" s="24" t="s">
        <v>231</v>
      </c>
      <c r="F35" s="36"/>
      <c r="G35" s="24"/>
      <c r="H35" s="24" t="s">
        <v>231</v>
      </c>
      <c r="I35" s="16" t="s">
        <v>231</v>
      </c>
      <c r="J35" s="23">
        <v>96.82</v>
      </c>
      <c r="K35" s="23" t="s">
        <v>231</v>
      </c>
      <c r="L35" s="18"/>
    </row>
    <row r="36" spans="1:12">
      <c r="A36" s="11" t="s">
        <v>117</v>
      </c>
      <c r="B36" s="11" t="s">
        <v>117</v>
      </c>
      <c r="C36" s="11" t="s">
        <v>151</v>
      </c>
      <c r="D36" s="24">
        <f>CIAO!N9</f>
        <v>6</v>
      </c>
      <c r="E36" s="24">
        <f>CIAO!N10</f>
        <v>15</v>
      </c>
      <c r="F36" s="25"/>
      <c r="G36" s="16"/>
      <c r="H36" s="16" t="s">
        <v>231</v>
      </c>
      <c r="I36" s="16">
        <f>CIAO!N8</f>
        <v>6</v>
      </c>
      <c r="J36" s="23">
        <v>1035</v>
      </c>
      <c r="K36" s="23">
        <f>J36/E36</f>
        <v>69</v>
      </c>
      <c r="L36" s="18"/>
    </row>
    <row r="37" spans="1:12">
      <c r="A37" s="11" t="s">
        <v>209</v>
      </c>
      <c r="B37" s="11" t="s">
        <v>249</v>
      </c>
      <c r="C37" s="11" t="s">
        <v>192</v>
      </c>
      <c r="D37" s="24">
        <f>EBSCOhost!N26</f>
        <v>14567</v>
      </c>
      <c r="E37" s="24">
        <f>EBSCOhost!N27</f>
        <v>73212</v>
      </c>
      <c r="F37" s="25"/>
      <c r="G37" s="16"/>
      <c r="H37" s="16">
        <v>0</v>
      </c>
      <c r="I37" s="16" t="s">
        <v>231</v>
      </c>
      <c r="J37" s="23">
        <v>6046</v>
      </c>
      <c r="K37" s="23">
        <f>J37/E37</f>
        <v>8.2582090367699285E-2</v>
      </c>
      <c r="L37" s="18"/>
    </row>
    <row r="38" spans="1:12">
      <c r="A38" s="11" t="s">
        <v>77</v>
      </c>
      <c r="B38" s="11" t="s">
        <v>367</v>
      </c>
      <c r="C38" s="11" t="s">
        <v>192</v>
      </c>
      <c r="D38" s="24">
        <f>FirstSearch!N26</f>
        <v>97</v>
      </c>
      <c r="E38" s="24">
        <f>FirstSearch!N27</f>
        <v>98</v>
      </c>
      <c r="F38" s="25"/>
      <c r="G38" s="16"/>
      <c r="H38" s="37">
        <f>FirstSearch!N29</f>
        <v>1</v>
      </c>
      <c r="I38" s="16" t="s">
        <v>231</v>
      </c>
      <c r="J38" s="23">
        <v>0</v>
      </c>
      <c r="K38" s="23" t="s">
        <v>231</v>
      </c>
      <c r="L38" s="18"/>
    </row>
    <row r="39" spans="1:12" ht="25.5">
      <c r="A39" s="11" t="s">
        <v>320</v>
      </c>
      <c r="B39" s="11" t="s">
        <v>190</v>
      </c>
      <c r="C39" s="11" t="s">
        <v>151</v>
      </c>
      <c r="D39" s="24">
        <f>Cochrane!N8</f>
        <v>97</v>
      </c>
      <c r="E39" s="24">
        <f>Cochrane!N9</f>
        <v>3851</v>
      </c>
      <c r="F39" s="25"/>
      <c r="G39" s="16"/>
      <c r="H39" s="16" t="s">
        <v>231</v>
      </c>
      <c r="I39" s="24" t="s">
        <v>231</v>
      </c>
      <c r="J39" s="23">
        <v>3596</v>
      </c>
      <c r="K39" s="23">
        <f>J39/E39</f>
        <v>0.93378343287457799</v>
      </c>
      <c r="L39" s="18"/>
    </row>
    <row r="40" spans="1:12" ht="25.5">
      <c r="A40" s="11" t="s">
        <v>287</v>
      </c>
      <c r="B40" s="11" t="s">
        <v>384</v>
      </c>
      <c r="C40" s="12" t="s">
        <v>242</v>
      </c>
      <c r="D40" s="13" t="s">
        <v>231</v>
      </c>
      <c r="E40" s="24">
        <f>CSA!N48</f>
        <v>3754</v>
      </c>
      <c r="F40" s="25"/>
      <c r="G40" s="16"/>
      <c r="H40" s="16"/>
      <c r="I40" s="16" t="s">
        <v>231</v>
      </c>
      <c r="J40" s="23">
        <v>2370</v>
      </c>
      <c r="K40" s="23">
        <f>J40/E40</f>
        <v>0.63132658497602556</v>
      </c>
      <c r="L40" s="18"/>
    </row>
    <row r="41" spans="1:12" ht="25.5">
      <c r="A41" s="11" t="s">
        <v>120</v>
      </c>
      <c r="B41" s="11" t="s">
        <v>249</v>
      </c>
      <c r="C41" s="12" t="s">
        <v>242</v>
      </c>
      <c r="D41" s="19">
        <f>EBSCOhost!N32</f>
        <v>2759</v>
      </c>
      <c r="E41" s="24">
        <f>EBSCOhost!N33</f>
        <v>14027</v>
      </c>
      <c r="F41" s="25"/>
      <c r="G41" s="16"/>
      <c r="H41" s="16" t="s">
        <v>15</v>
      </c>
      <c r="I41" s="16" t="s">
        <v>231</v>
      </c>
      <c r="J41" s="23">
        <v>3025</v>
      </c>
      <c r="K41" s="23">
        <f>J41/E41</f>
        <v>0.21565552149426107</v>
      </c>
      <c r="L41" s="18"/>
    </row>
    <row r="42" spans="1:12">
      <c r="A42" s="11" t="s">
        <v>411</v>
      </c>
      <c r="B42" s="11" t="s">
        <v>29</v>
      </c>
      <c r="C42" s="11" t="s">
        <v>192</v>
      </c>
      <c r="D42" s="24">
        <f>'Compendex(EI)'!N8</f>
        <v>1055</v>
      </c>
      <c r="E42" s="24">
        <f>'Compendex(EI)'!N9</f>
        <v>5679</v>
      </c>
      <c r="F42" s="25"/>
      <c r="G42" s="16"/>
      <c r="H42" s="16">
        <f>'Compendex(EI)'!N11</f>
        <v>0</v>
      </c>
      <c r="I42" s="16" t="s">
        <v>231</v>
      </c>
      <c r="J42" s="23">
        <f>'Compendex(EI)'!O9</f>
        <v>17805</v>
      </c>
      <c r="K42" s="23">
        <f>J42/E42</f>
        <v>3.1352350765979926</v>
      </c>
      <c r="L42" s="18"/>
    </row>
    <row r="43" spans="1:12" ht="25.5">
      <c r="A43" s="11" t="s">
        <v>336</v>
      </c>
      <c r="B43" s="11" t="s">
        <v>384</v>
      </c>
      <c r="C43" s="12" t="s">
        <v>242</v>
      </c>
      <c r="D43" s="13" t="s">
        <v>231</v>
      </c>
      <c r="E43" s="24">
        <f>CSA!N53</f>
        <v>0</v>
      </c>
      <c r="F43" s="25"/>
      <c r="G43" s="16"/>
      <c r="H43" s="16"/>
      <c r="I43" s="16" t="s">
        <v>231</v>
      </c>
      <c r="J43" s="23">
        <v>0</v>
      </c>
      <c r="K43" s="23" t="s">
        <v>231</v>
      </c>
      <c r="L43" s="18"/>
    </row>
    <row r="44" spans="1:12">
      <c r="A44" s="11" t="s">
        <v>381</v>
      </c>
      <c r="B44" s="11" t="s">
        <v>100</v>
      </c>
      <c r="C44" s="11" t="s">
        <v>192</v>
      </c>
      <c r="D44" s="24">
        <f>'CQ Researcher'!N8</f>
        <v>1227</v>
      </c>
      <c r="E44" s="24">
        <f>'CQ Researcher'!N9</f>
        <v>1434</v>
      </c>
      <c r="F44" s="25"/>
      <c r="G44" s="16"/>
      <c r="H44" s="16">
        <f>'CQ Researcher'!N11</f>
        <v>0</v>
      </c>
      <c r="I44" s="16">
        <f>'CQ Researcher'!N10</f>
        <v>2235</v>
      </c>
      <c r="J44" s="23">
        <v>1779</v>
      </c>
      <c r="K44" s="23">
        <f>J44/E44</f>
        <v>1.2405857740585775</v>
      </c>
      <c r="L44" s="18"/>
    </row>
    <row r="45" spans="1:12" ht="25.5">
      <c r="A45" s="11" t="s">
        <v>104</v>
      </c>
      <c r="B45" s="11" t="s">
        <v>249</v>
      </c>
      <c r="C45" s="11" t="s">
        <v>242</v>
      </c>
      <c r="D45" s="24">
        <f>EBSCOhost!N38</f>
        <v>1144</v>
      </c>
      <c r="E45" s="24">
        <f>EBSCOhost!N39</f>
        <v>5369</v>
      </c>
      <c r="F45" s="25"/>
      <c r="G45" s="16"/>
      <c r="H45" s="16"/>
      <c r="I45" s="16"/>
      <c r="J45" s="23">
        <v>970</v>
      </c>
      <c r="K45" s="23">
        <f>J45/E45</f>
        <v>0.18066679083628237</v>
      </c>
      <c r="L45" s="18"/>
    </row>
    <row r="46" spans="1:12">
      <c r="A46" s="11" t="s">
        <v>337</v>
      </c>
      <c r="B46" s="11" t="s">
        <v>126</v>
      </c>
      <c r="C46" s="11" t="s">
        <v>192</v>
      </c>
      <c r="D46" s="24">
        <f>WebofScience!N14</f>
        <v>10541</v>
      </c>
      <c r="E46" s="24">
        <f>WebofScience!N15</f>
        <v>8795</v>
      </c>
      <c r="F46" s="25"/>
      <c r="G46" s="16"/>
      <c r="H46" s="16">
        <v>0</v>
      </c>
      <c r="I46" s="16" t="s">
        <v>231</v>
      </c>
      <c r="J46" s="23">
        <v>0</v>
      </c>
      <c r="K46" s="23" t="s">
        <v>231</v>
      </c>
      <c r="L46" s="18"/>
    </row>
    <row r="47" spans="1:12" ht="25.5">
      <c r="A47" s="11" t="s">
        <v>41</v>
      </c>
      <c r="B47" s="11" t="s">
        <v>384</v>
      </c>
      <c r="C47" s="11" t="s">
        <v>242</v>
      </c>
      <c r="D47" s="24">
        <f>CSA!N210</f>
        <v>27661</v>
      </c>
      <c r="E47" s="24">
        <f>CSA!N211</f>
        <v>69346</v>
      </c>
      <c r="F47" s="25"/>
      <c r="G47" s="16"/>
      <c r="H47" s="16">
        <v>0</v>
      </c>
      <c r="I47" s="16" t="s">
        <v>231</v>
      </c>
      <c r="J47" s="23">
        <f>CSA!O211</f>
        <v>0</v>
      </c>
      <c r="K47" s="23">
        <f>CSA!P211</f>
        <v>0</v>
      </c>
      <c r="L47" s="18"/>
    </row>
    <row r="48" spans="1:12">
      <c r="A48" s="11" t="s">
        <v>84</v>
      </c>
      <c r="B48" s="11" t="s">
        <v>56</v>
      </c>
      <c r="C48" s="11" t="s">
        <v>192</v>
      </c>
      <c r="D48" s="16" t="s">
        <v>231</v>
      </c>
      <c r="E48" s="24">
        <f>ProQuest!N26</f>
        <v>12633</v>
      </c>
      <c r="F48" s="25"/>
      <c r="G48" s="16"/>
      <c r="H48" s="16">
        <v>0</v>
      </c>
      <c r="I48" s="16" t="s">
        <v>231</v>
      </c>
      <c r="J48" s="23">
        <v>0</v>
      </c>
      <c r="K48" s="23" t="s">
        <v>231</v>
      </c>
      <c r="L48" s="18"/>
    </row>
    <row r="49" spans="1:12" ht="25.5">
      <c r="A49" s="11" t="s">
        <v>194</v>
      </c>
      <c r="B49" s="11" t="s">
        <v>56</v>
      </c>
      <c r="C49" s="11" t="s">
        <v>192</v>
      </c>
      <c r="D49" s="16">
        <f>ProQuest!N38</f>
        <v>4517</v>
      </c>
      <c r="E49" s="24">
        <f>ProQuest!N37</f>
        <v>12624</v>
      </c>
      <c r="F49" s="25"/>
      <c r="G49" s="16"/>
      <c r="H49" s="16">
        <v>0</v>
      </c>
      <c r="I49" s="16" t="s">
        <v>231</v>
      </c>
      <c r="J49" s="23">
        <v>0</v>
      </c>
      <c r="K49" s="23" t="s">
        <v>231</v>
      </c>
      <c r="L49" s="18"/>
    </row>
    <row r="50" spans="1:12">
      <c r="A50" s="11" t="s">
        <v>83</v>
      </c>
      <c r="B50" s="11" t="s">
        <v>56</v>
      </c>
      <c r="C50" s="11" t="s">
        <v>192</v>
      </c>
      <c r="D50" s="16">
        <f>ProQuest!N32</f>
        <v>4201</v>
      </c>
      <c r="E50" s="24">
        <f>ProQuest!N31</f>
        <v>11772</v>
      </c>
      <c r="F50" s="25"/>
      <c r="G50" s="16"/>
      <c r="H50" s="16">
        <v>0</v>
      </c>
      <c r="I50" s="16" t="s">
        <v>231</v>
      </c>
      <c r="J50" s="23">
        <f>ProQuest!O31</f>
        <v>0</v>
      </c>
      <c r="K50" s="23">
        <f>ProQuest!P31</f>
        <v>0</v>
      </c>
      <c r="L50" s="18"/>
    </row>
    <row r="51" spans="1:12">
      <c r="A51" s="11" t="s">
        <v>149</v>
      </c>
      <c r="B51" s="11" t="s">
        <v>249</v>
      </c>
      <c r="C51" s="11" t="s">
        <v>192</v>
      </c>
      <c r="D51" s="24">
        <f>EBSCOhost!N198</f>
        <v>119436</v>
      </c>
      <c r="E51" s="24">
        <f>EBSCOhost!N199</f>
        <v>519220</v>
      </c>
      <c r="F51" s="25"/>
      <c r="G51" s="16"/>
      <c r="H51" s="16" t="s">
        <v>231</v>
      </c>
      <c r="I51" s="24">
        <f>EBSCOhost!N200</f>
        <v>151930</v>
      </c>
      <c r="J51" s="23" t="str">
        <f>EBSCOhost!O199</f>
        <v>=((((((((((((((((((((((((((((R[-190]C+R[-184]C)+R[-178]C)+R[-172]C)+R[-154]C)+R[-148]C)+R[-142]C)+R[-136]C)+R[-128]C)+R[-122]C)+R[-116]C)+R[-110]C)+R[-104]C)+R[-98]C)+R[-92]C)+R[-86]C)+R[-80]C)+R[-74]C)+R[-68]C)+R[-62]C)+R[-54]C)+R[-48]C)+R[-42]C)+R[-36]C)+{})+R[-30]C)+R[-24]C)+R[-18]C)+R[-12]C)+R[-6]C</v>
      </c>
      <c r="K51" s="23" t="s">
        <v>231</v>
      </c>
      <c r="L51" s="18"/>
    </row>
    <row r="52" spans="1:12" ht="25.5">
      <c r="A52" s="11" t="s">
        <v>8</v>
      </c>
      <c r="B52" s="11" t="s">
        <v>384</v>
      </c>
      <c r="C52" s="12" t="s">
        <v>242</v>
      </c>
      <c r="D52" s="13" t="s">
        <v>231</v>
      </c>
      <c r="E52" s="24">
        <f>CSA!N63</f>
        <v>0</v>
      </c>
      <c r="F52" s="25"/>
      <c r="G52" s="16"/>
      <c r="H52" s="16">
        <v>0</v>
      </c>
      <c r="I52" s="16" t="s">
        <v>231</v>
      </c>
      <c r="J52" s="23">
        <v>0</v>
      </c>
      <c r="K52" s="23" t="s">
        <v>231</v>
      </c>
      <c r="L52" s="18"/>
    </row>
    <row r="53" spans="1:12">
      <c r="A53" s="11" t="s">
        <v>199</v>
      </c>
      <c r="B53" s="11" t="s">
        <v>249</v>
      </c>
      <c r="C53" s="12" t="s">
        <v>192</v>
      </c>
      <c r="D53" s="19">
        <f>EBSCOhost!N44</f>
        <v>1907</v>
      </c>
      <c r="E53" s="24">
        <f>EBSCOhost!N45</f>
        <v>8421</v>
      </c>
      <c r="F53" s="25"/>
      <c r="G53" s="16"/>
      <c r="H53" s="16">
        <v>0</v>
      </c>
      <c r="I53" s="16" t="s">
        <v>231</v>
      </c>
      <c r="J53" s="23">
        <v>3353</v>
      </c>
      <c r="K53" s="23">
        <f>J53/E53</f>
        <v>0.39817123857024106</v>
      </c>
      <c r="L53" s="18"/>
    </row>
    <row r="54" spans="1:12" ht="25.5">
      <c r="A54" s="11" t="s">
        <v>326</v>
      </c>
      <c r="B54" s="11" t="s">
        <v>269</v>
      </c>
      <c r="C54" s="12" t="s">
        <v>252</v>
      </c>
      <c r="D54" s="13">
        <f>WilsonWeb!N48</f>
        <v>4395</v>
      </c>
      <c r="E54" s="24">
        <f>WilsonWeb!N49</f>
        <v>18504</v>
      </c>
      <c r="F54" s="25"/>
      <c r="G54" s="16"/>
      <c r="H54" s="16">
        <f>WilsonWeb!N50</f>
        <v>0</v>
      </c>
      <c r="I54" s="16" t="s">
        <v>231</v>
      </c>
      <c r="J54" s="23">
        <v>6340.5</v>
      </c>
      <c r="K54" s="23">
        <f>J54/E54</f>
        <v>0.34265564202334631</v>
      </c>
      <c r="L54" s="18"/>
    </row>
    <row r="55" spans="1:12" ht="25.5">
      <c r="A55" s="11" t="s">
        <v>405</v>
      </c>
      <c r="B55" s="11" t="s">
        <v>232</v>
      </c>
      <c r="C55" s="11" t="s">
        <v>252</v>
      </c>
      <c r="D55" s="24">
        <f>WilsonWeb!N56</f>
        <v>188</v>
      </c>
      <c r="E55" s="24">
        <f>WilsonWeb!N57</f>
        <v>782</v>
      </c>
      <c r="F55" s="36"/>
      <c r="G55" s="24"/>
      <c r="H55" s="24">
        <f>WilsonWeb!N58</f>
        <v>353</v>
      </c>
      <c r="I55" s="16" t="s">
        <v>231</v>
      </c>
      <c r="J55" s="23">
        <v>798</v>
      </c>
      <c r="K55" s="23">
        <f>J55/E55</f>
        <v>1.0204603580562659</v>
      </c>
      <c r="L55" s="18"/>
    </row>
    <row r="56" spans="1:12" ht="25.5">
      <c r="A56" s="11" t="s">
        <v>154</v>
      </c>
      <c r="B56" s="11" t="s">
        <v>384</v>
      </c>
      <c r="C56" s="11" t="s">
        <v>242</v>
      </c>
      <c r="D56" s="24" t="s">
        <v>231</v>
      </c>
      <c r="E56" s="24">
        <f>CSA!N58</f>
        <v>1136</v>
      </c>
      <c r="F56" s="25"/>
      <c r="G56" s="16"/>
      <c r="H56" s="16">
        <v>0</v>
      </c>
      <c r="I56" s="16" t="s">
        <v>231</v>
      </c>
      <c r="J56" s="23">
        <v>1361.33</v>
      </c>
      <c r="K56" s="23">
        <f>J56/E56</f>
        <v>1.1983538732394365</v>
      </c>
      <c r="L56" s="18"/>
    </row>
    <row r="57" spans="1:12">
      <c r="A57" s="11" t="s">
        <v>412</v>
      </c>
      <c r="B57" s="11" t="s">
        <v>388</v>
      </c>
      <c r="C57" s="11" t="s">
        <v>151</v>
      </c>
      <c r="D57" s="24">
        <f>EMBASE!N8</f>
        <v>2629</v>
      </c>
      <c r="E57" s="24">
        <f>EMBASE!N9</f>
        <v>9481</v>
      </c>
      <c r="F57" s="25"/>
      <c r="G57" s="16"/>
      <c r="H57" s="37">
        <v>0</v>
      </c>
      <c r="I57" s="16" t="s">
        <v>231</v>
      </c>
      <c r="J57" s="23">
        <f>EMBASE!O9</f>
        <v>11528</v>
      </c>
      <c r="K57" s="23">
        <f>J57/E57</f>
        <v>1.2159054952009283</v>
      </c>
      <c r="L57" s="18"/>
    </row>
    <row r="58" spans="1:12">
      <c r="A58" s="11" t="s">
        <v>139</v>
      </c>
      <c r="B58" s="11" t="s">
        <v>388</v>
      </c>
      <c r="C58" s="12" t="s">
        <v>151</v>
      </c>
      <c r="D58" s="19" t="s">
        <v>231</v>
      </c>
      <c r="E58" s="24" t="s">
        <v>231</v>
      </c>
      <c r="F58" s="25"/>
      <c r="G58" s="16"/>
      <c r="H58" s="37">
        <v>0</v>
      </c>
      <c r="I58" s="24" t="s">
        <v>231</v>
      </c>
      <c r="J58" s="23">
        <f>Elsevier!O13</f>
        <v>0</v>
      </c>
      <c r="K58" s="23" t="s">
        <v>231</v>
      </c>
      <c r="L58" s="18"/>
    </row>
    <row r="59" spans="1:12">
      <c r="A59" s="11" t="s">
        <v>40</v>
      </c>
      <c r="B59" s="11" t="s">
        <v>388</v>
      </c>
      <c r="C59" s="12" t="s">
        <v>151</v>
      </c>
      <c r="D59" s="19" t="s">
        <v>231</v>
      </c>
      <c r="E59" s="24" t="s">
        <v>231</v>
      </c>
      <c r="F59" s="25"/>
      <c r="G59" s="16"/>
      <c r="H59" s="16">
        <v>0</v>
      </c>
      <c r="I59" s="16" t="s">
        <v>231</v>
      </c>
      <c r="J59" s="23">
        <f>Elsevier!O18</f>
        <v>0</v>
      </c>
      <c r="K59" s="23">
        <f>Elsevier!P18</f>
        <v>0</v>
      </c>
      <c r="L59" s="18"/>
    </row>
    <row r="60" spans="1:12">
      <c r="A60" s="11" t="s">
        <v>323</v>
      </c>
      <c r="B60" s="11" t="s">
        <v>126</v>
      </c>
      <c r="C60" s="12" t="s">
        <v>151</v>
      </c>
      <c r="D60" s="19">
        <f>WebofScience!N31</f>
        <v>72</v>
      </c>
      <c r="E60" s="24">
        <f>WebofScience!N36</f>
        <v>82</v>
      </c>
      <c r="F60" s="25"/>
      <c r="G60" s="16"/>
      <c r="H60" s="16">
        <v>0</v>
      </c>
      <c r="I60" s="16" t="s">
        <v>231</v>
      </c>
      <c r="J60" s="23">
        <v>0</v>
      </c>
      <c r="K60" s="23" t="s">
        <v>231</v>
      </c>
      <c r="L60" s="18"/>
    </row>
    <row r="61" spans="1:12" ht="25.5">
      <c r="A61" s="11" t="s">
        <v>357</v>
      </c>
      <c r="B61" s="11" t="s">
        <v>384</v>
      </c>
      <c r="C61" s="12" t="s">
        <v>242</v>
      </c>
      <c r="D61" s="19" t="s">
        <v>231</v>
      </c>
      <c r="E61" s="24">
        <f>CSA!N68</f>
        <v>1701</v>
      </c>
      <c r="F61" s="25"/>
      <c r="G61" s="16"/>
      <c r="H61" s="16">
        <v>0</v>
      </c>
      <c r="I61" s="16" t="s">
        <v>231</v>
      </c>
      <c r="J61" s="23">
        <v>1361.33</v>
      </c>
      <c r="K61" s="23">
        <f>J61/E61</f>
        <v>0.80031158142269254</v>
      </c>
      <c r="L61" s="18"/>
    </row>
    <row r="62" spans="1:12" ht="25.5">
      <c r="A62" s="11" t="s">
        <v>97</v>
      </c>
      <c r="B62" s="11" t="s">
        <v>384</v>
      </c>
      <c r="C62" s="12" t="s">
        <v>242</v>
      </c>
      <c r="D62" s="19" t="s">
        <v>231</v>
      </c>
      <c r="E62" s="24">
        <f>CSA!N73</f>
        <v>0</v>
      </c>
      <c r="F62" s="25"/>
      <c r="G62" s="16"/>
      <c r="H62" s="16">
        <v>0</v>
      </c>
      <c r="I62" s="16" t="s">
        <v>231</v>
      </c>
      <c r="J62" s="23">
        <v>0</v>
      </c>
      <c r="K62" s="23" t="s">
        <v>231</v>
      </c>
      <c r="L62" s="18"/>
    </row>
    <row r="63" spans="1:12" ht="25.5">
      <c r="A63" s="11" t="s">
        <v>197</v>
      </c>
      <c r="B63" s="11" t="s">
        <v>384</v>
      </c>
      <c r="C63" s="12" t="s">
        <v>242</v>
      </c>
      <c r="D63" s="19" t="s">
        <v>231</v>
      </c>
      <c r="E63" s="24">
        <f>CSA!N78</f>
        <v>0</v>
      </c>
      <c r="F63" s="25"/>
      <c r="G63" s="16"/>
      <c r="H63" s="16">
        <v>0</v>
      </c>
      <c r="I63" s="16" t="s">
        <v>231</v>
      </c>
      <c r="J63" s="23">
        <v>0</v>
      </c>
      <c r="K63" s="23" t="s">
        <v>231</v>
      </c>
      <c r="L63" s="18"/>
    </row>
    <row r="64" spans="1:12">
      <c r="A64" s="11" t="s">
        <v>26</v>
      </c>
      <c r="B64" s="11" t="s">
        <v>249</v>
      </c>
      <c r="C64" s="11" t="s">
        <v>192</v>
      </c>
      <c r="D64" s="24">
        <f>EBSCOhost!N13</f>
        <v>0</v>
      </c>
      <c r="E64" s="24">
        <f>EBSCOhost!N14</f>
        <v>28242</v>
      </c>
      <c r="F64" s="25"/>
      <c r="G64" s="16"/>
      <c r="H64" s="37"/>
      <c r="I64" s="16" t="s">
        <v>231</v>
      </c>
      <c r="J64" s="23">
        <v>0</v>
      </c>
      <c r="K64" s="23" t="s">
        <v>231</v>
      </c>
      <c r="L64" s="18"/>
    </row>
    <row r="65" spans="1:12" ht="25.5">
      <c r="A65" s="11" t="s">
        <v>26</v>
      </c>
      <c r="B65" s="11" t="s">
        <v>384</v>
      </c>
      <c r="C65" s="12" t="s">
        <v>242</v>
      </c>
      <c r="D65" s="19" t="s">
        <v>231</v>
      </c>
      <c r="E65" s="24">
        <f>CSA!N83</f>
        <v>4363</v>
      </c>
      <c r="F65" s="25"/>
      <c r="G65" s="16"/>
      <c r="H65" s="16">
        <v>0</v>
      </c>
      <c r="I65" s="16" t="s">
        <v>231</v>
      </c>
      <c r="J65" s="23">
        <v>0</v>
      </c>
      <c r="K65" s="23" t="s">
        <v>231</v>
      </c>
      <c r="L65" s="18"/>
    </row>
    <row r="66" spans="1:12" ht="25.5">
      <c r="A66" s="11" t="s">
        <v>13</v>
      </c>
      <c r="B66" s="11" t="s">
        <v>232</v>
      </c>
      <c r="C66" s="11" t="s">
        <v>252</v>
      </c>
      <c r="D66" s="24">
        <f>WilsonWeb!N64</f>
        <v>3273</v>
      </c>
      <c r="E66" s="24">
        <f>WilsonWeb!N65</f>
        <v>15954</v>
      </c>
      <c r="F66" s="25"/>
      <c r="G66" s="16"/>
      <c r="H66" s="37">
        <f>WilsonWeb!N66</f>
        <v>0</v>
      </c>
      <c r="I66" s="16" t="s">
        <v>231</v>
      </c>
      <c r="J66" s="23">
        <v>0</v>
      </c>
      <c r="K66" s="23" t="s">
        <v>231</v>
      </c>
      <c r="L66" s="18"/>
    </row>
    <row r="67" spans="1:12">
      <c r="A67" s="11" t="s">
        <v>13</v>
      </c>
      <c r="B67" s="11" t="s">
        <v>367</v>
      </c>
      <c r="C67" s="11" t="s">
        <v>192</v>
      </c>
      <c r="D67" s="24">
        <f>FirstSearch!N34</f>
        <v>605</v>
      </c>
      <c r="E67" s="24">
        <f>FirstSearch!N35</f>
        <v>1229</v>
      </c>
      <c r="F67" s="25"/>
      <c r="G67" s="16"/>
      <c r="H67" s="37">
        <f>FirstSearch!N37</f>
        <v>26</v>
      </c>
      <c r="I67" s="16" t="s">
        <v>231</v>
      </c>
      <c r="J67" s="23">
        <v>0</v>
      </c>
      <c r="K67" s="23" t="s">
        <v>231</v>
      </c>
      <c r="L67" s="18"/>
    </row>
    <row r="68" spans="1:12">
      <c r="A68" s="11" t="s">
        <v>305</v>
      </c>
      <c r="B68" s="11" t="s">
        <v>249</v>
      </c>
      <c r="C68" s="11" t="s">
        <v>192</v>
      </c>
      <c r="D68" s="24">
        <f>EBSCOhost!N22</f>
        <v>0</v>
      </c>
      <c r="E68" s="24">
        <f>EBSCOhost!N23</f>
        <v>0</v>
      </c>
      <c r="F68" s="25"/>
      <c r="G68" s="16"/>
      <c r="H68" s="37">
        <v>0</v>
      </c>
      <c r="I68" s="16" t="s">
        <v>231</v>
      </c>
      <c r="J68" s="23">
        <v>1446</v>
      </c>
      <c r="K68" s="23" t="s">
        <v>231</v>
      </c>
      <c r="L68" s="18"/>
    </row>
    <row r="69" spans="1:12">
      <c r="A69" s="11" t="s">
        <v>7</v>
      </c>
      <c r="B69" s="11" t="s">
        <v>367</v>
      </c>
      <c r="C69" s="11" t="s">
        <v>192</v>
      </c>
      <c r="D69" s="16" t="s">
        <v>231</v>
      </c>
      <c r="E69" s="24">
        <f>FirstSearch!N136</f>
        <v>48</v>
      </c>
      <c r="F69" s="25"/>
      <c r="G69" s="16"/>
      <c r="H69" s="16" t="s">
        <v>231</v>
      </c>
      <c r="I69" s="16" t="s">
        <v>231</v>
      </c>
      <c r="J69" s="23" t="s">
        <v>231</v>
      </c>
      <c r="K69" s="23" t="s">
        <v>231</v>
      </c>
      <c r="L69" s="18"/>
    </row>
    <row r="70" spans="1:12">
      <c r="A70" s="11" t="s">
        <v>266</v>
      </c>
      <c r="B70" s="11" t="s">
        <v>367</v>
      </c>
      <c r="C70" s="11" t="s">
        <v>192</v>
      </c>
      <c r="D70" s="24">
        <f>FirstSearch!N128</f>
        <v>8256</v>
      </c>
      <c r="E70" s="24">
        <f>FirstSearch!N129</f>
        <v>24263</v>
      </c>
      <c r="F70" s="36"/>
      <c r="G70" s="24"/>
      <c r="H70" s="24">
        <f>FirstSearch!N131</f>
        <v>893</v>
      </c>
      <c r="I70" s="16" t="s">
        <v>231</v>
      </c>
      <c r="J70" s="23">
        <v>9215</v>
      </c>
      <c r="K70" s="23">
        <f>J70/E70</f>
        <v>0.37979639780736102</v>
      </c>
      <c r="L70" s="18"/>
    </row>
    <row r="71" spans="1:12">
      <c r="A71" s="11" t="s">
        <v>210</v>
      </c>
      <c r="B71" s="11" t="s">
        <v>249</v>
      </c>
      <c r="C71" s="12" t="s">
        <v>192</v>
      </c>
      <c r="D71" s="13">
        <f>EBSCOhost!N62</f>
        <v>1255</v>
      </c>
      <c r="E71" s="24">
        <f>EBSCOhost!N63</f>
        <v>5783</v>
      </c>
      <c r="F71" s="25"/>
      <c r="G71" s="16"/>
      <c r="H71" s="16">
        <f>EBSCOhost!N45</f>
        <v>8421</v>
      </c>
      <c r="I71" s="16" t="s">
        <v>231</v>
      </c>
      <c r="J71" s="23">
        <v>8256</v>
      </c>
      <c r="K71" s="23">
        <f>J71/E71</f>
        <v>1.4276327165830884</v>
      </c>
      <c r="L71" s="18"/>
    </row>
    <row r="72" spans="1:12">
      <c r="A72" s="11" t="s">
        <v>30</v>
      </c>
      <c r="B72" s="11" t="s">
        <v>249</v>
      </c>
      <c r="C72" s="11" t="s">
        <v>192</v>
      </c>
      <c r="D72" s="24">
        <f>EBSCOhost!N50</f>
        <v>1368</v>
      </c>
      <c r="E72" s="24">
        <f>EBSCOhost!N51</f>
        <v>7101</v>
      </c>
      <c r="F72" s="25"/>
      <c r="G72" s="16"/>
      <c r="H72" s="16">
        <v>0</v>
      </c>
      <c r="I72" s="16" t="s">
        <v>231</v>
      </c>
      <c r="J72" s="23">
        <v>0</v>
      </c>
      <c r="K72" s="23" t="s">
        <v>231</v>
      </c>
      <c r="L72" s="18"/>
    </row>
    <row r="73" spans="1:12">
      <c r="A73" s="11" t="s">
        <v>377</v>
      </c>
      <c r="B73" s="11" t="s">
        <v>56</v>
      </c>
      <c r="C73" s="11" t="s">
        <v>192</v>
      </c>
      <c r="D73" s="16">
        <f>ProQuest!N44</f>
        <v>3615</v>
      </c>
      <c r="E73" s="24">
        <f>ProQuest!N43</f>
        <v>9451</v>
      </c>
      <c r="F73" s="25"/>
      <c r="G73" s="16"/>
      <c r="H73" s="16" t="s">
        <v>231</v>
      </c>
      <c r="I73" s="16" t="s">
        <v>231</v>
      </c>
      <c r="J73" s="23">
        <v>1158</v>
      </c>
      <c r="K73" s="23">
        <f>J73/E73</f>
        <v>0.12252671674955032</v>
      </c>
      <c r="L73" s="18"/>
    </row>
    <row r="74" spans="1:12">
      <c r="A74" s="11" t="s">
        <v>347</v>
      </c>
      <c r="B74" s="11" t="s">
        <v>367</v>
      </c>
      <c r="C74" s="11" t="s">
        <v>192</v>
      </c>
      <c r="D74" s="16" t="s">
        <v>231</v>
      </c>
      <c r="E74" s="24">
        <f>FirstSearch!N42</f>
        <v>44</v>
      </c>
      <c r="F74" s="25"/>
      <c r="G74" s="16"/>
      <c r="H74" s="16">
        <v>0</v>
      </c>
      <c r="I74" s="16" t="s">
        <v>231</v>
      </c>
      <c r="J74" s="23" t="s">
        <v>231</v>
      </c>
      <c r="K74" s="23" t="s">
        <v>231</v>
      </c>
      <c r="L74" s="10"/>
    </row>
    <row r="75" spans="1:12" ht="25.5">
      <c r="A75" s="11" t="s">
        <v>145</v>
      </c>
      <c r="B75" s="11" t="s">
        <v>384</v>
      </c>
      <c r="C75" s="11" t="s">
        <v>242</v>
      </c>
      <c r="D75" s="16" t="s">
        <v>231</v>
      </c>
      <c r="E75" s="24">
        <f>CSA!N88</f>
        <v>1689</v>
      </c>
      <c r="F75" s="25"/>
      <c r="G75" s="16"/>
      <c r="H75" s="16">
        <v>0</v>
      </c>
      <c r="I75" s="16" t="s">
        <v>231</v>
      </c>
      <c r="J75" s="23">
        <v>3206</v>
      </c>
      <c r="K75" s="23">
        <f>J75/E75</f>
        <v>1.8981645944345766</v>
      </c>
      <c r="L75" s="10"/>
    </row>
    <row r="76" spans="1:12" ht="25.5">
      <c r="A76" s="11" t="s">
        <v>116</v>
      </c>
      <c r="B76" s="11" t="s">
        <v>384</v>
      </c>
      <c r="C76" s="11" t="s">
        <v>242</v>
      </c>
      <c r="D76" s="16" t="s">
        <v>231</v>
      </c>
      <c r="E76" s="24">
        <f>CSA!N93</f>
        <v>1117</v>
      </c>
      <c r="F76" s="25"/>
      <c r="G76" s="16"/>
      <c r="H76" s="16">
        <v>0</v>
      </c>
      <c r="I76" s="16" t="s">
        <v>231</v>
      </c>
      <c r="J76" s="23">
        <v>3206</v>
      </c>
      <c r="K76" s="23">
        <f>J76/E76</f>
        <v>2.8701880035810206</v>
      </c>
      <c r="L76" s="10"/>
    </row>
    <row r="77" spans="1:12">
      <c r="A77" s="11" t="s">
        <v>62</v>
      </c>
      <c r="B77" s="11" t="s">
        <v>367</v>
      </c>
      <c r="C77" s="11" t="s">
        <v>192</v>
      </c>
      <c r="D77" s="24">
        <f>FirstSearch!N47</f>
        <v>57</v>
      </c>
      <c r="E77" s="24">
        <f>FirstSearch!N48</f>
        <v>75</v>
      </c>
      <c r="F77" s="25"/>
      <c r="G77" s="16"/>
      <c r="H77" s="37">
        <f>FirstSearch!N57</f>
        <v>0</v>
      </c>
      <c r="I77" s="16" t="s">
        <v>231</v>
      </c>
      <c r="J77" s="23">
        <v>0</v>
      </c>
      <c r="K77" s="23" t="s">
        <v>231</v>
      </c>
      <c r="L77" s="18"/>
    </row>
    <row r="78" spans="1:12">
      <c r="A78" s="11" t="s">
        <v>356</v>
      </c>
      <c r="B78" s="11" t="s">
        <v>249</v>
      </c>
      <c r="C78" s="11" t="s">
        <v>192</v>
      </c>
      <c r="D78" s="24">
        <f>EBSCOhost!N76</f>
        <v>1108</v>
      </c>
      <c r="E78" s="24">
        <f>EBSCOhost!N77</f>
        <v>5390</v>
      </c>
      <c r="F78" s="25"/>
      <c r="G78" s="16"/>
      <c r="H78" s="16">
        <v>0</v>
      </c>
      <c r="I78" s="16" t="s">
        <v>231</v>
      </c>
      <c r="J78" s="23">
        <v>0</v>
      </c>
      <c r="K78" s="23" t="s">
        <v>231</v>
      </c>
      <c r="L78" s="18"/>
    </row>
    <row r="79" spans="1:12">
      <c r="A79" s="11" t="s">
        <v>262</v>
      </c>
      <c r="B79" s="11" t="s">
        <v>293</v>
      </c>
      <c r="C79" s="11" t="s">
        <v>151</v>
      </c>
      <c r="D79" s="24">
        <f>Oxford!N8</f>
        <v>460</v>
      </c>
      <c r="E79" s="24">
        <f>Oxford!N10</f>
        <v>447</v>
      </c>
      <c r="F79" s="36"/>
      <c r="G79" s="24"/>
      <c r="H79" s="24">
        <f>Oxford!N11</f>
        <v>17</v>
      </c>
      <c r="I79" s="16">
        <f>Oxford!N9</f>
        <v>536</v>
      </c>
      <c r="J79" s="23">
        <v>1870</v>
      </c>
      <c r="K79" s="23">
        <f>J79/E79</f>
        <v>4.1834451901565997</v>
      </c>
      <c r="L79" s="18"/>
    </row>
    <row r="80" spans="1:12" ht="25.5">
      <c r="A80" s="11" t="s">
        <v>343</v>
      </c>
      <c r="B80" s="11" t="s">
        <v>384</v>
      </c>
      <c r="C80" s="11" t="s">
        <v>242</v>
      </c>
      <c r="D80" s="24" t="s">
        <v>231</v>
      </c>
      <c r="E80" s="24">
        <f>CSA!N102</f>
        <v>0</v>
      </c>
      <c r="F80" s="25"/>
      <c r="G80" s="16"/>
      <c r="H80" s="16">
        <v>0</v>
      </c>
      <c r="I80" s="16" t="s">
        <v>231</v>
      </c>
      <c r="J80" s="23">
        <v>0</v>
      </c>
      <c r="K80" s="23" t="s">
        <v>231</v>
      </c>
      <c r="L80" s="18"/>
    </row>
    <row r="81" spans="1:12" ht="25.5">
      <c r="A81" s="11" t="s">
        <v>213</v>
      </c>
      <c r="B81" s="11" t="s">
        <v>249</v>
      </c>
      <c r="C81" s="11" t="s">
        <v>192</v>
      </c>
      <c r="D81" s="24">
        <f>EBSCOhost!N82</f>
        <v>1664</v>
      </c>
      <c r="E81" s="24">
        <f>EBSCOhost!N83</f>
        <v>5724</v>
      </c>
      <c r="F81" s="25"/>
      <c r="G81" s="16"/>
      <c r="H81" s="16">
        <v>0</v>
      </c>
      <c r="I81" s="16" t="s">
        <v>231</v>
      </c>
      <c r="J81" s="23">
        <v>0</v>
      </c>
      <c r="K81" s="23" t="s">
        <v>231</v>
      </c>
      <c r="L81" s="18"/>
    </row>
    <row r="82" spans="1:12">
      <c r="A82" s="11" t="s">
        <v>11</v>
      </c>
      <c r="B82" s="11" t="s">
        <v>249</v>
      </c>
      <c r="C82" s="11" t="s">
        <v>192</v>
      </c>
      <c r="D82" s="24">
        <f>EBSCOhost!N88</f>
        <v>1479</v>
      </c>
      <c r="E82" s="24">
        <f>EBSCOhost!N89</f>
        <v>6850</v>
      </c>
      <c r="F82" s="25"/>
      <c r="G82" s="16"/>
      <c r="H82" s="16">
        <v>0</v>
      </c>
      <c r="I82" s="16" t="s">
        <v>231</v>
      </c>
      <c r="J82" s="23">
        <v>8117</v>
      </c>
      <c r="K82" s="23">
        <f>J82/E82</f>
        <v>1.1849635036496351</v>
      </c>
      <c r="L82" s="18"/>
    </row>
    <row r="83" spans="1:12">
      <c r="A83" s="11" t="s">
        <v>93</v>
      </c>
      <c r="B83" s="11" t="s">
        <v>249</v>
      </c>
      <c r="C83" s="11" t="s">
        <v>192</v>
      </c>
      <c r="D83" s="24">
        <f>EBSCOhost!N94</f>
        <v>1761</v>
      </c>
      <c r="E83" s="24">
        <f>EBSCOhost!N95</f>
        <v>6693</v>
      </c>
      <c r="F83" s="25"/>
      <c r="G83" s="16"/>
      <c r="H83" s="16">
        <v>0</v>
      </c>
      <c r="I83" s="16" t="s">
        <v>231</v>
      </c>
      <c r="J83" s="23">
        <v>0</v>
      </c>
      <c r="K83" s="23" t="s">
        <v>231</v>
      </c>
      <c r="L83" s="18"/>
    </row>
    <row r="84" spans="1:12" ht="25.5">
      <c r="A84" s="11" t="s">
        <v>109</v>
      </c>
      <c r="B84" s="11" t="s">
        <v>232</v>
      </c>
      <c r="C84" s="11" t="s">
        <v>252</v>
      </c>
      <c r="D84" s="24">
        <f>WilsonWeb!N72</f>
        <v>462</v>
      </c>
      <c r="E84" s="24">
        <f>WilsonWeb!N73</f>
        <v>1276</v>
      </c>
      <c r="F84" s="36"/>
      <c r="G84" s="24"/>
      <c r="H84" s="24">
        <f>WilsonWeb!N74</f>
        <v>8</v>
      </c>
      <c r="I84" s="16" t="s">
        <v>231</v>
      </c>
      <c r="J84" s="23">
        <v>822</v>
      </c>
      <c r="K84" s="23">
        <f>J84/E84</f>
        <v>0.64420062695924762</v>
      </c>
      <c r="L84" s="18"/>
    </row>
    <row r="85" spans="1:12" ht="25.5">
      <c r="A85" s="11" t="s">
        <v>76</v>
      </c>
      <c r="B85" s="11" t="s">
        <v>361</v>
      </c>
      <c r="C85" s="11" t="s">
        <v>151</v>
      </c>
      <c r="D85" s="24" t="s">
        <v>231</v>
      </c>
      <c r="E85" s="24">
        <f>ICPSR!N10</f>
        <v>119</v>
      </c>
      <c r="F85" s="25"/>
      <c r="G85" s="16"/>
      <c r="H85" s="16">
        <v>0</v>
      </c>
      <c r="I85" s="16" t="s">
        <v>231</v>
      </c>
      <c r="J85" s="23">
        <f>ICPSR!O8</f>
        <v>15000</v>
      </c>
      <c r="K85" s="23">
        <f>J85/E85</f>
        <v>126.05042016806723</v>
      </c>
      <c r="L85" s="18"/>
    </row>
    <row r="86" spans="1:12" ht="25.5">
      <c r="A86" s="11" t="s">
        <v>12</v>
      </c>
      <c r="B86" s="11" t="s">
        <v>384</v>
      </c>
      <c r="C86" s="11" t="s">
        <v>242</v>
      </c>
      <c r="D86" s="24" t="s">
        <v>231</v>
      </c>
      <c r="E86" s="24">
        <f>CSA!N107</f>
        <v>0</v>
      </c>
      <c r="F86" s="25"/>
      <c r="G86" s="16"/>
      <c r="H86" s="16">
        <v>0</v>
      </c>
      <c r="I86" s="16" t="s">
        <v>231</v>
      </c>
      <c r="J86" s="23">
        <v>0</v>
      </c>
      <c r="K86" s="23" t="s">
        <v>231</v>
      </c>
      <c r="L86" s="18"/>
    </row>
    <row r="87" spans="1:12">
      <c r="A87" s="11" t="s">
        <v>42</v>
      </c>
      <c r="B87" s="11" t="s">
        <v>249</v>
      </c>
      <c r="C87" s="11" t="s">
        <v>192</v>
      </c>
      <c r="D87" s="24">
        <f>EBSCOhost!N100</f>
        <v>1265</v>
      </c>
      <c r="E87" s="24">
        <f>EBSCOhost!N101</f>
        <v>6056</v>
      </c>
      <c r="F87" s="25"/>
      <c r="G87" s="16"/>
      <c r="H87" s="16">
        <v>0</v>
      </c>
      <c r="I87" s="16" t="s">
        <v>231</v>
      </c>
      <c r="J87" s="23">
        <v>32868</v>
      </c>
      <c r="K87" s="23">
        <f t="shared" ref="K87:K92" si="1">J87/E87</f>
        <v>5.4273447820343463</v>
      </c>
      <c r="L87" s="18"/>
    </row>
    <row r="88" spans="1:12" ht="25.5">
      <c r="A88" s="11" t="s">
        <v>346</v>
      </c>
      <c r="B88" s="11" t="s">
        <v>384</v>
      </c>
      <c r="C88" s="28" t="s">
        <v>242</v>
      </c>
      <c r="D88" s="24" t="s">
        <v>231</v>
      </c>
      <c r="E88" s="24">
        <f>CSA!N112</f>
        <v>1679</v>
      </c>
      <c r="F88" s="25"/>
      <c r="G88" s="16"/>
      <c r="H88" s="16">
        <v>0</v>
      </c>
      <c r="I88" s="16" t="s">
        <v>231</v>
      </c>
      <c r="J88" s="23">
        <v>3710</v>
      </c>
      <c r="K88" s="23">
        <f t="shared" si="1"/>
        <v>2.2096486003573554</v>
      </c>
      <c r="L88" s="18"/>
    </row>
    <row r="89" spans="1:12">
      <c r="A89" s="11" t="s">
        <v>18</v>
      </c>
      <c r="B89" s="11" t="s">
        <v>296</v>
      </c>
      <c r="C89" s="32"/>
      <c r="D89" s="16">
        <f>ITER!N14</f>
        <v>640</v>
      </c>
      <c r="E89" s="16">
        <f>ITER!N15</f>
        <v>941</v>
      </c>
      <c r="F89" s="25"/>
      <c r="G89" s="16"/>
      <c r="H89" s="16"/>
      <c r="I89" s="16"/>
      <c r="J89" s="23">
        <f>ITER!O15</f>
        <v>545.4</v>
      </c>
      <c r="K89" s="23">
        <f t="shared" si="1"/>
        <v>0.57959617428267796</v>
      </c>
      <c r="L89" s="18"/>
    </row>
    <row r="90" spans="1:12" ht="25.5">
      <c r="A90" s="11" t="s">
        <v>128</v>
      </c>
      <c r="B90" s="11" t="s">
        <v>363</v>
      </c>
      <c r="C90" s="11" t="s">
        <v>242</v>
      </c>
      <c r="D90" s="16">
        <f>OVID!N30</f>
        <v>4766</v>
      </c>
      <c r="E90" s="16">
        <f>OVID!N29</f>
        <v>5463</v>
      </c>
      <c r="F90" s="25"/>
      <c r="G90" s="16"/>
      <c r="H90" s="16"/>
      <c r="I90" s="16" t="s">
        <v>231</v>
      </c>
      <c r="J90" s="23">
        <v>16004</v>
      </c>
      <c r="K90" s="23">
        <f t="shared" si="1"/>
        <v>2.9295259015193116</v>
      </c>
      <c r="L90" s="18"/>
    </row>
    <row r="91" spans="1:12">
      <c r="A91" s="11" t="s">
        <v>396</v>
      </c>
      <c r="B91" s="11" t="s">
        <v>324</v>
      </c>
      <c r="C91" s="11" t="s">
        <v>192</v>
      </c>
      <c r="D91" s="16">
        <f>JSTOR!N8</f>
        <v>54306</v>
      </c>
      <c r="E91" s="16">
        <f>JSTOR!N8</f>
        <v>54306</v>
      </c>
      <c r="F91" s="25"/>
      <c r="G91" s="16"/>
      <c r="H91" s="16"/>
      <c r="I91" s="16"/>
      <c r="J91" s="23">
        <v>51003.4</v>
      </c>
      <c r="K91" s="23">
        <f t="shared" si="1"/>
        <v>0.93918535705078632</v>
      </c>
      <c r="L91" s="18"/>
    </row>
    <row r="92" spans="1:12">
      <c r="A92" s="11" t="s">
        <v>387</v>
      </c>
      <c r="B92" s="11" t="s">
        <v>387</v>
      </c>
      <c r="C92" s="11" t="s">
        <v>151</v>
      </c>
      <c r="D92" s="16" t="s">
        <v>231</v>
      </c>
      <c r="E92" s="16">
        <f>KCDL!N8</f>
        <v>78</v>
      </c>
      <c r="F92" s="25"/>
      <c r="G92" s="16"/>
      <c r="H92" s="16">
        <f>OVID!N31</f>
        <v>0</v>
      </c>
      <c r="I92" s="16" t="s">
        <v>231</v>
      </c>
      <c r="J92" s="23">
        <v>1850</v>
      </c>
      <c r="K92" s="23">
        <f t="shared" si="1"/>
        <v>23.717948717948719</v>
      </c>
      <c r="L92" s="18"/>
    </row>
    <row r="93" spans="1:12">
      <c r="A93" s="11" t="s">
        <v>248</v>
      </c>
      <c r="B93" s="11" t="s">
        <v>189</v>
      </c>
      <c r="C93" s="11" t="s">
        <v>151</v>
      </c>
      <c r="D93" s="16">
        <f>'Lexi-Comp'!N8</f>
        <v>9818</v>
      </c>
      <c r="E93" s="16">
        <f>'Lexi-Comp'!N9</f>
        <v>20737</v>
      </c>
      <c r="F93" s="25"/>
      <c r="G93" s="16"/>
      <c r="H93" s="16">
        <v>0</v>
      </c>
      <c r="I93" s="16" t="s">
        <v>231</v>
      </c>
      <c r="J93" s="23">
        <v>0</v>
      </c>
      <c r="K93" s="16" t="s">
        <v>231</v>
      </c>
      <c r="L93" s="18"/>
    </row>
    <row r="94" spans="1:12" ht="25.5">
      <c r="A94" s="11" t="s">
        <v>391</v>
      </c>
      <c r="B94" s="11" t="s">
        <v>360</v>
      </c>
      <c r="C94" s="11" t="s">
        <v>242</v>
      </c>
      <c r="D94" s="24">
        <f>LexisNexis!N8</f>
        <v>24787</v>
      </c>
      <c r="E94" s="24">
        <f>LexisNexis!N9</f>
        <v>21810</v>
      </c>
      <c r="F94" s="25"/>
      <c r="G94" s="16"/>
      <c r="H94" s="16">
        <v>0</v>
      </c>
      <c r="I94" s="24" t="s">
        <v>231</v>
      </c>
      <c r="J94" s="23">
        <v>25497.99</v>
      </c>
      <c r="K94" s="23">
        <f>J94/E94</f>
        <v>1.1690962861072902</v>
      </c>
      <c r="L94" s="18"/>
    </row>
    <row r="95" spans="1:12" ht="25.5">
      <c r="A95" s="11" t="s">
        <v>184</v>
      </c>
      <c r="B95" s="11" t="s">
        <v>360</v>
      </c>
      <c r="C95" s="11" t="s">
        <v>242</v>
      </c>
      <c r="D95" s="24">
        <f>LexisNexis!N14</f>
        <v>222</v>
      </c>
      <c r="E95" s="24">
        <f>LexisNexis!N15</f>
        <v>546</v>
      </c>
      <c r="F95" s="25"/>
      <c r="G95" s="16"/>
      <c r="H95" s="16">
        <v>0</v>
      </c>
      <c r="I95" s="24" t="s">
        <v>231</v>
      </c>
      <c r="J95" s="23">
        <v>7285.14</v>
      </c>
      <c r="K95" s="23">
        <f>J95/E95</f>
        <v>13.342747252747253</v>
      </c>
      <c r="L95" s="18"/>
    </row>
    <row r="96" spans="1:12" ht="25.5">
      <c r="A96" s="11" t="s">
        <v>394</v>
      </c>
      <c r="B96" s="11" t="s">
        <v>232</v>
      </c>
      <c r="C96" s="11" t="s">
        <v>252</v>
      </c>
      <c r="D96" s="24" t="s">
        <v>231</v>
      </c>
      <c r="E96" s="24" t="s">
        <v>231</v>
      </c>
      <c r="F96" s="36"/>
      <c r="G96" s="24"/>
      <c r="H96" s="24" t="s">
        <v>231</v>
      </c>
      <c r="I96" s="16" t="s">
        <v>231</v>
      </c>
      <c r="J96" s="23">
        <v>96.82</v>
      </c>
      <c r="K96" s="23" t="s">
        <v>231</v>
      </c>
      <c r="L96" s="18"/>
    </row>
    <row r="97" spans="1:12">
      <c r="A97" s="11" t="s">
        <v>364</v>
      </c>
      <c r="B97" s="11" t="s">
        <v>249</v>
      </c>
      <c r="C97" s="11" t="s">
        <v>192</v>
      </c>
      <c r="D97" s="24">
        <f>EBSCOhost!N106</f>
        <v>1437</v>
      </c>
      <c r="E97" s="24">
        <f>EBSCOhost!N107</f>
        <v>6995</v>
      </c>
      <c r="F97" s="25"/>
      <c r="G97" s="16"/>
      <c r="H97" s="16">
        <v>0</v>
      </c>
      <c r="I97" s="24" t="s">
        <v>231</v>
      </c>
      <c r="J97" s="23">
        <v>0</v>
      </c>
      <c r="K97" s="23" t="s">
        <v>231</v>
      </c>
      <c r="L97" s="18"/>
    </row>
    <row r="98" spans="1:12">
      <c r="A98" s="11" t="s">
        <v>318</v>
      </c>
      <c r="B98" s="11" t="s">
        <v>249</v>
      </c>
      <c r="C98" s="11" t="s">
        <v>192</v>
      </c>
      <c r="D98" s="24">
        <f>EBSCOhost!N112</f>
        <v>5270</v>
      </c>
      <c r="E98" s="24">
        <f>EBSCOhost!N113</f>
        <v>19985</v>
      </c>
      <c r="F98" s="25"/>
      <c r="G98" s="16"/>
      <c r="H98" s="16">
        <v>0</v>
      </c>
      <c r="I98" s="24" t="s">
        <v>231</v>
      </c>
      <c r="J98" s="23">
        <v>2740</v>
      </c>
      <c r="K98" s="23">
        <f>J98/E98</f>
        <v>0.13710282712034025</v>
      </c>
      <c r="L98" s="18"/>
    </row>
    <row r="99" spans="1:12">
      <c r="A99" s="11" t="s">
        <v>167</v>
      </c>
      <c r="B99" s="11" t="s">
        <v>80</v>
      </c>
      <c r="C99" s="11" t="s">
        <v>192</v>
      </c>
      <c r="D99" s="24">
        <f>InfoTrac!N9</f>
        <v>1765</v>
      </c>
      <c r="E99" s="24">
        <f>InfoTrac!N8</f>
        <v>6245</v>
      </c>
      <c r="F99" s="25"/>
      <c r="G99" s="16"/>
      <c r="H99" s="37">
        <f>InfoTrac!N47</f>
        <v>0</v>
      </c>
      <c r="I99" s="24" t="s">
        <v>231</v>
      </c>
      <c r="J99" s="23">
        <f>InfoTrac!O8</f>
        <v>2105</v>
      </c>
      <c r="K99" s="23">
        <f>J99/E99</f>
        <v>0.33706965572457964</v>
      </c>
      <c r="L99" s="18"/>
    </row>
    <row r="100" spans="1:12">
      <c r="A100" s="11" t="s">
        <v>395</v>
      </c>
      <c r="B100" s="11" t="s">
        <v>56</v>
      </c>
      <c r="C100" s="11" t="s">
        <v>192</v>
      </c>
      <c r="D100" s="16">
        <f>ProQuest!N50</f>
        <v>0</v>
      </c>
      <c r="E100" s="24">
        <f>ProQuest!N49</f>
        <v>0</v>
      </c>
      <c r="F100" s="25"/>
      <c r="G100" s="16"/>
      <c r="H100" s="16">
        <v>0</v>
      </c>
      <c r="I100" s="16" t="s">
        <v>231</v>
      </c>
      <c r="J100" s="23">
        <v>0</v>
      </c>
      <c r="K100" s="23" t="s">
        <v>231</v>
      </c>
      <c r="L100" s="18"/>
    </row>
    <row r="101" spans="1:12">
      <c r="A101" s="11" t="s">
        <v>47</v>
      </c>
      <c r="B101" s="11" t="s">
        <v>249</v>
      </c>
      <c r="C101" s="11" t="s">
        <v>192</v>
      </c>
      <c r="D101" s="24">
        <f>EBSCOhost!N118</f>
        <v>1309</v>
      </c>
      <c r="E101" s="24">
        <f>EBSCOhost!N119</f>
        <v>5334</v>
      </c>
      <c r="F101" s="25"/>
      <c r="G101" s="16"/>
      <c r="H101" s="16">
        <v>0</v>
      </c>
      <c r="I101" s="16" t="s">
        <v>231</v>
      </c>
      <c r="J101" s="23">
        <v>0</v>
      </c>
      <c r="K101" s="23" t="s">
        <v>231</v>
      </c>
      <c r="L101" s="18"/>
    </row>
    <row r="102" spans="1:12">
      <c r="A102" s="11" t="s">
        <v>315</v>
      </c>
      <c r="B102" s="11" t="s">
        <v>249</v>
      </c>
      <c r="C102" s="11" t="s">
        <v>192</v>
      </c>
      <c r="D102" s="24">
        <f>EBSCOhost!N124</f>
        <v>4579</v>
      </c>
      <c r="E102" s="24">
        <f>EBSCOhost!N125</f>
        <v>7062</v>
      </c>
      <c r="F102" s="25"/>
      <c r="G102" s="16"/>
      <c r="H102" s="16">
        <v>0</v>
      </c>
      <c r="I102" s="16" t="s">
        <v>231</v>
      </c>
      <c r="J102" s="23">
        <v>0</v>
      </c>
      <c r="K102" s="23" t="s">
        <v>231</v>
      </c>
      <c r="L102" s="18"/>
    </row>
    <row r="103" spans="1:12" ht="38.25">
      <c r="A103" s="11" t="s">
        <v>317</v>
      </c>
      <c r="B103" s="11" t="s">
        <v>206</v>
      </c>
      <c r="C103" s="11" t="s">
        <v>151</v>
      </c>
      <c r="D103" s="24">
        <f>MathSciNet!N8</f>
        <v>6384</v>
      </c>
      <c r="E103" s="24">
        <f>MathSciNet!N9</f>
        <v>12194</v>
      </c>
      <c r="F103" s="25"/>
      <c r="G103" s="16"/>
      <c r="H103" s="16">
        <v>0</v>
      </c>
      <c r="I103" s="16" t="s">
        <v>231</v>
      </c>
      <c r="J103" s="23">
        <v>7906.3</v>
      </c>
      <c r="K103" s="23">
        <f>J103/E103</f>
        <v>0.64837625061505655</v>
      </c>
      <c r="L103" s="10"/>
    </row>
    <row r="104" spans="1:12" ht="25.5">
      <c r="A104" s="11" t="s">
        <v>187</v>
      </c>
      <c r="B104" s="11" t="s">
        <v>218</v>
      </c>
      <c r="C104" s="11" t="s">
        <v>242</v>
      </c>
      <c r="D104" s="24">
        <f>OVID!N23</f>
        <v>10</v>
      </c>
      <c r="E104" s="24">
        <f>OVID!N22</f>
        <v>17</v>
      </c>
      <c r="F104" s="25"/>
      <c r="G104" s="16"/>
      <c r="H104" s="37">
        <f>OVID!N24</f>
        <v>0</v>
      </c>
      <c r="I104" s="16" t="s">
        <v>231</v>
      </c>
      <c r="J104" s="23">
        <v>0</v>
      </c>
      <c r="K104" s="23" t="s">
        <v>231</v>
      </c>
      <c r="L104" s="18"/>
    </row>
    <row r="105" spans="1:12">
      <c r="A105" s="11" t="s">
        <v>187</v>
      </c>
      <c r="B105" s="11" t="s">
        <v>249</v>
      </c>
      <c r="C105" s="11" t="s">
        <v>192</v>
      </c>
      <c r="D105" s="24">
        <f>EBSCOhost!N130</f>
        <v>1473</v>
      </c>
      <c r="E105" s="24">
        <f>EBSCOhost!N131</f>
        <v>7866</v>
      </c>
      <c r="F105" s="25"/>
      <c r="G105" s="16"/>
      <c r="H105" s="16">
        <v>0</v>
      </c>
      <c r="I105" s="16" t="s">
        <v>231</v>
      </c>
      <c r="J105" s="23">
        <v>0</v>
      </c>
      <c r="K105" s="23" t="s">
        <v>231</v>
      </c>
      <c r="L105" s="18"/>
    </row>
    <row r="106" spans="1:12">
      <c r="A106" s="11" t="s">
        <v>99</v>
      </c>
      <c r="B106" s="11" t="s">
        <v>367</v>
      </c>
      <c r="C106" s="11" t="s">
        <v>192</v>
      </c>
      <c r="D106" s="24">
        <f>FirstSearch!N55</f>
        <v>3038</v>
      </c>
      <c r="E106" s="24">
        <f>FirstSearch!N56</f>
        <v>5875</v>
      </c>
      <c r="F106" s="25"/>
      <c r="G106" s="16"/>
      <c r="H106" s="37">
        <f>FirstSearch!N90</f>
        <v>3</v>
      </c>
      <c r="I106" s="16" t="s">
        <v>231</v>
      </c>
      <c r="J106" s="23">
        <v>0</v>
      </c>
      <c r="K106" s="23" t="s">
        <v>231</v>
      </c>
      <c r="L106" s="18"/>
    </row>
    <row r="107" spans="1:12">
      <c r="A107" s="11" t="s">
        <v>380</v>
      </c>
      <c r="B107" s="11" t="s">
        <v>249</v>
      </c>
      <c r="C107" s="11" t="s">
        <v>192</v>
      </c>
      <c r="D107" s="24">
        <f>EBSCOhost!N136</f>
        <v>1526</v>
      </c>
      <c r="E107" s="24">
        <f>EBSCOhost!N137</f>
        <v>6695</v>
      </c>
      <c r="F107" s="25"/>
      <c r="G107" s="16"/>
      <c r="H107" s="16">
        <f>EBSCOhost!N139</f>
        <v>0</v>
      </c>
      <c r="I107" s="16" t="s">
        <v>231</v>
      </c>
      <c r="J107" s="23">
        <v>1772</v>
      </c>
      <c r="K107" s="23">
        <f>J107/E107</f>
        <v>0.26467513069454818</v>
      </c>
      <c r="L107" s="18"/>
    </row>
    <row r="108" spans="1:12">
      <c r="A108" s="11" t="s">
        <v>61</v>
      </c>
      <c r="B108" s="11" t="s">
        <v>160</v>
      </c>
      <c r="C108" s="11" t="s">
        <v>151</v>
      </c>
      <c r="D108" s="24">
        <f>Mergent!N8</f>
        <v>472</v>
      </c>
      <c r="E108" s="24">
        <f>Mergent!N9</f>
        <v>1462</v>
      </c>
      <c r="F108" s="25"/>
      <c r="G108" s="16"/>
      <c r="H108" s="16">
        <v>0</v>
      </c>
      <c r="I108" s="24" t="s">
        <v>231</v>
      </c>
      <c r="J108" s="23">
        <v>14625</v>
      </c>
      <c r="K108" s="23">
        <f>J108/E108</f>
        <v>10.003419972640218</v>
      </c>
      <c r="L108" s="18"/>
    </row>
    <row r="109" spans="1:12">
      <c r="A109" s="11" t="s">
        <v>295</v>
      </c>
      <c r="B109" s="11" t="s">
        <v>160</v>
      </c>
      <c r="C109" s="11" t="s">
        <v>151</v>
      </c>
      <c r="D109" s="24">
        <f>Mergent!N15</f>
        <v>0</v>
      </c>
      <c r="E109" s="24">
        <f>Mergent!N16</f>
        <v>0</v>
      </c>
      <c r="F109" s="25"/>
      <c r="G109" s="16"/>
      <c r="H109" s="16"/>
      <c r="I109" s="16" t="s">
        <v>231</v>
      </c>
      <c r="J109" s="23" t="s">
        <v>231</v>
      </c>
      <c r="K109" s="16" t="s">
        <v>231</v>
      </c>
      <c r="L109" s="18"/>
    </row>
    <row r="110" spans="1:12" ht="25.5">
      <c r="A110" s="11" t="s">
        <v>129</v>
      </c>
      <c r="B110" s="11" t="s">
        <v>384</v>
      </c>
      <c r="C110" s="12" t="s">
        <v>242</v>
      </c>
      <c r="D110" s="19" t="s">
        <v>231</v>
      </c>
      <c r="E110" s="24">
        <f>CSA!N127</f>
        <v>1135</v>
      </c>
      <c r="F110" s="25"/>
      <c r="G110" s="16"/>
      <c r="H110" s="16">
        <v>0</v>
      </c>
      <c r="I110" s="16" t="s">
        <v>231</v>
      </c>
      <c r="J110" s="23">
        <v>4380</v>
      </c>
      <c r="K110" s="23">
        <f>J110/E110</f>
        <v>3.8590308370044051</v>
      </c>
      <c r="L110" s="18"/>
    </row>
    <row r="111" spans="1:12">
      <c r="A111" s="11" t="s">
        <v>53</v>
      </c>
      <c r="B111" s="11" t="s">
        <v>249</v>
      </c>
      <c r="C111" s="12" t="s">
        <v>192</v>
      </c>
      <c r="D111" s="13">
        <f>EBSCOhost!N144</f>
        <v>1147</v>
      </c>
      <c r="E111" s="24">
        <f>EBSCOhost!N145</f>
        <v>5317</v>
      </c>
      <c r="F111" s="25"/>
      <c r="G111" s="16"/>
      <c r="H111" s="16">
        <v>0</v>
      </c>
      <c r="I111" s="16" t="s">
        <v>231</v>
      </c>
      <c r="J111" s="23">
        <v>0</v>
      </c>
      <c r="K111" s="23" t="s">
        <v>231</v>
      </c>
      <c r="L111" s="18"/>
    </row>
    <row r="112" spans="1:12">
      <c r="A112" s="11" t="s">
        <v>161</v>
      </c>
      <c r="B112" s="11" t="s">
        <v>249</v>
      </c>
      <c r="C112" s="11" t="s">
        <v>192</v>
      </c>
      <c r="D112" s="24">
        <f>EBSCOhost!N150</f>
        <v>1435</v>
      </c>
      <c r="E112" s="24">
        <f>EBSCOhost!N151</f>
        <v>5885</v>
      </c>
      <c r="F112" s="25"/>
      <c r="G112" s="16"/>
      <c r="H112" s="16">
        <v>0</v>
      </c>
      <c r="I112" s="16" t="s">
        <v>231</v>
      </c>
      <c r="J112" s="23">
        <v>0</v>
      </c>
      <c r="K112" s="23" t="s">
        <v>231</v>
      </c>
      <c r="L112" s="18"/>
    </row>
    <row r="113" spans="1:12" ht="25.5">
      <c r="A113" s="11" t="s">
        <v>4</v>
      </c>
      <c r="B113" s="11" t="s">
        <v>384</v>
      </c>
      <c r="C113" s="12" t="s">
        <v>242</v>
      </c>
      <c r="D113" s="19" t="s">
        <v>231</v>
      </c>
      <c r="E113" s="24">
        <f>CSA!N122</f>
        <v>792</v>
      </c>
      <c r="F113" s="36"/>
      <c r="G113" s="24"/>
      <c r="H113" s="24">
        <v>0</v>
      </c>
      <c r="I113" s="16" t="s">
        <v>231</v>
      </c>
      <c r="J113" s="23">
        <v>0</v>
      </c>
      <c r="K113" s="23" t="s">
        <v>231</v>
      </c>
      <c r="L113" s="18"/>
    </row>
    <row r="114" spans="1:12" ht="25.5">
      <c r="A114" s="11" t="s">
        <v>201</v>
      </c>
      <c r="B114" s="11" t="s">
        <v>384</v>
      </c>
      <c r="C114" s="12" t="s">
        <v>242</v>
      </c>
      <c r="D114" s="19" t="s">
        <v>231</v>
      </c>
      <c r="E114" s="24">
        <f>CSA!N117</f>
        <v>3323</v>
      </c>
      <c r="F114" s="36"/>
      <c r="G114" s="24"/>
      <c r="H114" s="24">
        <v>0</v>
      </c>
      <c r="I114" s="16" t="s">
        <v>231</v>
      </c>
      <c r="J114" s="23">
        <v>7600</v>
      </c>
      <c r="K114" s="23">
        <f>J114/E114</f>
        <v>2.2870899789346977</v>
      </c>
      <c r="L114" s="18"/>
    </row>
    <row r="115" spans="1:12">
      <c r="A115" s="11" t="s">
        <v>131</v>
      </c>
      <c r="B115" s="11" t="s">
        <v>249</v>
      </c>
      <c r="C115" s="11" t="s">
        <v>192</v>
      </c>
      <c r="D115" s="24">
        <f>EBSCOhost!N156</f>
        <v>1132</v>
      </c>
      <c r="E115" s="24">
        <f>EBSCOhost!N157</f>
        <v>5510</v>
      </c>
      <c r="F115" s="25"/>
      <c r="G115" s="16"/>
      <c r="H115" s="16">
        <v>0</v>
      </c>
      <c r="I115" s="16" t="s">
        <v>231</v>
      </c>
      <c r="J115" s="23">
        <v>2348</v>
      </c>
      <c r="K115" s="23">
        <f>J115/E115</f>
        <v>0.4261343012704174</v>
      </c>
      <c r="L115" s="18"/>
    </row>
    <row r="116" spans="1:12">
      <c r="A116" s="11" t="s">
        <v>313</v>
      </c>
      <c r="B116" s="11" t="s">
        <v>313</v>
      </c>
      <c r="C116" s="11" t="s">
        <v>151</v>
      </c>
      <c r="D116" s="24">
        <f>netLibrary!N8</f>
        <v>422</v>
      </c>
      <c r="E116" s="24" t="s">
        <v>231</v>
      </c>
      <c r="F116" s="25"/>
      <c r="G116" s="16"/>
      <c r="H116" s="37">
        <f>netLibrary!N9</f>
        <v>114</v>
      </c>
      <c r="I116" s="16" t="s">
        <v>231</v>
      </c>
      <c r="J116" s="23">
        <v>0</v>
      </c>
      <c r="K116" s="23" t="s">
        <v>231</v>
      </c>
      <c r="L116" s="18"/>
    </row>
    <row r="117" spans="1:12" ht="25.5">
      <c r="A117" s="11" t="s">
        <v>108</v>
      </c>
      <c r="B117" s="11" t="s">
        <v>289</v>
      </c>
      <c r="C117" s="12" t="s">
        <v>252</v>
      </c>
      <c r="D117" s="13">
        <f>Newsbank!N27</f>
        <v>603</v>
      </c>
      <c r="E117" s="24">
        <f>Newsbank!N26</f>
        <v>599</v>
      </c>
      <c r="F117" s="25"/>
      <c r="G117" s="16"/>
      <c r="H117" s="16">
        <v>0</v>
      </c>
      <c r="I117" s="16" t="s">
        <v>231</v>
      </c>
      <c r="J117" s="23">
        <v>0</v>
      </c>
      <c r="K117" s="23" t="s">
        <v>231</v>
      </c>
      <c r="L117" s="18"/>
    </row>
    <row r="118" spans="1:12">
      <c r="A118" s="11" t="s">
        <v>332</v>
      </c>
      <c r="B118" s="11" t="s">
        <v>367</v>
      </c>
      <c r="C118" s="12" t="s">
        <v>192</v>
      </c>
      <c r="D118" s="13">
        <f>FirstSearch!N63</f>
        <v>28</v>
      </c>
      <c r="E118" s="24">
        <f>FirstSearch!N64</f>
        <v>49</v>
      </c>
      <c r="F118" s="25"/>
      <c r="G118" s="16"/>
      <c r="H118" s="16">
        <f>FirstSearch!N66</f>
        <v>0</v>
      </c>
      <c r="I118" s="16" t="s">
        <v>231</v>
      </c>
      <c r="J118" s="23">
        <v>0</v>
      </c>
      <c r="K118" s="23" t="s">
        <v>231</v>
      </c>
      <c r="L118" s="18"/>
    </row>
    <row r="119" spans="1:12" ht="25.5">
      <c r="A119" s="11" t="s">
        <v>81</v>
      </c>
      <c r="B119" s="11" t="s">
        <v>384</v>
      </c>
      <c r="C119" s="12" t="s">
        <v>242</v>
      </c>
      <c r="D119" s="19" t="s">
        <v>231</v>
      </c>
      <c r="E119" s="24">
        <f>CSA!N132</f>
        <v>1400</v>
      </c>
      <c r="F119" s="25"/>
      <c r="G119" s="16"/>
      <c r="H119" s="16">
        <v>0</v>
      </c>
      <c r="I119" s="16" t="s">
        <v>231</v>
      </c>
      <c r="J119" s="23">
        <v>0</v>
      </c>
      <c r="K119" s="23" t="s">
        <v>231</v>
      </c>
      <c r="L119" s="18"/>
    </row>
    <row r="120" spans="1:12">
      <c r="A120" s="11" t="s">
        <v>271</v>
      </c>
      <c r="B120" s="11" t="s">
        <v>367</v>
      </c>
      <c r="C120" s="12" t="s">
        <v>192</v>
      </c>
      <c r="D120" s="20">
        <f>FirstSearch!N71</f>
        <v>114</v>
      </c>
      <c r="E120" s="24">
        <f>FirstSearch!N72</f>
        <v>114</v>
      </c>
      <c r="F120" s="25"/>
      <c r="G120" s="16"/>
      <c r="H120" s="37">
        <f>FirstSearch!N74</f>
        <v>0</v>
      </c>
      <c r="I120" s="16" t="s">
        <v>231</v>
      </c>
      <c r="J120" s="23">
        <v>0</v>
      </c>
      <c r="K120" s="23" t="s">
        <v>231</v>
      </c>
      <c r="L120" s="18"/>
    </row>
    <row r="121" spans="1:12">
      <c r="A121" s="11" t="s">
        <v>94</v>
      </c>
      <c r="B121" s="11" t="s">
        <v>367</v>
      </c>
      <c r="C121" s="11" t="s">
        <v>192</v>
      </c>
      <c r="D121" s="24">
        <f>FirstSearch!N79</f>
        <v>323</v>
      </c>
      <c r="E121" s="24">
        <f>FirstSearch!N80</f>
        <v>485</v>
      </c>
      <c r="F121" s="25"/>
      <c r="G121" s="16"/>
      <c r="H121" s="37">
        <f>FirstSearch!N82</f>
        <v>5</v>
      </c>
      <c r="I121" s="16" t="s">
        <v>231</v>
      </c>
      <c r="J121" s="23">
        <v>0</v>
      </c>
      <c r="K121" s="23" t="s">
        <v>231</v>
      </c>
      <c r="L121" s="10"/>
    </row>
    <row r="122" spans="1:12" ht="25.5">
      <c r="A122" s="11" t="s">
        <v>297</v>
      </c>
      <c r="B122" s="11" t="s">
        <v>363</v>
      </c>
      <c r="C122" s="12" t="s">
        <v>242</v>
      </c>
      <c r="D122" s="14">
        <f>OVID!N45</f>
        <v>4980</v>
      </c>
      <c r="E122" s="24">
        <f>OVID!N44</f>
        <v>5870</v>
      </c>
      <c r="F122" s="25"/>
      <c r="G122" s="16"/>
      <c r="H122" s="16">
        <f>OVID!N46</f>
        <v>0</v>
      </c>
      <c r="I122" s="16" t="s">
        <v>231</v>
      </c>
      <c r="J122" s="23">
        <v>0</v>
      </c>
      <c r="K122" s="23" t="s">
        <v>231</v>
      </c>
      <c r="L122" s="18"/>
    </row>
    <row r="123" spans="1:12">
      <c r="A123" s="11" t="s">
        <v>205</v>
      </c>
      <c r="B123" s="11" t="s">
        <v>293</v>
      </c>
      <c r="C123" s="12" t="s">
        <v>151</v>
      </c>
      <c r="D123" s="20">
        <f>Oxford!N21</f>
        <v>2932</v>
      </c>
      <c r="E123" s="24">
        <f>Oxford!N23</f>
        <v>6898</v>
      </c>
      <c r="F123" s="36"/>
      <c r="G123" s="24"/>
      <c r="H123" s="24">
        <f>Oxford!N101</f>
        <v>0</v>
      </c>
      <c r="I123" s="16">
        <f>Oxford!N21</f>
        <v>2932</v>
      </c>
      <c r="J123" s="23">
        <v>3899.34</v>
      </c>
      <c r="K123" s="23">
        <f>J123/E123</f>
        <v>0.56528559002609458</v>
      </c>
      <c r="L123" s="18"/>
    </row>
    <row r="124" spans="1:12" ht="25.5">
      <c r="A124" s="11" t="s">
        <v>215</v>
      </c>
      <c r="B124" s="11" t="s">
        <v>384</v>
      </c>
      <c r="C124" s="12" t="s">
        <v>242</v>
      </c>
      <c r="D124" s="19" t="s">
        <v>231</v>
      </c>
      <c r="E124" s="24">
        <f>CSA!N142</f>
        <v>3036</v>
      </c>
      <c r="F124" s="25"/>
      <c r="G124" s="16"/>
      <c r="H124" s="16">
        <v>0</v>
      </c>
      <c r="I124" s="16" t="s">
        <v>231</v>
      </c>
      <c r="J124" s="23">
        <v>0</v>
      </c>
      <c r="K124" s="23" t="s">
        <v>231</v>
      </c>
      <c r="L124" s="18"/>
    </row>
    <row r="125" spans="1:12" ht="25.5">
      <c r="A125" s="11" t="s">
        <v>415</v>
      </c>
      <c r="B125" s="11" t="s">
        <v>384</v>
      </c>
      <c r="C125" s="12" t="s">
        <v>242</v>
      </c>
      <c r="D125" s="19" t="s">
        <v>231</v>
      </c>
      <c r="E125" s="24">
        <f>CSA!N137</f>
        <v>3693</v>
      </c>
      <c r="F125" s="25"/>
      <c r="G125" s="16"/>
      <c r="H125" s="16">
        <v>0</v>
      </c>
      <c r="I125" s="16" t="s">
        <v>231</v>
      </c>
      <c r="J125" s="23">
        <v>6050</v>
      </c>
      <c r="K125" s="23">
        <f>J125/E125</f>
        <v>1.6382344976983483</v>
      </c>
      <c r="L125" s="18"/>
    </row>
    <row r="126" spans="1:12">
      <c r="A126" s="11" t="s">
        <v>191</v>
      </c>
      <c r="B126" s="11" t="s">
        <v>367</v>
      </c>
      <c r="C126" s="11" t="s">
        <v>192</v>
      </c>
      <c r="D126" s="24">
        <f>FirstSearch!N87</f>
        <v>90</v>
      </c>
      <c r="E126" s="24">
        <f>FirstSearch!N88</f>
        <v>133</v>
      </c>
      <c r="F126" s="25"/>
      <c r="G126" s="16"/>
      <c r="H126" s="37">
        <f>FirstSearch!N82</f>
        <v>5</v>
      </c>
      <c r="I126" s="16" t="s">
        <v>231</v>
      </c>
      <c r="J126" s="23">
        <v>0</v>
      </c>
      <c r="K126" s="23" t="s">
        <v>231</v>
      </c>
      <c r="L126" s="18"/>
    </row>
    <row r="127" spans="1:12" ht="25.5">
      <c r="A127" s="11" t="s">
        <v>36</v>
      </c>
      <c r="B127" s="11" t="s">
        <v>384</v>
      </c>
      <c r="C127" s="12" t="s">
        <v>242</v>
      </c>
      <c r="D127" s="19" t="s">
        <v>231</v>
      </c>
      <c r="E127" s="24">
        <f>CSA!N147</f>
        <v>907</v>
      </c>
      <c r="F127" s="25"/>
      <c r="G127" s="16"/>
      <c r="H127" s="16">
        <v>0</v>
      </c>
      <c r="I127" s="16" t="s">
        <v>231</v>
      </c>
      <c r="J127" s="23">
        <v>2800</v>
      </c>
      <c r="K127" s="23">
        <f>J127/E127</f>
        <v>3.0871003307607499</v>
      </c>
      <c r="L127" s="18"/>
    </row>
    <row r="128" spans="1:12" ht="25.5">
      <c r="A128" s="11" t="s">
        <v>406</v>
      </c>
      <c r="B128" s="11" t="s">
        <v>384</v>
      </c>
      <c r="C128" s="12" t="s">
        <v>242</v>
      </c>
      <c r="D128" s="19" t="s">
        <v>231</v>
      </c>
      <c r="E128" s="24">
        <f>CSA!N152</f>
        <v>3791</v>
      </c>
      <c r="F128" s="25"/>
      <c r="G128" s="16"/>
      <c r="H128" s="16">
        <v>0</v>
      </c>
      <c r="I128" s="16" t="s">
        <v>231</v>
      </c>
      <c r="J128" s="23">
        <v>1060</v>
      </c>
      <c r="K128" s="23">
        <f>J128/E128</f>
        <v>0.27960960168820892</v>
      </c>
      <c r="L128" s="18"/>
    </row>
    <row r="129" spans="1:12" ht="25.5">
      <c r="A129" s="11" t="s">
        <v>113</v>
      </c>
      <c r="B129" s="11" t="s">
        <v>384</v>
      </c>
      <c r="C129" s="12" t="s">
        <v>242</v>
      </c>
      <c r="D129" s="13" t="s">
        <v>231</v>
      </c>
      <c r="E129" s="24">
        <f>CSA!N157</f>
        <v>2277</v>
      </c>
      <c r="F129" s="25"/>
      <c r="G129" s="16"/>
      <c r="H129" s="16">
        <v>0</v>
      </c>
      <c r="I129" s="16" t="s">
        <v>231</v>
      </c>
      <c r="J129" s="23">
        <v>0</v>
      </c>
      <c r="K129" s="23" t="s">
        <v>231</v>
      </c>
      <c r="L129" s="18"/>
    </row>
    <row r="130" spans="1:12" ht="25.5">
      <c r="A130" s="11" t="s">
        <v>198</v>
      </c>
      <c r="B130" s="11" t="s">
        <v>384</v>
      </c>
      <c r="C130" s="12" t="s">
        <v>242</v>
      </c>
      <c r="D130" s="13" t="s">
        <v>231</v>
      </c>
      <c r="E130" s="24">
        <f>CSA!N162</f>
        <v>0</v>
      </c>
      <c r="F130" s="25"/>
      <c r="G130" s="16"/>
      <c r="H130" s="16">
        <v>0</v>
      </c>
      <c r="I130" s="16" t="s">
        <v>231</v>
      </c>
      <c r="J130" s="23">
        <v>0</v>
      </c>
      <c r="K130" s="23" t="s">
        <v>231</v>
      </c>
      <c r="L130" s="18"/>
    </row>
    <row r="131" spans="1:12">
      <c r="A131" s="11" t="s">
        <v>304</v>
      </c>
      <c r="B131" s="11" t="s">
        <v>249</v>
      </c>
      <c r="C131" s="11" t="s">
        <v>192</v>
      </c>
      <c r="D131" s="24">
        <f>EBSCOhost!N162</f>
        <v>1318</v>
      </c>
      <c r="E131" s="24">
        <f>EBSCOhost!N163</f>
        <v>6596</v>
      </c>
      <c r="F131" s="25"/>
      <c r="G131" s="16"/>
      <c r="H131" s="16">
        <v>0</v>
      </c>
      <c r="I131" s="16" t="s">
        <v>231</v>
      </c>
      <c r="J131" s="23">
        <v>0</v>
      </c>
      <c r="K131" s="23" t="s">
        <v>231</v>
      </c>
      <c r="L131" s="18"/>
    </row>
    <row r="132" spans="1:12">
      <c r="A132" s="11" t="s">
        <v>236</v>
      </c>
      <c r="B132" s="11" t="s">
        <v>367</v>
      </c>
      <c r="C132" s="11" t="s">
        <v>192</v>
      </c>
      <c r="D132" s="24">
        <f>FirstSearch!N95</f>
        <v>43</v>
      </c>
      <c r="E132" s="24">
        <f>FirstSearch!N96</f>
        <v>53</v>
      </c>
      <c r="F132" s="25"/>
      <c r="G132" s="16"/>
      <c r="H132" s="37">
        <f>FirstSearch!N98</f>
        <v>1</v>
      </c>
      <c r="I132" s="16" t="s">
        <v>231</v>
      </c>
      <c r="J132" s="23">
        <v>0</v>
      </c>
      <c r="K132" s="23" t="s">
        <v>231</v>
      </c>
      <c r="L132" s="18"/>
    </row>
    <row r="133" spans="1:12" ht="25.5">
      <c r="A133" s="11" t="s">
        <v>264</v>
      </c>
      <c r="B133" s="11" t="s">
        <v>56</v>
      </c>
      <c r="C133" s="11" t="s">
        <v>192</v>
      </c>
      <c r="D133" s="16">
        <f>ProQuest!N56</f>
        <v>0</v>
      </c>
      <c r="E133" s="24">
        <f>ProQuest!N55</f>
        <v>0</v>
      </c>
      <c r="F133" s="25"/>
      <c r="G133" s="16"/>
      <c r="H133" s="16">
        <v>0</v>
      </c>
      <c r="I133" s="16" t="s">
        <v>231</v>
      </c>
      <c r="J133" s="23">
        <f>ProQuest!O55</f>
        <v>0</v>
      </c>
      <c r="K133" s="23" t="str">
        <f>ProQuest!P55</f>
        <v>N/A</v>
      </c>
      <c r="L133" s="10"/>
    </row>
    <row r="134" spans="1:12">
      <c r="A134" s="11" t="s">
        <v>193</v>
      </c>
      <c r="B134" s="11" t="s">
        <v>56</v>
      </c>
      <c r="C134" s="11" t="s">
        <v>192</v>
      </c>
      <c r="D134" s="16">
        <f>ProQuest!N62</f>
        <v>4420</v>
      </c>
      <c r="E134" s="24">
        <f>ProQuest!N61</f>
        <v>12758</v>
      </c>
      <c r="F134" s="25"/>
      <c r="G134" s="16"/>
      <c r="H134" s="16">
        <v>0</v>
      </c>
      <c r="I134" s="16" t="s">
        <v>231</v>
      </c>
      <c r="J134" s="23">
        <v>3370</v>
      </c>
      <c r="K134" s="23">
        <f>J134/E134</f>
        <v>0.26414798557767677</v>
      </c>
      <c r="L134" s="18"/>
    </row>
    <row r="135" spans="1:12">
      <c r="A135" s="11" t="s">
        <v>302</v>
      </c>
      <c r="B135" s="11" t="s">
        <v>56</v>
      </c>
      <c r="C135" s="11" t="s">
        <v>192</v>
      </c>
      <c r="D135" s="16" t="s">
        <v>231</v>
      </c>
      <c r="E135" s="24">
        <f>ProQuest!N67</f>
        <v>14898</v>
      </c>
      <c r="F135" s="25"/>
      <c r="G135" s="16"/>
      <c r="H135" s="16">
        <v>0</v>
      </c>
      <c r="I135" s="16" t="s">
        <v>231</v>
      </c>
      <c r="J135" s="23">
        <f>ProQuest!O67</f>
        <v>0</v>
      </c>
      <c r="K135" s="23" t="str">
        <f>ProQuest!P67</f>
        <v>N/A</v>
      </c>
      <c r="L135" s="18"/>
    </row>
    <row r="136" spans="1:12">
      <c r="A136" s="11" t="s">
        <v>159</v>
      </c>
      <c r="B136" s="11" t="s">
        <v>56</v>
      </c>
      <c r="C136" s="11" t="s">
        <v>192</v>
      </c>
      <c r="D136" s="16">
        <f>ProQuest!N73</f>
        <v>4160</v>
      </c>
      <c r="E136" s="24">
        <f>ProQuest!N72</f>
        <v>12613</v>
      </c>
      <c r="F136" s="25"/>
      <c r="G136" s="16"/>
      <c r="H136" s="16">
        <v>0</v>
      </c>
      <c r="I136" s="16" t="s">
        <v>231</v>
      </c>
      <c r="J136" s="23">
        <v>1940</v>
      </c>
      <c r="K136" s="23">
        <f>J136/E136</f>
        <v>0.15380956156346626</v>
      </c>
      <c r="L136" s="18"/>
    </row>
    <row r="137" spans="1:12" ht="25.5">
      <c r="A137" s="11" t="s">
        <v>299</v>
      </c>
      <c r="B137" s="11" t="s">
        <v>384</v>
      </c>
      <c r="C137" s="12" t="s">
        <v>242</v>
      </c>
      <c r="D137" s="13" t="s">
        <v>231</v>
      </c>
      <c r="E137" s="24">
        <f>CSA!N166</f>
        <v>16797</v>
      </c>
      <c r="F137" s="25"/>
      <c r="G137" s="16"/>
      <c r="H137" s="16">
        <v>0</v>
      </c>
      <c r="I137" s="16" t="s">
        <v>231</v>
      </c>
      <c r="J137" s="23">
        <v>19369</v>
      </c>
      <c r="K137" s="23">
        <f>J137/E137</f>
        <v>1.1531225814133477</v>
      </c>
      <c r="L137" s="18"/>
    </row>
    <row r="138" spans="1:12" ht="25.5">
      <c r="A138" s="11" t="s">
        <v>86</v>
      </c>
      <c r="B138" s="11" t="s">
        <v>384</v>
      </c>
      <c r="C138" s="12" t="s">
        <v>242</v>
      </c>
      <c r="D138" s="19" t="s">
        <v>231</v>
      </c>
      <c r="E138" s="24">
        <f>CSA!N170</f>
        <v>33893</v>
      </c>
      <c r="F138" s="25"/>
      <c r="G138" s="16"/>
      <c r="H138" s="16">
        <v>0</v>
      </c>
      <c r="I138" s="16" t="s">
        <v>231</v>
      </c>
      <c r="J138" s="23">
        <v>15675</v>
      </c>
      <c r="K138" s="23">
        <f>J138/E138</f>
        <v>0.46248487888354528</v>
      </c>
      <c r="L138" s="18"/>
    </row>
    <row r="139" spans="1:12" ht="25.5">
      <c r="A139" s="11" t="s">
        <v>203</v>
      </c>
      <c r="B139" s="11" t="s">
        <v>232</v>
      </c>
      <c r="C139" s="11" t="s">
        <v>252</v>
      </c>
      <c r="D139" s="24">
        <f>WilsonWeb!N89</f>
        <v>238</v>
      </c>
      <c r="E139" s="24">
        <f>WilsonWeb!N90</f>
        <v>796</v>
      </c>
      <c r="F139" s="25"/>
      <c r="G139" s="16"/>
      <c r="H139" s="37">
        <f>WilsonWeb!N91</f>
        <v>7</v>
      </c>
      <c r="I139" s="16" t="s">
        <v>231</v>
      </c>
      <c r="J139" s="23">
        <v>326</v>
      </c>
      <c r="K139" s="23">
        <f>J139/E139</f>
        <v>0.40954773869346733</v>
      </c>
      <c r="L139" s="10"/>
    </row>
    <row r="140" spans="1:12">
      <c r="A140" s="11" t="s">
        <v>290</v>
      </c>
      <c r="B140" s="11" t="s">
        <v>2</v>
      </c>
      <c r="C140" s="12" t="s">
        <v>151</v>
      </c>
      <c r="D140" s="24" t="s">
        <v>231</v>
      </c>
      <c r="E140" s="24">
        <f>ReferenceUSA!N9</f>
        <v>406</v>
      </c>
      <c r="F140" s="25"/>
      <c r="G140" s="16"/>
      <c r="H140" s="16">
        <v>0</v>
      </c>
      <c r="I140" s="16">
        <f>ReferenceUSA!N10</f>
        <v>547</v>
      </c>
      <c r="J140" s="23">
        <v>0</v>
      </c>
      <c r="K140" s="23" t="s">
        <v>231</v>
      </c>
      <c r="L140" s="18"/>
    </row>
    <row r="141" spans="1:12">
      <c r="A141" s="11" t="s">
        <v>399</v>
      </c>
      <c r="B141" s="11" t="s">
        <v>2</v>
      </c>
      <c r="C141" s="12" t="s">
        <v>151</v>
      </c>
      <c r="D141" s="24" t="s">
        <v>231</v>
      </c>
      <c r="E141" s="24">
        <f>ReferenceUSA!N27</f>
        <v>187</v>
      </c>
      <c r="F141" s="25"/>
      <c r="G141" s="16"/>
      <c r="H141" s="16">
        <v>0</v>
      </c>
      <c r="I141" s="16">
        <f>ReferenceUSA!N28</f>
        <v>207</v>
      </c>
      <c r="J141" s="23">
        <v>6423.8</v>
      </c>
      <c r="K141" s="23">
        <f>J141/E141</f>
        <v>34.35187165775401</v>
      </c>
      <c r="L141" s="18"/>
    </row>
    <row r="142" spans="1:12">
      <c r="A142" s="11" t="s">
        <v>414</v>
      </c>
      <c r="B142" s="11" t="s">
        <v>2</v>
      </c>
      <c r="C142" s="12" t="s">
        <v>151</v>
      </c>
      <c r="D142" s="24">
        <f>ReferenceUSA!N44</f>
        <v>199</v>
      </c>
      <c r="E142" s="24">
        <f>ReferenceUSA!N45</f>
        <v>593</v>
      </c>
      <c r="F142" s="25"/>
      <c r="G142" s="16"/>
      <c r="H142" s="16">
        <v>0</v>
      </c>
      <c r="I142" s="16">
        <f>ReferenceUSA!N46</f>
        <v>754</v>
      </c>
      <c r="J142" s="23">
        <v>0</v>
      </c>
      <c r="K142" s="23" t="s">
        <v>231</v>
      </c>
      <c r="L142" s="18"/>
    </row>
    <row r="143" spans="1:12">
      <c r="A143" s="11" t="s">
        <v>365</v>
      </c>
      <c r="B143" s="11" t="s">
        <v>384</v>
      </c>
      <c r="C143" s="12" t="s">
        <v>151</v>
      </c>
      <c r="D143" s="20">
        <f>RefWorks!N10</f>
        <v>5774</v>
      </c>
      <c r="E143" s="16">
        <f>RefWorks!N12</f>
        <v>27020.53</v>
      </c>
      <c r="F143" s="25"/>
      <c r="G143" s="16"/>
      <c r="H143" s="16">
        <v>0</v>
      </c>
      <c r="I143" s="16" t="s">
        <v>231</v>
      </c>
      <c r="J143" s="23">
        <v>14030</v>
      </c>
      <c r="K143" s="23">
        <f>J143/E143</f>
        <v>0.5192348188581053</v>
      </c>
      <c r="L143" s="18"/>
    </row>
    <row r="144" spans="1:12">
      <c r="A144" s="11" t="s">
        <v>375</v>
      </c>
      <c r="B144" s="11" t="s">
        <v>249</v>
      </c>
      <c r="C144" s="12" t="s">
        <v>192</v>
      </c>
      <c r="D144" s="14">
        <f>EBSCOhost!N168</f>
        <v>370</v>
      </c>
      <c r="E144" s="16">
        <f>EBSCOhost!N169</f>
        <v>1734</v>
      </c>
      <c r="F144" s="25"/>
      <c r="G144" s="16"/>
      <c r="H144" s="16">
        <v>0</v>
      </c>
      <c r="I144" s="16" t="s">
        <v>231</v>
      </c>
      <c r="J144" s="23">
        <v>0</v>
      </c>
      <c r="K144" s="23" t="s">
        <v>231</v>
      </c>
      <c r="L144" s="18"/>
    </row>
    <row r="145" spans="1:12" ht="25.5">
      <c r="A145" s="11" t="s">
        <v>173</v>
      </c>
      <c r="B145" s="11" t="s">
        <v>384</v>
      </c>
      <c r="C145" s="12" t="s">
        <v>242</v>
      </c>
      <c r="D145" s="14" t="s">
        <v>231</v>
      </c>
      <c r="E145" s="16">
        <f>CSA!N175</f>
        <v>0</v>
      </c>
      <c r="F145" s="25"/>
      <c r="G145" s="16"/>
      <c r="H145" s="16">
        <v>0</v>
      </c>
      <c r="I145" s="16" t="s">
        <v>231</v>
      </c>
      <c r="J145" s="23">
        <v>0</v>
      </c>
      <c r="K145" s="23" t="s">
        <v>231</v>
      </c>
      <c r="L145" s="18"/>
    </row>
    <row r="146" spans="1:12">
      <c r="A146" s="11" t="s">
        <v>319</v>
      </c>
      <c r="B146" s="11" t="s">
        <v>56</v>
      </c>
      <c r="C146" s="11" t="s">
        <v>192</v>
      </c>
      <c r="D146" s="16">
        <f>ProQuest!N77</f>
        <v>0</v>
      </c>
      <c r="E146" s="24">
        <f>ProQuest!N78</f>
        <v>0</v>
      </c>
      <c r="F146" s="25"/>
      <c r="G146" s="16"/>
      <c r="H146" s="16"/>
      <c r="I146" s="16" t="s">
        <v>231</v>
      </c>
      <c r="J146" s="23">
        <v>4501</v>
      </c>
      <c r="K146" s="23" t="s">
        <v>231</v>
      </c>
      <c r="L146" s="18"/>
    </row>
    <row r="147" spans="1:12">
      <c r="A147" s="11" t="s">
        <v>369</v>
      </c>
      <c r="B147" s="11" t="s">
        <v>171</v>
      </c>
      <c r="C147" s="11" t="s">
        <v>151</v>
      </c>
      <c r="D147" s="24">
        <f>SciFinderScholar!N8</f>
        <v>3969</v>
      </c>
      <c r="E147" s="24">
        <f>SciFinderScholar!N9</f>
        <v>4862</v>
      </c>
      <c r="F147" s="36"/>
      <c r="G147" s="24"/>
      <c r="H147" s="24">
        <f>SciFinderScholar!N10</f>
        <v>893</v>
      </c>
      <c r="I147" s="16" t="s">
        <v>231</v>
      </c>
      <c r="J147" s="23">
        <v>33480</v>
      </c>
      <c r="K147" s="23">
        <f>J147/E147</f>
        <v>6.8860551213492389</v>
      </c>
      <c r="L147" s="18"/>
    </row>
    <row r="148" spans="1:12" ht="25.5">
      <c r="A148" s="11" t="s">
        <v>225</v>
      </c>
      <c r="B148" s="11" t="s">
        <v>289</v>
      </c>
      <c r="C148" s="12" t="s">
        <v>252</v>
      </c>
      <c r="D148" s="13" t="s">
        <v>231</v>
      </c>
      <c r="E148" s="24">
        <f>Newsbank!N14</f>
        <v>30</v>
      </c>
      <c r="F148" s="25"/>
      <c r="G148" s="16"/>
      <c r="H148" s="16">
        <v>0</v>
      </c>
      <c r="I148" s="16" t="s">
        <v>231</v>
      </c>
      <c r="J148" s="23">
        <v>583.33000000000004</v>
      </c>
      <c r="K148" s="23">
        <f>J148/E148</f>
        <v>19.444333333333336</v>
      </c>
      <c r="L148" s="18"/>
    </row>
    <row r="149" spans="1:12" ht="25.5">
      <c r="A149" s="11" t="s">
        <v>55</v>
      </c>
      <c r="B149" s="11" t="s">
        <v>232</v>
      </c>
      <c r="C149" s="11" t="s">
        <v>252</v>
      </c>
      <c r="D149" s="24" t="s">
        <v>231</v>
      </c>
      <c r="E149" s="24" t="s">
        <v>231</v>
      </c>
      <c r="F149" s="25"/>
      <c r="G149" s="16"/>
      <c r="H149" s="37" t="s">
        <v>231</v>
      </c>
      <c r="I149" s="16" t="s">
        <v>231</v>
      </c>
      <c r="J149" s="23">
        <v>40.5</v>
      </c>
      <c r="K149" s="23" t="s">
        <v>231</v>
      </c>
      <c r="L149" s="18"/>
    </row>
    <row r="150" spans="1:12" ht="25.5">
      <c r="A150" s="11" t="s">
        <v>339</v>
      </c>
      <c r="B150" s="11" t="s">
        <v>384</v>
      </c>
      <c r="C150" s="12" t="s">
        <v>242</v>
      </c>
      <c r="D150" s="19" t="s">
        <v>231</v>
      </c>
      <c r="E150" s="24">
        <f>CSA!N180</f>
        <v>2766</v>
      </c>
      <c r="F150" s="25"/>
      <c r="G150" s="16"/>
      <c r="H150" s="16">
        <v>0</v>
      </c>
      <c r="I150" s="16" t="s">
        <v>231</v>
      </c>
      <c r="J150" s="23">
        <v>0</v>
      </c>
      <c r="K150" s="23" t="s">
        <v>231</v>
      </c>
      <c r="L150" s="18"/>
    </row>
    <row r="151" spans="1:12" ht="25.5">
      <c r="A151" s="11" t="s">
        <v>407</v>
      </c>
      <c r="B151" s="11" t="s">
        <v>384</v>
      </c>
      <c r="C151" s="12" t="s">
        <v>242</v>
      </c>
      <c r="D151" s="19" t="s">
        <v>231</v>
      </c>
      <c r="E151" s="24">
        <f>CSA!N185</f>
        <v>4493</v>
      </c>
      <c r="F151" s="25"/>
      <c r="G151" s="16"/>
      <c r="H151" s="16">
        <v>0</v>
      </c>
      <c r="I151" s="16" t="s">
        <v>231</v>
      </c>
      <c r="J151" s="23">
        <v>4580</v>
      </c>
      <c r="K151" s="23">
        <f>J151/E151</f>
        <v>1.0193634542621857</v>
      </c>
      <c r="L151" s="18"/>
    </row>
    <row r="152" spans="1:12" ht="25.5">
      <c r="A152" s="11" t="s">
        <v>270</v>
      </c>
      <c r="B152" s="11" t="s">
        <v>384</v>
      </c>
      <c r="C152" s="12" t="s">
        <v>242</v>
      </c>
      <c r="D152" s="13" t="s">
        <v>231</v>
      </c>
      <c r="E152" s="24">
        <f>CSA!N190</f>
        <v>1197</v>
      </c>
      <c r="F152" s="25"/>
      <c r="G152" s="16"/>
      <c r="H152" s="16">
        <v>0</v>
      </c>
      <c r="I152" s="16" t="s">
        <v>231</v>
      </c>
      <c r="J152" s="23">
        <v>1361.33</v>
      </c>
      <c r="K152" s="23">
        <f>J152/E152</f>
        <v>1.1372848788638261</v>
      </c>
      <c r="L152" s="18"/>
    </row>
    <row r="153" spans="1:12">
      <c r="A153" s="11" t="s">
        <v>124</v>
      </c>
      <c r="B153" s="11" t="s">
        <v>249</v>
      </c>
      <c r="C153" s="12" t="s">
        <v>192</v>
      </c>
      <c r="D153" s="13">
        <f>EBSCOhost!N174</f>
        <v>1144</v>
      </c>
      <c r="E153" s="24">
        <f>EBSCOhost!N175</f>
        <v>5795</v>
      </c>
      <c r="F153" s="25"/>
      <c r="G153" s="16"/>
      <c r="H153" s="16">
        <v>0</v>
      </c>
      <c r="I153" s="16" t="s">
        <v>231</v>
      </c>
      <c r="J153" s="23">
        <v>0</v>
      </c>
      <c r="K153" s="23" t="s">
        <v>231</v>
      </c>
      <c r="L153" s="18"/>
    </row>
    <row r="154" spans="1:12">
      <c r="A154" s="11" t="s">
        <v>5</v>
      </c>
      <c r="B154" s="11" t="s">
        <v>249</v>
      </c>
      <c r="C154" s="11" t="s">
        <v>192</v>
      </c>
      <c r="D154" s="24">
        <f>EBSCOhost!N180</f>
        <v>1390</v>
      </c>
      <c r="E154" s="24">
        <f>EBSCOhost!N181</f>
        <v>6940</v>
      </c>
      <c r="F154" s="25"/>
      <c r="G154" s="16"/>
      <c r="H154" s="16">
        <v>0</v>
      </c>
      <c r="I154" s="16" t="s">
        <v>231</v>
      </c>
      <c r="J154" s="23">
        <v>2894</v>
      </c>
      <c r="K154" s="23">
        <f>J154/E154</f>
        <v>0.41700288184438039</v>
      </c>
      <c r="L154" s="18"/>
    </row>
    <row r="155" spans="1:12">
      <c r="A155" s="11" t="s">
        <v>400</v>
      </c>
      <c r="B155" s="11" t="s">
        <v>249</v>
      </c>
      <c r="C155" s="11" t="s">
        <v>192</v>
      </c>
      <c r="D155" s="24">
        <f>EBSCOhost!N186</f>
        <v>1362</v>
      </c>
      <c r="E155" s="24">
        <f>EBSCOhost!N187</f>
        <v>6458</v>
      </c>
      <c r="F155" s="25"/>
      <c r="G155" s="16"/>
      <c r="H155" s="16">
        <v>0</v>
      </c>
      <c r="I155" s="16" t="s">
        <v>231</v>
      </c>
      <c r="J155" s="23">
        <v>0</v>
      </c>
      <c r="K155" s="23" t="s">
        <v>231</v>
      </c>
      <c r="L155" s="18"/>
    </row>
    <row r="156" spans="1:12" ht="25.5">
      <c r="A156" s="11" t="s">
        <v>132</v>
      </c>
      <c r="B156" s="11" t="s">
        <v>384</v>
      </c>
      <c r="C156" s="11" t="s">
        <v>242</v>
      </c>
      <c r="D156" s="24" t="s">
        <v>231</v>
      </c>
      <c r="E156" s="24">
        <f>CSA!N195</f>
        <v>0</v>
      </c>
      <c r="F156" s="25"/>
      <c r="G156" s="16"/>
      <c r="H156" s="16">
        <v>0</v>
      </c>
      <c r="I156" s="16" t="s">
        <v>231</v>
      </c>
      <c r="J156" s="23">
        <v>0</v>
      </c>
      <c r="K156" s="23" t="s">
        <v>231</v>
      </c>
      <c r="L156" s="18"/>
    </row>
    <row r="157" spans="1:12" ht="25.5">
      <c r="A157" s="11" t="s">
        <v>261</v>
      </c>
      <c r="B157" s="11" t="s">
        <v>384</v>
      </c>
      <c r="C157" s="11" t="s">
        <v>242</v>
      </c>
      <c r="D157" s="24" t="s">
        <v>231</v>
      </c>
      <c r="E157" s="24">
        <f>CSA!N200</f>
        <v>0</v>
      </c>
      <c r="F157" s="25"/>
      <c r="G157" s="16"/>
      <c r="H157" s="16">
        <v>0</v>
      </c>
      <c r="I157" s="16" t="s">
        <v>231</v>
      </c>
      <c r="J157" s="23">
        <v>0</v>
      </c>
      <c r="K157" s="23" t="s">
        <v>231</v>
      </c>
      <c r="L157" s="18"/>
    </row>
    <row r="158" spans="1:12" ht="25.5">
      <c r="A158" s="39" t="s">
        <v>156</v>
      </c>
      <c r="B158" s="39" t="s">
        <v>289</v>
      </c>
      <c r="C158" s="40" t="s">
        <v>252</v>
      </c>
      <c r="D158" s="41" t="s">
        <v>231</v>
      </c>
      <c r="E158" s="19">
        <f>Newsbank!N20</f>
        <v>105</v>
      </c>
      <c r="F158" s="21"/>
      <c r="G158" s="19"/>
      <c r="H158" s="19">
        <v>0</v>
      </c>
      <c r="I158" s="19" t="s">
        <v>231</v>
      </c>
      <c r="J158" s="22">
        <v>583.33000000000004</v>
      </c>
      <c r="K158" s="23">
        <f>J158/E158</f>
        <v>5.5555238095238098</v>
      </c>
      <c r="L158" s="18"/>
    </row>
    <row r="159" spans="1:12">
      <c r="A159" s="11" t="s">
        <v>316</v>
      </c>
      <c r="B159" s="11" t="s">
        <v>56</v>
      </c>
      <c r="C159" s="11" t="s">
        <v>192</v>
      </c>
      <c r="D159" s="16">
        <f>ProQuest!N83</f>
        <v>3702</v>
      </c>
      <c r="E159" s="24">
        <f>ProQuest!N82</f>
        <v>10739</v>
      </c>
      <c r="F159" s="25"/>
      <c r="G159" s="16"/>
      <c r="H159" s="16">
        <v>0</v>
      </c>
      <c r="I159" s="16" t="s">
        <v>231</v>
      </c>
      <c r="J159" s="23">
        <v>0</v>
      </c>
      <c r="K159" s="23" t="s">
        <v>231</v>
      </c>
      <c r="L159" s="18"/>
    </row>
    <row r="160" spans="1:12" ht="25.5">
      <c r="A160" s="11" t="s">
        <v>292</v>
      </c>
      <c r="B160" s="11" t="s">
        <v>384</v>
      </c>
      <c r="C160" s="11" t="s">
        <v>242</v>
      </c>
      <c r="D160" s="16" t="s">
        <v>231</v>
      </c>
      <c r="E160" s="24">
        <f>CSA!N205</f>
        <v>0</v>
      </c>
      <c r="F160" s="25"/>
      <c r="G160" s="16"/>
      <c r="H160" s="16">
        <v>0</v>
      </c>
      <c r="I160" s="16" t="s">
        <v>231</v>
      </c>
      <c r="J160" s="23">
        <v>0</v>
      </c>
      <c r="K160" s="40" t="s">
        <v>231</v>
      </c>
      <c r="L160" s="18"/>
    </row>
    <row r="161" spans="1:12">
      <c r="A161" s="11" t="s">
        <v>294</v>
      </c>
      <c r="B161" s="11" t="s">
        <v>126</v>
      </c>
      <c r="C161" s="11" t="s">
        <v>192</v>
      </c>
      <c r="D161" s="16">
        <f>WebofScience!N20</f>
        <v>17540</v>
      </c>
      <c r="E161" s="24" t="s">
        <v>231</v>
      </c>
      <c r="F161" s="25"/>
      <c r="G161" s="16"/>
      <c r="H161" s="16">
        <v>0</v>
      </c>
      <c r="I161" s="16" t="s">
        <v>231</v>
      </c>
      <c r="J161" s="23">
        <v>0</v>
      </c>
      <c r="K161" s="23" t="s">
        <v>231</v>
      </c>
      <c r="L161" s="18"/>
    </row>
    <row r="162" spans="1:12">
      <c r="A162" s="11" t="s">
        <v>126</v>
      </c>
      <c r="B162" s="11" t="s">
        <v>126</v>
      </c>
      <c r="C162" s="11" t="s">
        <v>192</v>
      </c>
      <c r="D162" s="24">
        <f>WebofScience!N25</f>
        <v>13606</v>
      </c>
      <c r="E162" s="24">
        <f>WebofScience!N26</f>
        <v>43007</v>
      </c>
      <c r="F162" s="36"/>
      <c r="G162" s="24"/>
      <c r="H162" s="24">
        <v>0</v>
      </c>
      <c r="I162" s="16" t="s">
        <v>231</v>
      </c>
      <c r="J162" s="23">
        <v>112365</v>
      </c>
      <c r="K162" s="23">
        <f>J162/E162</f>
        <v>2.6127142093147628</v>
      </c>
      <c r="L162" s="18"/>
    </row>
    <row r="163" spans="1:12">
      <c r="A163" s="11" t="s">
        <v>103</v>
      </c>
      <c r="B163" s="11" t="s">
        <v>249</v>
      </c>
      <c r="C163" s="11" t="s">
        <v>192</v>
      </c>
      <c r="D163" s="24">
        <f>EBSCOhost!N192</f>
        <v>1501</v>
      </c>
      <c r="E163" s="24">
        <f>EBSCOhost!N193</f>
        <v>6848</v>
      </c>
      <c r="F163" s="36"/>
      <c r="G163" s="24"/>
      <c r="H163" s="24">
        <v>0</v>
      </c>
      <c r="I163" s="16" t="s">
        <v>231</v>
      </c>
      <c r="J163" s="23">
        <v>3019</v>
      </c>
      <c r="K163" s="23">
        <f>J163/E163</f>
        <v>0.44085864485981308</v>
      </c>
      <c r="L163" s="18"/>
    </row>
    <row r="164" spans="1:12">
      <c r="A164" s="11" t="s">
        <v>1</v>
      </c>
      <c r="B164" s="11" t="s">
        <v>367</v>
      </c>
      <c r="C164" s="11" t="s">
        <v>192</v>
      </c>
      <c r="D164" s="24">
        <f>FirstSearch!N103</f>
        <v>112</v>
      </c>
      <c r="E164" s="24">
        <f>FirstSearch!N104</f>
        <v>158</v>
      </c>
      <c r="F164" s="25"/>
      <c r="G164" s="16"/>
      <c r="H164" s="37">
        <f>FirstSearch!N106</f>
        <v>24</v>
      </c>
      <c r="I164" s="16" t="s">
        <v>231</v>
      </c>
      <c r="J164" s="23">
        <v>0</v>
      </c>
      <c r="K164" s="23" t="s">
        <v>231</v>
      </c>
      <c r="L164" s="18"/>
    </row>
    <row r="165" spans="1:12">
      <c r="A165" s="11" t="s">
        <v>31</v>
      </c>
      <c r="B165" s="11" t="s">
        <v>367</v>
      </c>
      <c r="C165" s="11" t="s">
        <v>192</v>
      </c>
      <c r="D165" s="24">
        <f>FirstSearch!N119</f>
        <v>103</v>
      </c>
      <c r="E165" s="24">
        <f>FirstSearch!N120</f>
        <v>189</v>
      </c>
      <c r="F165" s="25"/>
      <c r="G165" s="16"/>
      <c r="H165" s="37">
        <f>FirstSearch!N122</f>
        <v>4</v>
      </c>
      <c r="I165" s="16" t="s">
        <v>231</v>
      </c>
      <c r="J165" s="23">
        <v>0</v>
      </c>
      <c r="K165" s="23" t="s">
        <v>231</v>
      </c>
      <c r="L165" s="18"/>
    </row>
    <row r="166" spans="1:12">
      <c r="A166" s="11" t="s">
        <v>211</v>
      </c>
      <c r="B166" s="11" t="s">
        <v>367</v>
      </c>
      <c r="C166" s="11" t="s">
        <v>192</v>
      </c>
      <c r="D166" s="24">
        <f>FirstSearch!N111</f>
        <v>2549</v>
      </c>
      <c r="E166" s="24">
        <f>FirstSearch!N112</f>
        <v>10828</v>
      </c>
      <c r="F166" s="25"/>
      <c r="G166" s="16"/>
      <c r="H166" s="37">
        <f>FirstSearch!N114</f>
        <v>405</v>
      </c>
      <c r="I166" s="16" t="s">
        <v>231</v>
      </c>
      <c r="J166" s="23">
        <v>0</v>
      </c>
      <c r="K166" s="23" t="s">
        <v>231</v>
      </c>
      <c r="L166" s="18"/>
    </row>
    <row r="167" spans="1:12" ht="25.5">
      <c r="A167" s="39" t="s">
        <v>368</v>
      </c>
      <c r="B167" s="42" t="s">
        <v>363</v>
      </c>
      <c r="C167" s="43" t="s">
        <v>242</v>
      </c>
      <c r="D167" s="44">
        <f>OVID!N38</f>
        <v>401</v>
      </c>
      <c r="E167" s="45">
        <f>OVID!N37</f>
        <v>423</v>
      </c>
      <c r="F167" s="25"/>
      <c r="G167" s="46"/>
      <c r="H167" s="47">
        <f>OVID!N39</f>
        <v>0</v>
      </c>
      <c r="I167" s="45" t="s">
        <v>231</v>
      </c>
      <c r="J167" s="23">
        <v>17308</v>
      </c>
      <c r="K167" s="23">
        <f>J167/E167</f>
        <v>40.917257683215134</v>
      </c>
      <c r="L167" s="18"/>
    </row>
  </sheetData>
  <mergeCells count="2">
    <mergeCell ref="A1:B1"/>
    <mergeCell ref="A4:B4"/>
  </mergeCells>
  <pageMargins left="0.75" right="0.75" top="1" bottom="1" header="0.5" footer="0.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dimension ref="A1:P9"/>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19.140625" customWidth="1"/>
    <col min="2" max="16" width="9.5703125" customWidth="1"/>
    <col min="17" max="20" width="17.140625" customWidth="1"/>
  </cols>
  <sheetData>
    <row r="1" spans="1:16" ht="20.25">
      <c r="A1" s="175" t="s">
        <v>52</v>
      </c>
      <c r="B1" s="178"/>
      <c r="C1" s="178"/>
    </row>
    <row r="2" spans="1:16" ht="18">
      <c r="A2" s="48" t="s">
        <v>279</v>
      </c>
    </row>
    <row r="4" spans="1:16">
      <c r="A4" s="2" t="s">
        <v>17</v>
      </c>
      <c r="B4" s="49" t="s">
        <v>151</v>
      </c>
    </row>
    <row r="5" spans="1:16">
      <c r="A5" s="6"/>
      <c r="B5" s="6"/>
      <c r="C5" s="6"/>
      <c r="D5" s="6"/>
      <c r="E5" s="6"/>
      <c r="F5" s="6"/>
      <c r="G5" s="6"/>
      <c r="H5" s="6"/>
      <c r="I5" s="6"/>
      <c r="J5" s="6"/>
      <c r="K5" s="6"/>
      <c r="L5" s="6"/>
      <c r="M5" s="6"/>
      <c r="N5" s="6"/>
      <c r="O5" s="6"/>
      <c r="P5" s="6"/>
    </row>
    <row r="6" spans="1:16" ht="25.5">
      <c r="A6" s="50"/>
      <c r="B6" s="51" t="s">
        <v>280</v>
      </c>
      <c r="C6" s="51" t="s">
        <v>92</v>
      </c>
      <c r="D6" s="51" t="s">
        <v>57</v>
      </c>
      <c r="E6" s="51" t="s">
        <v>321</v>
      </c>
      <c r="F6" s="51" t="s">
        <v>25</v>
      </c>
      <c r="G6" s="51" t="s">
        <v>300</v>
      </c>
      <c r="H6" s="51" t="s">
        <v>144</v>
      </c>
      <c r="I6" s="51" t="s">
        <v>140</v>
      </c>
      <c r="J6" s="50" t="s">
        <v>112</v>
      </c>
      <c r="K6" s="50" t="s">
        <v>64</v>
      </c>
      <c r="L6" s="50" t="s">
        <v>274</v>
      </c>
      <c r="M6" s="50" t="s">
        <v>63</v>
      </c>
      <c r="N6" s="50" t="s">
        <v>371</v>
      </c>
      <c r="O6" s="50" t="s">
        <v>417</v>
      </c>
      <c r="P6" s="50" t="s">
        <v>175</v>
      </c>
    </row>
    <row r="7" spans="1:16">
      <c r="A7" s="179" t="s">
        <v>52</v>
      </c>
      <c r="B7" s="180"/>
      <c r="C7" s="53"/>
      <c r="D7" s="53"/>
      <c r="E7" s="53"/>
      <c r="F7" s="53"/>
      <c r="G7" s="53"/>
      <c r="H7" s="53"/>
      <c r="I7" s="53"/>
      <c r="J7" s="53"/>
      <c r="K7" s="53"/>
      <c r="L7" s="53"/>
      <c r="M7" s="53"/>
      <c r="N7" s="53"/>
      <c r="O7" s="43"/>
      <c r="P7" s="43"/>
    </row>
    <row r="8" spans="1:16">
      <c r="A8" s="54" t="s">
        <v>118</v>
      </c>
      <c r="B8" s="40">
        <v>2</v>
      </c>
      <c r="C8" s="40">
        <v>0</v>
      </c>
      <c r="D8" s="40">
        <v>1</v>
      </c>
      <c r="E8" s="40">
        <v>3</v>
      </c>
      <c r="F8" s="40">
        <v>0</v>
      </c>
      <c r="G8" s="40">
        <v>1</v>
      </c>
      <c r="H8" s="40">
        <v>0</v>
      </c>
      <c r="I8" s="40">
        <v>2</v>
      </c>
      <c r="J8" s="40">
        <v>2</v>
      </c>
      <c r="K8" s="40">
        <v>0</v>
      </c>
      <c r="L8" s="40">
        <v>0</v>
      </c>
      <c r="M8" s="40">
        <v>0</v>
      </c>
      <c r="N8" s="55">
        <f>SUM(B8:M8)</f>
        <v>11</v>
      </c>
      <c r="O8" s="56">
        <v>0</v>
      </c>
      <c r="P8" s="57">
        <f>O8/N8</f>
        <v>0</v>
      </c>
    </row>
    <row r="9" spans="1:16">
      <c r="B9" s="43"/>
      <c r="C9" s="43"/>
      <c r="D9" s="43"/>
      <c r="E9" s="43"/>
      <c r="F9" s="43"/>
      <c r="G9" s="43"/>
      <c r="H9" s="43"/>
      <c r="I9" s="43"/>
      <c r="J9" s="43"/>
      <c r="K9" s="43"/>
      <c r="L9" s="43"/>
      <c r="M9" s="43"/>
      <c r="N9" s="43"/>
    </row>
  </sheetData>
  <mergeCells count="2">
    <mergeCell ref="A1:C1"/>
    <mergeCell ref="A7:B7"/>
  </mergeCells>
  <pageMargins left="0.75" right="0.75" top="1" bottom="1" header="0.5" footer="0.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dimension ref="A1:Q24"/>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21.7109375" customWidth="1"/>
    <col min="2" max="13" width="9" customWidth="1"/>
    <col min="14" max="16" width="10" customWidth="1"/>
    <col min="17" max="20" width="17.140625" customWidth="1"/>
  </cols>
  <sheetData>
    <row r="1" spans="1:17" ht="20.25">
      <c r="A1" s="175" t="s">
        <v>224</v>
      </c>
      <c r="B1" s="178"/>
      <c r="C1" s="178"/>
    </row>
    <row r="2" spans="1:17" ht="18">
      <c r="A2" s="48" t="s">
        <v>279</v>
      </c>
    </row>
    <row r="4" spans="1:17">
      <c r="A4" s="2" t="s">
        <v>17</v>
      </c>
      <c r="B4" s="49" t="s">
        <v>151</v>
      </c>
    </row>
    <row r="5" spans="1:17">
      <c r="A5" s="6"/>
      <c r="B5" s="6"/>
      <c r="C5" s="6"/>
      <c r="D5" s="6"/>
      <c r="E5" s="6"/>
      <c r="F5" s="6"/>
      <c r="G5" s="6"/>
      <c r="H5" s="6"/>
      <c r="I5" s="6"/>
      <c r="J5" s="6"/>
      <c r="K5" s="6"/>
      <c r="L5" s="6"/>
      <c r="M5" s="6"/>
      <c r="N5" s="6"/>
      <c r="O5" s="6"/>
      <c r="P5" s="6"/>
    </row>
    <row r="6" spans="1:17" ht="25.5">
      <c r="A6" s="58"/>
      <c r="B6" s="59">
        <v>40360</v>
      </c>
      <c r="C6" s="59">
        <v>40391</v>
      </c>
      <c r="D6" s="59">
        <v>40422</v>
      </c>
      <c r="E6" s="59">
        <v>40452</v>
      </c>
      <c r="F6" s="59">
        <v>40483</v>
      </c>
      <c r="G6" s="59">
        <v>40513</v>
      </c>
      <c r="H6" s="59">
        <v>40544</v>
      </c>
      <c r="I6" s="59">
        <v>40575</v>
      </c>
      <c r="J6" s="59">
        <v>40603</v>
      </c>
      <c r="K6" s="59">
        <v>40634</v>
      </c>
      <c r="L6" s="59">
        <v>40664</v>
      </c>
      <c r="M6" s="59">
        <v>40695</v>
      </c>
      <c r="N6" s="60" t="s">
        <v>371</v>
      </c>
      <c r="O6" s="61" t="s">
        <v>27</v>
      </c>
      <c r="P6" s="61" t="s">
        <v>175</v>
      </c>
    </row>
    <row r="7" spans="1:17">
      <c r="A7" s="52" t="s">
        <v>224</v>
      </c>
      <c r="B7" s="53"/>
      <c r="C7" s="53"/>
      <c r="D7" s="53"/>
      <c r="E7" s="53"/>
      <c r="F7" s="53"/>
      <c r="G7" s="53"/>
      <c r="H7" s="53"/>
      <c r="I7" s="53"/>
      <c r="J7" s="53"/>
      <c r="K7" s="53"/>
      <c r="L7" s="53" t="s">
        <v>15</v>
      </c>
      <c r="M7" s="53"/>
      <c r="N7" s="53"/>
      <c r="O7" s="53"/>
      <c r="P7" s="53"/>
    </row>
    <row r="8" spans="1:17">
      <c r="A8" s="54" t="s">
        <v>308</v>
      </c>
      <c r="B8" s="62">
        <v>2349</v>
      </c>
      <c r="C8" s="62">
        <v>3501</v>
      </c>
      <c r="D8" s="62">
        <v>4489</v>
      </c>
      <c r="E8" s="62">
        <v>12379</v>
      </c>
      <c r="F8" s="62">
        <v>13198</v>
      </c>
      <c r="G8" s="62">
        <v>18428</v>
      </c>
      <c r="H8" s="62">
        <v>1188</v>
      </c>
      <c r="I8" s="62">
        <v>3405</v>
      </c>
      <c r="J8" s="62">
        <v>7485</v>
      </c>
      <c r="K8" s="62">
        <v>9511</v>
      </c>
      <c r="L8" s="62">
        <v>956</v>
      </c>
      <c r="M8" s="62">
        <v>946</v>
      </c>
      <c r="N8" s="63">
        <f>SUM(B8:M8)</f>
        <v>77835</v>
      </c>
      <c r="O8" s="64">
        <v>13102.5</v>
      </c>
      <c r="P8" s="64">
        <f>O8/N8</f>
        <v>0.16833686644825593</v>
      </c>
      <c r="Q8" s="18"/>
    </row>
    <row r="9" spans="1:17">
      <c r="A9" s="54" t="s">
        <v>257</v>
      </c>
      <c r="B9" s="62">
        <v>35</v>
      </c>
      <c r="C9" s="62">
        <v>22</v>
      </c>
      <c r="D9" s="62">
        <v>154</v>
      </c>
      <c r="E9" s="62">
        <v>539</v>
      </c>
      <c r="F9" s="62">
        <v>502</v>
      </c>
      <c r="G9" s="62">
        <v>596</v>
      </c>
      <c r="H9" s="62">
        <v>45</v>
      </c>
      <c r="I9" s="62">
        <v>165</v>
      </c>
      <c r="J9" s="62">
        <v>189</v>
      </c>
      <c r="K9" s="62">
        <v>259</v>
      </c>
      <c r="L9" s="62">
        <v>58</v>
      </c>
      <c r="M9" s="62">
        <v>38</v>
      </c>
      <c r="N9" s="63">
        <f>SUM(B9:M9)</f>
        <v>2602</v>
      </c>
      <c r="O9" s="64" t="s">
        <v>15</v>
      </c>
      <c r="P9" s="64" t="e">
        <f>O9/N9</f>
        <v>#VALUE!</v>
      </c>
      <c r="Q9" s="18"/>
    </row>
    <row r="10" spans="1:17">
      <c r="A10" s="54" t="s">
        <v>106</v>
      </c>
      <c r="B10" s="62">
        <v>0</v>
      </c>
      <c r="C10" s="62">
        <v>0</v>
      </c>
      <c r="D10" s="62">
        <v>0</v>
      </c>
      <c r="E10" s="62">
        <v>0</v>
      </c>
      <c r="F10" s="62">
        <v>0</v>
      </c>
      <c r="G10" s="62" t="s">
        <v>255</v>
      </c>
      <c r="H10" s="62" t="s">
        <v>255</v>
      </c>
      <c r="I10" s="62" t="s">
        <v>255</v>
      </c>
      <c r="J10" s="62" t="s">
        <v>255</v>
      </c>
      <c r="K10" s="62" t="s">
        <v>255</v>
      </c>
      <c r="L10" s="62" t="s">
        <v>255</v>
      </c>
      <c r="M10" s="62" t="s">
        <v>255</v>
      </c>
      <c r="N10" s="63">
        <f>SUM(B10:M10)</f>
        <v>0</v>
      </c>
      <c r="O10" s="64" t="s">
        <v>15</v>
      </c>
      <c r="P10" s="64" t="e">
        <f>O10/N10</f>
        <v>#VALUE!</v>
      </c>
      <c r="Q10" s="18"/>
    </row>
    <row r="11" spans="1:17">
      <c r="A11" s="54" t="s">
        <v>420</v>
      </c>
      <c r="B11" s="62">
        <v>0</v>
      </c>
      <c r="C11" s="62">
        <v>0</v>
      </c>
      <c r="D11" s="62">
        <v>0</v>
      </c>
      <c r="E11" s="62">
        <v>0</v>
      </c>
      <c r="F11" s="62">
        <v>0</v>
      </c>
      <c r="G11" s="62" t="s">
        <v>255</v>
      </c>
      <c r="H11" s="62" t="s">
        <v>255</v>
      </c>
      <c r="I11" s="62" t="s">
        <v>255</v>
      </c>
      <c r="J11" s="62" t="s">
        <v>255</v>
      </c>
      <c r="K11" s="62" t="s">
        <v>255</v>
      </c>
      <c r="L11" s="62" t="s">
        <v>255</v>
      </c>
      <c r="M11" s="62" t="s">
        <v>255</v>
      </c>
      <c r="N11" s="63">
        <f>SUM(B11:M11)</f>
        <v>0</v>
      </c>
      <c r="O11" s="64" t="s">
        <v>15</v>
      </c>
      <c r="P11" s="64" t="e">
        <f>O11/N11</f>
        <v>#VALUE!</v>
      </c>
      <c r="Q11" s="18"/>
    </row>
    <row r="12" spans="1:17">
      <c r="A12" s="54" t="s">
        <v>383</v>
      </c>
      <c r="B12" s="62">
        <v>1</v>
      </c>
      <c r="C12" s="62">
        <v>1</v>
      </c>
      <c r="D12" s="62">
        <v>42</v>
      </c>
      <c r="E12" s="62">
        <v>112</v>
      </c>
      <c r="F12" s="62">
        <v>12</v>
      </c>
      <c r="G12" s="62">
        <v>14</v>
      </c>
      <c r="H12" s="62">
        <v>2</v>
      </c>
      <c r="I12" s="62">
        <v>4</v>
      </c>
      <c r="J12" s="62">
        <v>2</v>
      </c>
      <c r="K12" s="62">
        <v>10</v>
      </c>
      <c r="L12" s="62">
        <v>1</v>
      </c>
      <c r="M12" s="62">
        <v>1</v>
      </c>
      <c r="N12" s="63">
        <f>SUM(B12:M12)</f>
        <v>202</v>
      </c>
      <c r="O12" s="64" t="s">
        <v>15</v>
      </c>
      <c r="P12" s="64" t="e">
        <f>O12/N12</f>
        <v>#VALUE!</v>
      </c>
      <c r="Q12" s="18"/>
    </row>
    <row r="13" spans="1:17">
      <c r="B13" s="43"/>
      <c r="C13" s="43"/>
      <c r="D13" s="43"/>
      <c r="E13" s="43"/>
      <c r="F13" s="43"/>
      <c r="G13" s="43"/>
      <c r="H13" s="43"/>
      <c r="I13" s="43"/>
      <c r="J13" s="43"/>
      <c r="K13" s="43"/>
      <c r="L13" s="43"/>
      <c r="M13" s="43"/>
      <c r="N13" s="43"/>
      <c r="O13" s="43" t="s">
        <v>15</v>
      </c>
      <c r="P13" s="43"/>
    </row>
    <row r="14" spans="1:17" ht="25.5">
      <c r="A14" s="49" t="s">
        <v>3</v>
      </c>
    </row>
    <row r="15" spans="1:17" ht="25.5">
      <c r="A15" s="65" t="s">
        <v>123</v>
      </c>
      <c r="B15" s="181" t="s">
        <v>253</v>
      </c>
      <c r="C15" s="178"/>
      <c r="D15" s="178"/>
      <c r="E15" s="178"/>
      <c r="F15" s="178"/>
      <c r="G15" s="178"/>
      <c r="H15" s="178"/>
      <c r="I15" s="178"/>
      <c r="J15" s="178"/>
      <c r="K15" s="178"/>
    </row>
    <row r="16" spans="1:17" ht="25.5">
      <c r="A16" s="65"/>
      <c r="B16" s="49" t="s">
        <v>3</v>
      </c>
    </row>
    <row r="17" spans="1:13" ht="25.5">
      <c r="A17" s="65" t="s">
        <v>107</v>
      </c>
      <c r="B17" s="181" t="s">
        <v>114</v>
      </c>
      <c r="C17" s="178"/>
      <c r="D17" s="178"/>
      <c r="E17" s="178"/>
      <c r="F17" s="178"/>
      <c r="G17" s="178"/>
      <c r="H17" s="178"/>
      <c r="I17" s="178"/>
    </row>
    <row r="18" spans="1:13" ht="25.5">
      <c r="A18" s="65"/>
      <c r="B18" s="49" t="s">
        <v>3</v>
      </c>
    </row>
    <row r="19" spans="1:13" ht="25.5">
      <c r="A19" s="66" t="s">
        <v>238</v>
      </c>
      <c r="B19" s="181" t="s">
        <v>33</v>
      </c>
      <c r="C19" s="178"/>
      <c r="D19" s="178"/>
      <c r="E19" s="178"/>
      <c r="F19" s="178"/>
      <c r="G19" s="178"/>
      <c r="H19" s="178"/>
      <c r="I19" s="178"/>
      <c r="J19" s="178"/>
      <c r="K19" s="178"/>
      <c r="L19" s="178"/>
      <c r="M19" s="178"/>
    </row>
    <row r="20" spans="1:13" ht="25.5">
      <c r="A20" s="65"/>
      <c r="B20" s="49" t="s">
        <v>3</v>
      </c>
    </row>
    <row r="21" spans="1:13" ht="25.5">
      <c r="A21" s="65" t="s">
        <v>340</v>
      </c>
      <c r="B21" s="181" t="s">
        <v>23</v>
      </c>
      <c r="C21" s="178"/>
      <c r="D21" s="178"/>
      <c r="E21" s="178"/>
      <c r="F21" s="178"/>
      <c r="G21" s="178"/>
      <c r="H21" s="178"/>
      <c r="I21" s="178"/>
      <c r="J21" s="178"/>
      <c r="K21" s="178"/>
      <c r="L21" s="178"/>
    </row>
    <row r="22" spans="1:13" ht="25.5">
      <c r="A22" s="65"/>
      <c r="B22" s="49" t="s">
        <v>3</v>
      </c>
    </row>
    <row r="23" spans="1:13" ht="25.5">
      <c r="A23" s="65" t="s">
        <v>288</v>
      </c>
      <c r="B23" s="181" t="s">
        <v>148</v>
      </c>
      <c r="C23" s="178"/>
      <c r="D23" s="178"/>
      <c r="E23" s="178"/>
      <c r="F23" s="178"/>
      <c r="G23" s="178"/>
      <c r="H23" s="178"/>
    </row>
    <row r="24" spans="1:13" ht="25.5">
      <c r="B24" s="49" t="s">
        <v>3</v>
      </c>
    </row>
  </sheetData>
  <mergeCells count="6">
    <mergeCell ref="A1:C1"/>
    <mergeCell ref="B15:K15"/>
    <mergeCell ref="B17:I17"/>
    <mergeCell ref="B19:M19"/>
    <mergeCell ref="B21:L21"/>
    <mergeCell ref="B23:H23"/>
  </mergeCells>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dimension ref="A1:Q15"/>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28.140625" customWidth="1"/>
    <col min="2" max="14" width="8.5703125" customWidth="1"/>
    <col min="15" max="15" width="10.85546875" customWidth="1"/>
    <col min="16" max="16" width="8.5703125" customWidth="1"/>
    <col min="17" max="17" width="9.140625" customWidth="1"/>
  </cols>
  <sheetData>
    <row r="1" spans="1:17" ht="20.25">
      <c r="A1" s="175" t="s">
        <v>117</v>
      </c>
      <c r="B1" s="176"/>
      <c r="C1" s="176"/>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c r="O3" s="2"/>
    </row>
    <row r="4" spans="1:17">
      <c r="A4" s="2" t="s">
        <v>17</v>
      </c>
      <c r="B4" s="2" t="s">
        <v>151</v>
      </c>
      <c r="O4" s="2"/>
    </row>
    <row r="5" spans="1:17">
      <c r="A5" s="5"/>
      <c r="B5" s="6"/>
      <c r="C5" s="6"/>
      <c r="D5" s="6"/>
      <c r="E5" s="6"/>
      <c r="F5" s="6"/>
      <c r="G5" s="6"/>
      <c r="H5" s="6"/>
      <c r="I5" s="6"/>
      <c r="J5" s="6"/>
      <c r="K5" s="6"/>
      <c r="L5" s="6"/>
      <c r="M5" s="6"/>
      <c r="N5" s="6"/>
      <c r="O5" s="5"/>
      <c r="P5" s="6"/>
    </row>
    <row r="6" spans="1:17" ht="25.5">
      <c r="A6" s="58"/>
      <c r="B6" s="59">
        <v>40360</v>
      </c>
      <c r="C6" s="59">
        <v>40391</v>
      </c>
      <c r="D6" s="59">
        <v>40422</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67" t="s">
        <v>117</v>
      </c>
      <c r="B7" s="68"/>
      <c r="C7" s="68"/>
      <c r="D7" s="68"/>
      <c r="E7" s="68"/>
      <c r="F7" s="68"/>
      <c r="G7" s="69"/>
      <c r="H7" s="68"/>
      <c r="I7" s="68"/>
      <c r="J7" s="68"/>
      <c r="K7" s="68"/>
      <c r="L7" s="68"/>
      <c r="M7" s="68"/>
      <c r="N7" s="68"/>
      <c r="O7" s="70"/>
      <c r="P7" s="70"/>
    </row>
    <row r="8" spans="1:17">
      <c r="A8" s="71" t="s">
        <v>243</v>
      </c>
      <c r="B8" s="20">
        <v>0</v>
      </c>
      <c r="C8" s="72">
        <v>0</v>
      </c>
      <c r="D8" s="72">
        <v>0</v>
      </c>
      <c r="E8" s="72">
        <v>1</v>
      </c>
      <c r="F8" s="72">
        <v>0</v>
      </c>
      <c r="G8" s="72">
        <v>0</v>
      </c>
      <c r="H8" s="72">
        <v>0</v>
      </c>
      <c r="I8" s="72">
        <v>1</v>
      </c>
      <c r="J8" s="72">
        <v>4</v>
      </c>
      <c r="K8" s="72">
        <v>0</v>
      </c>
      <c r="L8" s="72">
        <v>0</v>
      </c>
      <c r="M8" s="72">
        <v>0</v>
      </c>
      <c r="N8" s="73">
        <f>SUM(B8:M8)</f>
        <v>6</v>
      </c>
      <c r="O8" s="74">
        <v>0</v>
      </c>
      <c r="P8" s="75">
        <f>O8/N8</f>
        <v>0</v>
      </c>
    </row>
    <row r="9" spans="1:17">
      <c r="A9" s="71" t="s">
        <v>122</v>
      </c>
      <c r="B9" s="20">
        <v>0</v>
      </c>
      <c r="C9" s="72">
        <v>0</v>
      </c>
      <c r="D9" s="72">
        <v>0</v>
      </c>
      <c r="E9" s="72">
        <v>1</v>
      </c>
      <c r="F9" s="72">
        <v>0</v>
      </c>
      <c r="G9" s="72">
        <v>0</v>
      </c>
      <c r="H9" s="72">
        <v>0</v>
      </c>
      <c r="I9" s="72">
        <v>1</v>
      </c>
      <c r="J9" s="72">
        <v>4</v>
      </c>
      <c r="K9" s="72">
        <v>0</v>
      </c>
      <c r="L9" s="72">
        <v>0</v>
      </c>
      <c r="M9" s="72">
        <v>0</v>
      </c>
      <c r="N9" s="73">
        <f>SUM(B9:M9)</f>
        <v>6</v>
      </c>
      <c r="O9" s="74">
        <v>0</v>
      </c>
      <c r="P9" s="75">
        <f>O9/N9</f>
        <v>0</v>
      </c>
    </row>
    <row r="10" spans="1:17">
      <c r="A10" s="71" t="s">
        <v>409</v>
      </c>
      <c r="B10" s="20">
        <v>0</v>
      </c>
      <c r="C10" s="72">
        <v>0</v>
      </c>
      <c r="D10" s="72">
        <v>0</v>
      </c>
      <c r="E10" s="72">
        <v>8</v>
      </c>
      <c r="F10" s="72">
        <v>0</v>
      </c>
      <c r="G10" s="72">
        <v>0</v>
      </c>
      <c r="H10" s="72">
        <v>0</v>
      </c>
      <c r="I10" s="72">
        <v>1</v>
      </c>
      <c r="J10" s="72">
        <v>6</v>
      </c>
      <c r="K10" s="72">
        <v>0</v>
      </c>
      <c r="L10" s="72">
        <v>0</v>
      </c>
      <c r="M10" s="72">
        <v>0</v>
      </c>
      <c r="N10" s="73">
        <f>SUM(B10:M10)</f>
        <v>15</v>
      </c>
      <c r="O10" s="74">
        <v>0</v>
      </c>
      <c r="P10" s="75">
        <f>O10/N10</f>
        <v>0</v>
      </c>
    </row>
    <row r="11" spans="1:17">
      <c r="A11" s="71" t="s">
        <v>322</v>
      </c>
      <c r="B11" s="20">
        <v>0</v>
      </c>
      <c r="C11" s="72">
        <v>0</v>
      </c>
      <c r="D11" s="72">
        <v>0</v>
      </c>
      <c r="E11" s="72">
        <v>0</v>
      </c>
      <c r="F11" s="72">
        <v>0</v>
      </c>
      <c r="G11" s="72">
        <v>0</v>
      </c>
      <c r="H11" s="72">
        <v>0</v>
      </c>
      <c r="I11" s="72">
        <v>0</v>
      </c>
      <c r="J11" s="72">
        <v>0</v>
      </c>
      <c r="K11" s="72">
        <v>0</v>
      </c>
      <c r="L11" s="72">
        <v>0</v>
      </c>
      <c r="M11" s="72">
        <v>0</v>
      </c>
      <c r="N11" s="73">
        <f>SUM(B11:M11)</f>
        <v>0</v>
      </c>
      <c r="O11" s="74">
        <v>0</v>
      </c>
      <c r="P11" s="76" t="s">
        <v>231</v>
      </c>
    </row>
    <row r="12" spans="1:17">
      <c r="A12" s="71" t="s">
        <v>182</v>
      </c>
      <c r="B12" s="40">
        <v>0</v>
      </c>
      <c r="C12" s="40">
        <v>0</v>
      </c>
      <c r="D12" s="40">
        <v>0</v>
      </c>
      <c r="E12" s="40">
        <v>2</v>
      </c>
      <c r="F12" s="40">
        <v>0</v>
      </c>
      <c r="G12" s="40">
        <v>0</v>
      </c>
      <c r="H12" s="40">
        <v>0</v>
      </c>
      <c r="I12" s="40">
        <v>1</v>
      </c>
      <c r="J12" s="40">
        <v>0</v>
      </c>
      <c r="K12" s="40">
        <v>0</v>
      </c>
      <c r="L12" s="40">
        <v>0</v>
      </c>
      <c r="M12" s="40">
        <v>0</v>
      </c>
      <c r="N12" s="73">
        <f>SUM(B12:M12)</f>
        <v>3</v>
      </c>
      <c r="O12" s="74">
        <v>0</v>
      </c>
      <c r="P12" s="75">
        <f>O12/N12</f>
        <v>0</v>
      </c>
    </row>
    <row r="13" spans="1:17">
      <c r="A13" s="77" t="s">
        <v>311</v>
      </c>
      <c r="B13" s="78">
        <v>0</v>
      </c>
      <c r="C13" s="78">
        <v>0</v>
      </c>
      <c r="D13" s="78">
        <v>0</v>
      </c>
      <c r="E13" s="79" t="s">
        <v>237</v>
      </c>
      <c r="F13" s="79">
        <v>0</v>
      </c>
      <c r="G13" s="79">
        <v>0</v>
      </c>
      <c r="H13" s="79">
        <v>0</v>
      </c>
      <c r="I13" s="79">
        <v>0</v>
      </c>
      <c r="J13" s="79" t="s">
        <v>78</v>
      </c>
      <c r="K13" s="79">
        <v>0</v>
      </c>
      <c r="L13" s="79">
        <v>0</v>
      </c>
      <c r="M13" s="79">
        <v>0</v>
      </c>
      <c r="N13" s="80" t="s">
        <v>247</v>
      </c>
      <c r="O13" s="10"/>
    </row>
    <row r="14" spans="1:17">
      <c r="A14" s="2"/>
      <c r="B14" s="43"/>
      <c r="C14" s="43"/>
      <c r="D14" s="43"/>
      <c r="E14" s="43"/>
      <c r="F14" s="43"/>
      <c r="G14" s="43"/>
      <c r="H14" s="43"/>
      <c r="I14" s="43"/>
      <c r="J14" s="43"/>
      <c r="K14" s="43"/>
      <c r="L14" s="43"/>
      <c r="M14" s="43"/>
      <c r="N14" s="43"/>
      <c r="O14" s="2"/>
    </row>
    <row r="15" spans="1:17">
      <c r="A15" s="2"/>
      <c r="O15" s="2"/>
    </row>
  </sheetData>
  <mergeCells count="1">
    <mergeCell ref="A1:C1"/>
  </mergeCells>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dimension ref="A1:Q13"/>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8.140625" customWidth="1"/>
    <col min="2" max="14" width="8.5703125" customWidth="1"/>
    <col min="15" max="15" width="10.85546875" customWidth="1"/>
    <col min="16" max="16" width="8.5703125" customWidth="1"/>
    <col min="17" max="17" width="9.140625" customWidth="1"/>
  </cols>
  <sheetData>
    <row r="1" spans="1:17" ht="20.25">
      <c r="A1" s="175" t="s">
        <v>172</v>
      </c>
      <c r="B1" s="176"/>
      <c r="C1" s="176"/>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c r="O3" s="2"/>
    </row>
    <row r="4" spans="1:17">
      <c r="A4" s="2" t="s">
        <v>17</v>
      </c>
      <c r="B4" s="2" t="s">
        <v>151</v>
      </c>
      <c r="O4" s="2"/>
    </row>
    <row r="5" spans="1:17">
      <c r="A5" s="5"/>
      <c r="B5" s="6"/>
      <c r="C5" s="6"/>
      <c r="D5" s="6"/>
      <c r="E5" s="6"/>
      <c r="F5" s="6"/>
      <c r="G5" s="6"/>
      <c r="H5" s="6"/>
      <c r="I5" s="6"/>
      <c r="J5" s="6"/>
      <c r="K5" s="6"/>
      <c r="L5" s="6"/>
      <c r="M5" s="6"/>
      <c r="N5" s="6"/>
      <c r="O5" s="5"/>
      <c r="P5" s="6"/>
    </row>
    <row r="6" spans="1:17" ht="25.5">
      <c r="A6" s="58"/>
      <c r="B6" s="59">
        <v>40360</v>
      </c>
      <c r="C6" s="59">
        <v>6614756</v>
      </c>
      <c r="D6" s="59">
        <v>40422</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67" t="s">
        <v>320</v>
      </c>
      <c r="B7" s="68"/>
      <c r="C7" s="68"/>
      <c r="D7" s="68"/>
      <c r="E7" s="68"/>
      <c r="F7" s="68"/>
      <c r="G7" s="69"/>
      <c r="H7" s="68"/>
      <c r="I7" s="68"/>
      <c r="J7" s="68"/>
      <c r="K7" s="68"/>
      <c r="L7" s="68"/>
      <c r="M7" s="68"/>
      <c r="N7" s="68"/>
      <c r="O7" s="70"/>
      <c r="P7" s="70"/>
    </row>
    <row r="8" spans="1:17">
      <c r="A8" s="71" t="s">
        <v>333</v>
      </c>
      <c r="B8" s="20">
        <v>97</v>
      </c>
      <c r="C8" s="20" t="s">
        <v>231</v>
      </c>
      <c r="D8" s="20" t="s">
        <v>231</v>
      </c>
      <c r="E8" s="20" t="s">
        <v>231</v>
      </c>
      <c r="F8" s="20" t="s">
        <v>231</v>
      </c>
      <c r="G8" s="20" t="s">
        <v>231</v>
      </c>
      <c r="H8" s="20" t="s">
        <v>231</v>
      </c>
      <c r="I8" s="20" t="s">
        <v>231</v>
      </c>
      <c r="J8" s="20" t="s">
        <v>231</v>
      </c>
      <c r="K8" s="20" t="s">
        <v>231</v>
      </c>
      <c r="L8" s="20" t="s">
        <v>231</v>
      </c>
      <c r="M8" s="20" t="s">
        <v>231</v>
      </c>
      <c r="N8" s="73">
        <f>SUM(B8:M8)</f>
        <v>97</v>
      </c>
      <c r="O8" s="74"/>
      <c r="P8" s="75"/>
    </row>
    <row r="9" spans="1:17">
      <c r="A9" s="71" t="s">
        <v>240</v>
      </c>
      <c r="B9" s="20">
        <v>27</v>
      </c>
      <c r="C9" s="20">
        <v>0</v>
      </c>
      <c r="D9" s="20">
        <v>0</v>
      </c>
      <c r="E9" s="20">
        <v>469</v>
      </c>
      <c r="F9" s="20">
        <v>717</v>
      </c>
      <c r="G9" s="20">
        <v>313</v>
      </c>
      <c r="H9" s="20">
        <v>453</v>
      </c>
      <c r="I9" s="20">
        <v>360</v>
      </c>
      <c r="J9" s="20">
        <v>563</v>
      </c>
      <c r="K9" s="20">
        <v>631</v>
      </c>
      <c r="L9" s="20">
        <v>161</v>
      </c>
      <c r="M9" s="20">
        <v>157</v>
      </c>
      <c r="N9" s="73">
        <f>SUM(B9:M9)</f>
        <v>3851</v>
      </c>
      <c r="O9" s="74">
        <v>3494</v>
      </c>
      <c r="P9" s="75">
        <f>O9/N9</f>
        <v>0.90729680602440921</v>
      </c>
    </row>
    <row r="10" spans="1:17">
      <c r="A10" s="71" t="s">
        <v>256</v>
      </c>
      <c r="B10" s="20">
        <v>84</v>
      </c>
      <c r="C10" s="20">
        <v>20</v>
      </c>
      <c r="D10" s="20">
        <v>122</v>
      </c>
      <c r="E10" s="20">
        <v>224</v>
      </c>
      <c r="F10" s="20">
        <v>342</v>
      </c>
      <c r="G10" s="20">
        <v>126</v>
      </c>
      <c r="H10" s="20">
        <v>143</v>
      </c>
      <c r="I10" s="20">
        <v>180</v>
      </c>
      <c r="J10" s="20">
        <v>276</v>
      </c>
      <c r="K10" s="20">
        <v>290</v>
      </c>
      <c r="L10" s="20">
        <v>92</v>
      </c>
      <c r="M10" s="20">
        <v>64</v>
      </c>
      <c r="N10" s="73">
        <f>SUM(B10:M10)</f>
        <v>1963</v>
      </c>
      <c r="O10" s="74" t="s">
        <v>15</v>
      </c>
      <c r="P10" s="75" t="s">
        <v>15</v>
      </c>
    </row>
    <row r="11" spans="1:17">
      <c r="A11" s="71" t="s">
        <v>275</v>
      </c>
      <c r="B11" s="20">
        <v>0</v>
      </c>
      <c r="C11" s="20" t="s">
        <v>231</v>
      </c>
      <c r="D11" s="20" t="s">
        <v>231</v>
      </c>
      <c r="E11" s="20" t="s">
        <v>231</v>
      </c>
      <c r="F11" s="20" t="s">
        <v>231</v>
      </c>
      <c r="G11" s="20" t="s">
        <v>231</v>
      </c>
      <c r="H11" s="20" t="s">
        <v>231</v>
      </c>
      <c r="I11" s="20" t="s">
        <v>231</v>
      </c>
      <c r="J11" s="20" t="s">
        <v>231</v>
      </c>
      <c r="K11" s="20" t="s">
        <v>164</v>
      </c>
      <c r="L11" s="20" t="s">
        <v>231</v>
      </c>
      <c r="M11" s="20" t="s">
        <v>231</v>
      </c>
      <c r="N11" s="73">
        <f>SUM(B11:M11)</f>
        <v>0</v>
      </c>
      <c r="O11" s="74"/>
      <c r="P11" s="75"/>
    </row>
    <row r="12" spans="1:17">
      <c r="A12" s="2"/>
      <c r="B12" s="43"/>
      <c r="C12" s="43"/>
      <c r="D12" s="43"/>
      <c r="E12" s="43"/>
      <c r="F12" s="43"/>
      <c r="G12" s="43"/>
      <c r="H12" s="43"/>
      <c r="I12" s="43"/>
      <c r="J12" s="43"/>
      <c r="K12" s="43"/>
      <c r="L12" s="43"/>
      <c r="M12" s="43"/>
      <c r="N12" s="43"/>
      <c r="O12" s="2"/>
      <c r="P12" s="81"/>
    </row>
    <row r="13" spans="1:17">
      <c r="A13" s="2"/>
      <c r="O13" s="2"/>
    </row>
  </sheetData>
  <mergeCells count="1">
    <mergeCell ref="A1:C1"/>
  </mergeCells>
  <pageMargins left="0.75" right="0.75" top="1" bottom="1" header="0.5" footer="0.5"/>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dimension ref="A1:Q11"/>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2.7109375" customWidth="1"/>
    <col min="2" max="14" width="8.5703125" customWidth="1"/>
    <col min="15" max="15" width="10.85546875" customWidth="1"/>
    <col min="16" max="16" width="8.5703125" customWidth="1"/>
    <col min="17" max="17" width="9.140625" customWidth="1"/>
  </cols>
  <sheetData>
    <row r="1" spans="1:17" ht="20.25">
      <c r="A1" s="175" t="s">
        <v>277</v>
      </c>
      <c r="B1" s="176"/>
      <c r="C1" s="176"/>
      <c r="D1" s="176"/>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c r="O3" s="2"/>
    </row>
    <row r="4" spans="1:17">
      <c r="A4" s="2" t="s">
        <v>17</v>
      </c>
      <c r="B4" s="2" t="s">
        <v>252</v>
      </c>
      <c r="O4" s="2"/>
    </row>
    <row r="5" spans="1:17">
      <c r="A5" s="5"/>
      <c r="B5" s="6"/>
      <c r="C5" s="6"/>
      <c r="D5" s="6"/>
      <c r="E5" s="6"/>
      <c r="F5" s="6"/>
      <c r="G5" s="6"/>
      <c r="H5" s="6"/>
      <c r="I5" s="6"/>
      <c r="J5" s="6"/>
      <c r="K5" s="6"/>
      <c r="L5" s="6"/>
      <c r="M5" s="6"/>
      <c r="N5" s="6"/>
      <c r="O5" s="5"/>
      <c r="P5" s="6"/>
    </row>
    <row r="6" spans="1:17" ht="25.5">
      <c r="A6" s="58"/>
      <c r="B6" s="59">
        <v>40360</v>
      </c>
      <c r="C6" s="59">
        <v>40391</v>
      </c>
      <c r="D6" s="59">
        <v>40422</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67" t="s">
        <v>307</v>
      </c>
      <c r="B7" s="68"/>
      <c r="C7" s="68"/>
      <c r="D7" s="68"/>
      <c r="E7" s="68"/>
      <c r="F7" s="68"/>
      <c r="G7" s="68"/>
      <c r="H7" s="68"/>
      <c r="I7" s="68"/>
      <c r="J7" s="68"/>
      <c r="K7" s="68"/>
      <c r="L7" s="68"/>
      <c r="M7" s="68"/>
      <c r="N7" s="68"/>
      <c r="O7" s="82"/>
      <c r="P7" s="43"/>
    </row>
    <row r="8" spans="1:17">
      <c r="A8" s="71" t="s">
        <v>257</v>
      </c>
      <c r="B8" s="24">
        <v>40</v>
      </c>
      <c r="C8" s="24">
        <v>54</v>
      </c>
      <c r="D8" s="24">
        <v>91</v>
      </c>
      <c r="E8" s="24">
        <v>409</v>
      </c>
      <c r="F8" s="24">
        <v>86</v>
      </c>
      <c r="G8" s="24">
        <v>60</v>
      </c>
      <c r="H8" s="24">
        <v>30</v>
      </c>
      <c r="I8" s="24">
        <v>48</v>
      </c>
      <c r="J8" s="24">
        <v>68</v>
      </c>
      <c r="K8" s="24">
        <v>59</v>
      </c>
      <c r="L8" s="24">
        <v>48</v>
      </c>
      <c r="M8" s="24">
        <v>62</v>
      </c>
      <c r="N8" s="73">
        <f>SUM(B8:M8)</f>
        <v>1055</v>
      </c>
      <c r="O8" s="10"/>
      <c r="P8" s="75"/>
    </row>
    <row r="9" spans="1:17">
      <c r="A9" s="71" t="s">
        <v>208</v>
      </c>
      <c r="B9" s="24">
        <v>146</v>
      </c>
      <c r="C9" s="24">
        <v>198</v>
      </c>
      <c r="D9" s="24">
        <v>339</v>
      </c>
      <c r="E9" s="24">
        <v>3319</v>
      </c>
      <c r="F9" s="24">
        <v>325</v>
      </c>
      <c r="G9" s="24">
        <v>187</v>
      </c>
      <c r="H9" s="24">
        <v>162</v>
      </c>
      <c r="I9" s="24">
        <v>136</v>
      </c>
      <c r="J9" s="24">
        <v>198</v>
      </c>
      <c r="K9" s="24">
        <v>199</v>
      </c>
      <c r="L9" s="24">
        <v>189</v>
      </c>
      <c r="M9" s="24">
        <v>281</v>
      </c>
      <c r="N9" s="73">
        <f>SUM(B9:M9)</f>
        <v>5679</v>
      </c>
      <c r="O9" s="74">
        <v>17805</v>
      </c>
      <c r="P9" s="75">
        <f>O9/N9</f>
        <v>3.1352350765979926</v>
      </c>
    </row>
    <row r="10" spans="1:17">
      <c r="A10" s="2"/>
      <c r="B10" s="43"/>
      <c r="C10" s="43"/>
      <c r="D10" s="43"/>
      <c r="E10" s="43"/>
      <c r="F10" s="43"/>
      <c r="G10" s="43"/>
      <c r="H10" s="43"/>
      <c r="I10" s="43"/>
      <c r="J10" s="43"/>
      <c r="K10" s="43"/>
      <c r="L10" s="43"/>
      <c r="M10" s="43"/>
      <c r="N10" s="43"/>
      <c r="O10" s="2"/>
    </row>
    <row r="11" spans="1:17">
      <c r="A11" s="2"/>
      <c r="O11" s="2"/>
    </row>
  </sheetData>
  <mergeCells count="1">
    <mergeCell ref="A1:D1"/>
  </mergeCells>
  <pageMargins left="0.75" right="0.75" top="1" bottom="1" header="0.5" footer="0.5"/>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dimension ref="A1:P13"/>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27.7109375" customWidth="1"/>
    <col min="2" max="14" width="8.7109375" customWidth="1"/>
    <col min="15" max="15" width="11" customWidth="1"/>
    <col min="16" max="16" width="8.7109375" customWidth="1"/>
    <col min="17" max="20" width="17.140625" customWidth="1"/>
  </cols>
  <sheetData>
    <row r="1" spans="1:16" ht="20.25">
      <c r="A1" s="175" t="s">
        <v>331</v>
      </c>
      <c r="B1" s="178"/>
      <c r="C1" s="178"/>
      <c r="D1" s="178"/>
    </row>
    <row r="2" spans="1:16" ht="18">
      <c r="A2" s="182" t="s">
        <v>279</v>
      </c>
      <c r="B2" s="178"/>
      <c r="C2" s="178"/>
      <c r="D2" s="178"/>
      <c r="E2" s="178"/>
      <c r="F2" s="178"/>
    </row>
    <row r="4" spans="1:16">
      <c r="A4" s="49" t="s">
        <v>48</v>
      </c>
      <c r="B4" s="49" t="s">
        <v>192</v>
      </c>
    </row>
    <row r="5" spans="1:16">
      <c r="A5" s="6"/>
      <c r="B5" s="6"/>
      <c r="C5" s="6"/>
      <c r="D5" s="6"/>
      <c r="E5" s="6"/>
      <c r="F5" s="6"/>
      <c r="G5" s="6"/>
      <c r="H5" s="6"/>
      <c r="I5" s="6"/>
      <c r="J5" s="6"/>
      <c r="K5" s="6"/>
      <c r="L5" s="6"/>
      <c r="M5" s="6"/>
      <c r="N5" s="6"/>
      <c r="O5" s="6"/>
      <c r="P5" s="6"/>
    </row>
    <row r="6" spans="1:16"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row>
    <row r="7" spans="1:16">
      <c r="A7" s="52" t="s">
        <v>331</v>
      </c>
      <c r="B7" s="53"/>
      <c r="C7" s="53"/>
      <c r="D7" s="53"/>
      <c r="E7" s="53"/>
      <c r="F7" s="53"/>
      <c r="G7" s="53"/>
      <c r="H7" s="53"/>
      <c r="I7" s="53"/>
      <c r="J7" s="53"/>
      <c r="K7" s="53"/>
      <c r="L7" s="53"/>
      <c r="M7" s="53"/>
      <c r="N7" s="53"/>
      <c r="O7" s="43"/>
      <c r="P7" s="43"/>
    </row>
    <row r="8" spans="1:16">
      <c r="A8" s="71" t="s">
        <v>257</v>
      </c>
      <c r="B8" s="40">
        <v>75</v>
      </c>
      <c r="C8" s="40">
        <v>2</v>
      </c>
      <c r="D8" s="40">
        <v>100</v>
      </c>
      <c r="E8" s="40">
        <v>126</v>
      </c>
      <c r="F8" s="40">
        <v>292</v>
      </c>
      <c r="G8" s="40">
        <v>100</v>
      </c>
      <c r="H8" s="40">
        <v>11</v>
      </c>
      <c r="I8" s="40">
        <v>99</v>
      </c>
      <c r="J8" s="40">
        <v>172</v>
      </c>
      <c r="K8" s="40">
        <v>127</v>
      </c>
      <c r="L8" s="40">
        <v>41</v>
      </c>
      <c r="M8" s="40">
        <v>82</v>
      </c>
      <c r="N8" s="73">
        <f>SUM(B8:M8)</f>
        <v>1227</v>
      </c>
      <c r="O8" s="18"/>
    </row>
    <row r="9" spans="1:16">
      <c r="A9" s="71" t="s">
        <v>208</v>
      </c>
      <c r="B9" s="40">
        <v>93</v>
      </c>
      <c r="C9" s="40">
        <v>0</v>
      </c>
      <c r="D9" s="40">
        <v>112</v>
      </c>
      <c r="E9" s="40">
        <v>163</v>
      </c>
      <c r="F9" s="40">
        <v>302</v>
      </c>
      <c r="G9" s="40">
        <v>77</v>
      </c>
      <c r="H9" s="40">
        <v>7</v>
      </c>
      <c r="I9" s="40">
        <v>103</v>
      </c>
      <c r="J9" s="40">
        <v>265</v>
      </c>
      <c r="K9" s="40">
        <v>159</v>
      </c>
      <c r="L9" s="40">
        <v>55</v>
      </c>
      <c r="M9" s="40">
        <v>98</v>
      </c>
      <c r="N9" s="73">
        <f>SUM(B9:M9)</f>
        <v>1434</v>
      </c>
      <c r="O9" s="56">
        <v>0</v>
      </c>
      <c r="P9" s="57">
        <f>O9/N9</f>
        <v>0</v>
      </c>
    </row>
    <row r="10" spans="1:16">
      <c r="A10" s="54" t="s">
        <v>138</v>
      </c>
      <c r="B10" s="40">
        <v>120</v>
      </c>
      <c r="C10" s="40">
        <v>0</v>
      </c>
      <c r="D10" s="40">
        <v>180</v>
      </c>
      <c r="E10" s="40">
        <v>200</v>
      </c>
      <c r="F10" s="40">
        <v>447</v>
      </c>
      <c r="G10" s="40">
        <v>141</v>
      </c>
      <c r="H10" s="40">
        <v>4</v>
      </c>
      <c r="I10" s="40">
        <v>137</v>
      </c>
      <c r="J10" s="40">
        <v>423</v>
      </c>
      <c r="K10" s="40">
        <v>265</v>
      </c>
      <c r="L10" s="40">
        <v>142</v>
      </c>
      <c r="M10" s="40">
        <v>176</v>
      </c>
      <c r="N10" s="73">
        <f>SUM(B10:M10)</f>
        <v>2235</v>
      </c>
      <c r="O10" s="56">
        <v>0</v>
      </c>
      <c r="P10" s="57">
        <f>O10/N10</f>
        <v>0</v>
      </c>
    </row>
    <row r="11" spans="1:16">
      <c r="A11" s="54" t="s">
        <v>228</v>
      </c>
      <c r="B11" s="40">
        <v>0</v>
      </c>
      <c r="C11" s="40">
        <v>0</v>
      </c>
      <c r="D11" s="40">
        <v>0</v>
      </c>
      <c r="E11" s="40">
        <v>0</v>
      </c>
      <c r="F11" s="40">
        <v>0</v>
      </c>
      <c r="G11" s="40">
        <v>0</v>
      </c>
      <c r="H11" s="40">
        <v>0</v>
      </c>
      <c r="I11" s="40">
        <v>0</v>
      </c>
      <c r="J11" s="40">
        <v>0</v>
      </c>
      <c r="K11" s="40">
        <v>0</v>
      </c>
      <c r="L11" s="40">
        <v>0</v>
      </c>
      <c r="M11" s="40">
        <v>0</v>
      </c>
      <c r="N11" s="73">
        <f>SUM(B11:M11)</f>
        <v>0</v>
      </c>
      <c r="O11" s="18"/>
    </row>
    <row r="12" spans="1:16">
      <c r="B12" s="43"/>
      <c r="C12" s="43"/>
      <c r="D12" s="43"/>
      <c r="E12" s="43"/>
      <c r="F12" s="43"/>
      <c r="G12" s="43"/>
      <c r="H12" s="43"/>
      <c r="I12" s="43"/>
      <c r="J12" s="43"/>
      <c r="K12" s="43"/>
      <c r="L12" s="43"/>
      <c r="M12" s="43"/>
      <c r="N12" s="43"/>
    </row>
    <row r="13" spans="1:16">
      <c r="A13" s="49" t="s">
        <v>169</v>
      </c>
      <c r="B13" s="83">
        <v>10</v>
      </c>
    </row>
  </sheetData>
  <mergeCells count="2">
    <mergeCell ref="A1:D1"/>
    <mergeCell ref="A2:F2"/>
  </mergeCells>
  <pageMargins left="0.75" right="0.75" top="1" bottom="1" header="0.5" footer="0.5"/>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dimension ref="A1:Q213"/>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2.5703125" customWidth="1"/>
    <col min="2" max="14" width="8.5703125" customWidth="1"/>
    <col min="15" max="15" width="10.85546875" customWidth="1"/>
    <col min="16" max="16" width="9.7109375" customWidth="1"/>
    <col min="17" max="17" width="9.140625" customWidth="1"/>
  </cols>
  <sheetData>
    <row r="1" spans="1:17" ht="20.25">
      <c r="A1" s="1" t="s">
        <v>153</v>
      </c>
      <c r="B1" s="2"/>
      <c r="C1" s="2"/>
      <c r="D1" s="2"/>
      <c r="E1" s="2"/>
      <c r="F1" s="2"/>
      <c r="G1" s="2"/>
      <c r="H1" s="2"/>
      <c r="I1" s="2"/>
      <c r="J1" s="2"/>
      <c r="K1" s="2"/>
      <c r="L1" s="2"/>
      <c r="M1" s="2"/>
      <c r="N1" s="2"/>
      <c r="O1" s="2"/>
      <c r="P1" s="2"/>
      <c r="Q1" s="2"/>
    </row>
    <row r="2" spans="1:17" ht="18">
      <c r="A2" s="48" t="s">
        <v>141</v>
      </c>
      <c r="B2" s="2"/>
      <c r="C2" s="2"/>
      <c r="D2" s="2"/>
      <c r="E2" s="2"/>
      <c r="F2" s="2"/>
      <c r="G2" s="2"/>
      <c r="H2" s="2"/>
      <c r="I2" s="2"/>
      <c r="J2" s="2"/>
      <c r="K2" s="2"/>
      <c r="L2" s="2"/>
      <c r="M2" s="2"/>
      <c r="N2" s="2"/>
      <c r="O2" s="2"/>
      <c r="P2" s="2"/>
      <c r="Q2" s="2"/>
    </row>
    <row r="3" spans="1:17">
      <c r="A3" s="84"/>
      <c r="B3" s="2"/>
      <c r="C3" s="2"/>
      <c r="D3" s="2"/>
      <c r="E3" s="2"/>
      <c r="F3" s="2"/>
      <c r="G3" s="2"/>
      <c r="H3" s="2"/>
      <c r="I3" s="2"/>
      <c r="J3" s="2"/>
      <c r="K3" s="2"/>
      <c r="L3" s="2"/>
      <c r="M3" s="2"/>
      <c r="N3" s="2"/>
      <c r="O3" s="2"/>
      <c r="P3" s="2"/>
    </row>
    <row r="4" spans="1:17">
      <c r="A4" s="2" t="s">
        <v>17</v>
      </c>
      <c r="B4" s="2" t="s">
        <v>242</v>
      </c>
      <c r="C4" s="2"/>
      <c r="D4" s="2"/>
      <c r="E4" s="2"/>
      <c r="F4" s="2"/>
      <c r="G4" s="2"/>
      <c r="H4" s="2"/>
      <c r="I4" s="2"/>
      <c r="J4" s="2"/>
      <c r="K4" s="2"/>
      <c r="L4" s="2"/>
      <c r="M4" s="2"/>
      <c r="N4" s="2"/>
      <c r="O4" s="2"/>
      <c r="P4" s="2"/>
    </row>
    <row r="5" spans="1:17">
      <c r="A5" s="85"/>
      <c r="B5" s="86"/>
      <c r="C5" s="86"/>
      <c r="D5" s="86"/>
      <c r="E5" s="86"/>
      <c r="F5" s="86"/>
      <c r="G5" s="86"/>
      <c r="H5" s="86"/>
      <c r="I5" s="86"/>
      <c r="J5" s="86"/>
      <c r="K5" s="86"/>
      <c r="L5" s="86"/>
      <c r="M5" s="86"/>
      <c r="N5" s="86"/>
      <c r="O5" s="5"/>
      <c r="P5" s="5"/>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67" t="s">
        <v>278</v>
      </c>
      <c r="B7" s="53"/>
      <c r="C7" s="53"/>
      <c r="D7" s="53"/>
      <c r="E7" s="53"/>
      <c r="F7" s="53"/>
      <c r="G7" s="53"/>
      <c r="H7" s="53"/>
      <c r="I7" s="53"/>
      <c r="J7" s="53"/>
      <c r="K7" s="53"/>
      <c r="L7" s="53"/>
      <c r="M7" s="53"/>
      <c r="N7" s="53"/>
      <c r="O7" s="70"/>
      <c r="P7" s="70"/>
    </row>
    <row r="8" spans="1:17">
      <c r="A8" s="71" t="s">
        <v>208</v>
      </c>
      <c r="B8" s="24">
        <v>250</v>
      </c>
      <c r="C8" s="24">
        <v>206</v>
      </c>
      <c r="D8" s="24">
        <v>616</v>
      </c>
      <c r="E8" s="24">
        <v>855</v>
      </c>
      <c r="F8" s="24">
        <v>763</v>
      </c>
      <c r="G8" s="24">
        <v>259</v>
      </c>
      <c r="H8" s="24">
        <v>386</v>
      </c>
      <c r="I8" s="24">
        <v>612</v>
      </c>
      <c r="J8" s="24">
        <v>600</v>
      </c>
      <c r="K8" s="24">
        <v>676</v>
      </c>
      <c r="L8" s="24">
        <v>382</v>
      </c>
      <c r="M8" s="24">
        <v>58</v>
      </c>
      <c r="N8" s="73">
        <f>SUM(B8:M8)</f>
        <v>5663</v>
      </c>
      <c r="O8" s="74">
        <v>0</v>
      </c>
      <c r="P8" s="75">
        <f>O8/N8</f>
        <v>0</v>
      </c>
    </row>
    <row r="9" spans="1:17">
      <c r="A9" s="2"/>
      <c r="B9" s="87"/>
      <c r="C9" s="87"/>
      <c r="D9" s="87"/>
      <c r="E9" s="87"/>
      <c r="F9" s="87"/>
      <c r="G9" s="87"/>
      <c r="H9" s="87"/>
      <c r="I9" s="87"/>
      <c r="J9" s="87"/>
      <c r="K9" s="87"/>
      <c r="L9" s="87"/>
      <c r="M9" s="87"/>
      <c r="N9" s="88"/>
      <c r="O9" s="75"/>
      <c r="P9" s="75"/>
    </row>
    <row r="10" spans="1:17">
      <c r="A10" s="5"/>
      <c r="B10" s="89"/>
      <c r="C10" s="89"/>
      <c r="D10" s="89"/>
      <c r="E10" s="89"/>
      <c r="F10" s="89"/>
      <c r="G10" s="89"/>
      <c r="H10" s="89"/>
      <c r="I10" s="89"/>
      <c r="J10" s="89"/>
      <c r="K10" s="89"/>
      <c r="L10" s="89"/>
      <c r="M10" s="89"/>
      <c r="N10" s="90"/>
      <c r="O10" s="91"/>
      <c r="P10" s="91"/>
    </row>
    <row r="11" spans="1:17" ht="25.5">
      <c r="A11" s="58"/>
      <c r="B11" s="59">
        <v>40360</v>
      </c>
      <c r="C11" s="59">
        <v>40391</v>
      </c>
      <c r="D11" s="59">
        <v>6614787</v>
      </c>
      <c r="E11" s="59">
        <v>40452</v>
      </c>
      <c r="F11" s="59">
        <v>40483</v>
      </c>
      <c r="G11" s="59">
        <v>40513</v>
      </c>
      <c r="H11" s="59">
        <v>40544</v>
      </c>
      <c r="I11" s="59">
        <v>40575</v>
      </c>
      <c r="J11" s="59">
        <v>40603</v>
      </c>
      <c r="K11" s="59">
        <v>40634</v>
      </c>
      <c r="L11" s="59">
        <v>40664</v>
      </c>
      <c r="M11" s="59">
        <v>40695</v>
      </c>
      <c r="N11" s="60" t="s">
        <v>371</v>
      </c>
      <c r="O11" s="61" t="s">
        <v>27</v>
      </c>
      <c r="P11" s="61" t="s">
        <v>175</v>
      </c>
      <c r="Q11" s="2"/>
    </row>
    <row r="12" spans="1:17">
      <c r="A12" s="67" t="s">
        <v>37</v>
      </c>
      <c r="B12" s="59"/>
      <c r="C12" s="59"/>
      <c r="D12" s="59"/>
      <c r="E12" s="59"/>
      <c r="F12" s="59"/>
      <c r="G12" s="59"/>
      <c r="H12" s="59"/>
      <c r="I12" s="59"/>
      <c r="J12" s="59"/>
      <c r="K12" s="59"/>
      <c r="L12" s="59"/>
      <c r="M12" s="59"/>
      <c r="N12" s="53"/>
      <c r="O12" s="70"/>
      <c r="P12" s="70"/>
    </row>
    <row r="13" spans="1:17">
      <c r="A13" s="71" t="s">
        <v>208</v>
      </c>
      <c r="B13" s="24">
        <v>43</v>
      </c>
      <c r="C13" s="24">
        <v>30</v>
      </c>
      <c r="D13" s="24">
        <v>189</v>
      </c>
      <c r="E13" s="24">
        <v>374</v>
      </c>
      <c r="F13" s="24">
        <v>304</v>
      </c>
      <c r="G13" s="24">
        <v>98</v>
      </c>
      <c r="H13" s="24">
        <v>74</v>
      </c>
      <c r="I13" s="24">
        <v>211</v>
      </c>
      <c r="J13" s="24">
        <v>348</v>
      </c>
      <c r="K13" s="24">
        <v>241</v>
      </c>
      <c r="L13" s="24">
        <v>70</v>
      </c>
      <c r="M13" s="24">
        <v>6</v>
      </c>
      <c r="N13" s="73">
        <f>SUM(B13:M13)</f>
        <v>1988</v>
      </c>
      <c r="O13" s="74">
        <v>0</v>
      </c>
      <c r="P13" s="76" t="s">
        <v>231</v>
      </c>
    </row>
    <row r="14" spans="1:17">
      <c r="A14" s="2"/>
      <c r="B14" s="87"/>
      <c r="C14" s="87"/>
      <c r="D14" s="87"/>
      <c r="E14" s="87"/>
      <c r="F14" s="87"/>
      <c r="G14" s="87"/>
      <c r="H14" s="87"/>
      <c r="I14" s="87"/>
      <c r="J14" s="87"/>
      <c r="K14" s="87"/>
      <c r="L14" s="87"/>
      <c r="M14" s="87"/>
      <c r="N14" s="88"/>
      <c r="O14" s="75"/>
      <c r="P14" s="75"/>
    </row>
    <row r="15" spans="1:17">
      <c r="A15" s="5"/>
      <c r="B15" s="89"/>
      <c r="C15" s="89"/>
      <c r="D15" s="89"/>
      <c r="E15" s="89"/>
      <c r="F15" s="89"/>
      <c r="G15" s="89"/>
      <c r="H15" s="89"/>
      <c r="I15" s="89"/>
      <c r="J15" s="89"/>
      <c r="K15" s="89"/>
      <c r="L15" s="89"/>
      <c r="M15" s="89"/>
      <c r="N15" s="90"/>
      <c r="O15" s="91"/>
      <c r="P15" s="91"/>
    </row>
    <row r="16" spans="1:17" ht="25.5">
      <c r="A16" s="58"/>
      <c r="B16" s="59">
        <v>40360</v>
      </c>
      <c r="C16" s="59">
        <v>40391</v>
      </c>
      <c r="D16" s="59">
        <v>6614787</v>
      </c>
      <c r="E16" s="59">
        <v>40452</v>
      </c>
      <c r="F16" s="59">
        <v>40483</v>
      </c>
      <c r="G16" s="59">
        <v>40513</v>
      </c>
      <c r="H16" s="59">
        <v>40544</v>
      </c>
      <c r="I16" s="59">
        <v>40575</v>
      </c>
      <c r="J16" s="59">
        <v>40603</v>
      </c>
      <c r="K16" s="59">
        <v>40634</v>
      </c>
      <c r="L16" s="59">
        <v>40664</v>
      </c>
      <c r="M16" s="59">
        <v>40695</v>
      </c>
      <c r="N16" s="60" t="s">
        <v>371</v>
      </c>
      <c r="O16" s="61" t="s">
        <v>27</v>
      </c>
      <c r="P16" s="61" t="s">
        <v>175</v>
      </c>
      <c r="Q16" s="2"/>
    </row>
    <row r="17" spans="1:17">
      <c r="A17" s="67" t="s">
        <v>162</v>
      </c>
      <c r="B17" s="59"/>
      <c r="C17" s="59"/>
      <c r="D17" s="59"/>
      <c r="E17" s="59"/>
      <c r="F17" s="59"/>
      <c r="G17" s="59"/>
      <c r="H17" s="59"/>
      <c r="I17" s="59"/>
      <c r="J17" s="59"/>
      <c r="K17" s="59"/>
      <c r="L17" s="59"/>
      <c r="M17" s="59"/>
      <c r="N17" s="53"/>
      <c r="O17" s="70"/>
      <c r="P17" s="70"/>
    </row>
    <row r="18" spans="1:17">
      <c r="A18" s="71" t="s">
        <v>208</v>
      </c>
      <c r="B18" s="24">
        <v>23</v>
      </c>
      <c r="C18" s="24">
        <v>18</v>
      </c>
      <c r="D18" s="24">
        <v>80</v>
      </c>
      <c r="E18" s="24">
        <v>141</v>
      </c>
      <c r="F18" s="24">
        <v>134</v>
      </c>
      <c r="G18" s="24">
        <v>42</v>
      </c>
      <c r="H18" s="24">
        <v>62</v>
      </c>
      <c r="I18" s="24">
        <v>112</v>
      </c>
      <c r="J18" s="24">
        <v>187</v>
      </c>
      <c r="K18" s="24">
        <v>120</v>
      </c>
      <c r="L18" s="24">
        <v>51</v>
      </c>
      <c r="M18" s="24">
        <v>2</v>
      </c>
      <c r="N18" s="73">
        <f>SUM(B18:M18)</f>
        <v>972</v>
      </c>
      <c r="O18" s="74">
        <v>0</v>
      </c>
      <c r="P18" s="76" t="s">
        <v>231</v>
      </c>
    </row>
    <row r="19" spans="1:17">
      <c r="A19" s="2"/>
      <c r="B19" s="87"/>
      <c r="C19" s="87"/>
      <c r="D19" s="87"/>
      <c r="E19" s="87"/>
      <c r="F19" s="87"/>
      <c r="G19" s="87"/>
      <c r="H19" s="87"/>
      <c r="I19" s="87"/>
      <c r="J19" s="87"/>
      <c r="K19" s="87"/>
      <c r="L19" s="87"/>
      <c r="M19" s="87"/>
      <c r="N19" s="88"/>
      <c r="O19" s="75"/>
      <c r="P19" s="75"/>
    </row>
    <row r="20" spans="1:17">
      <c r="A20" s="5"/>
      <c r="B20" s="89"/>
      <c r="C20" s="89"/>
      <c r="D20" s="89"/>
      <c r="E20" s="89"/>
      <c r="F20" s="89"/>
      <c r="G20" s="89"/>
      <c r="H20" s="89"/>
      <c r="I20" s="89"/>
      <c r="J20" s="89"/>
      <c r="K20" s="89"/>
      <c r="L20" s="89"/>
      <c r="M20" s="89"/>
      <c r="N20" s="90"/>
      <c r="O20" s="91"/>
      <c r="P20" s="91"/>
    </row>
    <row r="21" spans="1:17" ht="25.5">
      <c r="A21" s="58"/>
      <c r="B21" s="59">
        <v>40360</v>
      </c>
      <c r="C21" s="59">
        <v>40391</v>
      </c>
      <c r="D21" s="59">
        <v>6614787</v>
      </c>
      <c r="E21" s="59">
        <v>40452</v>
      </c>
      <c r="F21" s="59">
        <v>40483</v>
      </c>
      <c r="G21" s="59">
        <v>40513</v>
      </c>
      <c r="H21" s="59">
        <v>40544</v>
      </c>
      <c r="I21" s="59">
        <v>40575</v>
      </c>
      <c r="J21" s="59">
        <v>40603</v>
      </c>
      <c r="K21" s="59">
        <v>40634</v>
      </c>
      <c r="L21" s="59">
        <v>40664</v>
      </c>
      <c r="M21" s="59">
        <v>40695</v>
      </c>
      <c r="N21" s="60" t="s">
        <v>371</v>
      </c>
      <c r="O21" s="61" t="s">
        <v>27</v>
      </c>
      <c r="P21" s="61" t="s">
        <v>175</v>
      </c>
      <c r="Q21" s="2"/>
    </row>
    <row r="22" spans="1:17">
      <c r="A22" s="67" t="s">
        <v>185</v>
      </c>
      <c r="B22" s="59"/>
      <c r="C22" s="59"/>
      <c r="D22" s="59"/>
      <c r="E22" s="59"/>
      <c r="F22" s="59"/>
      <c r="G22" s="59"/>
      <c r="H22" s="59"/>
      <c r="I22" s="59"/>
      <c r="J22" s="59"/>
      <c r="K22" s="59"/>
      <c r="L22" s="59"/>
      <c r="M22" s="59"/>
      <c r="N22" s="53"/>
      <c r="O22" s="70"/>
      <c r="P22" s="70"/>
    </row>
    <row r="23" spans="1:17">
      <c r="A23" s="71" t="s">
        <v>208</v>
      </c>
      <c r="B23" s="24">
        <v>40</v>
      </c>
      <c r="C23" s="24">
        <v>25</v>
      </c>
      <c r="D23" s="24">
        <v>105</v>
      </c>
      <c r="E23" s="24">
        <v>171</v>
      </c>
      <c r="F23" s="24">
        <v>193</v>
      </c>
      <c r="G23" s="24">
        <v>52</v>
      </c>
      <c r="H23" s="24">
        <v>67</v>
      </c>
      <c r="I23" s="24">
        <v>139</v>
      </c>
      <c r="J23" s="24">
        <v>241</v>
      </c>
      <c r="K23" s="24">
        <v>164</v>
      </c>
      <c r="L23" s="24">
        <v>61</v>
      </c>
      <c r="M23" s="24">
        <v>2</v>
      </c>
      <c r="N23" s="73">
        <f>SUM(B23:M23)</f>
        <v>1260</v>
      </c>
      <c r="O23" s="74">
        <v>0</v>
      </c>
      <c r="P23" s="76" t="s">
        <v>231</v>
      </c>
    </row>
    <row r="24" spans="1:17">
      <c r="A24" s="2"/>
      <c r="B24" s="87"/>
      <c r="C24" s="87"/>
      <c r="D24" s="87"/>
      <c r="E24" s="87"/>
      <c r="F24" s="87"/>
      <c r="G24" s="87"/>
      <c r="H24" s="87"/>
      <c r="I24" s="87"/>
      <c r="J24" s="87"/>
      <c r="K24" s="87"/>
      <c r="L24" s="87"/>
      <c r="M24" s="87"/>
      <c r="N24" s="88"/>
      <c r="O24" s="75"/>
      <c r="P24" s="75"/>
    </row>
    <row r="25" spans="1:17">
      <c r="A25" s="5"/>
      <c r="B25" s="89"/>
      <c r="C25" s="89"/>
      <c r="D25" s="89"/>
      <c r="E25" s="89"/>
      <c r="F25" s="89"/>
      <c r="G25" s="89"/>
      <c r="H25" s="89"/>
      <c r="I25" s="89"/>
      <c r="J25" s="89"/>
      <c r="K25" s="89"/>
      <c r="L25" s="89"/>
      <c r="M25" s="89"/>
      <c r="N25" s="90"/>
      <c r="O25" s="91"/>
      <c r="P25" s="91"/>
    </row>
    <row r="26" spans="1:17" ht="25.5">
      <c r="A26" s="58"/>
      <c r="B26" s="59">
        <v>40360</v>
      </c>
      <c r="C26" s="59">
        <v>40391</v>
      </c>
      <c r="D26" s="59">
        <v>6614787</v>
      </c>
      <c r="E26" s="59">
        <v>40452</v>
      </c>
      <c r="F26" s="59">
        <v>40483</v>
      </c>
      <c r="G26" s="59">
        <v>40513</v>
      </c>
      <c r="H26" s="59">
        <v>40544</v>
      </c>
      <c r="I26" s="59">
        <v>40575</v>
      </c>
      <c r="J26" s="59">
        <v>40603</v>
      </c>
      <c r="K26" s="59">
        <v>40634</v>
      </c>
      <c r="L26" s="59">
        <v>40664</v>
      </c>
      <c r="M26" s="59">
        <v>40695</v>
      </c>
      <c r="N26" s="60" t="s">
        <v>371</v>
      </c>
      <c r="O26" s="61" t="s">
        <v>27</v>
      </c>
      <c r="P26" s="61" t="s">
        <v>175</v>
      </c>
      <c r="Q26" s="2"/>
    </row>
    <row r="27" spans="1:17">
      <c r="A27" s="67" t="s">
        <v>281</v>
      </c>
      <c r="B27" s="59"/>
      <c r="C27" s="59"/>
      <c r="D27" s="59"/>
      <c r="E27" s="59"/>
      <c r="F27" s="59"/>
      <c r="G27" s="59"/>
      <c r="H27" s="59"/>
      <c r="I27" s="59"/>
      <c r="J27" s="59"/>
      <c r="K27" s="59"/>
      <c r="L27" s="59"/>
      <c r="M27" s="59"/>
      <c r="N27" s="53"/>
      <c r="O27" s="70"/>
      <c r="P27" s="70"/>
    </row>
    <row r="28" spans="1:17">
      <c r="A28" s="71" t="s">
        <v>208</v>
      </c>
      <c r="B28" s="24">
        <v>25</v>
      </c>
      <c r="C28" s="24">
        <v>25</v>
      </c>
      <c r="D28" s="24">
        <v>99</v>
      </c>
      <c r="E28" s="24">
        <v>187</v>
      </c>
      <c r="F28" s="24">
        <v>236</v>
      </c>
      <c r="G28" s="24">
        <v>73</v>
      </c>
      <c r="H28" s="24">
        <v>114</v>
      </c>
      <c r="I28" s="24">
        <v>186</v>
      </c>
      <c r="J28" s="24">
        <v>263</v>
      </c>
      <c r="K28" s="24">
        <v>165</v>
      </c>
      <c r="L28" s="24">
        <v>59</v>
      </c>
      <c r="M28" s="24">
        <v>5</v>
      </c>
      <c r="N28" s="73">
        <f>SUM(B28:M28)</f>
        <v>1437</v>
      </c>
      <c r="O28" s="74">
        <v>0</v>
      </c>
      <c r="P28" s="76" t="s">
        <v>231</v>
      </c>
    </row>
    <row r="29" spans="1:17">
      <c r="A29" s="2"/>
      <c r="B29" s="87"/>
      <c r="C29" s="87"/>
      <c r="D29" s="87"/>
      <c r="E29" s="87"/>
      <c r="F29" s="87"/>
      <c r="G29" s="87"/>
      <c r="H29" s="87"/>
      <c r="I29" s="87"/>
      <c r="J29" s="87"/>
      <c r="K29" s="87"/>
      <c r="L29" s="87"/>
      <c r="M29" s="87"/>
      <c r="N29" s="88"/>
      <c r="O29" s="75"/>
      <c r="P29" s="75"/>
    </row>
    <row r="30" spans="1:17">
      <c r="A30" s="5"/>
      <c r="B30" s="89"/>
      <c r="C30" s="89"/>
      <c r="D30" s="89"/>
      <c r="E30" s="89"/>
      <c r="F30" s="89"/>
      <c r="G30" s="89"/>
      <c r="H30" s="89"/>
      <c r="I30" s="89"/>
      <c r="J30" s="89"/>
      <c r="K30" s="89"/>
      <c r="L30" s="89"/>
      <c r="M30" s="89"/>
      <c r="N30" s="90"/>
      <c r="O30" s="91"/>
      <c r="P30" s="91"/>
    </row>
    <row r="31" spans="1:17" ht="25.5">
      <c r="A31" s="58"/>
      <c r="B31" s="59">
        <v>40360</v>
      </c>
      <c r="C31" s="59">
        <v>40391</v>
      </c>
      <c r="D31" s="59">
        <v>6614787</v>
      </c>
      <c r="E31" s="59">
        <v>40452</v>
      </c>
      <c r="F31" s="59">
        <v>40483</v>
      </c>
      <c r="G31" s="59">
        <v>40513</v>
      </c>
      <c r="H31" s="59">
        <v>40544</v>
      </c>
      <c r="I31" s="59">
        <v>40575</v>
      </c>
      <c r="J31" s="59">
        <v>40603</v>
      </c>
      <c r="K31" s="59">
        <v>40634</v>
      </c>
      <c r="L31" s="59">
        <v>40664</v>
      </c>
      <c r="M31" s="59">
        <v>40695</v>
      </c>
      <c r="N31" s="60" t="s">
        <v>371</v>
      </c>
      <c r="O31" s="61" t="s">
        <v>27</v>
      </c>
      <c r="P31" s="61" t="s">
        <v>175</v>
      </c>
      <c r="Q31" s="2"/>
    </row>
    <row r="32" spans="1:17">
      <c r="A32" s="183" t="s">
        <v>267</v>
      </c>
      <c r="B32" s="184"/>
      <c r="C32" s="59"/>
      <c r="D32" s="59"/>
      <c r="E32" s="59"/>
      <c r="F32" s="59"/>
      <c r="G32" s="59"/>
      <c r="H32" s="59"/>
      <c r="I32" s="59"/>
      <c r="J32" s="59"/>
      <c r="K32" s="59"/>
      <c r="L32" s="59"/>
      <c r="M32" s="59"/>
      <c r="N32" s="53"/>
      <c r="O32" s="70"/>
      <c r="P32" s="70"/>
    </row>
    <row r="33" spans="1:16">
      <c r="A33" s="71" t="s">
        <v>208</v>
      </c>
      <c r="B33" s="24">
        <v>25</v>
      </c>
      <c r="C33" s="24">
        <v>25</v>
      </c>
      <c r="D33" s="24">
        <v>123</v>
      </c>
      <c r="E33" s="24">
        <v>157</v>
      </c>
      <c r="F33" s="24">
        <v>156</v>
      </c>
      <c r="G33" s="24">
        <v>49</v>
      </c>
      <c r="H33" s="24">
        <v>65</v>
      </c>
      <c r="I33" s="24">
        <v>138</v>
      </c>
      <c r="J33" s="24">
        <v>219</v>
      </c>
      <c r="K33" s="24">
        <v>142</v>
      </c>
      <c r="L33" s="24">
        <v>57</v>
      </c>
      <c r="M33" s="24">
        <v>2</v>
      </c>
      <c r="N33" s="73">
        <f>SUM(B33:M33)</f>
        <v>1158</v>
      </c>
      <c r="O33" s="74">
        <v>0</v>
      </c>
      <c r="P33" s="76" t="s">
        <v>231</v>
      </c>
    </row>
    <row r="34" spans="1:16">
      <c r="A34" s="2"/>
      <c r="B34" s="87"/>
      <c r="C34" s="87"/>
      <c r="D34" s="87"/>
      <c r="E34" s="87"/>
      <c r="F34" s="87"/>
      <c r="G34" s="87"/>
      <c r="H34" s="87"/>
      <c r="I34" s="87"/>
      <c r="J34" s="87"/>
      <c r="K34" s="87"/>
      <c r="L34" s="87"/>
      <c r="M34" s="87"/>
      <c r="N34" s="88"/>
      <c r="O34" s="75"/>
      <c r="P34" s="75"/>
    </row>
    <row r="35" spans="1:16">
      <c r="A35" s="5"/>
      <c r="B35" s="89"/>
      <c r="C35" s="89"/>
      <c r="D35" s="89"/>
      <c r="E35" s="89"/>
      <c r="F35" s="89"/>
      <c r="G35" s="89"/>
      <c r="H35" s="89"/>
      <c r="I35" s="89"/>
      <c r="J35" s="89"/>
      <c r="K35" s="89"/>
      <c r="L35" s="89"/>
      <c r="M35" s="89"/>
      <c r="N35" s="90"/>
      <c r="O35" s="91"/>
      <c r="P35" s="91"/>
    </row>
    <row r="36" spans="1:16" ht="25.5">
      <c r="A36" s="58"/>
      <c r="B36" s="59">
        <v>40360</v>
      </c>
      <c r="C36" s="59">
        <v>40391</v>
      </c>
      <c r="D36" s="59">
        <v>6614787</v>
      </c>
      <c r="E36" s="59">
        <v>40452</v>
      </c>
      <c r="F36" s="59">
        <v>40483</v>
      </c>
      <c r="G36" s="59">
        <v>40513</v>
      </c>
      <c r="H36" s="59">
        <v>40544</v>
      </c>
      <c r="I36" s="59">
        <v>40575</v>
      </c>
      <c r="J36" s="59">
        <v>40603</v>
      </c>
      <c r="K36" s="59">
        <v>40634</v>
      </c>
      <c r="L36" s="59">
        <v>40664</v>
      </c>
      <c r="M36" s="59">
        <v>40695</v>
      </c>
      <c r="N36" s="60" t="s">
        <v>371</v>
      </c>
      <c r="O36" s="61" t="s">
        <v>27</v>
      </c>
      <c r="P36" s="61" t="s">
        <v>175</v>
      </c>
    </row>
    <row r="37" spans="1:16">
      <c r="A37" s="183" t="s">
        <v>179</v>
      </c>
      <c r="B37" s="184"/>
      <c r="C37" s="59"/>
      <c r="D37" s="59"/>
      <c r="E37" s="59"/>
      <c r="F37" s="59"/>
      <c r="G37" s="59"/>
      <c r="H37" s="59"/>
      <c r="I37" s="59"/>
      <c r="J37" s="59"/>
      <c r="K37" s="59"/>
      <c r="L37" s="59"/>
      <c r="M37" s="59"/>
      <c r="N37" s="53"/>
      <c r="O37" s="70"/>
      <c r="P37" s="70"/>
    </row>
    <row r="38" spans="1:16">
      <c r="A38" s="71" t="s">
        <v>208</v>
      </c>
      <c r="B38" s="24">
        <v>0</v>
      </c>
      <c r="C38" s="24">
        <v>0</v>
      </c>
      <c r="D38" s="24">
        <v>0</v>
      </c>
      <c r="E38" s="24">
        <v>0</v>
      </c>
      <c r="F38" s="24">
        <v>0</v>
      </c>
      <c r="G38" s="24">
        <v>0</v>
      </c>
      <c r="H38" s="24" t="s">
        <v>231</v>
      </c>
      <c r="I38" s="24" t="s">
        <v>231</v>
      </c>
      <c r="J38" s="24" t="s">
        <v>231</v>
      </c>
      <c r="K38" s="24" t="s">
        <v>231</v>
      </c>
      <c r="L38" s="24" t="s">
        <v>231</v>
      </c>
      <c r="M38" s="24" t="s">
        <v>231</v>
      </c>
      <c r="N38" s="73">
        <f>SUM(B38:M38)</f>
        <v>0</v>
      </c>
      <c r="O38" s="74">
        <v>0</v>
      </c>
      <c r="P38" s="76" t="s">
        <v>231</v>
      </c>
    </row>
    <row r="39" spans="1:16">
      <c r="A39" s="2"/>
      <c r="B39" s="87"/>
      <c r="C39" s="87"/>
      <c r="D39" s="87"/>
      <c r="E39" s="87"/>
      <c r="F39" s="87"/>
      <c r="G39" s="87"/>
      <c r="H39" s="87"/>
      <c r="I39" s="87"/>
      <c r="J39" s="87"/>
      <c r="K39" s="87"/>
      <c r="L39" s="87"/>
      <c r="M39" s="87"/>
      <c r="N39" s="88"/>
      <c r="O39" s="75"/>
      <c r="P39" s="75"/>
    </row>
    <row r="40" spans="1:16">
      <c r="A40" s="5"/>
      <c r="B40" s="89"/>
      <c r="C40" s="89"/>
      <c r="D40" s="89"/>
      <c r="E40" s="89"/>
      <c r="F40" s="89"/>
      <c r="G40" s="89"/>
      <c r="H40" s="89"/>
      <c r="I40" s="89"/>
      <c r="J40" s="89"/>
      <c r="K40" s="89"/>
      <c r="L40" s="89"/>
      <c r="M40" s="89"/>
      <c r="N40" s="90"/>
      <c r="O40" s="91"/>
      <c r="P40" s="91"/>
    </row>
    <row r="41" spans="1:16" ht="25.5">
      <c r="A41" s="58"/>
      <c r="B41" s="59">
        <v>40360</v>
      </c>
      <c r="C41" s="59">
        <v>40391</v>
      </c>
      <c r="D41" s="59">
        <v>6614787</v>
      </c>
      <c r="E41" s="59">
        <v>40452</v>
      </c>
      <c r="F41" s="59">
        <v>40483</v>
      </c>
      <c r="G41" s="59">
        <v>40513</v>
      </c>
      <c r="H41" s="59">
        <v>40544</v>
      </c>
      <c r="I41" s="59">
        <v>40575</v>
      </c>
      <c r="J41" s="59">
        <v>40603</v>
      </c>
      <c r="K41" s="59">
        <v>40634</v>
      </c>
      <c r="L41" s="59">
        <v>40664</v>
      </c>
      <c r="M41" s="59">
        <v>40695</v>
      </c>
      <c r="N41" s="60" t="s">
        <v>371</v>
      </c>
      <c r="O41" s="61" t="s">
        <v>27</v>
      </c>
      <c r="P41" s="61" t="s">
        <v>175</v>
      </c>
    </row>
    <row r="42" spans="1:16">
      <c r="A42" s="183" t="s">
        <v>309</v>
      </c>
      <c r="B42" s="184"/>
      <c r="C42" s="59"/>
      <c r="D42" s="59"/>
      <c r="E42" s="59"/>
      <c r="F42" s="59"/>
      <c r="G42" s="59"/>
      <c r="H42" s="59"/>
      <c r="I42" s="59"/>
      <c r="J42" s="59"/>
      <c r="K42" s="59"/>
      <c r="L42" s="59"/>
      <c r="M42" s="59"/>
      <c r="N42" s="53"/>
      <c r="O42" s="70"/>
      <c r="P42" s="70"/>
    </row>
    <row r="43" spans="1:16">
      <c r="A43" s="71" t="s">
        <v>208</v>
      </c>
      <c r="B43" s="24">
        <v>0</v>
      </c>
      <c r="C43" s="24">
        <v>0</v>
      </c>
      <c r="D43" s="24">
        <v>0</v>
      </c>
      <c r="E43" s="24">
        <v>0</v>
      </c>
      <c r="F43" s="24">
        <v>0</v>
      </c>
      <c r="G43" s="24">
        <v>0</v>
      </c>
      <c r="H43" s="24" t="s">
        <v>231</v>
      </c>
      <c r="I43" s="24" t="s">
        <v>231</v>
      </c>
      <c r="J43" s="24" t="s">
        <v>231</v>
      </c>
      <c r="K43" s="24" t="s">
        <v>231</v>
      </c>
      <c r="L43" s="24" t="s">
        <v>231</v>
      </c>
      <c r="M43" s="24" t="s">
        <v>231</v>
      </c>
      <c r="N43" s="73">
        <f>SUM(B43:M43)</f>
        <v>0</v>
      </c>
      <c r="O43" s="74">
        <v>0</v>
      </c>
      <c r="P43" s="76" t="s">
        <v>231</v>
      </c>
    </row>
    <row r="44" spans="1:16">
      <c r="A44" s="2"/>
      <c r="B44" s="87"/>
      <c r="C44" s="87"/>
      <c r="D44" s="87"/>
      <c r="E44" s="87"/>
      <c r="F44" s="87"/>
      <c r="G44" s="87"/>
      <c r="H44" s="87"/>
      <c r="I44" s="87"/>
      <c r="J44" s="87"/>
      <c r="K44" s="87"/>
      <c r="L44" s="87"/>
      <c r="M44" s="87"/>
      <c r="N44" s="88"/>
      <c r="O44" s="75"/>
      <c r="P44" s="75"/>
    </row>
    <row r="45" spans="1:16">
      <c r="A45" s="5"/>
      <c r="B45" s="89"/>
      <c r="C45" s="89"/>
      <c r="D45" s="89"/>
      <c r="E45" s="89"/>
      <c r="F45" s="89"/>
      <c r="G45" s="89"/>
      <c r="H45" s="89"/>
      <c r="I45" s="89"/>
      <c r="J45" s="89"/>
      <c r="K45" s="89"/>
      <c r="L45" s="89"/>
      <c r="M45" s="89"/>
      <c r="N45" s="90"/>
      <c r="O45" s="91"/>
      <c r="P45" s="91"/>
    </row>
    <row r="46" spans="1:16" ht="25.5">
      <c r="A46" s="58"/>
      <c r="B46" s="59">
        <v>40360</v>
      </c>
      <c r="C46" s="59">
        <v>40391</v>
      </c>
      <c r="D46" s="59">
        <v>6614787</v>
      </c>
      <c r="E46" s="59">
        <v>40452</v>
      </c>
      <c r="F46" s="59">
        <v>40483</v>
      </c>
      <c r="G46" s="59">
        <v>40513</v>
      </c>
      <c r="H46" s="59">
        <v>40544</v>
      </c>
      <c r="I46" s="59">
        <v>40575</v>
      </c>
      <c r="J46" s="59">
        <v>40603</v>
      </c>
      <c r="K46" s="59">
        <v>40634</v>
      </c>
      <c r="L46" s="59">
        <v>40664</v>
      </c>
      <c r="M46" s="59">
        <v>40695</v>
      </c>
      <c r="N46" s="60" t="s">
        <v>371</v>
      </c>
      <c r="O46" s="61" t="s">
        <v>27</v>
      </c>
      <c r="P46" s="61" t="s">
        <v>175</v>
      </c>
    </row>
    <row r="47" spans="1:16">
      <c r="A47" s="67" t="s">
        <v>287</v>
      </c>
      <c r="B47" s="59"/>
      <c r="C47" s="59"/>
      <c r="D47" s="59"/>
      <c r="E47" s="59"/>
      <c r="F47" s="59"/>
      <c r="G47" s="59"/>
      <c r="H47" s="59"/>
      <c r="I47" s="59"/>
      <c r="J47" s="59"/>
      <c r="K47" s="59"/>
      <c r="L47" s="59"/>
      <c r="M47" s="59"/>
      <c r="N47" s="53"/>
      <c r="O47" s="70"/>
      <c r="P47" s="70"/>
    </row>
    <row r="48" spans="1:16">
      <c r="A48" s="71" t="s">
        <v>208</v>
      </c>
      <c r="B48" s="24">
        <v>291</v>
      </c>
      <c r="C48" s="24">
        <v>92</v>
      </c>
      <c r="D48" s="24">
        <v>219</v>
      </c>
      <c r="E48" s="24">
        <v>597</v>
      </c>
      <c r="F48" s="24">
        <v>487</v>
      </c>
      <c r="G48" s="24">
        <v>205</v>
      </c>
      <c r="H48" s="24">
        <v>96</v>
      </c>
      <c r="I48" s="24">
        <v>471</v>
      </c>
      <c r="J48" s="24">
        <v>602</v>
      </c>
      <c r="K48" s="24">
        <v>508</v>
      </c>
      <c r="L48" s="24">
        <v>153</v>
      </c>
      <c r="M48" s="24">
        <v>33</v>
      </c>
      <c r="N48" s="73">
        <f>SUM(B48:M48)</f>
        <v>3754</v>
      </c>
      <c r="O48" s="74">
        <v>0</v>
      </c>
      <c r="P48" s="75">
        <f>O48/N48</f>
        <v>0</v>
      </c>
    </row>
    <row r="49" spans="1:17">
      <c r="A49" s="2"/>
      <c r="B49" s="87"/>
      <c r="C49" s="87"/>
      <c r="D49" s="87"/>
      <c r="E49" s="87"/>
      <c r="F49" s="87"/>
      <c r="G49" s="87"/>
      <c r="H49" s="87"/>
      <c r="I49" s="87"/>
      <c r="J49" s="87"/>
      <c r="K49" s="87"/>
      <c r="L49" s="87"/>
      <c r="M49" s="87"/>
      <c r="N49" s="88"/>
      <c r="O49" s="75"/>
      <c r="P49" s="75"/>
    </row>
    <row r="50" spans="1:17">
      <c r="A50" s="5"/>
      <c r="B50" s="89"/>
      <c r="C50" s="89"/>
      <c r="D50" s="89"/>
      <c r="E50" s="89"/>
      <c r="F50" s="89"/>
      <c r="G50" s="89"/>
      <c r="H50" s="89"/>
      <c r="I50" s="89"/>
      <c r="J50" s="89"/>
      <c r="K50" s="89"/>
      <c r="L50" s="89"/>
      <c r="M50" s="89"/>
      <c r="N50" s="90"/>
      <c r="O50" s="91"/>
      <c r="P50" s="91"/>
    </row>
    <row r="51" spans="1:17" ht="25.5">
      <c r="A51" s="58"/>
      <c r="B51" s="59">
        <v>40360</v>
      </c>
      <c r="C51" s="59">
        <v>40391</v>
      </c>
      <c r="D51" s="59">
        <v>6614787</v>
      </c>
      <c r="E51" s="59">
        <v>40452</v>
      </c>
      <c r="F51" s="59">
        <v>40483</v>
      </c>
      <c r="G51" s="59">
        <v>40513</v>
      </c>
      <c r="H51" s="59">
        <v>40544</v>
      </c>
      <c r="I51" s="59">
        <v>40575</v>
      </c>
      <c r="J51" s="59">
        <v>40603</v>
      </c>
      <c r="K51" s="59">
        <v>40634</v>
      </c>
      <c r="L51" s="59">
        <v>40664</v>
      </c>
      <c r="M51" s="59">
        <v>40695</v>
      </c>
      <c r="N51" s="60" t="s">
        <v>371</v>
      </c>
      <c r="O51" s="61" t="s">
        <v>27</v>
      </c>
      <c r="P51" s="61" t="s">
        <v>175</v>
      </c>
      <c r="Q51" s="2"/>
    </row>
    <row r="52" spans="1:17" ht="25.5">
      <c r="A52" s="92" t="s">
        <v>254</v>
      </c>
      <c r="B52" s="93"/>
      <c r="C52" s="93"/>
      <c r="D52" s="93"/>
      <c r="E52" s="93"/>
      <c r="F52" s="93"/>
      <c r="G52" s="93"/>
      <c r="H52" s="93"/>
      <c r="I52" s="93"/>
      <c r="J52" s="93"/>
      <c r="K52" s="93"/>
      <c r="L52" s="93"/>
      <c r="M52" s="93"/>
      <c r="N52" s="93"/>
      <c r="O52" s="94"/>
      <c r="P52" s="94"/>
    </row>
    <row r="53" spans="1:17">
      <c r="A53" s="71" t="s">
        <v>208</v>
      </c>
      <c r="B53" s="24">
        <v>0</v>
      </c>
      <c r="C53" s="24">
        <v>0</v>
      </c>
      <c r="D53" s="24">
        <v>0</v>
      </c>
      <c r="E53" s="24">
        <v>0</v>
      </c>
      <c r="F53" s="24">
        <v>0</v>
      </c>
      <c r="G53" s="24">
        <v>0</v>
      </c>
      <c r="H53" s="24" t="s">
        <v>231</v>
      </c>
      <c r="I53" s="24" t="s">
        <v>231</v>
      </c>
      <c r="J53" s="24" t="s">
        <v>231</v>
      </c>
      <c r="K53" s="24" t="s">
        <v>231</v>
      </c>
      <c r="L53" s="24" t="s">
        <v>231</v>
      </c>
      <c r="M53" s="24" t="s">
        <v>231</v>
      </c>
      <c r="N53" s="73">
        <f>SUM(B53:M53)</f>
        <v>0</v>
      </c>
      <c r="O53" s="74">
        <v>0</v>
      </c>
      <c r="P53" s="75" t="e">
        <f>O53/N53</f>
        <v>#DIV/0!</v>
      </c>
    </row>
    <row r="54" spans="1:17">
      <c r="A54" s="95"/>
      <c r="B54" s="94"/>
      <c r="C54" s="94"/>
      <c r="D54" s="94"/>
      <c r="E54" s="94"/>
      <c r="F54" s="94"/>
      <c r="G54" s="94"/>
      <c r="H54" s="94"/>
      <c r="I54" s="94"/>
      <c r="J54" s="94"/>
      <c r="K54" s="94"/>
      <c r="L54" s="94"/>
      <c r="M54" s="94"/>
      <c r="N54" s="94"/>
      <c r="O54" s="96"/>
      <c r="P54" s="96"/>
    </row>
    <row r="55" spans="1:17">
      <c r="A55" s="97"/>
      <c r="B55" s="98"/>
      <c r="C55" s="98"/>
      <c r="D55" s="98"/>
      <c r="E55" s="98"/>
      <c r="F55" s="98"/>
      <c r="G55" s="98"/>
      <c r="H55" s="98"/>
      <c r="I55" s="98"/>
      <c r="J55" s="98"/>
      <c r="K55" s="98"/>
      <c r="L55" s="98"/>
      <c r="M55" s="98"/>
      <c r="N55" s="98"/>
      <c r="O55" s="98"/>
      <c r="P55" s="98"/>
    </row>
    <row r="56" spans="1:17" ht="25.5">
      <c r="A56" s="58"/>
      <c r="B56" s="59">
        <v>40360</v>
      </c>
      <c r="C56" s="59">
        <v>40391</v>
      </c>
      <c r="D56" s="59">
        <v>6614787</v>
      </c>
      <c r="E56" s="59">
        <v>40452</v>
      </c>
      <c r="F56" s="59">
        <v>40483</v>
      </c>
      <c r="G56" s="59">
        <v>40513</v>
      </c>
      <c r="H56" s="59">
        <v>40544</v>
      </c>
      <c r="I56" s="59">
        <v>40575</v>
      </c>
      <c r="J56" s="59">
        <v>40603</v>
      </c>
      <c r="K56" s="59">
        <v>40634</v>
      </c>
      <c r="L56" s="59">
        <v>40664</v>
      </c>
      <c r="M56" s="59">
        <v>40695</v>
      </c>
      <c r="N56" s="60" t="s">
        <v>371</v>
      </c>
      <c r="O56" s="61" t="s">
        <v>27</v>
      </c>
      <c r="P56" s="61" t="s">
        <v>175</v>
      </c>
    </row>
    <row r="57" spans="1:17">
      <c r="A57" s="183" t="s">
        <v>154</v>
      </c>
      <c r="B57" s="184"/>
      <c r="C57" s="184"/>
      <c r="D57" s="59"/>
      <c r="E57" s="59"/>
      <c r="F57" s="59"/>
      <c r="G57" s="59"/>
      <c r="H57" s="59"/>
      <c r="I57" s="59"/>
      <c r="J57" s="59"/>
      <c r="K57" s="59"/>
      <c r="L57" s="59"/>
      <c r="M57" s="59"/>
      <c r="N57" s="53"/>
      <c r="O57" s="70"/>
      <c r="P57" s="70"/>
    </row>
    <row r="58" spans="1:17">
      <c r="A58" s="71" t="s">
        <v>208</v>
      </c>
      <c r="B58" s="24">
        <v>26</v>
      </c>
      <c r="C58" s="24">
        <v>25</v>
      </c>
      <c r="D58" s="24">
        <v>95</v>
      </c>
      <c r="E58" s="24">
        <v>154</v>
      </c>
      <c r="F58" s="24">
        <v>164</v>
      </c>
      <c r="G58" s="24">
        <v>53</v>
      </c>
      <c r="H58" s="24">
        <v>65</v>
      </c>
      <c r="I58" s="24">
        <v>137</v>
      </c>
      <c r="J58" s="24">
        <v>214</v>
      </c>
      <c r="K58" s="24">
        <v>143</v>
      </c>
      <c r="L58" s="24">
        <v>58</v>
      </c>
      <c r="M58" s="24">
        <v>2</v>
      </c>
      <c r="N58" s="73">
        <f>SUM(B58:M58)</f>
        <v>1136</v>
      </c>
      <c r="O58" s="74">
        <v>0</v>
      </c>
      <c r="P58" s="76" t="s">
        <v>231</v>
      </c>
    </row>
    <row r="59" spans="1:17">
      <c r="A59" s="2"/>
      <c r="B59" s="87"/>
      <c r="C59" s="87"/>
      <c r="D59" s="87"/>
      <c r="E59" s="87"/>
      <c r="F59" s="87"/>
      <c r="G59" s="87"/>
      <c r="H59" s="87"/>
      <c r="I59" s="87"/>
      <c r="J59" s="87"/>
      <c r="K59" s="87"/>
      <c r="L59" s="87"/>
      <c r="M59" s="87"/>
      <c r="N59" s="88"/>
      <c r="O59" s="75"/>
      <c r="P59" s="75"/>
    </row>
    <row r="60" spans="1:17">
      <c r="A60" s="5"/>
      <c r="B60" s="89"/>
      <c r="C60" s="89"/>
      <c r="D60" s="89"/>
      <c r="E60" s="89"/>
      <c r="F60" s="89"/>
      <c r="G60" s="89"/>
      <c r="H60" s="89"/>
      <c r="I60" s="89"/>
      <c r="J60" s="89"/>
      <c r="K60" s="89"/>
      <c r="L60" s="89"/>
      <c r="M60" s="89"/>
      <c r="N60" s="90"/>
      <c r="O60" s="91"/>
      <c r="P60" s="91"/>
    </row>
    <row r="61" spans="1:17" ht="25.5">
      <c r="A61" s="58"/>
      <c r="B61" s="59">
        <v>40360</v>
      </c>
      <c r="C61" s="59">
        <v>40391</v>
      </c>
      <c r="D61" s="59">
        <v>6614787</v>
      </c>
      <c r="E61" s="59">
        <v>40452</v>
      </c>
      <c r="F61" s="59">
        <v>40483</v>
      </c>
      <c r="G61" s="59">
        <v>40513</v>
      </c>
      <c r="H61" s="59">
        <v>40544</v>
      </c>
      <c r="I61" s="59">
        <v>40575</v>
      </c>
      <c r="J61" s="59">
        <v>40603</v>
      </c>
      <c r="K61" s="59">
        <v>40634</v>
      </c>
      <c r="L61" s="59">
        <v>40664</v>
      </c>
      <c r="M61" s="59">
        <v>40695</v>
      </c>
      <c r="N61" s="60" t="s">
        <v>371</v>
      </c>
      <c r="O61" s="61" t="s">
        <v>27</v>
      </c>
      <c r="P61" s="61" t="s">
        <v>175</v>
      </c>
    </row>
    <row r="62" spans="1:17">
      <c r="A62" s="67" t="s">
        <v>8</v>
      </c>
      <c r="B62" s="59"/>
      <c r="C62" s="59"/>
      <c r="D62" s="59"/>
      <c r="E62" s="59"/>
      <c r="F62" s="59"/>
      <c r="G62" s="59"/>
      <c r="H62" s="59"/>
      <c r="I62" s="59"/>
      <c r="J62" s="59"/>
      <c r="K62" s="59"/>
      <c r="L62" s="59"/>
      <c r="M62" s="59"/>
      <c r="N62" s="53"/>
      <c r="O62" s="70"/>
      <c r="P62" s="70"/>
    </row>
    <row r="63" spans="1:17">
      <c r="A63" s="71" t="s">
        <v>208</v>
      </c>
      <c r="B63" s="24">
        <v>0</v>
      </c>
      <c r="C63" s="24">
        <v>0</v>
      </c>
      <c r="D63" s="24">
        <v>0</v>
      </c>
      <c r="E63" s="24">
        <v>0</v>
      </c>
      <c r="F63" s="24">
        <v>0</v>
      </c>
      <c r="G63" s="24">
        <v>0</v>
      </c>
      <c r="H63" s="24" t="s">
        <v>231</v>
      </c>
      <c r="I63" s="24" t="s">
        <v>231</v>
      </c>
      <c r="J63" s="24" t="s">
        <v>231</v>
      </c>
      <c r="K63" s="24" t="s">
        <v>231</v>
      </c>
      <c r="L63" s="24" t="s">
        <v>231</v>
      </c>
      <c r="M63" s="24" t="s">
        <v>231</v>
      </c>
      <c r="N63" s="73">
        <f>SUM(B63:M63)</f>
        <v>0</v>
      </c>
      <c r="O63" s="74">
        <v>0</v>
      </c>
      <c r="P63" s="76" t="s">
        <v>231</v>
      </c>
    </row>
    <row r="64" spans="1:17">
      <c r="A64" s="2"/>
      <c r="B64" s="87"/>
      <c r="C64" s="87"/>
      <c r="D64" s="87"/>
      <c r="E64" s="87"/>
      <c r="F64" s="87"/>
      <c r="G64" s="87"/>
      <c r="H64" s="87"/>
      <c r="I64" s="87"/>
      <c r="J64" s="87"/>
      <c r="K64" s="87"/>
      <c r="L64" s="87"/>
      <c r="M64" s="87"/>
      <c r="N64" s="88"/>
      <c r="O64" s="75"/>
      <c r="P64" s="75"/>
    </row>
    <row r="65" spans="1:17">
      <c r="A65" s="5"/>
      <c r="B65" s="89"/>
      <c r="C65" s="89"/>
      <c r="D65" s="89"/>
      <c r="E65" s="89"/>
      <c r="F65" s="89"/>
      <c r="G65" s="89"/>
      <c r="H65" s="89"/>
      <c r="I65" s="89"/>
      <c r="J65" s="89"/>
      <c r="K65" s="89"/>
      <c r="L65" s="89"/>
      <c r="M65" s="89"/>
      <c r="N65" s="90"/>
      <c r="O65" s="91"/>
      <c r="P65" s="91"/>
    </row>
    <row r="66" spans="1:17" ht="25.5">
      <c r="A66" s="58"/>
      <c r="B66" s="59">
        <v>40360</v>
      </c>
      <c r="C66" s="59">
        <v>40391</v>
      </c>
      <c r="D66" s="59">
        <v>6614787</v>
      </c>
      <c r="E66" s="59">
        <v>40452</v>
      </c>
      <c r="F66" s="59">
        <v>40483</v>
      </c>
      <c r="G66" s="59">
        <v>40513</v>
      </c>
      <c r="H66" s="59">
        <v>40544</v>
      </c>
      <c r="I66" s="59">
        <v>40575</v>
      </c>
      <c r="J66" s="59">
        <v>40603</v>
      </c>
      <c r="K66" s="59">
        <v>40634</v>
      </c>
      <c r="L66" s="59">
        <v>40664</v>
      </c>
      <c r="M66" s="59">
        <v>40695</v>
      </c>
      <c r="N66" s="60" t="s">
        <v>371</v>
      </c>
      <c r="O66" s="61" t="s">
        <v>27</v>
      </c>
      <c r="P66" s="61" t="s">
        <v>175</v>
      </c>
      <c r="Q66" s="2"/>
    </row>
    <row r="67" spans="1:17">
      <c r="A67" s="67" t="s">
        <v>357</v>
      </c>
      <c r="B67" s="59"/>
      <c r="C67" s="59"/>
      <c r="D67" s="59"/>
      <c r="E67" s="59"/>
      <c r="F67" s="59"/>
      <c r="G67" s="59"/>
      <c r="H67" s="59"/>
      <c r="I67" s="59"/>
      <c r="J67" s="59"/>
      <c r="K67" s="59"/>
      <c r="L67" s="59"/>
      <c r="M67" s="59"/>
      <c r="N67" s="53"/>
      <c r="O67" s="70"/>
      <c r="P67" s="70"/>
    </row>
    <row r="68" spans="1:17">
      <c r="A68" s="71" t="s">
        <v>208</v>
      </c>
      <c r="B68" s="24">
        <v>37</v>
      </c>
      <c r="C68" s="24">
        <v>41</v>
      </c>
      <c r="D68" s="24">
        <v>167</v>
      </c>
      <c r="E68" s="24">
        <v>212</v>
      </c>
      <c r="F68" s="24">
        <v>232</v>
      </c>
      <c r="G68" s="24">
        <v>101</v>
      </c>
      <c r="H68" s="24">
        <v>80</v>
      </c>
      <c r="I68" s="24">
        <v>206</v>
      </c>
      <c r="J68" s="24">
        <v>330</v>
      </c>
      <c r="K68" s="24">
        <v>213</v>
      </c>
      <c r="L68" s="24">
        <v>80</v>
      </c>
      <c r="M68" s="24">
        <v>2</v>
      </c>
      <c r="N68" s="73">
        <f>SUM(B68:M68)</f>
        <v>1701</v>
      </c>
      <c r="O68" s="74">
        <v>0</v>
      </c>
      <c r="P68" s="75">
        <f>O68/N68</f>
        <v>0</v>
      </c>
    </row>
    <row r="69" spans="1:17">
      <c r="A69" s="185"/>
      <c r="B69" s="186"/>
      <c r="C69" s="186"/>
      <c r="D69" s="186"/>
      <c r="E69" s="87"/>
      <c r="F69" s="87"/>
      <c r="G69" s="87"/>
      <c r="H69" s="87"/>
      <c r="I69" s="87"/>
      <c r="J69" s="87"/>
      <c r="K69" s="87"/>
      <c r="L69" s="87"/>
      <c r="M69" s="87"/>
      <c r="N69" s="88"/>
      <c r="O69" s="75"/>
      <c r="P69" s="75"/>
    </row>
    <row r="70" spans="1:17">
      <c r="A70" s="99"/>
      <c r="B70" s="100"/>
      <c r="C70" s="100"/>
      <c r="D70" s="100"/>
      <c r="E70" s="89"/>
      <c r="F70" s="89"/>
      <c r="G70" s="89"/>
      <c r="H70" s="89"/>
      <c r="I70" s="89"/>
      <c r="J70" s="89"/>
      <c r="K70" s="89"/>
      <c r="L70" s="89"/>
      <c r="M70" s="89"/>
      <c r="N70" s="90"/>
      <c r="O70" s="91"/>
      <c r="P70" s="91"/>
    </row>
    <row r="71" spans="1:17" ht="25.5">
      <c r="A71" s="58"/>
      <c r="B71" s="59">
        <v>40360</v>
      </c>
      <c r="C71" s="59">
        <v>40391</v>
      </c>
      <c r="D71" s="59">
        <v>6614787</v>
      </c>
      <c r="E71" s="59">
        <v>40452</v>
      </c>
      <c r="F71" s="59">
        <v>40483</v>
      </c>
      <c r="G71" s="59">
        <v>40513</v>
      </c>
      <c r="H71" s="59">
        <v>40544</v>
      </c>
      <c r="I71" s="59">
        <v>40575</v>
      </c>
      <c r="J71" s="59">
        <v>40603</v>
      </c>
      <c r="K71" s="59">
        <v>40634</v>
      </c>
      <c r="L71" s="59">
        <v>40664</v>
      </c>
      <c r="M71" s="59">
        <v>40695</v>
      </c>
      <c r="N71" s="60" t="s">
        <v>371</v>
      </c>
      <c r="O71" s="61" t="s">
        <v>27</v>
      </c>
      <c r="P71" s="61" t="s">
        <v>175</v>
      </c>
    </row>
    <row r="72" spans="1:17">
      <c r="A72" s="183" t="s">
        <v>97</v>
      </c>
      <c r="B72" s="184"/>
      <c r="C72" s="59"/>
      <c r="D72" s="59"/>
      <c r="E72" s="59"/>
      <c r="F72" s="59"/>
      <c r="G72" s="59"/>
      <c r="H72" s="59"/>
      <c r="I72" s="59"/>
      <c r="J72" s="59"/>
      <c r="K72" s="59"/>
      <c r="L72" s="59"/>
      <c r="M72" s="59"/>
      <c r="N72" s="53"/>
      <c r="O72" s="70"/>
      <c r="P72" s="70"/>
    </row>
    <row r="73" spans="1:17">
      <c r="A73" s="71" t="s">
        <v>208</v>
      </c>
      <c r="B73" s="24">
        <v>0</v>
      </c>
      <c r="C73" s="24">
        <v>0</v>
      </c>
      <c r="D73" s="24">
        <v>0</v>
      </c>
      <c r="E73" s="24">
        <v>0</v>
      </c>
      <c r="F73" s="24">
        <v>0</v>
      </c>
      <c r="G73" s="24">
        <v>0</v>
      </c>
      <c r="H73" s="24" t="s">
        <v>231</v>
      </c>
      <c r="I73" s="24" t="s">
        <v>231</v>
      </c>
      <c r="J73" s="24" t="s">
        <v>231</v>
      </c>
      <c r="K73" s="24" t="s">
        <v>231</v>
      </c>
      <c r="L73" s="24" t="s">
        <v>231</v>
      </c>
      <c r="M73" s="24" t="s">
        <v>231</v>
      </c>
      <c r="N73" s="73">
        <f>SUM(B73:M73)</f>
        <v>0</v>
      </c>
      <c r="O73" s="74">
        <v>0</v>
      </c>
      <c r="P73" s="76" t="s">
        <v>231</v>
      </c>
    </row>
    <row r="74" spans="1:17">
      <c r="A74" s="101"/>
      <c r="B74" s="102"/>
      <c r="C74" s="102"/>
      <c r="D74" s="102"/>
      <c r="E74" s="87"/>
      <c r="F74" s="87"/>
      <c r="G74" s="87"/>
      <c r="H74" s="87"/>
      <c r="I74" s="87"/>
      <c r="J74" s="87"/>
      <c r="K74" s="87"/>
      <c r="L74" s="87"/>
      <c r="M74" s="87"/>
      <c r="N74" s="88"/>
      <c r="O74" s="75"/>
      <c r="P74" s="75"/>
    </row>
    <row r="75" spans="1:17">
      <c r="A75" s="99"/>
      <c r="B75" s="100"/>
      <c r="C75" s="100"/>
      <c r="D75" s="100"/>
      <c r="E75" s="89"/>
      <c r="F75" s="89"/>
      <c r="G75" s="89"/>
      <c r="H75" s="89"/>
      <c r="I75" s="89"/>
      <c r="J75" s="89"/>
      <c r="K75" s="89"/>
      <c r="L75" s="89"/>
      <c r="M75" s="89"/>
      <c r="N75" s="90"/>
      <c r="O75" s="91"/>
      <c r="P75" s="91"/>
    </row>
    <row r="76" spans="1:17" ht="25.5">
      <c r="A76" s="58"/>
      <c r="B76" s="59">
        <v>40360</v>
      </c>
      <c r="C76" s="59">
        <v>40391</v>
      </c>
      <c r="D76" s="59">
        <v>6614787</v>
      </c>
      <c r="E76" s="59">
        <v>40452</v>
      </c>
      <c r="F76" s="59">
        <v>40483</v>
      </c>
      <c r="G76" s="59">
        <v>40513</v>
      </c>
      <c r="H76" s="59">
        <v>40544</v>
      </c>
      <c r="I76" s="59">
        <v>40575</v>
      </c>
      <c r="J76" s="59">
        <v>40603</v>
      </c>
      <c r="K76" s="59">
        <v>40634</v>
      </c>
      <c r="L76" s="59">
        <v>40664</v>
      </c>
      <c r="M76" s="59">
        <v>40695</v>
      </c>
      <c r="N76" s="60" t="s">
        <v>371</v>
      </c>
      <c r="O76" s="61" t="s">
        <v>27</v>
      </c>
      <c r="P76" s="61" t="s">
        <v>175</v>
      </c>
    </row>
    <row r="77" spans="1:17">
      <c r="A77" s="183" t="s">
        <v>59</v>
      </c>
      <c r="B77" s="184"/>
      <c r="C77" s="59"/>
      <c r="D77" s="59"/>
      <c r="E77" s="59"/>
      <c r="F77" s="59"/>
      <c r="G77" s="59"/>
      <c r="H77" s="59"/>
      <c r="I77" s="59"/>
      <c r="J77" s="59"/>
      <c r="K77" s="59"/>
      <c r="L77" s="59"/>
      <c r="M77" s="59"/>
      <c r="N77" s="53"/>
      <c r="O77" s="70"/>
      <c r="P77" s="70"/>
    </row>
    <row r="78" spans="1:17">
      <c r="A78" s="71" t="s">
        <v>208</v>
      </c>
      <c r="B78" s="24">
        <v>0</v>
      </c>
      <c r="C78" s="24">
        <v>0</v>
      </c>
      <c r="D78" s="24">
        <v>0</v>
      </c>
      <c r="E78" s="24">
        <v>0</v>
      </c>
      <c r="F78" s="24">
        <v>0</v>
      </c>
      <c r="G78" s="24">
        <v>0</v>
      </c>
      <c r="H78" s="24" t="s">
        <v>231</v>
      </c>
      <c r="I78" s="24" t="s">
        <v>231</v>
      </c>
      <c r="J78" s="24" t="s">
        <v>231</v>
      </c>
      <c r="K78" s="24" t="s">
        <v>231</v>
      </c>
      <c r="L78" s="24" t="s">
        <v>231</v>
      </c>
      <c r="M78" s="24" t="s">
        <v>231</v>
      </c>
      <c r="N78" s="73">
        <f>SUM(B78:M78)</f>
        <v>0</v>
      </c>
      <c r="O78" s="74">
        <v>0</v>
      </c>
      <c r="P78" s="76" t="s">
        <v>231</v>
      </c>
    </row>
    <row r="79" spans="1:17">
      <c r="A79" s="101"/>
      <c r="B79" s="102"/>
      <c r="C79" s="102"/>
      <c r="D79" s="102"/>
      <c r="E79" s="87"/>
      <c r="F79" s="87"/>
      <c r="G79" s="87"/>
      <c r="H79" s="87"/>
      <c r="I79" s="87"/>
      <c r="J79" s="87"/>
      <c r="K79" s="87"/>
      <c r="L79" s="87"/>
      <c r="M79" s="87"/>
      <c r="N79" s="88"/>
      <c r="O79" s="75"/>
      <c r="P79" s="75"/>
    </row>
    <row r="80" spans="1:17">
      <c r="A80" s="5"/>
      <c r="B80" s="89"/>
      <c r="C80" s="89"/>
      <c r="D80" s="89"/>
      <c r="E80" s="89"/>
      <c r="F80" s="89"/>
      <c r="G80" s="89"/>
      <c r="H80" s="89"/>
      <c r="I80" s="89"/>
      <c r="J80" s="89"/>
      <c r="K80" s="89"/>
      <c r="L80" s="89"/>
      <c r="M80" s="89"/>
      <c r="N80" s="90"/>
      <c r="O80" s="91"/>
      <c r="P80" s="91"/>
    </row>
    <row r="81" spans="1:17" ht="25.5">
      <c r="A81" s="58"/>
      <c r="B81" s="59">
        <v>40360</v>
      </c>
      <c r="C81" s="59">
        <v>40391</v>
      </c>
      <c r="D81" s="59">
        <v>6614787</v>
      </c>
      <c r="E81" s="59">
        <v>40452</v>
      </c>
      <c r="F81" s="59">
        <v>40483</v>
      </c>
      <c r="G81" s="59">
        <v>40513</v>
      </c>
      <c r="H81" s="59">
        <v>40544</v>
      </c>
      <c r="I81" s="59">
        <v>40575</v>
      </c>
      <c r="J81" s="59">
        <v>40603</v>
      </c>
      <c r="K81" s="59">
        <v>40634</v>
      </c>
      <c r="L81" s="59">
        <v>40664</v>
      </c>
      <c r="M81" s="59">
        <v>40695</v>
      </c>
      <c r="N81" s="60" t="s">
        <v>371</v>
      </c>
      <c r="O81" s="61" t="s">
        <v>27</v>
      </c>
      <c r="P81" s="61" t="s">
        <v>175</v>
      </c>
      <c r="Q81" s="2"/>
    </row>
    <row r="82" spans="1:17">
      <c r="A82" s="67" t="s">
        <v>259</v>
      </c>
      <c r="B82" s="59"/>
      <c r="C82" s="59"/>
      <c r="D82" s="59"/>
      <c r="E82" s="59"/>
      <c r="F82" s="59"/>
      <c r="G82" s="59"/>
      <c r="H82" s="59"/>
      <c r="I82" s="59"/>
      <c r="J82" s="59"/>
      <c r="K82" s="59"/>
      <c r="L82" s="59"/>
      <c r="M82" s="59"/>
      <c r="N82" s="53"/>
      <c r="O82" s="70"/>
      <c r="P82" s="70"/>
    </row>
    <row r="83" spans="1:17">
      <c r="A83" s="71" t="s">
        <v>208</v>
      </c>
      <c r="B83" s="24">
        <v>339</v>
      </c>
      <c r="C83" s="24">
        <v>83</v>
      </c>
      <c r="D83" s="24">
        <v>344</v>
      </c>
      <c r="E83" s="24">
        <v>649</v>
      </c>
      <c r="F83" s="24">
        <v>674</v>
      </c>
      <c r="G83" s="24">
        <v>257</v>
      </c>
      <c r="H83" s="24">
        <v>109</v>
      </c>
      <c r="I83" s="24">
        <v>502</v>
      </c>
      <c r="J83" s="24">
        <v>713</v>
      </c>
      <c r="K83" s="24">
        <v>492</v>
      </c>
      <c r="L83" s="24">
        <v>161</v>
      </c>
      <c r="M83" s="24">
        <v>40</v>
      </c>
      <c r="N83" s="73">
        <f>SUM(B83:M83)</f>
        <v>4363</v>
      </c>
      <c r="O83" s="74">
        <v>0</v>
      </c>
      <c r="P83" s="76" t="s">
        <v>231</v>
      </c>
    </row>
    <row r="84" spans="1:17">
      <c r="A84" s="2"/>
      <c r="B84" s="87"/>
      <c r="C84" s="87"/>
      <c r="D84" s="87"/>
      <c r="E84" s="87"/>
      <c r="F84" s="87"/>
      <c r="G84" s="87"/>
      <c r="H84" s="87"/>
      <c r="I84" s="87"/>
      <c r="J84" s="87"/>
      <c r="K84" s="87"/>
      <c r="L84" s="87"/>
      <c r="M84" s="87"/>
      <c r="N84" s="88"/>
      <c r="O84" s="75"/>
      <c r="P84" s="76"/>
    </row>
    <row r="85" spans="1:17">
      <c r="A85" s="5"/>
      <c r="B85" s="89"/>
      <c r="C85" s="89"/>
      <c r="D85" s="89"/>
      <c r="E85" s="89"/>
      <c r="F85" s="89"/>
      <c r="G85" s="89"/>
      <c r="H85" s="89"/>
      <c r="I85" s="89"/>
      <c r="J85" s="89"/>
      <c r="K85" s="89"/>
      <c r="L85" s="89"/>
      <c r="M85" s="89"/>
      <c r="N85" s="90"/>
      <c r="O85" s="91"/>
      <c r="P85" s="103"/>
    </row>
    <row r="86" spans="1:17" ht="25.5">
      <c r="A86" s="58"/>
      <c r="B86" s="59">
        <v>40360</v>
      </c>
      <c r="C86" s="59">
        <v>40391</v>
      </c>
      <c r="D86" s="59">
        <v>6614787</v>
      </c>
      <c r="E86" s="59">
        <v>40452</v>
      </c>
      <c r="F86" s="59">
        <v>40483</v>
      </c>
      <c r="G86" s="59">
        <v>40513</v>
      </c>
      <c r="H86" s="59">
        <v>40544</v>
      </c>
      <c r="I86" s="59">
        <v>40575</v>
      </c>
      <c r="J86" s="59">
        <v>40603</v>
      </c>
      <c r="K86" s="59">
        <v>40634</v>
      </c>
      <c r="L86" s="59">
        <v>40664</v>
      </c>
      <c r="M86" s="59">
        <v>40695</v>
      </c>
      <c r="N86" s="60" t="s">
        <v>371</v>
      </c>
      <c r="O86" s="61" t="s">
        <v>27</v>
      </c>
      <c r="P86" s="61" t="s">
        <v>175</v>
      </c>
      <c r="Q86" s="2"/>
    </row>
    <row r="87" spans="1:17">
      <c r="A87" s="67" t="s">
        <v>145</v>
      </c>
      <c r="B87" s="59"/>
      <c r="C87" s="59"/>
      <c r="D87" s="59"/>
      <c r="E87" s="59"/>
      <c r="F87" s="59"/>
      <c r="G87" s="59"/>
      <c r="H87" s="59"/>
      <c r="I87" s="59"/>
      <c r="J87" s="59"/>
      <c r="K87" s="59"/>
      <c r="L87" s="59"/>
      <c r="M87" s="59"/>
      <c r="N87" s="53"/>
      <c r="O87" s="70"/>
      <c r="P87" s="104"/>
    </row>
    <row r="88" spans="1:17">
      <c r="A88" s="71" t="s">
        <v>208</v>
      </c>
      <c r="B88" s="24">
        <v>88</v>
      </c>
      <c r="C88" s="24">
        <v>54</v>
      </c>
      <c r="D88" s="24">
        <v>123</v>
      </c>
      <c r="E88" s="24">
        <v>182</v>
      </c>
      <c r="F88" s="24">
        <v>184</v>
      </c>
      <c r="G88" s="24">
        <v>117</v>
      </c>
      <c r="H88" s="24">
        <v>119</v>
      </c>
      <c r="I88" s="24">
        <v>194</v>
      </c>
      <c r="J88" s="24">
        <v>314</v>
      </c>
      <c r="K88" s="24">
        <v>209</v>
      </c>
      <c r="L88" s="24">
        <v>94</v>
      </c>
      <c r="M88" s="24">
        <v>11</v>
      </c>
      <c r="N88" s="73">
        <f>SUM(B88:M88)</f>
        <v>1689</v>
      </c>
      <c r="O88" s="74">
        <v>0</v>
      </c>
      <c r="P88" s="76">
        <f>O88/N88</f>
        <v>0</v>
      </c>
    </row>
    <row r="89" spans="1:17">
      <c r="A89" s="2"/>
      <c r="B89" s="87"/>
      <c r="C89" s="87"/>
      <c r="D89" s="87"/>
      <c r="E89" s="87"/>
      <c r="F89" s="87"/>
      <c r="G89" s="87"/>
      <c r="H89" s="87"/>
      <c r="I89" s="87"/>
      <c r="J89" s="87"/>
      <c r="K89" s="87"/>
      <c r="L89" s="87"/>
      <c r="M89" s="87"/>
      <c r="N89" s="88"/>
      <c r="O89" s="75"/>
      <c r="P89" s="76"/>
    </row>
    <row r="90" spans="1:17">
      <c r="A90" s="5"/>
      <c r="B90" s="89"/>
      <c r="C90" s="89"/>
      <c r="D90" s="89"/>
      <c r="E90" s="89"/>
      <c r="F90" s="89"/>
      <c r="G90" s="89"/>
      <c r="H90" s="89"/>
      <c r="I90" s="89"/>
      <c r="J90" s="89"/>
      <c r="K90" s="89"/>
      <c r="L90" s="89"/>
      <c r="M90" s="89"/>
      <c r="N90" s="90"/>
      <c r="O90" s="91"/>
      <c r="P90" s="103"/>
    </row>
    <row r="91" spans="1:17" ht="25.5">
      <c r="A91" s="58"/>
      <c r="B91" s="59">
        <v>40360</v>
      </c>
      <c r="C91" s="59">
        <v>40391</v>
      </c>
      <c r="D91" s="59">
        <v>6614787</v>
      </c>
      <c r="E91" s="59">
        <v>40452</v>
      </c>
      <c r="F91" s="59">
        <v>40483</v>
      </c>
      <c r="G91" s="59">
        <v>40513</v>
      </c>
      <c r="H91" s="59">
        <v>40544</v>
      </c>
      <c r="I91" s="59">
        <v>40575</v>
      </c>
      <c r="J91" s="59">
        <v>40603</v>
      </c>
      <c r="K91" s="59">
        <v>40634</v>
      </c>
      <c r="L91" s="59">
        <v>40664</v>
      </c>
      <c r="M91" s="59">
        <v>40695</v>
      </c>
      <c r="N91" s="60" t="s">
        <v>371</v>
      </c>
      <c r="O91" s="61" t="s">
        <v>27</v>
      </c>
      <c r="P91" s="61" t="s">
        <v>175</v>
      </c>
      <c r="Q91" s="2"/>
    </row>
    <row r="92" spans="1:17">
      <c r="A92" s="67" t="s">
        <v>116</v>
      </c>
      <c r="B92" s="59"/>
      <c r="C92" s="59"/>
      <c r="D92" s="59"/>
      <c r="E92" s="59"/>
      <c r="F92" s="59"/>
      <c r="G92" s="59"/>
      <c r="H92" s="59"/>
      <c r="I92" s="59"/>
      <c r="J92" s="59"/>
      <c r="K92" s="59"/>
      <c r="L92" s="59"/>
      <c r="M92" s="59"/>
      <c r="N92" s="53"/>
      <c r="O92" s="70"/>
      <c r="P92" s="104"/>
    </row>
    <row r="93" spans="1:17">
      <c r="A93" s="71" t="s">
        <v>208</v>
      </c>
      <c r="B93" s="24">
        <v>25</v>
      </c>
      <c r="C93" s="24">
        <v>28</v>
      </c>
      <c r="D93" s="24">
        <v>92</v>
      </c>
      <c r="E93" s="24">
        <v>146</v>
      </c>
      <c r="F93" s="24">
        <v>154</v>
      </c>
      <c r="G93" s="24">
        <v>54</v>
      </c>
      <c r="H93" s="24">
        <v>66</v>
      </c>
      <c r="I93" s="24">
        <v>141</v>
      </c>
      <c r="J93" s="24">
        <v>213</v>
      </c>
      <c r="K93" s="24">
        <v>138</v>
      </c>
      <c r="L93" s="24">
        <v>58</v>
      </c>
      <c r="M93" s="24">
        <v>2</v>
      </c>
      <c r="N93" s="73">
        <f>SUM(B93:M93)</f>
        <v>1117</v>
      </c>
      <c r="O93" s="74">
        <v>0</v>
      </c>
      <c r="P93" s="76" t="s">
        <v>231</v>
      </c>
    </row>
    <row r="94" spans="1:17">
      <c r="A94" s="2"/>
      <c r="B94" s="87"/>
      <c r="C94" s="87"/>
      <c r="D94" s="87"/>
      <c r="E94" s="87"/>
      <c r="F94" s="87"/>
      <c r="G94" s="87"/>
      <c r="H94" s="87"/>
      <c r="I94" s="87"/>
      <c r="J94" s="87"/>
      <c r="K94" s="87"/>
      <c r="L94" s="87"/>
      <c r="M94" s="87"/>
      <c r="N94" s="88"/>
      <c r="O94" s="75"/>
      <c r="P94" s="76"/>
    </row>
    <row r="95" spans="1:17">
      <c r="A95" s="5"/>
      <c r="B95" s="89"/>
      <c r="C95" s="89"/>
      <c r="D95" s="89"/>
      <c r="E95" s="89"/>
      <c r="F95" s="89"/>
      <c r="G95" s="89"/>
      <c r="H95" s="89"/>
      <c r="I95" s="89"/>
      <c r="J95" s="89"/>
      <c r="K95" s="89"/>
      <c r="L95" s="89"/>
      <c r="M95" s="89"/>
      <c r="N95" s="90"/>
      <c r="O95" s="91"/>
      <c r="P95" s="103"/>
    </row>
    <row r="96" spans="1:17" ht="25.5">
      <c r="A96" s="58"/>
      <c r="B96" s="59">
        <v>40360</v>
      </c>
      <c r="C96" s="59">
        <v>40391</v>
      </c>
      <c r="D96" s="59">
        <v>6614787</v>
      </c>
      <c r="E96" s="59">
        <v>40452</v>
      </c>
      <c r="F96" s="59">
        <v>40483</v>
      </c>
      <c r="G96" s="59">
        <v>40513</v>
      </c>
      <c r="H96" s="59">
        <v>40544</v>
      </c>
      <c r="I96" s="59">
        <v>40575</v>
      </c>
      <c r="J96" s="59">
        <v>40603</v>
      </c>
      <c r="K96" s="59">
        <v>40634</v>
      </c>
      <c r="L96" s="59">
        <v>40664</v>
      </c>
      <c r="M96" s="59">
        <v>40695</v>
      </c>
      <c r="N96" s="60" t="s">
        <v>371</v>
      </c>
      <c r="O96" s="61" t="s">
        <v>27</v>
      </c>
      <c r="P96" s="61" t="s">
        <v>175</v>
      </c>
      <c r="Q96" s="2"/>
    </row>
    <row r="97" spans="1:17">
      <c r="A97" s="67" t="s">
        <v>377</v>
      </c>
      <c r="B97" s="59"/>
      <c r="C97" s="59"/>
      <c r="D97" s="59"/>
      <c r="E97" s="59"/>
      <c r="F97" s="59"/>
      <c r="G97" s="59"/>
      <c r="H97" s="59"/>
      <c r="I97" s="59"/>
      <c r="J97" s="59"/>
      <c r="K97" s="59"/>
      <c r="L97" s="59"/>
      <c r="M97" s="59"/>
      <c r="N97" s="53"/>
      <c r="O97" s="70"/>
      <c r="P97" s="104"/>
    </row>
    <row r="98" spans="1:17">
      <c r="A98" s="71" t="s">
        <v>208</v>
      </c>
      <c r="B98" s="24">
        <v>0</v>
      </c>
      <c r="C98" s="24">
        <v>0</v>
      </c>
      <c r="D98" s="24">
        <v>0</v>
      </c>
      <c r="E98" s="24" t="s">
        <v>231</v>
      </c>
      <c r="F98" s="24" t="s">
        <v>231</v>
      </c>
      <c r="G98" s="24" t="s">
        <v>231</v>
      </c>
      <c r="H98" s="24" t="s">
        <v>231</v>
      </c>
      <c r="I98" s="24" t="s">
        <v>231</v>
      </c>
      <c r="J98" s="24" t="s">
        <v>231</v>
      </c>
      <c r="K98" s="24" t="s">
        <v>231</v>
      </c>
      <c r="L98" s="24" t="s">
        <v>231</v>
      </c>
      <c r="M98" s="24" t="s">
        <v>231</v>
      </c>
      <c r="N98" s="73">
        <f>SUM(B98:M98)</f>
        <v>0</v>
      </c>
      <c r="O98" s="74">
        <v>0</v>
      </c>
      <c r="P98" s="76" t="s">
        <v>231</v>
      </c>
    </row>
    <row r="99" spans="1:17">
      <c r="A99" s="5"/>
      <c r="B99" s="105"/>
      <c r="C99" s="105"/>
      <c r="D99" s="105"/>
      <c r="E99" s="105"/>
      <c r="F99" s="105"/>
      <c r="G99" s="105"/>
      <c r="H99" s="105"/>
      <c r="I99" s="105"/>
      <c r="J99" s="105"/>
      <c r="K99" s="105"/>
      <c r="L99" s="105"/>
      <c r="M99" s="105"/>
      <c r="N99" s="106"/>
      <c r="O99" s="91"/>
      <c r="P99" s="103"/>
    </row>
    <row r="100" spans="1:17" ht="25.5">
      <c r="A100" s="58"/>
      <c r="B100" s="59">
        <v>40360</v>
      </c>
      <c r="C100" s="59">
        <v>40391</v>
      </c>
      <c r="D100" s="59">
        <v>6614787</v>
      </c>
      <c r="E100" s="59">
        <v>40452</v>
      </c>
      <c r="F100" s="59">
        <v>40483</v>
      </c>
      <c r="G100" s="59">
        <v>40513</v>
      </c>
      <c r="H100" s="59">
        <v>40544</v>
      </c>
      <c r="I100" s="59">
        <v>40575</v>
      </c>
      <c r="J100" s="59">
        <v>40603</v>
      </c>
      <c r="K100" s="59">
        <v>40634</v>
      </c>
      <c r="L100" s="59">
        <v>40664</v>
      </c>
      <c r="M100" s="59">
        <v>40695</v>
      </c>
      <c r="N100" s="60" t="s">
        <v>371</v>
      </c>
      <c r="O100" s="61" t="s">
        <v>27</v>
      </c>
      <c r="P100" s="61" t="s">
        <v>175</v>
      </c>
    </row>
    <row r="101" spans="1:17">
      <c r="A101" s="183" t="s">
        <v>343</v>
      </c>
      <c r="B101" s="184"/>
      <c r="C101" s="59"/>
      <c r="D101" s="59"/>
      <c r="E101" s="59"/>
      <c r="F101" s="59"/>
      <c r="G101" s="59"/>
      <c r="H101" s="59"/>
      <c r="I101" s="59"/>
      <c r="J101" s="59"/>
      <c r="K101" s="59"/>
      <c r="L101" s="59"/>
      <c r="M101" s="59"/>
      <c r="N101" s="53"/>
      <c r="O101" s="70"/>
      <c r="P101" s="104"/>
    </row>
    <row r="102" spans="1:17">
      <c r="A102" s="71" t="s">
        <v>208</v>
      </c>
      <c r="B102" s="24">
        <v>0</v>
      </c>
      <c r="C102" s="24">
        <v>0</v>
      </c>
      <c r="D102" s="24">
        <v>0</v>
      </c>
      <c r="E102" s="24">
        <v>0</v>
      </c>
      <c r="F102" s="24">
        <v>0</v>
      </c>
      <c r="G102" s="24">
        <v>0</v>
      </c>
      <c r="H102" s="24" t="s">
        <v>231</v>
      </c>
      <c r="I102" s="24" t="s">
        <v>231</v>
      </c>
      <c r="J102" s="24" t="s">
        <v>231</v>
      </c>
      <c r="K102" s="24" t="s">
        <v>231</v>
      </c>
      <c r="L102" s="24" t="s">
        <v>231</v>
      </c>
      <c r="M102" s="24" t="s">
        <v>231</v>
      </c>
      <c r="N102" s="73">
        <f>SUM(B102:M102)</f>
        <v>0</v>
      </c>
      <c r="O102" s="74">
        <v>0</v>
      </c>
      <c r="P102" s="76" t="s">
        <v>231</v>
      </c>
    </row>
    <row r="103" spans="1:17">
      <c r="A103" s="2"/>
      <c r="B103" s="87"/>
      <c r="C103" s="87"/>
      <c r="D103" s="87"/>
      <c r="E103" s="87"/>
      <c r="F103" s="87"/>
      <c r="G103" s="87"/>
      <c r="H103" s="87"/>
      <c r="I103" s="87"/>
      <c r="J103" s="87"/>
      <c r="K103" s="87"/>
      <c r="L103" s="87"/>
      <c r="M103" s="87"/>
      <c r="N103" s="88"/>
      <c r="O103" s="75"/>
      <c r="P103" s="76"/>
    </row>
    <row r="104" spans="1:17">
      <c r="A104" s="5"/>
      <c r="B104" s="89"/>
      <c r="C104" s="89"/>
      <c r="D104" s="89"/>
      <c r="E104" s="89"/>
      <c r="F104" s="89"/>
      <c r="G104" s="89"/>
      <c r="H104" s="89"/>
      <c r="I104" s="89"/>
      <c r="J104" s="89"/>
      <c r="K104" s="89"/>
      <c r="L104" s="89"/>
      <c r="M104" s="89"/>
      <c r="N104" s="90"/>
      <c r="O104" s="91"/>
      <c r="P104" s="103"/>
    </row>
    <row r="105" spans="1:17" ht="25.5">
      <c r="A105" s="58"/>
      <c r="B105" s="59">
        <v>40360</v>
      </c>
      <c r="C105" s="59">
        <v>40391</v>
      </c>
      <c r="D105" s="59">
        <v>6614787</v>
      </c>
      <c r="E105" s="59">
        <v>40452</v>
      </c>
      <c r="F105" s="59">
        <v>40483</v>
      </c>
      <c r="G105" s="59">
        <v>40513</v>
      </c>
      <c r="H105" s="59">
        <v>40544</v>
      </c>
      <c r="I105" s="59">
        <v>40575</v>
      </c>
      <c r="J105" s="59">
        <v>40603</v>
      </c>
      <c r="K105" s="59">
        <v>40634</v>
      </c>
      <c r="L105" s="59">
        <v>40664</v>
      </c>
      <c r="M105" s="59">
        <v>40695</v>
      </c>
      <c r="N105" s="60" t="s">
        <v>371</v>
      </c>
      <c r="O105" s="61" t="s">
        <v>27</v>
      </c>
      <c r="P105" s="61" t="s">
        <v>175</v>
      </c>
    </row>
    <row r="106" spans="1:17">
      <c r="A106" s="183" t="s">
        <v>12</v>
      </c>
      <c r="B106" s="184"/>
      <c r="C106" s="184"/>
      <c r="D106" s="184"/>
      <c r="E106" s="59"/>
      <c r="F106" s="59"/>
      <c r="G106" s="59"/>
      <c r="H106" s="59"/>
      <c r="I106" s="59"/>
      <c r="J106" s="59"/>
      <c r="K106" s="59"/>
      <c r="L106" s="59"/>
      <c r="M106" s="59"/>
      <c r="N106" s="53"/>
      <c r="O106" s="70"/>
      <c r="P106" s="104"/>
    </row>
    <row r="107" spans="1:17">
      <c r="A107" s="71" t="s">
        <v>208</v>
      </c>
      <c r="B107" s="24">
        <v>0</v>
      </c>
      <c r="C107" s="24">
        <v>0</v>
      </c>
      <c r="D107" s="24">
        <v>0</v>
      </c>
      <c r="E107" s="24">
        <v>0</v>
      </c>
      <c r="F107" s="24">
        <v>0</v>
      </c>
      <c r="G107" s="24">
        <v>0</v>
      </c>
      <c r="H107" s="24" t="s">
        <v>231</v>
      </c>
      <c r="I107" s="24" t="s">
        <v>231</v>
      </c>
      <c r="J107" s="24" t="s">
        <v>231</v>
      </c>
      <c r="K107" s="24" t="s">
        <v>231</v>
      </c>
      <c r="L107" s="24" t="s">
        <v>231</v>
      </c>
      <c r="M107" s="24" t="s">
        <v>231</v>
      </c>
      <c r="N107" s="73">
        <f>SUM(B107:M107)</f>
        <v>0</v>
      </c>
      <c r="O107" s="74">
        <v>0</v>
      </c>
      <c r="P107" s="76" t="s">
        <v>231</v>
      </c>
    </row>
    <row r="108" spans="1:17">
      <c r="A108" s="2"/>
      <c r="B108" s="87"/>
      <c r="C108" s="87"/>
      <c r="D108" s="87"/>
      <c r="E108" s="87"/>
      <c r="F108" s="87"/>
      <c r="G108" s="87"/>
      <c r="H108" s="87"/>
      <c r="I108" s="87"/>
      <c r="J108" s="87"/>
      <c r="K108" s="87"/>
      <c r="L108" s="87"/>
      <c r="M108" s="87"/>
      <c r="N108" s="88"/>
      <c r="O108" s="75"/>
      <c r="P108" s="76"/>
    </row>
    <row r="109" spans="1:17">
      <c r="A109" s="5"/>
      <c r="B109" s="89"/>
      <c r="C109" s="89"/>
      <c r="D109" s="89"/>
      <c r="E109" s="89"/>
      <c r="F109" s="89"/>
      <c r="G109" s="89"/>
      <c r="H109" s="89"/>
      <c r="I109" s="89"/>
      <c r="J109" s="89"/>
      <c r="K109" s="89"/>
      <c r="L109" s="89"/>
      <c r="M109" s="89"/>
      <c r="N109" s="90"/>
      <c r="O109" s="91"/>
      <c r="P109" s="103"/>
    </row>
    <row r="110" spans="1:17" ht="25.5">
      <c r="A110" s="58"/>
      <c r="B110" s="59">
        <v>40360</v>
      </c>
      <c r="C110" s="59">
        <v>40391</v>
      </c>
      <c r="D110" s="59">
        <v>6614787</v>
      </c>
      <c r="E110" s="59">
        <v>40452</v>
      </c>
      <c r="F110" s="59">
        <v>40483</v>
      </c>
      <c r="G110" s="59">
        <v>40513</v>
      </c>
      <c r="H110" s="59">
        <v>40544</v>
      </c>
      <c r="I110" s="59">
        <v>40575</v>
      </c>
      <c r="J110" s="59">
        <v>40603</v>
      </c>
      <c r="K110" s="59">
        <v>40634</v>
      </c>
      <c r="L110" s="59">
        <v>40664</v>
      </c>
      <c r="M110" s="59">
        <v>40695</v>
      </c>
      <c r="N110" s="60" t="s">
        <v>371</v>
      </c>
      <c r="O110" s="61" t="s">
        <v>27</v>
      </c>
      <c r="P110" s="61" t="s">
        <v>175</v>
      </c>
      <c r="Q110" s="2"/>
    </row>
    <row r="111" spans="1:17">
      <c r="A111" s="183" t="s">
        <v>346</v>
      </c>
      <c r="B111" s="184"/>
      <c r="C111" s="59"/>
      <c r="D111" s="59"/>
      <c r="E111" s="59"/>
      <c r="F111" s="59"/>
      <c r="G111" s="59"/>
      <c r="H111" s="59"/>
      <c r="I111" s="59"/>
      <c r="J111" s="59"/>
      <c r="K111" s="59"/>
      <c r="L111" s="59"/>
      <c r="M111" s="59"/>
      <c r="N111" s="53"/>
      <c r="O111" s="70"/>
      <c r="P111" s="70"/>
    </row>
    <row r="112" spans="1:17">
      <c r="A112" s="71" t="s">
        <v>208</v>
      </c>
      <c r="B112" s="24">
        <v>82</v>
      </c>
      <c r="C112" s="24">
        <v>31</v>
      </c>
      <c r="D112" s="24">
        <v>75</v>
      </c>
      <c r="E112" s="24">
        <v>162</v>
      </c>
      <c r="F112" s="24">
        <v>140</v>
      </c>
      <c r="G112" s="24">
        <v>38</v>
      </c>
      <c r="H112" s="24">
        <v>37</v>
      </c>
      <c r="I112" s="24">
        <v>689</v>
      </c>
      <c r="J112" s="24">
        <v>232</v>
      </c>
      <c r="K112" s="24">
        <v>95</v>
      </c>
      <c r="L112" s="24">
        <v>98</v>
      </c>
      <c r="M112" s="24">
        <v>0</v>
      </c>
      <c r="N112" s="73">
        <f>SUM(B112:M112)</f>
        <v>1679</v>
      </c>
      <c r="O112" s="74">
        <v>0</v>
      </c>
      <c r="P112" s="75">
        <f>O112/N112</f>
        <v>0</v>
      </c>
    </row>
    <row r="113" spans="1:17">
      <c r="A113" s="2"/>
      <c r="B113" s="87"/>
      <c r="C113" s="87"/>
      <c r="D113" s="87"/>
      <c r="E113" s="87"/>
      <c r="F113" s="87"/>
      <c r="G113" s="87"/>
      <c r="H113" s="87"/>
      <c r="I113" s="87"/>
      <c r="J113" s="87"/>
      <c r="K113" s="87"/>
      <c r="L113" s="87"/>
      <c r="M113" s="87"/>
      <c r="N113" s="88"/>
      <c r="O113" s="75"/>
      <c r="P113" s="75"/>
    </row>
    <row r="114" spans="1:17">
      <c r="A114" s="5"/>
      <c r="B114" s="89"/>
      <c r="C114" s="89"/>
      <c r="D114" s="89"/>
      <c r="E114" s="89"/>
      <c r="F114" s="89"/>
      <c r="G114" s="89"/>
      <c r="H114" s="89"/>
      <c r="I114" s="89"/>
      <c r="J114" s="89"/>
      <c r="K114" s="89"/>
      <c r="L114" s="89"/>
      <c r="M114" s="89"/>
      <c r="N114" s="90"/>
      <c r="O114" s="91"/>
      <c r="P114" s="91"/>
    </row>
    <row r="115" spans="1:17" ht="25.5">
      <c r="A115" s="58"/>
      <c r="B115" s="59">
        <v>40360</v>
      </c>
      <c r="C115" s="59">
        <v>40391</v>
      </c>
      <c r="D115" s="59">
        <v>6614787</v>
      </c>
      <c r="E115" s="59">
        <v>40452</v>
      </c>
      <c r="F115" s="59">
        <v>40483</v>
      </c>
      <c r="G115" s="59">
        <v>40513</v>
      </c>
      <c r="H115" s="59">
        <v>40544</v>
      </c>
      <c r="I115" s="59">
        <v>40575</v>
      </c>
      <c r="J115" s="59">
        <v>40603</v>
      </c>
      <c r="K115" s="59">
        <v>40634</v>
      </c>
      <c r="L115" s="59">
        <v>40664</v>
      </c>
      <c r="M115" s="59">
        <v>40695</v>
      </c>
      <c r="N115" s="60" t="s">
        <v>371</v>
      </c>
      <c r="O115" s="61" t="s">
        <v>27</v>
      </c>
      <c r="P115" s="61" t="s">
        <v>175</v>
      </c>
      <c r="Q115" s="2"/>
    </row>
    <row r="116" spans="1:17">
      <c r="A116" s="67" t="s">
        <v>201</v>
      </c>
      <c r="B116" s="59"/>
      <c r="C116" s="59"/>
      <c r="D116" s="59"/>
      <c r="E116" s="59"/>
      <c r="F116" s="59"/>
      <c r="G116" s="59"/>
      <c r="H116" s="59"/>
      <c r="I116" s="59"/>
      <c r="J116" s="59"/>
      <c r="K116" s="59"/>
      <c r="L116" s="59"/>
      <c r="M116" s="59"/>
      <c r="N116" s="53"/>
      <c r="O116" s="70"/>
      <c r="P116" s="70"/>
    </row>
    <row r="117" spans="1:17">
      <c r="A117" s="71" t="s">
        <v>208</v>
      </c>
      <c r="B117" s="24">
        <v>115</v>
      </c>
      <c r="C117" s="24">
        <v>82</v>
      </c>
      <c r="D117" s="24">
        <v>219</v>
      </c>
      <c r="E117" s="24">
        <v>328</v>
      </c>
      <c r="F117" s="24">
        <v>421</v>
      </c>
      <c r="G117" s="24">
        <v>444</v>
      </c>
      <c r="H117" s="24">
        <v>161</v>
      </c>
      <c r="I117" s="24">
        <v>292</v>
      </c>
      <c r="J117" s="24">
        <v>346</v>
      </c>
      <c r="K117" s="24">
        <v>613</v>
      </c>
      <c r="L117" s="24">
        <v>287</v>
      </c>
      <c r="M117" s="24">
        <v>15</v>
      </c>
      <c r="N117" s="73">
        <f>SUM(B117:M117)</f>
        <v>3323</v>
      </c>
      <c r="O117" s="74">
        <v>0</v>
      </c>
      <c r="P117" s="75">
        <f>O117/N117</f>
        <v>0</v>
      </c>
    </row>
    <row r="118" spans="1:17">
      <c r="A118" s="2"/>
      <c r="B118" s="87"/>
      <c r="C118" s="87"/>
      <c r="D118" s="87"/>
      <c r="E118" s="87"/>
      <c r="F118" s="87"/>
      <c r="G118" s="87"/>
      <c r="H118" s="87"/>
      <c r="I118" s="87"/>
      <c r="J118" s="87"/>
      <c r="K118" s="87"/>
      <c r="L118" s="87"/>
      <c r="M118" s="87"/>
      <c r="N118" s="88"/>
      <c r="O118" s="75"/>
      <c r="P118" s="75"/>
    </row>
    <row r="119" spans="1:17">
      <c r="A119" s="5"/>
      <c r="B119" s="89"/>
      <c r="C119" s="89"/>
      <c r="D119" s="89"/>
      <c r="E119" s="89"/>
      <c r="F119" s="89"/>
      <c r="G119" s="89"/>
      <c r="H119" s="89"/>
      <c r="I119" s="89"/>
      <c r="J119" s="89"/>
      <c r="K119" s="89"/>
      <c r="L119" s="89"/>
      <c r="M119" s="89"/>
      <c r="N119" s="90"/>
      <c r="O119" s="91"/>
      <c r="P119" s="91"/>
    </row>
    <row r="120" spans="1:17" ht="25.5">
      <c r="A120" s="58"/>
      <c r="B120" s="59">
        <v>40360</v>
      </c>
      <c r="C120" s="59">
        <v>40391</v>
      </c>
      <c r="D120" s="59">
        <v>6614787</v>
      </c>
      <c r="E120" s="59">
        <v>40452</v>
      </c>
      <c r="F120" s="59">
        <v>40483</v>
      </c>
      <c r="G120" s="59">
        <v>40513</v>
      </c>
      <c r="H120" s="59">
        <v>40544</v>
      </c>
      <c r="I120" s="59">
        <v>40575</v>
      </c>
      <c r="J120" s="59">
        <v>40603</v>
      </c>
      <c r="K120" s="59">
        <v>40634</v>
      </c>
      <c r="L120" s="59">
        <v>40664</v>
      </c>
      <c r="M120" s="59">
        <v>40695</v>
      </c>
      <c r="N120" s="60" t="s">
        <v>371</v>
      </c>
      <c r="O120" s="61" t="s">
        <v>27</v>
      </c>
      <c r="P120" s="61" t="s">
        <v>175</v>
      </c>
      <c r="Q120" s="2"/>
    </row>
    <row r="121" spans="1:17">
      <c r="A121" s="67" t="s">
        <v>4</v>
      </c>
      <c r="B121" s="59"/>
      <c r="C121" s="59"/>
      <c r="D121" s="59"/>
      <c r="E121" s="59"/>
      <c r="F121" s="59"/>
      <c r="G121" s="59"/>
      <c r="H121" s="59"/>
      <c r="I121" s="59"/>
      <c r="J121" s="59"/>
      <c r="K121" s="59"/>
      <c r="L121" s="59"/>
      <c r="M121" s="59"/>
      <c r="N121" s="53"/>
      <c r="O121" s="70"/>
      <c r="P121" s="70"/>
    </row>
    <row r="122" spans="1:17">
      <c r="A122" s="71" t="s">
        <v>208</v>
      </c>
      <c r="B122" s="24">
        <v>32</v>
      </c>
      <c r="C122" s="24">
        <v>16</v>
      </c>
      <c r="D122" s="24">
        <v>86</v>
      </c>
      <c r="E122" s="24">
        <v>83</v>
      </c>
      <c r="F122" s="24">
        <v>104</v>
      </c>
      <c r="G122" s="24">
        <v>98</v>
      </c>
      <c r="H122" s="24">
        <v>16</v>
      </c>
      <c r="I122" s="24">
        <v>72</v>
      </c>
      <c r="J122" s="24">
        <v>135</v>
      </c>
      <c r="K122" s="24">
        <v>92</v>
      </c>
      <c r="L122" s="24">
        <v>56</v>
      </c>
      <c r="M122" s="24">
        <v>2</v>
      </c>
      <c r="N122" s="73">
        <f>SUM(B122:M122)</f>
        <v>792</v>
      </c>
      <c r="O122" s="74">
        <v>0</v>
      </c>
      <c r="P122" s="76" t="s">
        <v>231</v>
      </c>
    </row>
    <row r="123" spans="1:17">
      <c r="A123" s="2"/>
      <c r="B123" s="87"/>
      <c r="C123" s="87"/>
      <c r="D123" s="87"/>
      <c r="E123" s="87"/>
      <c r="F123" s="87"/>
      <c r="G123" s="87"/>
      <c r="H123" s="87"/>
      <c r="I123" s="87"/>
      <c r="J123" s="87"/>
      <c r="K123" s="87"/>
      <c r="L123" s="87"/>
      <c r="M123" s="87"/>
      <c r="N123" s="88"/>
      <c r="O123" s="75"/>
      <c r="P123" s="75"/>
    </row>
    <row r="124" spans="1:17">
      <c r="A124" s="5"/>
      <c r="B124" s="89"/>
      <c r="C124" s="89"/>
      <c r="D124" s="89"/>
      <c r="E124" s="89"/>
      <c r="F124" s="89"/>
      <c r="G124" s="89"/>
      <c r="H124" s="89"/>
      <c r="I124" s="89"/>
      <c r="J124" s="89"/>
      <c r="K124" s="89"/>
      <c r="L124" s="89"/>
      <c r="M124" s="89"/>
      <c r="N124" s="90"/>
      <c r="O124" s="91"/>
      <c r="P124" s="91"/>
    </row>
    <row r="125" spans="1:17" ht="25.5">
      <c r="A125" s="58"/>
      <c r="B125" s="59">
        <v>40360</v>
      </c>
      <c r="C125" s="59">
        <v>40391</v>
      </c>
      <c r="D125" s="59">
        <v>6614787</v>
      </c>
      <c r="E125" s="59">
        <v>40452</v>
      </c>
      <c r="F125" s="59">
        <v>40483</v>
      </c>
      <c r="G125" s="59">
        <v>40513</v>
      </c>
      <c r="H125" s="59">
        <v>40544</v>
      </c>
      <c r="I125" s="59">
        <v>40575</v>
      </c>
      <c r="J125" s="59">
        <v>40603</v>
      </c>
      <c r="K125" s="59">
        <v>40634</v>
      </c>
      <c r="L125" s="59">
        <v>40664</v>
      </c>
      <c r="M125" s="59">
        <v>40695</v>
      </c>
      <c r="N125" s="60" t="s">
        <v>371</v>
      </c>
      <c r="O125" s="61" t="s">
        <v>27</v>
      </c>
      <c r="P125" s="61" t="s">
        <v>175</v>
      </c>
      <c r="Q125" s="2"/>
    </row>
    <row r="126" spans="1:17">
      <c r="A126" s="183" t="s">
        <v>129</v>
      </c>
      <c r="B126" s="184"/>
      <c r="C126" s="59"/>
      <c r="D126" s="59"/>
      <c r="E126" s="59"/>
      <c r="F126" s="59"/>
      <c r="G126" s="59"/>
      <c r="H126" s="59"/>
      <c r="I126" s="59"/>
      <c r="J126" s="59"/>
      <c r="K126" s="59"/>
      <c r="L126" s="59"/>
      <c r="M126" s="59"/>
      <c r="N126" s="53"/>
      <c r="O126" s="70"/>
      <c r="P126" s="70"/>
    </row>
    <row r="127" spans="1:17">
      <c r="A127" s="71" t="s">
        <v>208</v>
      </c>
      <c r="B127" s="24">
        <v>27</v>
      </c>
      <c r="C127" s="24">
        <v>31</v>
      </c>
      <c r="D127" s="24">
        <v>97</v>
      </c>
      <c r="E127" s="24">
        <v>146</v>
      </c>
      <c r="F127" s="24">
        <v>158</v>
      </c>
      <c r="G127" s="24">
        <v>54</v>
      </c>
      <c r="H127" s="24">
        <v>64</v>
      </c>
      <c r="I127" s="24">
        <v>141</v>
      </c>
      <c r="J127" s="24">
        <v>213</v>
      </c>
      <c r="K127" s="24">
        <v>142</v>
      </c>
      <c r="L127" s="24">
        <v>60</v>
      </c>
      <c r="M127" s="24">
        <v>2</v>
      </c>
      <c r="N127" s="73">
        <f>SUM(B127:M127)</f>
        <v>1135</v>
      </c>
      <c r="O127" s="74">
        <v>0</v>
      </c>
      <c r="P127" s="75">
        <f>O127/N127</f>
        <v>0</v>
      </c>
    </row>
    <row r="128" spans="1:17">
      <c r="A128" s="2"/>
      <c r="B128" s="87"/>
      <c r="C128" s="87"/>
      <c r="D128" s="87"/>
      <c r="E128" s="87"/>
      <c r="F128" s="87"/>
      <c r="G128" s="87"/>
      <c r="H128" s="87"/>
      <c r="I128" s="87"/>
      <c r="J128" s="87"/>
      <c r="K128" s="87"/>
      <c r="L128" s="87"/>
      <c r="M128" s="87"/>
      <c r="N128" s="88"/>
      <c r="O128" s="75"/>
      <c r="P128" s="75"/>
    </row>
    <row r="129" spans="1:17">
      <c r="A129" s="5"/>
      <c r="B129" s="89"/>
      <c r="C129" s="89"/>
      <c r="D129" s="89"/>
      <c r="E129" s="89"/>
      <c r="F129" s="89"/>
      <c r="G129" s="89"/>
      <c r="H129" s="89"/>
      <c r="I129" s="89"/>
      <c r="J129" s="89"/>
      <c r="K129" s="89"/>
      <c r="L129" s="89"/>
      <c r="M129" s="89"/>
      <c r="N129" s="90"/>
      <c r="O129" s="91"/>
      <c r="P129" s="91"/>
    </row>
    <row r="130" spans="1:17" ht="25.5">
      <c r="A130" s="58"/>
      <c r="B130" s="59">
        <v>40360</v>
      </c>
      <c r="C130" s="59">
        <v>40391</v>
      </c>
      <c r="D130" s="59">
        <v>6614787</v>
      </c>
      <c r="E130" s="59">
        <v>40452</v>
      </c>
      <c r="F130" s="59">
        <v>40483</v>
      </c>
      <c r="G130" s="59">
        <v>40513</v>
      </c>
      <c r="H130" s="59">
        <v>40544</v>
      </c>
      <c r="I130" s="59">
        <v>40575</v>
      </c>
      <c r="J130" s="59">
        <v>40603</v>
      </c>
      <c r="K130" s="59">
        <v>40634</v>
      </c>
      <c r="L130" s="59">
        <v>40664</v>
      </c>
      <c r="M130" s="59">
        <v>40695</v>
      </c>
      <c r="N130" s="60" t="s">
        <v>371</v>
      </c>
      <c r="O130" s="61" t="s">
        <v>27</v>
      </c>
      <c r="P130" s="61" t="s">
        <v>175</v>
      </c>
      <c r="Q130" s="2"/>
    </row>
    <row r="131" spans="1:17">
      <c r="A131" s="67" t="s">
        <v>81</v>
      </c>
      <c r="B131" s="59"/>
      <c r="C131" s="59"/>
      <c r="D131" s="59"/>
      <c r="E131" s="59"/>
      <c r="F131" s="59"/>
      <c r="G131" s="59"/>
      <c r="H131" s="59"/>
      <c r="I131" s="59"/>
      <c r="J131" s="59"/>
      <c r="K131" s="59"/>
      <c r="L131" s="59"/>
      <c r="M131" s="59"/>
      <c r="N131" s="53"/>
      <c r="O131" s="70"/>
      <c r="P131" s="70"/>
    </row>
    <row r="132" spans="1:17">
      <c r="A132" s="71" t="s">
        <v>208</v>
      </c>
      <c r="B132" s="24">
        <v>67</v>
      </c>
      <c r="C132" s="24">
        <v>34</v>
      </c>
      <c r="D132" s="24">
        <v>117</v>
      </c>
      <c r="E132" s="24">
        <v>183</v>
      </c>
      <c r="F132" s="24">
        <v>182</v>
      </c>
      <c r="G132" s="24">
        <v>64</v>
      </c>
      <c r="H132" s="24">
        <v>71</v>
      </c>
      <c r="I132" s="24">
        <v>177</v>
      </c>
      <c r="J132" s="24">
        <v>261</v>
      </c>
      <c r="K132" s="24">
        <v>169</v>
      </c>
      <c r="L132" s="24">
        <v>72</v>
      </c>
      <c r="M132" s="24">
        <v>3</v>
      </c>
      <c r="N132" s="73">
        <f>SUM(B132:M132)</f>
        <v>1400</v>
      </c>
      <c r="O132" s="74">
        <v>0</v>
      </c>
      <c r="P132" s="76" t="s">
        <v>231</v>
      </c>
    </row>
    <row r="133" spans="1:17">
      <c r="A133" s="2"/>
      <c r="B133" s="87"/>
      <c r="C133" s="87"/>
      <c r="D133" s="87"/>
      <c r="E133" s="87"/>
      <c r="F133" s="87"/>
      <c r="G133" s="87"/>
      <c r="H133" s="87"/>
      <c r="I133" s="87"/>
      <c r="J133" s="87"/>
      <c r="K133" s="87"/>
      <c r="L133" s="87"/>
      <c r="M133" s="87"/>
      <c r="N133" s="88"/>
      <c r="O133" s="75"/>
      <c r="P133" s="76"/>
    </row>
    <row r="134" spans="1:17">
      <c r="A134" s="5"/>
      <c r="B134" s="89"/>
      <c r="C134" s="89"/>
      <c r="D134" s="89"/>
      <c r="E134" s="89"/>
      <c r="F134" s="89"/>
      <c r="G134" s="89"/>
      <c r="H134" s="89"/>
      <c r="I134" s="89"/>
      <c r="J134" s="89"/>
      <c r="K134" s="89"/>
      <c r="L134" s="89"/>
      <c r="M134" s="89"/>
      <c r="N134" s="90"/>
      <c r="O134" s="91"/>
      <c r="P134" s="103"/>
    </row>
    <row r="135" spans="1:17" ht="25.5">
      <c r="A135" s="58"/>
      <c r="B135" s="59">
        <v>40360</v>
      </c>
      <c r="C135" s="59">
        <v>40391</v>
      </c>
      <c r="D135" s="59">
        <v>6614787</v>
      </c>
      <c r="E135" s="59">
        <v>40452</v>
      </c>
      <c r="F135" s="59">
        <v>40483</v>
      </c>
      <c r="G135" s="59">
        <v>40513</v>
      </c>
      <c r="H135" s="59">
        <v>40544</v>
      </c>
      <c r="I135" s="59">
        <v>40575</v>
      </c>
      <c r="J135" s="59">
        <v>40603</v>
      </c>
      <c r="K135" s="59">
        <v>40634</v>
      </c>
      <c r="L135" s="59">
        <v>40664</v>
      </c>
      <c r="M135" s="59">
        <v>40695</v>
      </c>
      <c r="N135" s="60" t="s">
        <v>371</v>
      </c>
      <c r="O135" s="61" t="s">
        <v>27</v>
      </c>
      <c r="P135" s="61" t="s">
        <v>175</v>
      </c>
      <c r="Q135" s="2"/>
    </row>
    <row r="136" spans="1:17">
      <c r="A136" s="67" t="s">
        <v>415</v>
      </c>
      <c r="B136" s="59"/>
      <c r="C136" s="59"/>
      <c r="D136" s="59"/>
      <c r="E136" s="59"/>
      <c r="F136" s="59"/>
      <c r="G136" s="59"/>
      <c r="H136" s="59"/>
      <c r="I136" s="59"/>
      <c r="J136" s="59"/>
      <c r="K136" s="59"/>
      <c r="L136" s="59"/>
      <c r="M136" s="59"/>
      <c r="N136" s="53"/>
      <c r="O136" s="70"/>
      <c r="P136" s="70"/>
    </row>
    <row r="137" spans="1:17">
      <c r="A137" s="71" t="s">
        <v>208</v>
      </c>
      <c r="B137" s="24">
        <v>241</v>
      </c>
      <c r="C137" s="24">
        <v>78</v>
      </c>
      <c r="D137" s="24">
        <v>371</v>
      </c>
      <c r="E137" s="24">
        <v>612</v>
      </c>
      <c r="F137" s="24">
        <v>495</v>
      </c>
      <c r="G137" s="24">
        <v>226</v>
      </c>
      <c r="H137" s="24">
        <v>119</v>
      </c>
      <c r="I137" s="24">
        <v>427</v>
      </c>
      <c r="J137" s="24">
        <v>504</v>
      </c>
      <c r="K137" s="24">
        <v>425</v>
      </c>
      <c r="L137" s="24">
        <v>161</v>
      </c>
      <c r="M137" s="24">
        <v>34</v>
      </c>
      <c r="N137" s="73">
        <f>SUM(B137:M137)</f>
        <v>3693</v>
      </c>
      <c r="O137" s="74">
        <v>0</v>
      </c>
      <c r="P137" s="75">
        <f>O137/N137</f>
        <v>0</v>
      </c>
    </row>
    <row r="138" spans="1:17">
      <c r="A138" s="2"/>
      <c r="B138" s="87"/>
      <c r="C138" s="87"/>
      <c r="D138" s="87"/>
      <c r="E138" s="87"/>
      <c r="F138" s="87"/>
      <c r="G138" s="87"/>
      <c r="H138" s="87"/>
      <c r="I138" s="87"/>
      <c r="J138" s="87"/>
      <c r="K138" s="87"/>
      <c r="L138" s="87"/>
      <c r="M138" s="87"/>
      <c r="N138" s="88"/>
      <c r="O138" s="75"/>
      <c r="P138" s="75"/>
    </row>
    <row r="139" spans="1:17">
      <c r="A139" s="5"/>
      <c r="B139" s="89"/>
      <c r="C139" s="89"/>
      <c r="D139" s="89"/>
      <c r="E139" s="89"/>
      <c r="F139" s="89"/>
      <c r="G139" s="89"/>
      <c r="H139" s="89"/>
      <c r="I139" s="89"/>
      <c r="J139" s="89"/>
      <c r="K139" s="89"/>
      <c r="L139" s="89"/>
      <c r="M139" s="89"/>
      <c r="N139" s="90"/>
      <c r="O139" s="91"/>
      <c r="P139" s="91"/>
    </row>
    <row r="140" spans="1:17" ht="25.5">
      <c r="A140" s="58"/>
      <c r="B140" s="59">
        <v>40360</v>
      </c>
      <c r="C140" s="59">
        <v>40391</v>
      </c>
      <c r="D140" s="59">
        <v>6614787</v>
      </c>
      <c r="E140" s="59">
        <v>40452</v>
      </c>
      <c r="F140" s="59">
        <v>40483</v>
      </c>
      <c r="G140" s="59">
        <v>40513</v>
      </c>
      <c r="H140" s="59">
        <v>40544</v>
      </c>
      <c r="I140" s="59">
        <v>40575</v>
      </c>
      <c r="J140" s="59">
        <v>40603</v>
      </c>
      <c r="K140" s="59">
        <v>40634</v>
      </c>
      <c r="L140" s="59">
        <v>40664</v>
      </c>
      <c r="M140" s="59">
        <v>40695</v>
      </c>
      <c r="N140" s="60" t="s">
        <v>371</v>
      </c>
      <c r="O140" s="61" t="s">
        <v>27</v>
      </c>
      <c r="P140" s="61" t="s">
        <v>175</v>
      </c>
      <c r="Q140" s="2"/>
    </row>
    <row r="141" spans="1:17">
      <c r="A141" s="67" t="s">
        <v>215</v>
      </c>
      <c r="B141" s="59"/>
      <c r="C141" s="59"/>
      <c r="D141" s="59"/>
      <c r="E141" s="59"/>
      <c r="F141" s="59"/>
      <c r="G141" s="59"/>
      <c r="H141" s="59"/>
      <c r="I141" s="59"/>
      <c r="J141" s="59"/>
      <c r="K141" s="59"/>
      <c r="L141" s="59"/>
      <c r="M141" s="59"/>
      <c r="N141" s="53"/>
      <c r="O141" s="70"/>
      <c r="P141" s="70"/>
    </row>
    <row r="142" spans="1:17">
      <c r="A142" s="71" t="s">
        <v>208</v>
      </c>
      <c r="B142" s="24">
        <v>228</v>
      </c>
      <c r="C142" s="24">
        <v>69</v>
      </c>
      <c r="D142" s="24">
        <v>228</v>
      </c>
      <c r="E142" s="24">
        <v>489</v>
      </c>
      <c r="F142" s="24">
        <v>390</v>
      </c>
      <c r="G142" s="24">
        <v>155</v>
      </c>
      <c r="H142" s="24">
        <v>100</v>
      </c>
      <c r="I142" s="24">
        <v>384</v>
      </c>
      <c r="J142" s="24">
        <v>447</v>
      </c>
      <c r="K142" s="24">
        <v>372</v>
      </c>
      <c r="L142" s="24">
        <v>140</v>
      </c>
      <c r="M142" s="24">
        <v>34</v>
      </c>
      <c r="N142" s="73">
        <f>SUM(B142:M142)</f>
        <v>3036</v>
      </c>
      <c r="O142" s="74">
        <v>0</v>
      </c>
      <c r="P142" s="76" t="s">
        <v>231</v>
      </c>
    </row>
    <row r="143" spans="1:17">
      <c r="A143" s="2"/>
      <c r="B143" s="87"/>
      <c r="C143" s="87"/>
      <c r="D143" s="87"/>
      <c r="E143" s="87"/>
      <c r="F143" s="87"/>
      <c r="G143" s="87"/>
      <c r="H143" s="87"/>
      <c r="I143" s="87"/>
      <c r="J143" s="87"/>
      <c r="K143" s="87"/>
      <c r="L143" s="87"/>
      <c r="M143" s="87"/>
      <c r="N143" s="88"/>
      <c r="O143" s="75"/>
      <c r="P143" s="75"/>
    </row>
    <row r="144" spans="1:17">
      <c r="A144" s="5"/>
      <c r="B144" s="89"/>
      <c r="C144" s="89"/>
      <c r="D144" s="89"/>
      <c r="E144" s="89"/>
      <c r="F144" s="89"/>
      <c r="G144" s="89"/>
      <c r="H144" s="89"/>
      <c r="I144" s="89"/>
      <c r="J144" s="89"/>
      <c r="K144" s="89"/>
      <c r="L144" s="89"/>
      <c r="M144" s="89"/>
      <c r="N144" s="90"/>
      <c r="O144" s="91"/>
      <c r="P144" s="91"/>
    </row>
    <row r="145" spans="1:17" ht="25.5">
      <c r="A145" s="58"/>
      <c r="B145" s="59">
        <v>40360</v>
      </c>
      <c r="C145" s="59">
        <v>40391</v>
      </c>
      <c r="D145" s="59">
        <v>6614787</v>
      </c>
      <c r="E145" s="59">
        <v>40452</v>
      </c>
      <c r="F145" s="59">
        <v>40483</v>
      </c>
      <c r="G145" s="59">
        <v>40513</v>
      </c>
      <c r="H145" s="59">
        <v>40544</v>
      </c>
      <c r="I145" s="59">
        <v>40575</v>
      </c>
      <c r="J145" s="59">
        <v>40603</v>
      </c>
      <c r="K145" s="59">
        <v>40634</v>
      </c>
      <c r="L145" s="59">
        <v>40664</v>
      </c>
      <c r="M145" s="59">
        <v>40695</v>
      </c>
      <c r="N145" s="60" t="s">
        <v>371</v>
      </c>
      <c r="O145" s="61" t="s">
        <v>27</v>
      </c>
      <c r="P145" s="61" t="s">
        <v>175</v>
      </c>
      <c r="Q145" s="2"/>
    </row>
    <row r="146" spans="1:17">
      <c r="A146" s="67" t="s">
        <v>36</v>
      </c>
      <c r="B146" s="59"/>
      <c r="C146" s="59"/>
      <c r="D146" s="59"/>
      <c r="E146" s="59"/>
      <c r="F146" s="59"/>
      <c r="G146" s="59"/>
      <c r="H146" s="59"/>
      <c r="I146" s="59"/>
      <c r="J146" s="59"/>
      <c r="K146" s="59"/>
      <c r="L146" s="59"/>
      <c r="M146" s="59"/>
      <c r="N146" s="53"/>
      <c r="O146" s="70"/>
      <c r="P146" s="70"/>
    </row>
    <row r="147" spans="1:17">
      <c r="A147" s="71" t="s">
        <v>208</v>
      </c>
      <c r="B147" s="24">
        <v>33</v>
      </c>
      <c r="C147" s="24">
        <v>19</v>
      </c>
      <c r="D147" s="24">
        <v>87</v>
      </c>
      <c r="E147" s="24">
        <v>95</v>
      </c>
      <c r="F147" s="24">
        <v>112</v>
      </c>
      <c r="G147" s="24">
        <v>88</v>
      </c>
      <c r="H147" s="24">
        <v>28</v>
      </c>
      <c r="I147" s="24">
        <v>99</v>
      </c>
      <c r="J147" s="24">
        <v>185</v>
      </c>
      <c r="K147" s="24">
        <v>110</v>
      </c>
      <c r="L147" s="24">
        <v>35</v>
      </c>
      <c r="M147" s="24">
        <v>16</v>
      </c>
      <c r="N147" s="73">
        <f>SUM(B147:M147)</f>
        <v>907</v>
      </c>
      <c r="O147" s="74">
        <v>0</v>
      </c>
      <c r="P147" s="75">
        <f>O147/N147</f>
        <v>0</v>
      </c>
    </row>
    <row r="148" spans="1:17">
      <c r="A148" s="2"/>
      <c r="B148" s="87"/>
      <c r="C148" s="87"/>
      <c r="D148" s="87"/>
      <c r="E148" s="87"/>
      <c r="F148" s="87"/>
      <c r="G148" s="87"/>
      <c r="H148" s="87"/>
      <c r="I148" s="87"/>
      <c r="J148" s="87"/>
      <c r="K148" s="87"/>
      <c r="L148" s="87"/>
      <c r="M148" s="87"/>
      <c r="N148" s="88"/>
      <c r="O148" s="75"/>
      <c r="P148" s="75"/>
    </row>
    <row r="149" spans="1:17">
      <c r="A149" s="5"/>
      <c r="B149" s="89"/>
      <c r="C149" s="89"/>
      <c r="D149" s="89"/>
      <c r="E149" s="89"/>
      <c r="F149" s="89"/>
      <c r="G149" s="89"/>
      <c r="H149" s="89"/>
      <c r="I149" s="89"/>
      <c r="J149" s="89"/>
      <c r="K149" s="89"/>
      <c r="L149" s="89"/>
      <c r="M149" s="89"/>
      <c r="N149" s="90"/>
      <c r="O149" s="91"/>
      <c r="P149" s="91"/>
    </row>
    <row r="150" spans="1:17" ht="25.5">
      <c r="A150" s="58"/>
      <c r="B150" s="59">
        <v>40360</v>
      </c>
      <c r="C150" s="59">
        <v>40391</v>
      </c>
      <c r="D150" s="59">
        <v>6614787</v>
      </c>
      <c r="E150" s="59">
        <v>40452</v>
      </c>
      <c r="F150" s="59">
        <v>40483</v>
      </c>
      <c r="G150" s="59">
        <v>40513</v>
      </c>
      <c r="H150" s="59">
        <v>40544</v>
      </c>
      <c r="I150" s="59">
        <v>40575</v>
      </c>
      <c r="J150" s="59">
        <v>40603</v>
      </c>
      <c r="K150" s="59">
        <v>40634</v>
      </c>
      <c r="L150" s="59">
        <v>40664</v>
      </c>
      <c r="M150" s="59">
        <v>40695</v>
      </c>
      <c r="N150" s="60" t="s">
        <v>371</v>
      </c>
      <c r="O150" s="61" t="s">
        <v>27</v>
      </c>
      <c r="P150" s="61" t="s">
        <v>175</v>
      </c>
      <c r="Q150" s="2"/>
    </row>
    <row r="151" spans="1:17">
      <c r="A151" s="67" t="s">
        <v>406</v>
      </c>
      <c r="B151" s="59"/>
      <c r="C151" s="59"/>
      <c r="D151" s="59"/>
      <c r="E151" s="59"/>
      <c r="F151" s="59"/>
      <c r="G151" s="59"/>
      <c r="H151" s="59"/>
      <c r="I151" s="59"/>
      <c r="J151" s="59"/>
      <c r="K151" s="59"/>
      <c r="L151" s="59"/>
      <c r="M151" s="59"/>
      <c r="N151" s="53"/>
      <c r="O151" s="70"/>
      <c r="P151" s="70"/>
    </row>
    <row r="152" spans="1:17">
      <c r="A152" s="71" t="s">
        <v>208</v>
      </c>
      <c r="B152" s="24">
        <v>319</v>
      </c>
      <c r="C152" s="24">
        <v>83</v>
      </c>
      <c r="D152" s="24">
        <v>215</v>
      </c>
      <c r="E152" s="24">
        <v>670</v>
      </c>
      <c r="F152" s="24">
        <v>570</v>
      </c>
      <c r="G152" s="24">
        <v>199</v>
      </c>
      <c r="H152" s="24">
        <v>94</v>
      </c>
      <c r="I152" s="24">
        <v>484</v>
      </c>
      <c r="J152" s="24">
        <v>539</v>
      </c>
      <c r="K152" s="24">
        <v>415</v>
      </c>
      <c r="L152" s="24">
        <v>153</v>
      </c>
      <c r="M152" s="24">
        <v>50</v>
      </c>
      <c r="N152" s="73">
        <f>SUM(B152:M152)</f>
        <v>3791</v>
      </c>
      <c r="O152" s="74">
        <v>0</v>
      </c>
      <c r="P152" s="75">
        <f>O152/N152</f>
        <v>0</v>
      </c>
    </row>
    <row r="153" spans="1:17">
      <c r="A153" s="2"/>
      <c r="B153" s="87"/>
      <c r="C153" s="87"/>
      <c r="D153" s="87"/>
      <c r="E153" s="87"/>
      <c r="F153" s="87"/>
      <c r="G153" s="87"/>
      <c r="H153" s="87"/>
      <c r="I153" s="87"/>
      <c r="J153" s="87"/>
      <c r="K153" s="87"/>
      <c r="L153" s="87"/>
      <c r="M153" s="87"/>
      <c r="N153" s="88"/>
      <c r="O153" s="75"/>
      <c r="P153" s="75"/>
    </row>
    <row r="154" spans="1:17">
      <c r="A154" s="5"/>
      <c r="B154" s="89"/>
      <c r="C154" s="89"/>
      <c r="D154" s="89"/>
      <c r="E154" s="89"/>
      <c r="F154" s="89"/>
      <c r="G154" s="89"/>
      <c r="H154" s="89"/>
      <c r="I154" s="89"/>
      <c r="J154" s="89"/>
      <c r="K154" s="89"/>
      <c r="L154" s="89"/>
      <c r="M154" s="89"/>
      <c r="N154" s="90"/>
      <c r="O154" s="91"/>
      <c r="P154" s="91"/>
    </row>
    <row r="155" spans="1:17" ht="25.5">
      <c r="A155" s="58"/>
      <c r="B155" s="59">
        <v>40360</v>
      </c>
      <c r="C155" s="59">
        <v>40391</v>
      </c>
      <c r="D155" s="59">
        <v>6614787</v>
      </c>
      <c r="E155" s="59">
        <v>40452</v>
      </c>
      <c r="F155" s="59">
        <v>40483</v>
      </c>
      <c r="G155" s="59">
        <v>40513</v>
      </c>
      <c r="H155" s="59">
        <v>40544</v>
      </c>
      <c r="I155" s="59">
        <v>40575</v>
      </c>
      <c r="J155" s="59">
        <v>40603</v>
      </c>
      <c r="K155" s="59">
        <v>40634</v>
      </c>
      <c r="L155" s="59">
        <v>40664</v>
      </c>
      <c r="M155" s="59">
        <v>40695</v>
      </c>
      <c r="N155" s="60" t="s">
        <v>371</v>
      </c>
      <c r="O155" s="61" t="s">
        <v>27</v>
      </c>
      <c r="P155" s="61" t="s">
        <v>175</v>
      </c>
    </row>
    <row r="156" spans="1:17">
      <c r="A156" s="67" t="s">
        <v>113</v>
      </c>
      <c r="B156" s="59"/>
      <c r="C156" s="59"/>
      <c r="D156" s="59"/>
      <c r="E156" s="59"/>
      <c r="F156" s="59"/>
      <c r="G156" s="59"/>
      <c r="H156" s="53"/>
      <c r="I156" s="59"/>
      <c r="J156" s="59"/>
      <c r="K156" s="59"/>
      <c r="L156" s="59"/>
      <c r="M156" s="59"/>
      <c r="N156" s="53"/>
      <c r="O156" s="70"/>
      <c r="P156" s="70"/>
    </row>
    <row r="157" spans="1:17">
      <c r="A157" s="71" t="s">
        <v>208</v>
      </c>
      <c r="B157" s="24">
        <v>214</v>
      </c>
      <c r="C157" s="24">
        <v>57</v>
      </c>
      <c r="D157" s="24">
        <v>169</v>
      </c>
      <c r="E157" s="24">
        <v>356</v>
      </c>
      <c r="F157" s="24">
        <v>289</v>
      </c>
      <c r="G157" s="24">
        <v>139</v>
      </c>
      <c r="H157" s="24">
        <v>43</v>
      </c>
      <c r="I157" s="24">
        <v>286</v>
      </c>
      <c r="J157" s="24">
        <v>263</v>
      </c>
      <c r="K157" s="24">
        <v>318</v>
      </c>
      <c r="L157" s="24">
        <v>109</v>
      </c>
      <c r="M157" s="24">
        <v>34</v>
      </c>
      <c r="N157" s="73">
        <f>SUM(B157:M157)</f>
        <v>2277</v>
      </c>
      <c r="O157" s="74">
        <v>0</v>
      </c>
      <c r="P157" s="76" t="s">
        <v>231</v>
      </c>
    </row>
    <row r="158" spans="1:17">
      <c r="A158" s="2"/>
      <c r="B158" s="87"/>
      <c r="C158" s="87"/>
      <c r="D158" s="87"/>
      <c r="E158" s="87"/>
      <c r="F158" s="87"/>
      <c r="G158" s="87"/>
      <c r="H158" s="87"/>
      <c r="I158" s="87"/>
      <c r="J158" s="87"/>
      <c r="K158" s="87"/>
      <c r="L158" s="87"/>
      <c r="M158" s="87"/>
      <c r="N158" s="88"/>
      <c r="O158" s="75"/>
      <c r="P158" s="75"/>
    </row>
    <row r="159" spans="1:17">
      <c r="A159" s="5"/>
      <c r="B159" s="89"/>
      <c r="C159" s="89"/>
      <c r="D159" s="89"/>
      <c r="E159" s="89"/>
      <c r="F159" s="89"/>
      <c r="G159" s="89"/>
      <c r="H159" s="89"/>
      <c r="I159" s="89"/>
      <c r="J159" s="89"/>
      <c r="K159" s="89"/>
      <c r="L159" s="89"/>
      <c r="M159" s="89"/>
      <c r="N159" s="90"/>
      <c r="O159" s="91"/>
      <c r="P159" s="91"/>
    </row>
    <row r="160" spans="1:17" ht="25.5">
      <c r="A160" s="58"/>
      <c r="B160" s="59">
        <v>40360</v>
      </c>
      <c r="C160" s="59">
        <v>40391</v>
      </c>
      <c r="D160" s="59">
        <v>6614787</v>
      </c>
      <c r="E160" s="59">
        <v>40452</v>
      </c>
      <c r="F160" s="59">
        <v>40483</v>
      </c>
      <c r="G160" s="59">
        <v>40513</v>
      </c>
      <c r="H160" s="59">
        <v>40544</v>
      </c>
      <c r="I160" s="59">
        <v>40575</v>
      </c>
      <c r="J160" s="59">
        <v>40603</v>
      </c>
      <c r="K160" s="59">
        <v>40634</v>
      </c>
      <c r="L160" s="59">
        <v>40664</v>
      </c>
      <c r="M160" s="59">
        <v>40695</v>
      </c>
      <c r="N160" s="60" t="s">
        <v>371</v>
      </c>
      <c r="O160" s="61" t="s">
        <v>27</v>
      </c>
      <c r="P160" s="61" t="s">
        <v>175</v>
      </c>
    </row>
    <row r="161" spans="1:17">
      <c r="A161" s="67" t="s">
        <v>198</v>
      </c>
      <c r="B161" s="59"/>
      <c r="C161" s="59"/>
      <c r="D161" s="59"/>
      <c r="E161" s="59"/>
      <c r="F161" s="59"/>
      <c r="G161" s="59"/>
      <c r="H161" s="59"/>
      <c r="I161" s="59"/>
      <c r="J161" s="59"/>
      <c r="K161" s="59"/>
      <c r="L161" s="59"/>
      <c r="M161" s="59"/>
      <c r="N161" s="53"/>
      <c r="O161" s="70"/>
      <c r="P161" s="70"/>
    </row>
    <row r="162" spans="1:17">
      <c r="A162" s="71" t="s">
        <v>208</v>
      </c>
      <c r="B162" s="24">
        <v>0</v>
      </c>
      <c r="C162" s="24">
        <v>0</v>
      </c>
      <c r="D162" s="24">
        <v>0</v>
      </c>
      <c r="E162" s="24">
        <v>0</v>
      </c>
      <c r="F162" s="24">
        <v>0</v>
      </c>
      <c r="G162" s="24">
        <v>0</v>
      </c>
      <c r="H162" s="24" t="s">
        <v>231</v>
      </c>
      <c r="I162" s="24" t="s">
        <v>231</v>
      </c>
      <c r="J162" s="24" t="s">
        <v>231</v>
      </c>
      <c r="K162" s="24" t="s">
        <v>231</v>
      </c>
      <c r="L162" s="24" t="s">
        <v>231</v>
      </c>
      <c r="M162" s="24" t="s">
        <v>231</v>
      </c>
      <c r="N162" s="73">
        <f>SUM(B162:M162)</f>
        <v>0</v>
      </c>
      <c r="O162" s="74">
        <v>0</v>
      </c>
      <c r="P162" s="76" t="s">
        <v>231</v>
      </c>
    </row>
    <row r="163" spans="1:17">
      <c r="A163" s="5"/>
      <c r="B163" s="105"/>
      <c r="C163" s="105"/>
      <c r="D163" s="105"/>
      <c r="E163" s="105"/>
      <c r="F163" s="105"/>
      <c r="G163" s="105"/>
      <c r="H163" s="105"/>
      <c r="I163" s="105"/>
      <c r="J163" s="105"/>
      <c r="K163" s="105"/>
      <c r="L163" s="105"/>
      <c r="M163" s="105"/>
      <c r="N163" s="106"/>
      <c r="O163" s="91"/>
      <c r="P163" s="91"/>
    </row>
    <row r="164" spans="1:17" ht="25.5">
      <c r="A164" s="58"/>
      <c r="B164" s="59">
        <v>40360</v>
      </c>
      <c r="C164" s="59">
        <v>40391</v>
      </c>
      <c r="D164" s="59">
        <v>6614787</v>
      </c>
      <c r="E164" s="59">
        <v>40452</v>
      </c>
      <c r="F164" s="59">
        <v>40483</v>
      </c>
      <c r="G164" s="59">
        <v>40513</v>
      </c>
      <c r="H164" s="59">
        <v>40544</v>
      </c>
      <c r="I164" s="59">
        <v>40575</v>
      </c>
      <c r="J164" s="59">
        <v>40603</v>
      </c>
      <c r="K164" s="59">
        <v>40634</v>
      </c>
      <c r="L164" s="59">
        <v>40664</v>
      </c>
      <c r="M164" s="59">
        <v>40695</v>
      </c>
      <c r="N164" s="60" t="s">
        <v>371</v>
      </c>
      <c r="O164" s="61" t="s">
        <v>27</v>
      </c>
      <c r="P164" s="61" t="s">
        <v>175</v>
      </c>
      <c r="Q164" s="2"/>
    </row>
    <row r="165" spans="1:17">
      <c r="A165" s="67" t="s">
        <v>66</v>
      </c>
      <c r="B165" s="59"/>
      <c r="C165" s="59"/>
      <c r="D165" s="59"/>
      <c r="E165" s="59"/>
      <c r="F165" s="59"/>
      <c r="G165" s="59"/>
      <c r="H165" s="59"/>
      <c r="I165" s="59"/>
      <c r="J165" s="59"/>
      <c r="K165" s="59"/>
      <c r="L165" s="59"/>
      <c r="M165" s="59"/>
      <c r="N165" s="53"/>
      <c r="O165" s="70"/>
      <c r="P165" s="70"/>
    </row>
    <row r="166" spans="1:17">
      <c r="A166" s="71" t="s">
        <v>208</v>
      </c>
      <c r="B166" s="24">
        <v>614</v>
      </c>
      <c r="C166" s="24">
        <v>257</v>
      </c>
      <c r="D166" s="24">
        <v>805</v>
      </c>
      <c r="E166" s="24">
        <v>2385</v>
      </c>
      <c r="F166" s="24">
        <v>3064</v>
      </c>
      <c r="G166" s="24">
        <v>1813</v>
      </c>
      <c r="H166" s="24">
        <v>253</v>
      </c>
      <c r="I166" s="24">
        <v>1780</v>
      </c>
      <c r="J166" s="24">
        <v>2380</v>
      </c>
      <c r="K166" s="24">
        <v>2183</v>
      </c>
      <c r="L166" s="24">
        <v>1186</v>
      </c>
      <c r="M166" s="24">
        <v>77</v>
      </c>
      <c r="N166" s="73">
        <f>SUM(B166:M166)</f>
        <v>16797</v>
      </c>
      <c r="O166" s="74">
        <v>0</v>
      </c>
      <c r="P166" s="75">
        <f>O166/N166</f>
        <v>0</v>
      </c>
    </row>
    <row r="167" spans="1:17">
      <c r="A167" s="2"/>
      <c r="B167" s="87"/>
      <c r="C167" s="87"/>
      <c r="D167" s="87"/>
      <c r="E167" s="87"/>
      <c r="F167" s="87"/>
      <c r="G167" s="87"/>
      <c r="H167" s="87"/>
      <c r="I167" s="87"/>
      <c r="J167" s="87"/>
      <c r="K167" s="87"/>
      <c r="L167" s="87"/>
      <c r="M167" s="87"/>
      <c r="N167" s="88"/>
      <c r="O167" s="75"/>
      <c r="P167" s="75"/>
    </row>
    <row r="168" spans="1:17" ht="25.5">
      <c r="A168" s="107"/>
      <c r="B168" s="108">
        <v>40360</v>
      </c>
      <c r="C168" s="108">
        <v>40391</v>
      </c>
      <c r="D168" s="108">
        <v>6614787</v>
      </c>
      <c r="E168" s="108">
        <v>40452</v>
      </c>
      <c r="F168" s="108">
        <v>40483</v>
      </c>
      <c r="G168" s="108">
        <v>40513</v>
      </c>
      <c r="H168" s="108">
        <v>40544</v>
      </c>
      <c r="I168" s="108">
        <v>40575</v>
      </c>
      <c r="J168" s="108">
        <v>40603</v>
      </c>
      <c r="K168" s="108">
        <v>40634</v>
      </c>
      <c r="L168" s="108">
        <v>40664</v>
      </c>
      <c r="M168" s="108">
        <v>40695</v>
      </c>
      <c r="N168" s="109" t="s">
        <v>371</v>
      </c>
      <c r="O168" s="110" t="s">
        <v>27</v>
      </c>
      <c r="P168" s="110" t="s">
        <v>175</v>
      </c>
      <c r="Q168" s="2"/>
    </row>
    <row r="169" spans="1:17">
      <c r="A169" s="67" t="s">
        <v>86</v>
      </c>
      <c r="B169" s="59"/>
      <c r="C169" s="59"/>
      <c r="D169" s="59"/>
      <c r="E169" s="59"/>
      <c r="F169" s="59"/>
      <c r="G169" s="59"/>
      <c r="H169" s="59"/>
      <c r="I169" s="59"/>
      <c r="J169" s="59"/>
      <c r="K169" s="59"/>
      <c r="L169" s="59"/>
      <c r="M169" s="59"/>
      <c r="N169" s="53"/>
      <c r="O169" s="70"/>
      <c r="P169" s="70"/>
    </row>
    <row r="170" spans="1:17">
      <c r="A170" s="111" t="s">
        <v>208</v>
      </c>
      <c r="B170" s="24">
        <v>2688</v>
      </c>
      <c r="C170" s="24">
        <v>1343</v>
      </c>
      <c r="D170" s="24">
        <v>2274</v>
      </c>
      <c r="E170" s="24">
        <v>5222</v>
      </c>
      <c r="F170" s="24">
        <v>4750</v>
      </c>
      <c r="G170" s="24">
        <v>2807</v>
      </c>
      <c r="H170" s="24">
        <v>1560</v>
      </c>
      <c r="I170" s="24">
        <v>3406</v>
      </c>
      <c r="J170" s="24">
        <v>4193</v>
      </c>
      <c r="K170" s="24">
        <v>3442</v>
      </c>
      <c r="L170" s="24">
        <v>1983</v>
      </c>
      <c r="M170" s="24">
        <v>225</v>
      </c>
      <c r="N170" s="73">
        <f>SUM(B170:M170)</f>
        <v>33893</v>
      </c>
      <c r="O170" s="112">
        <v>0</v>
      </c>
      <c r="P170" s="91">
        <f>O170/N170</f>
        <v>0</v>
      </c>
    </row>
    <row r="171" spans="1:17">
      <c r="A171" s="43"/>
      <c r="B171" s="43"/>
      <c r="C171" s="43"/>
      <c r="D171" s="43"/>
      <c r="E171" s="43"/>
      <c r="F171" s="43"/>
      <c r="G171" s="43"/>
      <c r="H171" s="43"/>
      <c r="I171" s="43"/>
      <c r="J171" s="43"/>
      <c r="K171" s="43"/>
      <c r="L171" s="43"/>
      <c r="M171" s="43"/>
      <c r="N171" s="43"/>
      <c r="O171" s="43"/>
      <c r="P171" s="43"/>
    </row>
    <row r="172" spans="1:17">
      <c r="A172" s="97"/>
      <c r="B172" s="98"/>
      <c r="C172" s="98"/>
      <c r="D172" s="98"/>
      <c r="E172" s="98"/>
      <c r="F172" s="98"/>
      <c r="G172" s="98"/>
      <c r="H172" s="98"/>
      <c r="I172" s="98"/>
      <c r="J172" s="98"/>
      <c r="K172" s="98"/>
      <c r="L172" s="98"/>
      <c r="M172" s="98"/>
      <c r="N172" s="98"/>
      <c r="O172" s="98"/>
      <c r="P172" s="98"/>
    </row>
    <row r="173" spans="1:17" ht="25.5">
      <c r="A173" s="58"/>
      <c r="B173" s="59">
        <v>40360</v>
      </c>
      <c r="C173" s="59">
        <v>40391</v>
      </c>
      <c r="D173" s="59">
        <v>6614787</v>
      </c>
      <c r="E173" s="59">
        <v>40452</v>
      </c>
      <c r="F173" s="59">
        <v>40483</v>
      </c>
      <c r="G173" s="59">
        <v>40513</v>
      </c>
      <c r="H173" s="59">
        <v>40544</v>
      </c>
      <c r="I173" s="59">
        <v>40575</v>
      </c>
      <c r="J173" s="59">
        <v>40603</v>
      </c>
      <c r="K173" s="59">
        <v>40634</v>
      </c>
      <c r="L173" s="59">
        <v>40664</v>
      </c>
      <c r="M173" s="59">
        <v>40695</v>
      </c>
      <c r="N173" s="60" t="s">
        <v>371</v>
      </c>
      <c r="O173" s="61" t="s">
        <v>27</v>
      </c>
      <c r="P173" s="61" t="s">
        <v>175</v>
      </c>
    </row>
    <row r="174" spans="1:17">
      <c r="A174" s="67" t="s">
        <v>173</v>
      </c>
      <c r="B174" s="59"/>
      <c r="C174" s="59"/>
      <c r="D174" s="59"/>
      <c r="E174" s="59"/>
      <c r="F174" s="59"/>
      <c r="G174" s="59"/>
      <c r="H174" s="59"/>
      <c r="I174" s="59"/>
      <c r="J174" s="59"/>
      <c r="K174" s="59"/>
      <c r="L174" s="59"/>
      <c r="M174" s="59"/>
      <c r="N174" s="53"/>
      <c r="O174" s="70"/>
      <c r="P174" s="70"/>
    </row>
    <row r="175" spans="1:17">
      <c r="A175" s="71" t="s">
        <v>208</v>
      </c>
      <c r="B175" s="24">
        <v>0</v>
      </c>
      <c r="C175" s="24">
        <v>0</v>
      </c>
      <c r="D175" s="24">
        <v>0</v>
      </c>
      <c r="E175" s="24">
        <v>0</v>
      </c>
      <c r="F175" s="24">
        <v>0</v>
      </c>
      <c r="G175" s="24">
        <v>0</v>
      </c>
      <c r="H175" s="24" t="s">
        <v>231</v>
      </c>
      <c r="I175" s="24" t="s">
        <v>231</v>
      </c>
      <c r="J175" s="24" t="s">
        <v>231</v>
      </c>
      <c r="K175" s="24" t="s">
        <v>231</v>
      </c>
      <c r="L175" s="24" t="s">
        <v>231</v>
      </c>
      <c r="M175" s="24" t="s">
        <v>231</v>
      </c>
      <c r="N175" s="73">
        <f>SUM(B175:M175)</f>
        <v>0</v>
      </c>
      <c r="O175" s="74">
        <v>0</v>
      </c>
      <c r="P175" s="76" t="s">
        <v>231</v>
      </c>
    </row>
    <row r="176" spans="1:17">
      <c r="A176" s="2"/>
      <c r="B176" s="87"/>
      <c r="C176" s="87"/>
      <c r="D176" s="87"/>
      <c r="E176" s="87"/>
      <c r="F176" s="87"/>
      <c r="G176" s="87"/>
      <c r="H176" s="87"/>
      <c r="I176" s="87"/>
      <c r="J176" s="87"/>
      <c r="K176" s="87"/>
      <c r="L176" s="87"/>
      <c r="M176" s="87"/>
      <c r="N176" s="88"/>
      <c r="O176" s="75"/>
      <c r="P176" s="75"/>
    </row>
    <row r="177" spans="1:17">
      <c r="A177" s="5"/>
      <c r="B177" s="89"/>
      <c r="C177" s="89"/>
      <c r="D177" s="89"/>
      <c r="E177" s="89"/>
      <c r="F177" s="89"/>
      <c r="G177" s="89"/>
      <c r="H177" s="89"/>
      <c r="I177" s="89"/>
      <c r="J177" s="89"/>
      <c r="K177" s="89"/>
      <c r="L177" s="89"/>
      <c r="M177" s="89"/>
      <c r="N177" s="90"/>
      <c r="O177" s="91"/>
      <c r="P177" s="91"/>
    </row>
    <row r="178" spans="1:17" ht="25.5">
      <c r="A178" s="58"/>
      <c r="B178" s="59">
        <v>40360</v>
      </c>
      <c r="C178" s="59">
        <v>40391</v>
      </c>
      <c r="D178" s="59">
        <v>6614787</v>
      </c>
      <c r="E178" s="59">
        <v>40452</v>
      </c>
      <c r="F178" s="59">
        <v>40483</v>
      </c>
      <c r="G178" s="59">
        <v>40513</v>
      </c>
      <c r="H178" s="59">
        <v>40544</v>
      </c>
      <c r="I178" s="59">
        <v>40575</v>
      </c>
      <c r="J178" s="59">
        <v>40603</v>
      </c>
      <c r="K178" s="59">
        <v>40634</v>
      </c>
      <c r="L178" s="59">
        <v>40664</v>
      </c>
      <c r="M178" s="59">
        <v>40695</v>
      </c>
      <c r="N178" s="60" t="s">
        <v>371</v>
      </c>
      <c r="O178" s="61" t="s">
        <v>27</v>
      </c>
      <c r="P178" s="61" t="s">
        <v>175</v>
      </c>
      <c r="Q178" s="2"/>
    </row>
    <row r="179" spans="1:17">
      <c r="A179" s="67" t="s">
        <v>166</v>
      </c>
      <c r="B179" s="59"/>
      <c r="C179" s="59"/>
      <c r="D179" s="59"/>
      <c r="E179" s="59"/>
      <c r="F179" s="59"/>
      <c r="G179" s="59"/>
      <c r="H179" s="59"/>
      <c r="I179" s="59"/>
      <c r="J179" s="59"/>
      <c r="K179" s="59"/>
      <c r="L179" s="59"/>
      <c r="M179" s="59"/>
      <c r="N179" s="53"/>
      <c r="O179" s="70"/>
      <c r="P179" s="70"/>
    </row>
    <row r="180" spans="1:17">
      <c r="A180" s="71" t="s">
        <v>208</v>
      </c>
      <c r="B180" s="24">
        <v>227</v>
      </c>
      <c r="C180" s="24">
        <v>72</v>
      </c>
      <c r="D180" s="24">
        <v>199</v>
      </c>
      <c r="E180" s="24">
        <v>439</v>
      </c>
      <c r="F180" s="24">
        <v>358</v>
      </c>
      <c r="G180" s="24">
        <v>148</v>
      </c>
      <c r="H180" s="24">
        <v>50</v>
      </c>
      <c r="I180" s="24">
        <v>348</v>
      </c>
      <c r="J180" s="24">
        <v>375</v>
      </c>
      <c r="K180" s="24">
        <v>403</v>
      </c>
      <c r="L180" s="24">
        <v>115</v>
      </c>
      <c r="M180" s="24">
        <v>32</v>
      </c>
      <c r="N180" s="73">
        <f>SUM(B180:M180)</f>
        <v>2766</v>
      </c>
      <c r="O180" s="74">
        <v>0</v>
      </c>
      <c r="P180" s="76" t="s">
        <v>231</v>
      </c>
    </row>
    <row r="181" spans="1:17">
      <c r="A181" s="2"/>
      <c r="B181" s="87"/>
      <c r="C181" s="87"/>
      <c r="D181" s="87"/>
      <c r="E181" s="87"/>
      <c r="F181" s="87"/>
      <c r="G181" s="87"/>
      <c r="H181" s="87"/>
      <c r="I181" s="87"/>
      <c r="J181" s="87"/>
      <c r="K181" s="87"/>
      <c r="L181" s="87"/>
      <c r="M181" s="87"/>
      <c r="N181" s="88"/>
      <c r="O181" s="75"/>
      <c r="P181" s="76"/>
    </row>
    <row r="182" spans="1:17">
      <c r="A182" s="5"/>
      <c r="B182" s="89"/>
      <c r="C182" s="89"/>
      <c r="D182" s="89"/>
      <c r="E182" s="89"/>
      <c r="F182" s="89"/>
      <c r="G182" s="89"/>
      <c r="H182" s="89"/>
      <c r="I182" s="89"/>
      <c r="J182" s="89"/>
      <c r="K182" s="89"/>
      <c r="L182" s="89"/>
      <c r="M182" s="89"/>
      <c r="N182" s="90"/>
      <c r="O182" s="91"/>
      <c r="P182" s="103"/>
    </row>
    <row r="183" spans="1:17" ht="25.5">
      <c r="A183" s="58"/>
      <c r="B183" s="59">
        <v>40360</v>
      </c>
      <c r="C183" s="59">
        <v>40391</v>
      </c>
      <c r="D183" s="59">
        <v>6614787</v>
      </c>
      <c r="E183" s="59">
        <v>40452</v>
      </c>
      <c r="F183" s="59">
        <v>40483</v>
      </c>
      <c r="G183" s="59">
        <v>40513</v>
      </c>
      <c r="H183" s="59">
        <v>40544</v>
      </c>
      <c r="I183" s="59">
        <v>40575</v>
      </c>
      <c r="J183" s="59">
        <v>40603</v>
      </c>
      <c r="K183" s="59">
        <v>40634</v>
      </c>
      <c r="L183" s="59">
        <v>40664</v>
      </c>
      <c r="M183" s="59">
        <v>40695</v>
      </c>
      <c r="N183" s="60" t="s">
        <v>371</v>
      </c>
      <c r="O183" s="61" t="s">
        <v>27</v>
      </c>
      <c r="P183" s="61" t="s">
        <v>175</v>
      </c>
      <c r="Q183" s="2"/>
    </row>
    <row r="184" spans="1:17">
      <c r="A184" s="67" t="s">
        <v>312</v>
      </c>
      <c r="B184" s="59"/>
      <c r="C184" s="59"/>
      <c r="D184" s="59"/>
      <c r="E184" s="59"/>
      <c r="F184" s="59"/>
      <c r="G184" s="59"/>
      <c r="H184" s="59"/>
      <c r="I184" s="59"/>
      <c r="J184" s="59"/>
      <c r="K184" s="59"/>
      <c r="L184" s="59"/>
      <c r="M184" s="59"/>
      <c r="N184" s="53"/>
      <c r="O184" s="70"/>
      <c r="P184" s="70"/>
    </row>
    <row r="185" spans="1:17">
      <c r="A185" s="71" t="s">
        <v>208</v>
      </c>
      <c r="B185" s="24">
        <v>401</v>
      </c>
      <c r="C185" s="24">
        <v>179</v>
      </c>
      <c r="D185" s="24">
        <v>269</v>
      </c>
      <c r="E185" s="24">
        <v>605</v>
      </c>
      <c r="F185" s="24">
        <v>521</v>
      </c>
      <c r="G185" s="24">
        <v>232</v>
      </c>
      <c r="H185" s="24">
        <v>139</v>
      </c>
      <c r="I185" s="24">
        <v>688</v>
      </c>
      <c r="J185" s="24">
        <v>700</v>
      </c>
      <c r="K185" s="24">
        <v>544</v>
      </c>
      <c r="L185" s="24">
        <v>177</v>
      </c>
      <c r="M185" s="24">
        <v>38</v>
      </c>
      <c r="N185" s="73">
        <f>SUM(B185:M185)</f>
        <v>4493</v>
      </c>
      <c r="O185" s="74">
        <v>0</v>
      </c>
      <c r="P185" s="75">
        <f>O185/N185</f>
        <v>0</v>
      </c>
    </row>
    <row r="186" spans="1:17">
      <c r="A186" s="2"/>
      <c r="B186" s="87"/>
      <c r="C186" s="87"/>
      <c r="D186" s="87"/>
      <c r="E186" s="87"/>
      <c r="F186" s="87"/>
      <c r="G186" s="87"/>
      <c r="H186" s="87"/>
      <c r="I186" s="87"/>
      <c r="J186" s="87"/>
      <c r="K186" s="87"/>
      <c r="L186" s="87"/>
      <c r="M186" s="87"/>
      <c r="N186" s="88"/>
      <c r="O186" s="75"/>
      <c r="P186" s="75"/>
    </row>
    <row r="187" spans="1:17">
      <c r="A187" s="5"/>
      <c r="B187" s="89"/>
      <c r="C187" s="89"/>
      <c r="D187" s="89"/>
      <c r="E187" s="89"/>
      <c r="F187" s="89"/>
      <c r="G187" s="89"/>
      <c r="H187" s="89"/>
      <c r="I187" s="89"/>
      <c r="J187" s="89"/>
      <c r="K187" s="89"/>
      <c r="L187" s="89"/>
      <c r="M187" s="89"/>
      <c r="N187" s="90"/>
      <c r="O187" s="91"/>
      <c r="P187" s="91"/>
    </row>
    <row r="188" spans="1:17" ht="25.5">
      <c r="A188" s="58"/>
      <c r="B188" s="59">
        <v>40360</v>
      </c>
      <c r="C188" s="59">
        <v>40391</v>
      </c>
      <c r="D188" s="59">
        <v>6614787</v>
      </c>
      <c r="E188" s="59">
        <v>40452</v>
      </c>
      <c r="F188" s="59">
        <v>40483</v>
      </c>
      <c r="G188" s="59">
        <v>40513</v>
      </c>
      <c r="H188" s="59">
        <v>40544</v>
      </c>
      <c r="I188" s="59">
        <v>40575</v>
      </c>
      <c r="J188" s="59">
        <v>40603</v>
      </c>
      <c r="K188" s="59">
        <v>40634</v>
      </c>
      <c r="L188" s="59">
        <v>40664</v>
      </c>
      <c r="M188" s="59">
        <v>40695</v>
      </c>
      <c r="N188" s="60" t="s">
        <v>371</v>
      </c>
      <c r="O188" s="61" t="s">
        <v>27</v>
      </c>
      <c r="P188" s="61" t="s">
        <v>175</v>
      </c>
    </row>
    <row r="189" spans="1:17">
      <c r="A189" s="67" t="s">
        <v>270</v>
      </c>
      <c r="B189" s="59"/>
      <c r="C189" s="59"/>
      <c r="D189" s="59"/>
      <c r="E189" s="59"/>
      <c r="F189" s="59"/>
      <c r="G189" s="59"/>
      <c r="H189" s="59"/>
      <c r="I189" s="59"/>
      <c r="J189" s="59"/>
      <c r="K189" s="59"/>
      <c r="L189" s="59"/>
      <c r="M189" s="59"/>
      <c r="N189" s="53"/>
      <c r="O189" s="70"/>
      <c r="P189" s="70"/>
    </row>
    <row r="190" spans="1:17">
      <c r="A190" s="71" t="s">
        <v>208</v>
      </c>
      <c r="B190" s="24">
        <v>27</v>
      </c>
      <c r="C190" s="24">
        <v>26</v>
      </c>
      <c r="D190" s="24">
        <v>106</v>
      </c>
      <c r="E190" s="24">
        <v>153</v>
      </c>
      <c r="F190" s="24">
        <v>156</v>
      </c>
      <c r="G190" s="24">
        <v>53</v>
      </c>
      <c r="H190" s="24">
        <v>64</v>
      </c>
      <c r="I190" s="24">
        <v>166</v>
      </c>
      <c r="J190" s="24">
        <v>223</v>
      </c>
      <c r="K190" s="24">
        <v>148</v>
      </c>
      <c r="L190" s="24">
        <v>73</v>
      </c>
      <c r="M190" s="24">
        <v>2</v>
      </c>
      <c r="N190" s="73">
        <f>SUM(B190:M190)</f>
        <v>1197</v>
      </c>
      <c r="O190" s="74">
        <v>0</v>
      </c>
      <c r="P190" s="76" t="s">
        <v>231</v>
      </c>
    </row>
    <row r="191" spans="1:17">
      <c r="A191" s="2"/>
      <c r="B191" s="87"/>
      <c r="C191" s="87"/>
      <c r="D191" s="87"/>
      <c r="E191" s="87"/>
      <c r="F191" s="87"/>
      <c r="G191" s="87"/>
      <c r="H191" s="87"/>
      <c r="I191" s="87"/>
      <c r="J191" s="87"/>
      <c r="K191" s="87"/>
      <c r="L191" s="87"/>
      <c r="M191" s="87"/>
      <c r="N191" s="88"/>
      <c r="O191" s="75"/>
      <c r="P191" s="75"/>
    </row>
    <row r="192" spans="1:17">
      <c r="A192" s="5"/>
      <c r="B192" s="89"/>
      <c r="C192" s="89"/>
      <c r="D192" s="89"/>
      <c r="E192" s="89"/>
      <c r="F192" s="89"/>
      <c r="G192" s="89"/>
      <c r="H192" s="89"/>
      <c r="I192" s="89"/>
      <c r="J192" s="89"/>
      <c r="K192" s="89"/>
      <c r="L192" s="89"/>
      <c r="M192" s="89"/>
      <c r="N192" s="90"/>
      <c r="O192" s="91"/>
      <c r="P192" s="91"/>
    </row>
    <row r="193" spans="1:17" ht="25.5">
      <c r="A193" s="58"/>
      <c r="B193" s="59">
        <v>40360</v>
      </c>
      <c r="C193" s="59">
        <v>40391</v>
      </c>
      <c r="D193" s="59">
        <v>6614787</v>
      </c>
      <c r="E193" s="59">
        <v>40452</v>
      </c>
      <c r="F193" s="59">
        <v>40483</v>
      </c>
      <c r="G193" s="59">
        <v>40513</v>
      </c>
      <c r="H193" s="59">
        <v>40544</v>
      </c>
      <c r="I193" s="59">
        <v>40575</v>
      </c>
      <c r="J193" s="59">
        <v>40603</v>
      </c>
      <c r="K193" s="59">
        <v>40634</v>
      </c>
      <c r="L193" s="59">
        <v>40664</v>
      </c>
      <c r="M193" s="59">
        <v>40695</v>
      </c>
      <c r="N193" s="60" t="s">
        <v>371</v>
      </c>
      <c r="O193" s="61" t="s">
        <v>27</v>
      </c>
      <c r="P193" s="61" t="s">
        <v>175</v>
      </c>
    </row>
    <row r="194" spans="1:17">
      <c r="A194" s="67" t="s">
        <v>132</v>
      </c>
      <c r="B194" s="59"/>
      <c r="C194" s="59"/>
      <c r="D194" s="59"/>
      <c r="E194" s="59"/>
      <c r="F194" s="59"/>
      <c r="G194" s="59"/>
      <c r="H194" s="59"/>
      <c r="I194" s="59"/>
      <c r="J194" s="59"/>
      <c r="K194" s="59"/>
      <c r="L194" s="59"/>
      <c r="M194" s="59"/>
      <c r="N194" s="53"/>
      <c r="O194" s="70"/>
      <c r="P194" s="70"/>
    </row>
    <row r="195" spans="1:17">
      <c r="A195" s="71" t="s">
        <v>208</v>
      </c>
      <c r="B195" s="24">
        <v>0</v>
      </c>
      <c r="C195" s="24">
        <v>0</v>
      </c>
      <c r="D195" s="24">
        <v>0</v>
      </c>
      <c r="E195" s="24">
        <v>0</v>
      </c>
      <c r="F195" s="24">
        <v>0</v>
      </c>
      <c r="G195" s="24">
        <v>0</v>
      </c>
      <c r="H195" s="24" t="s">
        <v>231</v>
      </c>
      <c r="I195" s="24" t="s">
        <v>231</v>
      </c>
      <c r="J195" s="24" t="s">
        <v>231</v>
      </c>
      <c r="K195" s="24" t="s">
        <v>231</v>
      </c>
      <c r="L195" s="24" t="s">
        <v>231</v>
      </c>
      <c r="M195" s="24" t="s">
        <v>231</v>
      </c>
      <c r="N195" s="73">
        <f>SUM(B195:M195)</f>
        <v>0</v>
      </c>
      <c r="O195" s="74">
        <v>0</v>
      </c>
      <c r="P195" s="76" t="s">
        <v>231</v>
      </c>
    </row>
    <row r="196" spans="1:17">
      <c r="A196" s="2"/>
      <c r="B196" s="87"/>
      <c r="C196" s="87"/>
      <c r="D196" s="87"/>
      <c r="E196" s="87"/>
      <c r="F196" s="87"/>
      <c r="G196" s="87"/>
      <c r="H196" s="87"/>
      <c r="I196" s="87"/>
      <c r="J196" s="87"/>
      <c r="K196" s="87"/>
      <c r="L196" s="87"/>
      <c r="M196" s="87"/>
      <c r="N196" s="88"/>
      <c r="O196" s="75"/>
      <c r="P196" s="75"/>
    </row>
    <row r="197" spans="1:17">
      <c r="A197" s="5"/>
      <c r="B197" s="89"/>
      <c r="C197" s="89"/>
      <c r="D197" s="89"/>
      <c r="E197" s="89"/>
      <c r="F197" s="89"/>
      <c r="G197" s="89"/>
      <c r="H197" s="89"/>
      <c r="I197" s="89"/>
      <c r="J197" s="89"/>
      <c r="K197" s="89"/>
      <c r="L197" s="89"/>
      <c r="M197" s="89"/>
      <c r="N197" s="90"/>
      <c r="O197" s="91"/>
      <c r="P197" s="91"/>
    </row>
    <row r="198" spans="1:17" ht="25.5">
      <c r="A198" s="58"/>
      <c r="B198" s="59">
        <v>40360</v>
      </c>
      <c r="C198" s="59">
        <v>40391</v>
      </c>
      <c r="D198" s="59">
        <v>6614787</v>
      </c>
      <c r="E198" s="59">
        <v>40452</v>
      </c>
      <c r="F198" s="59">
        <v>40483</v>
      </c>
      <c r="G198" s="59">
        <v>40513</v>
      </c>
      <c r="H198" s="59">
        <v>40544</v>
      </c>
      <c r="I198" s="59">
        <v>40575</v>
      </c>
      <c r="J198" s="59">
        <v>40603</v>
      </c>
      <c r="K198" s="59">
        <v>40634</v>
      </c>
      <c r="L198" s="59">
        <v>40664</v>
      </c>
      <c r="M198" s="59">
        <v>40695</v>
      </c>
      <c r="N198" s="60" t="s">
        <v>371</v>
      </c>
      <c r="O198" s="61" t="s">
        <v>27</v>
      </c>
      <c r="P198" s="61" t="s">
        <v>175</v>
      </c>
    </row>
    <row r="199" spans="1:17">
      <c r="A199" s="67" t="s">
        <v>261</v>
      </c>
      <c r="B199" s="59"/>
      <c r="C199" s="59"/>
      <c r="D199" s="59"/>
      <c r="E199" s="59"/>
      <c r="F199" s="59"/>
      <c r="G199" s="59"/>
      <c r="H199" s="59"/>
      <c r="I199" s="59"/>
      <c r="J199" s="59"/>
      <c r="K199" s="59"/>
      <c r="L199" s="59"/>
      <c r="M199" s="59"/>
      <c r="N199" s="53"/>
      <c r="O199" s="70"/>
      <c r="P199" s="70"/>
    </row>
    <row r="200" spans="1:17">
      <c r="A200" s="71" t="s">
        <v>208</v>
      </c>
      <c r="B200" s="24">
        <v>0</v>
      </c>
      <c r="C200" s="24">
        <v>0</v>
      </c>
      <c r="D200" s="24">
        <v>0</v>
      </c>
      <c r="E200" s="24">
        <v>0</v>
      </c>
      <c r="F200" s="24">
        <v>0</v>
      </c>
      <c r="G200" s="24">
        <v>0</v>
      </c>
      <c r="H200" s="24" t="s">
        <v>231</v>
      </c>
      <c r="I200" s="24" t="s">
        <v>231</v>
      </c>
      <c r="J200" s="24" t="s">
        <v>231</v>
      </c>
      <c r="K200" s="24" t="s">
        <v>231</v>
      </c>
      <c r="L200" s="24" t="s">
        <v>231</v>
      </c>
      <c r="M200" s="24" t="s">
        <v>231</v>
      </c>
      <c r="N200" s="73">
        <f>SUM(B200:M200)</f>
        <v>0</v>
      </c>
      <c r="O200" s="74">
        <v>0</v>
      </c>
      <c r="P200" s="76" t="s">
        <v>231</v>
      </c>
    </row>
    <row r="201" spans="1:17">
      <c r="A201" s="2"/>
      <c r="B201" s="87"/>
      <c r="C201" s="87"/>
      <c r="D201" s="87"/>
      <c r="E201" s="87"/>
      <c r="F201" s="87"/>
      <c r="G201" s="87"/>
      <c r="H201" s="87"/>
      <c r="I201" s="87"/>
      <c r="J201" s="87"/>
      <c r="K201" s="87"/>
      <c r="L201" s="87"/>
      <c r="M201" s="87"/>
      <c r="N201" s="88"/>
      <c r="O201" s="75"/>
      <c r="P201" s="75"/>
    </row>
    <row r="202" spans="1:17">
      <c r="A202" s="5"/>
      <c r="B202" s="89"/>
      <c r="C202" s="89"/>
      <c r="D202" s="89"/>
      <c r="E202" s="89"/>
      <c r="F202" s="89"/>
      <c r="G202" s="89"/>
      <c r="H202" s="89"/>
      <c r="I202" s="89"/>
      <c r="J202" s="89"/>
      <c r="K202" s="89"/>
      <c r="L202" s="89"/>
      <c r="M202" s="89"/>
      <c r="N202" s="90"/>
      <c r="O202" s="91"/>
      <c r="P202" s="91"/>
    </row>
    <row r="203" spans="1:17" ht="25.5">
      <c r="A203" s="58"/>
      <c r="B203" s="59">
        <v>40360</v>
      </c>
      <c r="C203" s="59">
        <v>40391</v>
      </c>
      <c r="D203" s="59">
        <v>6614787</v>
      </c>
      <c r="E203" s="59">
        <v>40452</v>
      </c>
      <c r="F203" s="59">
        <v>40483</v>
      </c>
      <c r="G203" s="59">
        <v>40513</v>
      </c>
      <c r="H203" s="59">
        <v>40544</v>
      </c>
      <c r="I203" s="59">
        <v>40575</v>
      </c>
      <c r="J203" s="59">
        <v>40603</v>
      </c>
      <c r="K203" s="59">
        <v>40634</v>
      </c>
      <c r="L203" s="59">
        <v>40664</v>
      </c>
      <c r="M203" s="59">
        <v>40695</v>
      </c>
      <c r="N203" s="60" t="s">
        <v>371</v>
      </c>
      <c r="O203" s="61" t="s">
        <v>27</v>
      </c>
      <c r="P203" s="61" t="s">
        <v>175</v>
      </c>
    </row>
    <row r="204" spans="1:17">
      <c r="A204" s="67" t="s">
        <v>292</v>
      </c>
      <c r="B204" s="59"/>
      <c r="C204" s="59"/>
      <c r="D204" s="59"/>
      <c r="E204" s="59"/>
      <c r="F204" s="59"/>
      <c r="G204" s="59"/>
      <c r="H204" s="59"/>
      <c r="I204" s="59"/>
      <c r="J204" s="59"/>
      <c r="K204" s="59"/>
      <c r="L204" s="59"/>
      <c r="M204" s="59"/>
      <c r="N204" s="53"/>
      <c r="O204" s="70"/>
      <c r="P204" s="70"/>
    </row>
    <row r="205" spans="1:17">
      <c r="A205" s="71" t="s">
        <v>208</v>
      </c>
      <c r="B205" s="24">
        <v>0</v>
      </c>
      <c r="C205" s="24">
        <v>0</v>
      </c>
      <c r="D205" s="24">
        <v>0</v>
      </c>
      <c r="E205" s="24">
        <v>0</v>
      </c>
      <c r="F205" s="24">
        <v>0</v>
      </c>
      <c r="G205" s="24">
        <v>0</v>
      </c>
      <c r="H205" s="24" t="s">
        <v>231</v>
      </c>
      <c r="I205" s="24" t="s">
        <v>231</v>
      </c>
      <c r="J205" s="24" t="s">
        <v>231</v>
      </c>
      <c r="K205" s="24" t="s">
        <v>231</v>
      </c>
      <c r="L205" s="24" t="s">
        <v>231</v>
      </c>
      <c r="M205" s="24" t="s">
        <v>231</v>
      </c>
      <c r="N205" s="73">
        <f>SUM(B205:M205)</f>
        <v>0</v>
      </c>
      <c r="O205" s="74">
        <v>0</v>
      </c>
      <c r="P205" s="76" t="s">
        <v>231</v>
      </c>
    </row>
    <row r="206" spans="1:17">
      <c r="A206" s="2"/>
      <c r="B206" s="87"/>
      <c r="C206" s="87"/>
      <c r="D206" s="87"/>
      <c r="E206" s="87"/>
      <c r="F206" s="87"/>
      <c r="G206" s="87"/>
      <c r="H206" s="87"/>
      <c r="I206" s="87"/>
      <c r="J206" s="87"/>
      <c r="K206" s="87"/>
      <c r="L206" s="87"/>
      <c r="M206" s="87"/>
      <c r="N206" s="88"/>
      <c r="O206" s="75"/>
      <c r="P206" s="75"/>
    </row>
    <row r="207" spans="1:17">
      <c r="A207" s="5"/>
      <c r="B207" s="89"/>
      <c r="C207" s="89"/>
      <c r="D207" s="89"/>
      <c r="E207" s="89"/>
      <c r="F207" s="89"/>
      <c r="G207" s="89"/>
      <c r="H207" s="89"/>
      <c r="I207" s="89"/>
      <c r="J207" s="89"/>
      <c r="K207" s="89"/>
      <c r="L207" s="89"/>
      <c r="M207" s="89"/>
      <c r="N207" s="90"/>
      <c r="O207" s="91"/>
      <c r="P207" s="91"/>
    </row>
    <row r="208" spans="1:17" ht="25.5">
      <c r="A208" s="58"/>
      <c r="B208" s="59">
        <v>40360</v>
      </c>
      <c r="C208" s="59">
        <v>40391</v>
      </c>
      <c r="D208" s="59">
        <v>6614787</v>
      </c>
      <c r="E208" s="59">
        <v>40452</v>
      </c>
      <c r="F208" s="59">
        <v>40483</v>
      </c>
      <c r="G208" s="59">
        <v>40513</v>
      </c>
      <c r="H208" s="59">
        <v>40544</v>
      </c>
      <c r="I208" s="59">
        <v>40575</v>
      </c>
      <c r="J208" s="59">
        <v>40603</v>
      </c>
      <c r="K208" s="59">
        <v>40634</v>
      </c>
      <c r="L208" s="59">
        <v>40664</v>
      </c>
      <c r="M208" s="59">
        <v>40695</v>
      </c>
      <c r="N208" s="60" t="s">
        <v>371</v>
      </c>
      <c r="O208" s="61" t="s">
        <v>27</v>
      </c>
      <c r="P208" s="61" t="s">
        <v>175</v>
      </c>
      <c r="Q208" s="2"/>
    </row>
    <row r="209" spans="1:16">
      <c r="A209" s="67" t="s">
        <v>150</v>
      </c>
      <c r="B209" s="59"/>
      <c r="C209" s="59"/>
      <c r="D209" s="59"/>
      <c r="E209" s="59"/>
      <c r="F209" s="59"/>
      <c r="G209" s="59"/>
      <c r="H209" s="59"/>
      <c r="I209" s="59"/>
      <c r="J209" s="59"/>
      <c r="K209" s="59"/>
      <c r="L209" s="59"/>
      <c r="M209" s="59"/>
      <c r="N209" s="53"/>
      <c r="O209" s="70"/>
      <c r="P209" s="70"/>
    </row>
    <row r="210" spans="1:16">
      <c r="A210" s="71" t="s">
        <v>257</v>
      </c>
      <c r="B210" s="113">
        <v>1473</v>
      </c>
      <c r="C210" s="113">
        <v>689</v>
      </c>
      <c r="D210" s="113">
        <v>2076</v>
      </c>
      <c r="E210" s="113">
        <v>3909</v>
      </c>
      <c r="F210" s="113">
        <v>3707</v>
      </c>
      <c r="G210" s="12">
        <v>2255</v>
      </c>
      <c r="H210" s="12">
        <v>922</v>
      </c>
      <c r="I210" s="12">
        <v>3298</v>
      </c>
      <c r="J210" s="12">
        <v>3659</v>
      </c>
      <c r="K210" s="12">
        <v>3495</v>
      </c>
      <c r="L210" s="12">
        <v>1652</v>
      </c>
      <c r="M210" s="12">
        <v>526</v>
      </c>
      <c r="N210" s="73">
        <f>SUM(B210:M210)</f>
        <v>27661</v>
      </c>
      <c r="O210" s="74"/>
      <c r="P210" s="75"/>
    </row>
    <row r="211" spans="1:16">
      <c r="A211" s="71" t="s">
        <v>208</v>
      </c>
      <c r="B211" s="24">
        <v>4118</v>
      </c>
      <c r="C211" s="24">
        <v>2085</v>
      </c>
      <c r="D211" s="24">
        <v>4718</v>
      </c>
      <c r="E211" s="24">
        <v>10161</v>
      </c>
      <c r="F211" s="24">
        <v>10315</v>
      </c>
      <c r="G211" s="24">
        <v>5854</v>
      </c>
      <c r="H211" s="24">
        <v>2706</v>
      </c>
      <c r="I211" s="24">
        <v>7548</v>
      </c>
      <c r="J211" s="24">
        <v>9265</v>
      </c>
      <c r="K211" s="24">
        <v>7979</v>
      </c>
      <c r="L211" s="24">
        <v>4197</v>
      </c>
      <c r="M211" s="24">
        <v>400</v>
      </c>
      <c r="N211" s="73">
        <f>SUM(B211:M211)</f>
        <v>69346</v>
      </c>
      <c r="O211" s="74">
        <v>0</v>
      </c>
      <c r="P211" s="75">
        <f>O211/N211</f>
        <v>0</v>
      </c>
    </row>
    <row r="212" spans="1:16">
      <c r="A212" s="2"/>
      <c r="B212" s="187" t="s">
        <v>372</v>
      </c>
      <c r="C212" s="188"/>
      <c r="D212" s="188"/>
      <c r="E212" s="188"/>
      <c r="F212" s="188"/>
      <c r="G212" s="188"/>
      <c r="H212" s="188"/>
      <c r="I212" s="188"/>
      <c r="J212" s="188"/>
      <c r="K212" s="188"/>
      <c r="L212" s="188"/>
      <c r="M212" s="188"/>
      <c r="N212" s="188"/>
      <c r="O212" s="75"/>
      <c r="P212" s="75"/>
    </row>
    <row r="213" spans="1:16">
      <c r="A213" s="2"/>
      <c r="B213" s="114"/>
      <c r="C213" s="114"/>
      <c r="D213" s="114"/>
      <c r="E213" s="114"/>
      <c r="F213" s="114"/>
      <c r="G213" s="114"/>
      <c r="H213" s="114"/>
      <c r="I213" s="114"/>
      <c r="J213" s="114"/>
      <c r="K213" s="114"/>
      <c r="L213" s="114"/>
      <c r="M213" s="114"/>
      <c r="N213" s="114"/>
      <c r="O213" s="2"/>
      <c r="P213" s="2"/>
    </row>
  </sheetData>
  <mergeCells count="12">
    <mergeCell ref="A77:B77"/>
    <mergeCell ref="A101:B101"/>
    <mergeCell ref="A106:D106"/>
    <mergeCell ref="A111:B111"/>
    <mergeCell ref="A126:B126"/>
    <mergeCell ref="B212:N212"/>
    <mergeCell ref="A32:B32"/>
    <mergeCell ref="A37:B37"/>
    <mergeCell ref="A42:B42"/>
    <mergeCell ref="A57:C57"/>
    <mergeCell ref="A69:D69"/>
    <mergeCell ref="A72:B72"/>
  </mergeCells>
  <pageMargins left="0.75" right="0.75" top="1" bottom="1" header="0.5" footer="0.5"/>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dimension ref="A1:Q203"/>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1.42578125" customWidth="1"/>
    <col min="2" max="14" width="8.5703125" customWidth="1"/>
    <col min="15" max="16" width="10.85546875" customWidth="1"/>
    <col min="17" max="17" width="9.140625" customWidth="1"/>
  </cols>
  <sheetData>
    <row r="1" spans="1:17" ht="20.25">
      <c r="A1" s="175" t="s">
        <v>168</v>
      </c>
      <c r="B1" s="176"/>
      <c r="C1" s="176"/>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c r="O3" s="2"/>
      <c r="P3" s="2"/>
    </row>
    <row r="4" spans="1:17">
      <c r="A4" s="2" t="s">
        <v>17</v>
      </c>
      <c r="B4" s="2" t="s">
        <v>192</v>
      </c>
      <c r="O4" s="2"/>
      <c r="P4" s="2"/>
    </row>
    <row r="5" spans="1:17">
      <c r="A5" s="5"/>
      <c r="B5" s="6"/>
      <c r="C5" s="6"/>
      <c r="D5" s="6"/>
      <c r="E5" s="6"/>
      <c r="F5" s="6"/>
      <c r="G5" s="6"/>
      <c r="H5" s="6"/>
      <c r="I5" s="6"/>
      <c r="J5" s="6"/>
      <c r="K5" s="6"/>
      <c r="L5" s="6"/>
      <c r="M5" s="6"/>
      <c r="N5" s="6"/>
      <c r="O5" s="5"/>
      <c r="P5" s="5"/>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row>
    <row r="7" spans="1:17">
      <c r="A7" s="183" t="s">
        <v>359</v>
      </c>
      <c r="B7" s="184"/>
      <c r="C7" s="184"/>
      <c r="D7" s="184"/>
      <c r="E7" s="59"/>
      <c r="F7" s="59"/>
      <c r="G7" s="59"/>
      <c r="H7" s="59"/>
      <c r="I7" s="59"/>
      <c r="J7" s="59"/>
      <c r="K7" s="59"/>
      <c r="L7" s="59"/>
      <c r="M7" s="59"/>
      <c r="N7" s="53"/>
      <c r="O7" s="82" t="s">
        <v>327</v>
      </c>
      <c r="P7" s="115"/>
    </row>
    <row r="8" spans="1:17">
      <c r="A8" s="71" t="s">
        <v>257</v>
      </c>
      <c r="B8" s="24">
        <v>2635</v>
      </c>
      <c r="C8" s="24">
        <v>597</v>
      </c>
      <c r="D8" s="24">
        <v>2968</v>
      </c>
      <c r="E8" s="24">
        <v>8402</v>
      </c>
      <c r="F8" s="24">
        <v>9486</v>
      </c>
      <c r="G8" s="24">
        <v>3995</v>
      </c>
      <c r="H8" s="24">
        <v>889</v>
      </c>
      <c r="I8" s="24">
        <v>5213</v>
      </c>
      <c r="J8" s="24">
        <v>9379</v>
      </c>
      <c r="K8" s="24">
        <v>9135</v>
      </c>
      <c r="L8" s="24">
        <v>2289</v>
      </c>
      <c r="M8" s="24">
        <v>2027</v>
      </c>
      <c r="N8" s="73">
        <f>SUM(B8:M8)</f>
        <v>57015</v>
      </c>
      <c r="O8" s="10"/>
      <c r="P8" s="76"/>
    </row>
    <row r="9" spans="1:17">
      <c r="A9" s="71" t="s">
        <v>208</v>
      </c>
      <c r="B9" s="24">
        <v>9510</v>
      </c>
      <c r="C9" s="24">
        <v>1344</v>
      </c>
      <c r="D9" s="24">
        <v>10726</v>
      </c>
      <c r="E9" s="24">
        <v>32364</v>
      </c>
      <c r="F9" s="24">
        <v>30096</v>
      </c>
      <c r="G9" s="24">
        <v>12410</v>
      </c>
      <c r="H9" s="24">
        <v>2922</v>
      </c>
      <c r="I9" s="24">
        <v>19183</v>
      </c>
      <c r="J9" s="24">
        <v>31757</v>
      </c>
      <c r="K9" s="24">
        <v>23328</v>
      </c>
      <c r="L9" s="24">
        <v>6343</v>
      </c>
      <c r="M9" s="24">
        <v>6524</v>
      </c>
      <c r="N9" s="73">
        <f>SUM(B9:M9)</f>
        <v>186507</v>
      </c>
      <c r="O9" s="116">
        <v>0</v>
      </c>
      <c r="P9" s="76" t="s">
        <v>231</v>
      </c>
    </row>
    <row r="10" spans="1:17">
      <c r="A10" s="2"/>
      <c r="B10" s="43"/>
      <c r="C10" s="43"/>
      <c r="D10" s="43"/>
      <c r="E10" s="43"/>
      <c r="F10" s="43"/>
      <c r="G10" s="43"/>
      <c r="H10" s="43"/>
      <c r="I10" s="43"/>
      <c r="J10" s="43"/>
      <c r="K10" s="43"/>
      <c r="L10" s="43"/>
      <c r="M10" s="43"/>
      <c r="N10" s="43"/>
      <c r="O10" s="2"/>
      <c r="P10" s="2"/>
    </row>
    <row r="11" spans="1:17">
      <c r="A11" s="5"/>
      <c r="B11" s="6"/>
      <c r="C11" s="6"/>
      <c r="D11" s="6"/>
      <c r="E11" s="6"/>
      <c r="F11" s="6"/>
      <c r="G11" s="6"/>
      <c r="H11" s="6"/>
      <c r="I11" s="6"/>
      <c r="J11" s="6"/>
      <c r="K11" s="6"/>
      <c r="L11" s="6"/>
      <c r="M11" s="6"/>
      <c r="N11" s="6"/>
      <c r="O11" s="5"/>
      <c r="P11" s="5"/>
    </row>
    <row r="12" spans="1:17" ht="25.5">
      <c r="A12" s="58"/>
      <c r="B12" s="59">
        <v>40360</v>
      </c>
      <c r="C12" s="59">
        <v>40391</v>
      </c>
      <c r="D12" s="59">
        <v>6614787</v>
      </c>
      <c r="E12" s="59">
        <v>40452</v>
      </c>
      <c r="F12" s="59">
        <v>40483</v>
      </c>
      <c r="G12" s="59">
        <v>40513</v>
      </c>
      <c r="H12" s="59">
        <v>40544</v>
      </c>
      <c r="I12" s="59">
        <v>40575</v>
      </c>
      <c r="J12" s="59">
        <v>40603</v>
      </c>
      <c r="K12" s="59">
        <v>40634</v>
      </c>
      <c r="L12" s="59">
        <v>40664</v>
      </c>
      <c r="M12" s="59">
        <v>40695</v>
      </c>
      <c r="N12" s="60" t="s">
        <v>371</v>
      </c>
      <c r="O12" s="61" t="s">
        <v>27</v>
      </c>
      <c r="P12" s="61" t="s">
        <v>175</v>
      </c>
      <c r="Q12" s="2"/>
    </row>
    <row r="13" spans="1:17">
      <c r="A13" s="67" t="s">
        <v>229</v>
      </c>
      <c r="B13" s="59"/>
      <c r="C13" s="59"/>
      <c r="D13" s="59"/>
      <c r="E13" s="59"/>
      <c r="F13" s="59"/>
      <c r="G13" s="59"/>
      <c r="H13" s="59"/>
      <c r="I13" s="59"/>
      <c r="J13" s="59"/>
      <c r="K13" s="59"/>
      <c r="L13" s="59"/>
      <c r="M13" s="59"/>
      <c r="N13" s="53"/>
      <c r="O13" s="67"/>
      <c r="P13" s="115"/>
    </row>
    <row r="14" spans="1:17">
      <c r="A14" s="71" t="s">
        <v>257</v>
      </c>
      <c r="B14" s="24">
        <v>1880</v>
      </c>
      <c r="C14" s="24">
        <v>783</v>
      </c>
      <c r="D14" s="24">
        <v>1823</v>
      </c>
      <c r="E14" s="24">
        <v>3719</v>
      </c>
      <c r="F14" s="24">
        <v>4331</v>
      </c>
      <c r="G14" s="24">
        <v>2363</v>
      </c>
      <c r="H14" s="24">
        <v>1139</v>
      </c>
      <c r="I14" s="24">
        <v>2852</v>
      </c>
      <c r="J14" s="24">
        <v>3775</v>
      </c>
      <c r="K14" s="24">
        <v>2865</v>
      </c>
      <c r="L14" s="24">
        <v>1479</v>
      </c>
      <c r="M14" s="24">
        <v>1233</v>
      </c>
      <c r="N14" s="73">
        <f>SUM(B14:M14)</f>
        <v>28242</v>
      </c>
      <c r="O14" s="10"/>
      <c r="P14" s="76"/>
    </row>
    <row r="15" spans="1:17">
      <c r="A15" s="71" t="s">
        <v>208</v>
      </c>
      <c r="B15" s="24">
        <v>3335</v>
      </c>
      <c r="C15" s="24">
        <v>625</v>
      </c>
      <c r="D15" s="24">
        <v>2434</v>
      </c>
      <c r="E15" s="24">
        <v>6877</v>
      </c>
      <c r="F15" s="24">
        <v>7663</v>
      </c>
      <c r="G15" s="24">
        <v>4857</v>
      </c>
      <c r="H15" s="24">
        <v>1002</v>
      </c>
      <c r="I15" s="24">
        <v>4443</v>
      </c>
      <c r="J15" s="24">
        <v>6357</v>
      </c>
      <c r="K15" s="24">
        <v>6302</v>
      </c>
      <c r="L15" s="24">
        <v>2533</v>
      </c>
      <c r="M15" s="24">
        <v>2118</v>
      </c>
      <c r="N15" s="73">
        <f>SUM(B15:M15)</f>
        <v>48546</v>
      </c>
      <c r="O15" s="116">
        <v>0</v>
      </c>
      <c r="P15" s="76">
        <f>O15/N15</f>
        <v>0</v>
      </c>
    </row>
    <row r="16" spans="1:17">
      <c r="A16" s="2"/>
      <c r="B16" s="87"/>
      <c r="C16" s="87"/>
      <c r="D16" s="87"/>
      <c r="E16" s="87"/>
      <c r="F16" s="87"/>
      <c r="G16" s="87"/>
      <c r="H16" s="87"/>
      <c r="I16" s="87"/>
      <c r="J16" s="87"/>
      <c r="K16" s="87"/>
      <c r="L16" s="87"/>
      <c r="M16" s="87"/>
      <c r="N16" s="88"/>
      <c r="O16" s="76"/>
      <c r="P16" s="76"/>
    </row>
    <row r="17" spans="1:17">
      <c r="A17" s="5"/>
      <c r="B17" s="89"/>
      <c r="C17" s="89"/>
      <c r="D17" s="89"/>
      <c r="E17" s="89"/>
      <c r="F17" s="89"/>
      <c r="G17" s="89"/>
      <c r="H17" s="89"/>
      <c r="I17" s="89"/>
      <c r="J17" s="89"/>
      <c r="K17" s="89"/>
      <c r="L17" s="89"/>
      <c r="M17" s="89"/>
      <c r="N17" s="90"/>
      <c r="O17" s="103"/>
      <c r="P17" s="103"/>
    </row>
    <row r="18" spans="1:17" ht="25.5">
      <c r="A18" s="58"/>
      <c r="B18" s="59">
        <v>40360</v>
      </c>
      <c r="C18" s="59">
        <v>40391</v>
      </c>
      <c r="D18" s="59">
        <v>6614787</v>
      </c>
      <c r="E18" s="59">
        <v>40452</v>
      </c>
      <c r="F18" s="59">
        <v>40483</v>
      </c>
      <c r="G18" s="59">
        <v>40513</v>
      </c>
      <c r="H18" s="59">
        <v>40544</v>
      </c>
      <c r="I18" s="59">
        <v>40575</v>
      </c>
      <c r="J18" s="59">
        <v>40603</v>
      </c>
      <c r="K18" s="59">
        <v>40634</v>
      </c>
      <c r="L18" s="59">
        <v>40664</v>
      </c>
      <c r="M18" s="59">
        <v>40695</v>
      </c>
      <c r="N18" s="60" t="s">
        <v>371</v>
      </c>
      <c r="O18" s="61" t="s">
        <v>27</v>
      </c>
      <c r="P18" s="61" t="s">
        <v>175</v>
      </c>
      <c r="Q18" s="2"/>
    </row>
    <row r="19" spans="1:17">
      <c r="A19" s="67" t="s">
        <v>51</v>
      </c>
      <c r="B19" s="59"/>
      <c r="C19" s="59"/>
      <c r="D19" s="59"/>
      <c r="E19" s="59"/>
      <c r="F19" s="59"/>
      <c r="G19" s="59"/>
      <c r="H19" s="59"/>
      <c r="I19" s="59"/>
      <c r="J19" s="59"/>
      <c r="K19" s="59"/>
      <c r="L19" s="59"/>
      <c r="M19" s="59"/>
      <c r="N19" s="53"/>
      <c r="O19" s="104"/>
      <c r="P19" s="104"/>
    </row>
    <row r="20" spans="1:17">
      <c r="A20" s="71" t="s">
        <v>257</v>
      </c>
      <c r="B20" s="24">
        <v>87</v>
      </c>
      <c r="C20" s="24">
        <v>15</v>
      </c>
      <c r="D20" s="24">
        <v>102</v>
      </c>
      <c r="E20" s="24">
        <v>308</v>
      </c>
      <c r="F20" s="24">
        <v>357</v>
      </c>
      <c r="G20" s="24">
        <v>182</v>
      </c>
      <c r="H20" s="24">
        <v>37</v>
      </c>
      <c r="I20" s="24">
        <v>220</v>
      </c>
      <c r="J20" s="24">
        <v>366</v>
      </c>
      <c r="K20" s="24">
        <v>360</v>
      </c>
      <c r="L20" s="24">
        <v>149</v>
      </c>
      <c r="M20" s="24">
        <v>72</v>
      </c>
      <c r="N20" s="73">
        <f>SUM(B20:M20)</f>
        <v>2255</v>
      </c>
      <c r="O20" s="116"/>
      <c r="P20" s="76"/>
    </row>
    <row r="21" spans="1:17">
      <c r="A21" s="71" t="s">
        <v>208</v>
      </c>
      <c r="B21" s="24">
        <v>395</v>
      </c>
      <c r="C21" s="24">
        <v>67</v>
      </c>
      <c r="D21" s="24">
        <v>410</v>
      </c>
      <c r="E21" s="24">
        <v>1469</v>
      </c>
      <c r="F21" s="24">
        <v>1494</v>
      </c>
      <c r="G21" s="24">
        <v>951</v>
      </c>
      <c r="H21" s="24">
        <v>162</v>
      </c>
      <c r="I21" s="24">
        <v>953</v>
      </c>
      <c r="J21" s="24">
        <v>1503</v>
      </c>
      <c r="K21" s="24">
        <v>1901</v>
      </c>
      <c r="L21" s="24">
        <v>610</v>
      </c>
      <c r="M21" s="24">
        <v>312</v>
      </c>
      <c r="N21" s="73">
        <f>SUM(B21:M21)</f>
        <v>10227</v>
      </c>
      <c r="O21" s="116">
        <v>0</v>
      </c>
      <c r="P21" s="76">
        <f>O21/N21</f>
        <v>0</v>
      </c>
    </row>
    <row r="22" spans="1:17">
      <c r="A22" s="2"/>
      <c r="B22" s="87"/>
      <c r="C22" s="87"/>
      <c r="D22" s="87"/>
      <c r="E22" s="87"/>
      <c r="F22" s="87"/>
      <c r="G22" s="87"/>
      <c r="H22" s="87"/>
      <c r="I22" s="87"/>
      <c r="J22" s="87"/>
      <c r="K22" s="87"/>
      <c r="L22" s="87"/>
      <c r="M22" s="87"/>
      <c r="N22" s="88"/>
      <c r="O22" s="76"/>
      <c r="P22" s="76"/>
    </row>
    <row r="23" spans="1:17">
      <c r="A23" s="5"/>
      <c r="B23" s="89"/>
      <c r="C23" s="89"/>
      <c r="D23" s="89"/>
      <c r="E23" s="89"/>
      <c r="F23" s="89"/>
      <c r="G23" s="89"/>
      <c r="H23" s="89"/>
      <c r="I23" s="89"/>
      <c r="J23" s="89"/>
      <c r="K23" s="89"/>
      <c r="L23" s="89"/>
      <c r="M23" s="89"/>
      <c r="N23" s="90"/>
      <c r="O23" s="103"/>
      <c r="P23" s="103"/>
    </row>
    <row r="24" spans="1:17" ht="25.5">
      <c r="A24" s="58"/>
      <c r="B24" s="59">
        <v>40360</v>
      </c>
      <c r="C24" s="59">
        <v>40391</v>
      </c>
      <c r="D24" s="59">
        <v>6614787</v>
      </c>
      <c r="E24" s="59">
        <v>40452</v>
      </c>
      <c r="F24" s="59">
        <v>40483</v>
      </c>
      <c r="G24" s="59">
        <v>40513</v>
      </c>
      <c r="H24" s="59">
        <v>40544</v>
      </c>
      <c r="I24" s="59">
        <v>40575</v>
      </c>
      <c r="J24" s="59">
        <v>40603</v>
      </c>
      <c r="K24" s="59">
        <v>40634</v>
      </c>
      <c r="L24" s="59">
        <v>40664</v>
      </c>
      <c r="M24" s="59">
        <v>40695</v>
      </c>
      <c r="N24" s="60" t="s">
        <v>371</v>
      </c>
      <c r="O24" s="61" t="s">
        <v>27</v>
      </c>
      <c r="P24" s="61" t="s">
        <v>175</v>
      </c>
    </row>
    <row r="25" spans="1:17">
      <c r="A25" s="67" t="s">
        <v>209</v>
      </c>
      <c r="B25" s="59"/>
      <c r="C25" s="59"/>
      <c r="D25" s="59"/>
      <c r="E25" s="59"/>
      <c r="F25" s="59"/>
      <c r="G25" s="59"/>
      <c r="H25" s="59"/>
      <c r="I25" s="59"/>
      <c r="J25" s="59"/>
      <c r="K25" s="59"/>
      <c r="L25" s="59"/>
      <c r="M25" s="59"/>
      <c r="N25" s="53"/>
      <c r="O25" s="104"/>
      <c r="P25" s="104"/>
    </row>
    <row r="26" spans="1:17">
      <c r="A26" s="71" t="s">
        <v>257</v>
      </c>
      <c r="B26" s="24">
        <v>577</v>
      </c>
      <c r="C26" s="24">
        <v>117</v>
      </c>
      <c r="D26" s="24">
        <v>839</v>
      </c>
      <c r="E26" s="24">
        <v>1735</v>
      </c>
      <c r="F26" s="24">
        <v>2461</v>
      </c>
      <c r="G26" s="24">
        <v>1016</v>
      </c>
      <c r="H26" s="24">
        <v>261</v>
      </c>
      <c r="I26" s="24">
        <v>1544</v>
      </c>
      <c r="J26" s="24">
        <v>2147</v>
      </c>
      <c r="K26" s="24">
        <v>3251</v>
      </c>
      <c r="L26" s="24">
        <v>316</v>
      </c>
      <c r="M26" s="24">
        <v>303</v>
      </c>
      <c r="N26" s="73">
        <f>SUM(B26:M26)</f>
        <v>14567</v>
      </c>
      <c r="O26" s="116"/>
      <c r="P26" s="76"/>
    </row>
    <row r="27" spans="1:17">
      <c r="A27" s="71" t="s">
        <v>208</v>
      </c>
      <c r="B27" s="24">
        <v>2051</v>
      </c>
      <c r="C27" s="24">
        <v>569</v>
      </c>
      <c r="D27" s="24">
        <v>4005</v>
      </c>
      <c r="E27" s="24">
        <v>8578</v>
      </c>
      <c r="F27" s="24">
        <v>13359</v>
      </c>
      <c r="G27" s="24">
        <v>5196</v>
      </c>
      <c r="H27" s="24">
        <v>1115</v>
      </c>
      <c r="I27" s="24">
        <v>7698</v>
      </c>
      <c r="J27" s="24">
        <v>11332</v>
      </c>
      <c r="K27" s="24">
        <v>16788</v>
      </c>
      <c r="L27" s="24">
        <v>1320</v>
      </c>
      <c r="M27" s="24">
        <v>1201</v>
      </c>
      <c r="N27" s="73">
        <f>SUM(B27:M27)</f>
        <v>73212</v>
      </c>
      <c r="O27" s="116">
        <v>0</v>
      </c>
      <c r="P27" s="76">
        <f>O27/N27</f>
        <v>0</v>
      </c>
    </row>
    <row r="28" spans="1:17">
      <c r="A28" s="2"/>
      <c r="B28" s="87"/>
      <c r="C28" s="87"/>
      <c r="D28" s="87"/>
      <c r="E28" s="87"/>
      <c r="F28" s="87"/>
      <c r="G28" s="87"/>
      <c r="H28" s="87"/>
      <c r="I28" s="87"/>
      <c r="J28" s="87"/>
      <c r="K28" s="87"/>
      <c r="L28" s="87"/>
      <c r="M28" s="87"/>
      <c r="N28" s="88"/>
      <c r="O28" s="76"/>
      <c r="P28" s="76"/>
    </row>
    <row r="29" spans="1:17">
      <c r="A29" s="97"/>
      <c r="B29" s="98"/>
      <c r="C29" s="98"/>
      <c r="D29" s="98"/>
      <c r="E29" s="98"/>
      <c r="F29" s="98"/>
      <c r="G29" s="98"/>
      <c r="H29" s="98"/>
      <c r="I29" s="98"/>
      <c r="J29" s="98"/>
      <c r="K29" s="98"/>
      <c r="L29" s="98"/>
      <c r="M29" s="98"/>
      <c r="N29" s="98"/>
      <c r="O29" s="98"/>
      <c r="P29" s="98"/>
    </row>
    <row r="30" spans="1:17" ht="25.5">
      <c r="A30" s="58"/>
      <c r="B30" s="59">
        <v>40360</v>
      </c>
      <c r="C30" s="59">
        <v>40391</v>
      </c>
      <c r="D30" s="59">
        <v>6614787</v>
      </c>
      <c r="E30" s="59">
        <v>40452</v>
      </c>
      <c r="F30" s="59">
        <v>40483</v>
      </c>
      <c r="G30" s="59">
        <v>40513</v>
      </c>
      <c r="H30" s="59">
        <v>40544</v>
      </c>
      <c r="I30" s="59">
        <v>40575</v>
      </c>
      <c r="J30" s="59">
        <v>40603</v>
      </c>
      <c r="K30" s="59">
        <v>40634</v>
      </c>
      <c r="L30" s="59">
        <v>40664</v>
      </c>
      <c r="M30" s="59">
        <v>40695</v>
      </c>
      <c r="N30" s="60" t="s">
        <v>371</v>
      </c>
      <c r="O30" s="61" t="s">
        <v>27</v>
      </c>
      <c r="P30" s="61" t="s">
        <v>175</v>
      </c>
    </row>
    <row r="31" spans="1:17">
      <c r="A31" s="67" t="s">
        <v>120</v>
      </c>
      <c r="B31" s="59"/>
      <c r="C31" s="59"/>
      <c r="D31" s="59"/>
      <c r="E31" s="59"/>
      <c r="F31" s="59"/>
      <c r="G31" s="59"/>
      <c r="H31" s="59"/>
      <c r="I31" s="59"/>
      <c r="J31" s="59"/>
      <c r="K31" s="59"/>
      <c r="L31" s="59"/>
      <c r="M31" s="59"/>
      <c r="N31" s="53"/>
      <c r="O31" s="104"/>
      <c r="P31" s="104"/>
    </row>
    <row r="32" spans="1:17">
      <c r="A32" s="71" t="s">
        <v>257</v>
      </c>
      <c r="B32" s="24">
        <v>74</v>
      </c>
      <c r="C32" s="24">
        <v>17</v>
      </c>
      <c r="D32" s="24">
        <v>166</v>
      </c>
      <c r="E32" s="24">
        <v>318</v>
      </c>
      <c r="F32" s="24">
        <v>446</v>
      </c>
      <c r="G32" s="24">
        <v>248</v>
      </c>
      <c r="H32" s="24">
        <v>42</v>
      </c>
      <c r="I32" s="24">
        <v>430</v>
      </c>
      <c r="J32" s="24">
        <v>408</v>
      </c>
      <c r="K32" s="24">
        <v>390</v>
      </c>
      <c r="L32" s="24">
        <v>112</v>
      </c>
      <c r="M32" s="24">
        <v>108</v>
      </c>
      <c r="N32" s="73">
        <f>SUM(B32:M32)</f>
        <v>2759</v>
      </c>
      <c r="O32" s="116"/>
      <c r="P32" s="76"/>
    </row>
    <row r="33" spans="1:16">
      <c r="A33" s="71" t="s">
        <v>208</v>
      </c>
      <c r="B33" s="24">
        <v>184</v>
      </c>
      <c r="C33" s="24">
        <v>50</v>
      </c>
      <c r="D33" s="24">
        <v>757</v>
      </c>
      <c r="E33" s="24">
        <v>1359</v>
      </c>
      <c r="F33" s="24">
        <v>1960</v>
      </c>
      <c r="G33" s="24">
        <v>1328</v>
      </c>
      <c r="H33" s="24">
        <v>245</v>
      </c>
      <c r="I33" s="24">
        <v>3264</v>
      </c>
      <c r="J33" s="24">
        <v>2030</v>
      </c>
      <c r="K33" s="24">
        <v>1927</v>
      </c>
      <c r="L33" s="24">
        <v>430</v>
      </c>
      <c r="M33" s="24">
        <v>493</v>
      </c>
      <c r="N33" s="73">
        <f>SUM(B33:M33)</f>
        <v>14027</v>
      </c>
      <c r="O33" s="116">
        <v>0</v>
      </c>
      <c r="P33" s="76">
        <f>O33/N33</f>
        <v>0</v>
      </c>
    </row>
    <row r="34" spans="1:16">
      <c r="A34" s="95"/>
      <c r="B34" s="94"/>
      <c r="C34" s="94"/>
      <c r="D34" s="94"/>
      <c r="E34" s="94"/>
      <c r="F34" s="94"/>
      <c r="G34" s="94"/>
      <c r="H34" s="94"/>
      <c r="I34" s="94"/>
      <c r="J34" s="94"/>
      <c r="K34" s="94"/>
      <c r="L34" s="94"/>
      <c r="M34" s="94"/>
      <c r="N34" s="94"/>
      <c r="O34" s="96"/>
      <c r="P34" s="96"/>
    </row>
    <row r="35" spans="1:16">
      <c r="A35" s="97"/>
      <c r="B35" s="98"/>
      <c r="C35" s="98"/>
      <c r="D35" s="98"/>
      <c r="E35" s="98"/>
      <c r="F35" s="98"/>
      <c r="G35" s="98"/>
      <c r="H35" s="98"/>
      <c r="I35" s="98"/>
      <c r="J35" s="98"/>
      <c r="K35" s="98"/>
      <c r="L35" s="98"/>
      <c r="M35" s="98"/>
      <c r="N35" s="98"/>
      <c r="O35" s="98"/>
      <c r="P35" s="98"/>
    </row>
    <row r="36" spans="1:16" ht="25.5">
      <c r="A36" s="58"/>
      <c r="B36" s="59">
        <v>40360</v>
      </c>
      <c r="C36" s="59">
        <v>40391</v>
      </c>
      <c r="D36" s="59">
        <v>6614787</v>
      </c>
      <c r="E36" s="59">
        <v>40452</v>
      </c>
      <c r="F36" s="59">
        <v>40483</v>
      </c>
      <c r="G36" s="59">
        <v>40513</v>
      </c>
      <c r="H36" s="59">
        <v>40544</v>
      </c>
      <c r="I36" s="59">
        <v>40575</v>
      </c>
      <c r="J36" s="59">
        <v>40603</v>
      </c>
      <c r="K36" s="59">
        <v>40634</v>
      </c>
      <c r="L36" s="59">
        <v>40664</v>
      </c>
      <c r="M36" s="59">
        <v>40695</v>
      </c>
      <c r="N36" s="60" t="s">
        <v>371</v>
      </c>
      <c r="O36" s="61" t="s">
        <v>27</v>
      </c>
      <c r="P36" s="61" t="s">
        <v>175</v>
      </c>
    </row>
    <row r="37" spans="1:16">
      <c r="A37" s="67" t="s">
        <v>104</v>
      </c>
      <c r="B37" s="59"/>
      <c r="C37" s="59"/>
      <c r="D37" s="59"/>
      <c r="E37" s="59"/>
      <c r="F37" s="59"/>
      <c r="G37" s="59"/>
      <c r="H37" s="59"/>
      <c r="I37" s="59"/>
      <c r="J37" s="59"/>
      <c r="K37" s="59"/>
      <c r="L37" s="59"/>
      <c r="M37" s="59"/>
      <c r="N37" s="53"/>
      <c r="O37" s="104"/>
      <c r="P37" s="104"/>
    </row>
    <row r="38" spans="1:16">
      <c r="A38" s="71" t="s">
        <v>257</v>
      </c>
      <c r="B38" s="24">
        <v>44</v>
      </c>
      <c r="C38" s="24">
        <v>9</v>
      </c>
      <c r="D38" s="24">
        <v>50</v>
      </c>
      <c r="E38" s="24">
        <v>122</v>
      </c>
      <c r="F38" s="24">
        <v>194</v>
      </c>
      <c r="G38" s="24">
        <v>109</v>
      </c>
      <c r="H38" s="24">
        <v>24</v>
      </c>
      <c r="I38" s="24">
        <v>119</v>
      </c>
      <c r="J38" s="24">
        <v>189</v>
      </c>
      <c r="K38" s="24">
        <v>174</v>
      </c>
      <c r="L38" s="24">
        <v>68</v>
      </c>
      <c r="M38" s="24">
        <v>42</v>
      </c>
      <c r="N38" s="73">
        <f>SUM(B38:M38)</f>
        <v>1144</v>
      </c>
      <c r="O38" s="116"/>
      <c r="P38" s="76"/>
    </row>
    <row r="39" spans="1:16">
      <c r="A39" s="71" t="s">
        <v>208</v>
      </c>
      <c r="B39" s="24">
        <v>165</v>
      </c>
      <c r="C39" s="24">
        <v>27</v>
      </c>
      <c r="D39" s="24">
        <v>236</v>
      </c>
      <c r="E39" s="24">
        <v>592</v>
      </c>
      <c r="F39" s="24">
        <v>874</v>
      </c>
      <c r="G39" s="24">
        <v>694</v>
      </c>
      <c r="H39" s="24">
        <v>110</v>
      </c>
      <c r="I39" s="24">
        <v>538</v>
      </c>
      <c r="J39" s="24">
        <v>748</v>
      </c>
      <c r="K39" s="24">
        <v>875</v>
      </c>
      <c r="L39" s="24">
        <v>308</v>
      </c>
      <c r="M39" s="24">
        <v>202</v>
      </c>
      <c r="N39" s="73">
        <f>SUM(B39:M39)</f>
        <v>5369</v>
      </c>
      <c r="O39" s="116">
        <v>0</v>
      </c>
      <c r="P39" s="76">
        <f>O39/N39</f>
        <v>0</v>
      </c>
    </row>
    <row r="40" spans="1:16">
      <c r="A40" s="95"/>
      <c r="B40" s="94"/>
      <c r="C40" s="94"/>
      <c r="D40" s="94"/>
      <c r="E40" s="94"/>
      <c r="F40" s="94"/>
      <c r="G40" s="94"/>
      <c r="H40" s="94"/>
      <c r="I40" s="94"/>
      <c r="J40" s="94"/>
      <c r="K40" s="94"/>
      <c r="L40" s="94"/>
      <c r="M40" s="94"/>
      <c r="N40" s="94"/>
      <c r="O40" s="96"/>
      <c r="P40" s="96"/>
    </row>
    <row r="41" spans="1:16">
      <c r="A41" s="97"/>
      <c r="B41" s="98"/>
      <c r="C41" s="98"/>
      <c r="D41" s="98"/>
      <c r="E41" s="98"/>
      <c r="F41" s="98"/>
      <c r="G41" s="98"/>
      <c r="H41" s="98"/>
      <c r="I41" s="98"/>
      <c r="J41" s="98"/>
      <c r="K41" s="98"/>
      <c r="L41" s="98"/>
      <c r="M41" s="98"/>
      <c r="N41" s="98"/>
      <c r="O41" s="98"/>
      <c r="P41" s="98"/>
    </row>
    <row r="42" spans="1:16" ht="25.5">
      <c r="A42" s="58"/>
      <c r="B42" s="59">
        <v>40360</v>
      </c>
      <c r="C42" s="59">
        <v>40391</v>
      </c>
      <c r="D42" s="59">
        <v>6614787</v>
      </c>
      <c r="E42" s="59">
        <v>40452</v>
      </c>
      <c r="F42" s="59">
        <v>40483</v>
      </c>
      <c r="G42" s="59">
        <v>40513</v>
      </c>
      <c r="H42" s="59">
        <v>40544</v>
      </c>
      <c r="I42" s="59">
        <v>40575</v>
      </c>
      <c r="J42" s="59">
        <v>40603</v>
      </c>
      <c r="K42" s="59">
        <v>40634</v>
      </c>
      <c r="L42" s="59">
        <v>40664</v>
      </c>
      <c r="M42" s="59">
        <v>40695</v>
      </c>
      <c r="N42" s="60" t="s">
        <v>371</v>
      </c>
      <c r="O42" s="61" t="s">
        <v>27</v>
      </c>
      <c r="P42" s="61" t="s">
        <v>175</v>
      </c>
    </row>
    <row r="43" spans="1:16">
      <c r="A43" s="67" t="s">
        <v>199</v>
      </c>
      <c r="B43" s="59"/>
      <c r="C43" s="59"/>
      <c r="D43" s="59"/>
      <c r="E43" s="59"/>
      <c r="F43" s="59"/>
      <c r="G43" s="59"/>
      <c r="H43" s="59"/>
      <c r="I43" s="59"/>
      <c r="J43" s="59"/>
      <c r="K43" s="59"/>
      <c r="L43" s="59"/>
      <c r="M43" s="59"/>
      <c r="N43" s="53"/>
      <c r="O43" s="104"/>
      <c r="P43" s="104"/>
    </row>
    <row r="44" spans="1:16">
      <c r="A44" s="71" t="s">
        <v>257</v>
      </c>
      <c r="B44" s="24">
        <v>146</v>
      </c>
      <c r="C44" s="24">
        <v>33</v>
      </c>
      <c r="D44" s="24">
        <v>128</v>
      </c>
      <c r="E44" s="24">
        <v>236</v>
      </c>
      <c r="F44" s="24">
        <v>306</v>
      </c>
      <c r="G44" s="24">
        <v>154</v>
      </c>
      <c r="H44" s="24">
        <v>68</v>
      </c>
      <c r="I44" s="24">
        <v>157</v>
      </c>
      <c r="J44" s="24">
        <v>232</v>
      </c>
      <c r="K44" s="24">
        <v>242</v>
      </c>
      <c r="L44" s="24">
        <v>111</v>
      </c>
      <c r="M44" s="24">
        <v>94</v>
      </c>
      <c r="N44" s="73">
        <f>SUM(B44:M44)</f>
        <v>1907</v>
      </c>
      <c r="O44" s="116"/>
      <c r="P44" s="76"/>
    </row>
    <row r="45" spans="1:16">
      <c r="A45" s="71" t="s">
        <v>208</v>
      </c>
      <c r="B45" s="24">
        <v>552</v>
      </c>
      <c r="C45" s="24">
        <v>125</v>
      </c>
      <c r="D45" s="24">
        <v>481</v>
      </c>
      <c r="E45" s="24">
        <v>1223</v>
      </c>
      <c r="F45" s="24">
        <v>1275</v>
      </c>
      <c r="G45" s="24">
        <v>939</v>
      </c>
      <c r="H45" s="24">
        <v>233</v>
      </c>
      <c r="I45" s="24">
        <v>676</v>
      </c>
      <c r="J45" s="24">
        <v>917</v>
      </c>
      <c r="K45" s="24">
        <v>1118</v>
      </c>
      <c r="L45" s="24">
        <v>444</v>
      </c>
      <c r="M45" s="24">
        <v>438</v>
      </c>
      <c r="N45" s="73">
        <f>SUM(B45:M45)</f>
        <v>8421</v>
      </c>
      <c r="O45" s="116">
        <v>0</v>
      </c>
      <c r="P45" s="76">
        <f>O45/N45</f>
        <v>0</v>
      </c>
    </row>
    <row r="46" spans="1:16">
      <c r="A46" s="2"/>
      <c r="B46" s="87"/>
      <c r="C46" s="87"/>
      <c r="D46" s="87"/>
      <c r="E46" s="87"/>
      <c r="F46" s="87"/>
      <c r="G46" s="87"/>
      <c r="H46" s="87"/>
      <c r="I46" s="87"/>
      <c r="J46" s="87"/>
      <c r="K46" s="87"/>
      <c r="L46" s="87"/>
      <c r="M46" s="87"/>
      <c r="N46" s="88"/>
      <c r="O46" s="76"/>
      <c r="P46" s="76"/>
    </row>
    <row r="47" spans="1:16">
      <c r="A47" s="5"/>
      <c r="B47" s="89"/>
      <c r="C47" s="89"/>
      <c r="D47" s="89"/>
      <c r="E47" s="89"/>
      <c r="F47" s="89"/>
      <c r="G47" s="89"/>
      <c r="H47" s="89"/>
      <c r="I47" s="89"/>
      <c r="J47" s="89"/>
      <c r="K47" s="89"/>
      <c r="L47" s="89"/>
      <c r="M47" s="89"/>
      <c r="N47" s="90"/>
      <c r="O47" s="103"/>
      <c r="P47" s="103"/>
    </row>
    <row r="48" spans="1:16" ht="25.5">
      <c r="A48" s="58"/>
      <c r="B48" s="59">
        <v>40360</v>
      </c>
      <c r="C48" s="59">
        <v>40391</v>
      </c>
      <c r="D48" s="59">
        <v>6614787</v>
      </c>
      <c r="E48" s="59">
        <v>40452</v>
      </c>
      <c r="F48" s="59">
        <v>40483</v>
      </c>
      <c r="G48" s="59">
        <v>40513</v>
      </c>
      <c r="H48" s="59">
        <v>40544</v>
      </c>
      <c r="I48" s="59">
        <v>40575</v>
      </c>
      <c r="J48" s="59">
        <v>40603</v>
      </c>
      <c r="K48" s="59">
        <v>40634</v>
      </c>
      <c r="L48" s="59">
        <v>40664</v>
      </c>
      <c r="M48" s="59">
        <v>40695</v>
      </c>
      <c r="N48" s="60" t="s">
        <v>371</v>
      </c>
      <c r="O48" s="61" t="s">
        <v>27</v>
      </c>
      <c r="P48" s="61" t="s">
        <v>175</v>
      </c>
    </row>
    <row r="49" spans="1:17">
      <c r="A49" s="67" t="s">
        <v>259</v>
      </c>
      <c r="B49" s="59"/>
      <c r="C49" s="59"/>
      <c r="D49" s="59"/>
      <c r="E49" s="59"/>
      <c r="F49" s="59"/>
      <c r="G49" s="59"/>
      <c r="H49" s="59"/>
      <c r="I49" s="59"/>
      <c r="J49" s="59"/>
      <c r="K49" s="59"/>
      <c r="L49" s="59"/>
      <c r="M49" s="59"/>
      <c r="N49" s="53"/>
      <c r="O49" s="104"/>
      <c r="P49" s="104"/>
    </row>
    <row r="50" spans="1:17">
      <c r="A50" s="71" t="s">
        <v>257</v>
      </c>
      <c r="B50" s="24">
        <v>96</v>
      </c>
      <c r="C50" s="24">
        <v>9</v>
      </c>
      <c r="D50" s="24">
        <v>54</v>
      </c>
      <c r="E50" s="24">
        <v>150</v>
      </c>
      <c r="F50" s="24">
        <v>239</v>
      </c>
      <c r="G50" s="24">
        <v>124</v>
      </c>
      <c r="H50" s="24">
        <v>30</v>
      </c>
      <c r="I50" s="24">
        <v>144</v>
      </c>
      <c r="J50" s="24">
        <v>185</v>
      </c>
      <c r="K50" s="24">
        <v>177</v>
      </c>
      <c r="L50" s="24">
        <v>92</v>
      </c>
      <c r="M50" s="24">
        <v>68</v>
      </c>
      <c r="N50" s="73">
        <f>SUM(B50:M50)</f>
        <v>1368</v>
      </c>
      <c r="O50" s="116"/>
      <c r="P50" s="76"/>
    </row>
    <row r="51" spans="1:17">
      <c r="A51" s="71" t="s">
        <v>208</v>
      </c>
      <c r="B51" s="24">
        <v>423</v>
      </c>
      <c r="C51" s="24">
        <v>24</v>
      </c>
      <c r="D51" s="24">
        <v>253</v>
      </c>
      <c r="E51" s="24">
        <v>748</v>
      </c>
      <c r="F51" s="24">
        <v>1201</v>
      </c>
      <c r="G51" s="24">
        <v>854</v>
      </c>
      <c r="H51" s="24">
        <v>151</v>
      </c>
      <c r="I51" s="24">
        <v>683</v>
      </c>
      <c r="J51" s="24">
        <v>862</v>
      </c>
      <c r="K51" s="24">
        <v>1039</v>
      </c>
      <c r="L51" s="24">
        <v>522</v>
      </c>
      <c r="M51" s="24">
        <v>341</v>
      </c>
      <c r="N51" s="73">
        <f>SUM(B51:M51)</f>
        <v>7101</v>
      </c>
      <c r="O51" s="116">
        <v>0</v>
      </c>
      <c r="P51" s="76" t="s">
        <v>231</v>
      </c>
    </row>
    <row r="52" spans="1:17">
      <c r="A52" s="2"/>
      <c r="B52" s="87"/>
      <c r="C52" s="87"/>
      <c r="D52" s="87"/>
      <c r="E52" s="87"/>
      <c r="F52" s="87"/>
      <c r="G52" s="87"/>
      <c r="H52" s="87"/>
      <c r="I52" s="87"/>
      <c r="J52" s="87"/>
      <c r="K52" s="87"/>
      <c r="L52" s="87"/>
      <c r="M52" s="87"/>
      <c r="N52" s="88"/>
      <c r="O52" s="76"/>
      <c r="P52" s="76"/>
    </row>
    <row r="53" spans="1:17">
      <c r="A53" s="5"/>
      <c r="B53" s="89"/>
      <c r="C53" s="89"/>
      <c r="D53" s="89"/>
      <c r="E53" s="89"/>
      <c r="F53" s="89"/>
      <c r="G53" s="89"/>
      <c r="H53" s="89"/>
      <c r="I53" s="89"/>
      <c r="J53" s="89"/>
      <c r="K53" s="89"/>
      <c r="L53" s="89"/>
      <c r="M53" s="89"/>
      <c r="N53" s="90"/>
      <c r="O53" s="103"/>
      <c r="P53" s="103"/>
    </row>
    <row r="54" spans="1:17" ht="25.5">
      <c r="A54" s="58"/>
      <c r="B54" s="59">
        <v>40360</v>
      </c>
      <c r="C54" s="59">
        <v>40391</v>
      </c>
      <c r="D54" s="59">
        <v>6614787</v>
      </c>
      <c r="E54" s="59">
        <v>40452</v>
      </c>
      <c r="F54" s="59">
        <v>40483</v>
      </c>
      <c r="G54" s="59">
        <v>40513</v>
      </c>
      <c r="H54" s="59">
        <v>40544</v>
      </c>
      <c r="I54" s="59">
        <v>40575</v>
      </c>
      <c r="J54" s="59">
        <v>40603</v>
      </c>
      <c r="K54" s="59">
        <v>40634</v>
      </c>
      <c r="L54" s="59">
        <v>40664</v>
      </c>
      <c r="M54" s="59">
        <v>40695</v>
      </c>
      <c r="N54" s="60" t="s">
        <v>371</v>
      </c>
      <c r="O54" s="61" t="s">
        <v>27</v>
      </c>
      <c r="P54" s="61" t="s">
        <v>175</v>
      </c>
      <c r="Q54" s="2"/>
    </row>
    <row r="55" spans="1:17">
      <c r="A55" s="183" t="s">
        <v>305</v>
      </c>
      <c r="B55" s="184"/>
      <c r="C55" s="59"/>
      <c r="D55" s="59"/>
      <c r="E55" s="59"/>
      <c r="F55" s="59"/>
      <c r="G55" s="59"/>
      <c r="H55" s="59"/>
      <c r="I55" s="59"/>
      <c r="J55" s="59"/>
      <c r="K55" s="59"/>
      <c r="L55" s="59"/>
      <c r="M55" s="59"/>
      <c r="N55" s="53"/>
      <c r="O55" s="104"/>
      <c r="P55" s="104"/>
    </row>
    <row r="56" spans="1:17">
      <c r="A56" s="71" t="s">
        <v>257</v>
      </c>
      <c r="B56" s="24">
        <v>66</v>
      </c>
      <c r="C56" s="24">
        <v>9</v>
      </c>
      <c r="D56" s="24">
        <v>60</v>
      </c>
      <c r="E56" s="24">
        <v>168</v>
      </c>
      <c r="F56" s="24">
        <v>207</v>
      </c>
      <c r="G56" s="24">
        <v>141</v>
      </c>
      <c r="H56" s="24">
        <v>35</v>
      </c>
      <c r="I56" s="24">
        <v>130</v>
      </c>
      <c r="J56" s="24">
        <v>144</v>
      </c>
      <c r="K56" s="24">
        <v>198</v>
      </c>
      <c r="L56" s="24">
        <v>81</v>
      </c>
      <c r="M56" s="24">
        <v>52</v>
      </c>
      <c r="N56" s="73">
        <f>SUM(B56:M56)</f>
        <v>1291</v>
      </c>
      <c r="O56" s="10"/>
      <c r="P56" s="2"/>
    </row>
    <row r="57" spans="1:17">
      <c r="A57" s="71" t="s">
        <v>208</v>
      </c>
      <c r="B57" s="24">
        <v>246</v>
      </c>
      <c r="C57" s="24">
        <v>29</v>
      </c>
      <c r="D57" s="24">
        <v>249</v>
      </c>
      <c r="E57" s="24">
        <v>798</v>
      </c>
      <c r="F57" s="24">
        <v>962</v>
      </c>
      <c r="G57" s="24">
        <v>875</v>
      </c>
      <c r="H57" s="24">
        <v>145</v>
      </c>
      <c r="I57" s="24">
        <v>564</v>
      </c>
      <c r="J57" s="24">
        <v>590</v>
      </c>
      <c r="K57" s="24">
        <v>1034</v>
      </c>
      <c r="L57" s="24">
        <v>327</v>
      </c>
      <c r="M57" s="24">
        <v>243</v>
      </c>
      <c r="N57" s="73">
        <f>SUM(B57:M57)</f>
        <v>6062</v>
      </c>
      <c r="O57" s="116">
        <v>0</v>
      </c>
      <c r="P57" s="76">
        <f>O57/N57</f>
        <v>0</v>
      </c>
    </row>
    <row r="58" spans="1:17">
      <c r="A58" s="2"/>
      <c r="B58" s="87"/>
      <c r="C58" s="87"/>
      <c r="D58" s="87"/>
      <c r="E58" s="87"/>
      <c r="F58" s="87"/>
      <c r="G58" s="87"/>
      <c r="H58" s="87"/>
      <c r="I58" s="87"/>
      <c r="J58" s="87"/>
      <c r="K58" s="87"/>
      <c r="L58" s="87"/>
      <c r="M58" s="87"/>
      <c r="N58" s="88"/>
      <c r="O58" s="76"/>
      <c r="P58" s="76"/>
    </row>
    <row r="59" spans="1:17">
      <c r="A59" s="5"/>
      <c r="B59" s="89"/>
      <c r="C59" s="89"/>
      <c r="D59" s="89"/>
      <c r="E59" s="89"/>
      <c r="F59" s="89"/>
      <c r="G59" s="89"/>
      <c r="H59" s="89"/>
      <c r="I59" s="89"/>
      <c r="J59" s="89"/>
      <c r="K59" s="89"/>
      <c r="L59" s="89"/>
      <c r="M59" s="89"/>
      <c r="N59" s="90"/>
      <c r="O59" s="103"/>
      <c r="P59" s="103"/>
    </row>
    <row r="60" spans="1:17" ht="25.5">
      <c r="A60" s="58"/>
      <c r="B60" s="59">
        <v>40360</v>
      </c>
      <c r="C60" s="59">
        <v>40391</v>
      </c>
      <c r="D60" s="59">
        <v>6614787</v>
      </c>
      <c r="E60" s="59">
        <v>40452</v>
      </c>
      <c r="F60" s="59">
        <v>40483</v>
      </c>
      <c r="G60" s="59">
        <v>40513</v>
      </c>
      <c r="H60" s="59">
        <v>40544</v>
      </c>
      <c r="I60" s="59">
        <v>40575</v>
      </c>
      <c r="J60" s="59">
        <v>40603</v>
      </c>
      <c r="K60" s="59">
        <v>40634</v>
      </c>
      <c r="L60" s="59">
        <v>40664</v>
      </c>
      <c r="M60" s="59">
        <v>40695</v>
      </c>
      <c r="N60" s="60" t="s">
        <v>371</v>
      </c>
      <c r="O60" s="61" t="s">
        <v>27</v>
      </c>
      <c r="P60" s="61" t="s">
        <v>175</v>
      </c>
    </row>
    <row r="61" spans="1:17">
      <c r="A61" s="183" t="s">
        <v>401</v>
      </c>
      <c r="B61" s="184"/>
      <c r="C61" s="59"/>
      <c r="D61" s="59"/>
      <c r="E61" s="59"/>
      <c r="F61" s="59"/>
      <c r="G61" s="59"/>
      <c r="H61" s="59"/>
      <c r="I61" s="59"/>
      <c r="J61" s="59"/>
      <c r="K61" s="59"/>
      <c r="L61" s="59"/>
      <c r="M61" s="59"/>
      <c r="N61" s="53"/>
      <c r="O61" s="104"/>
      <c r="P61" s="104"/>
    </row>
    <row r="62" spans="1:17">
      <c r="A62" s="71" t="s">
        <v>257</v>
      </c>
      <c r="B62" s="24">
        <v>67</v>
      </c>
      <c r="C62" s="24">
        <v>13</v>
      </c>
      <c r="D62" s="24">
        <v>71</v>
      </c>
      <c r="E62" s="24">
        <v>185</v>
      </c>
      <c r="F62" s="24">
        <v>209</v>
      </c>
      <c r="G62" s="24">
        <v>123</v>
      </c>
      <c r="H62" s="24">
        <v>29</v>
      </c>
      <c r="I62" s="24">
        <v>140</v>
      </c>
      <c r="J62" s="24">
        <v>150</v>
      </c>
      <c r="K62" s="24">
        <v>149</v>
      </c>
      <c r="L62" s="24">
        <v>71</v>
      </c>
      <c r="M62" s="24">
        <v>48</v>
      </c>
      <c r="N62" s="73">
        <f>SUM(B62:M62)</f>
        <v>1255</v>
      </c>
      <c r="O62" s="10"/>
      <c r="P62" s="2"/>
    </row>
    <row r="63" spans="1:17">
      <c r="A63" s="71" t="s">
        <v>208</v>
      </c>
      <c r="B63" s="24">
        <v>234</v>
      </c>
      <c r="C63" s="24">
        <v>25</v>
      </c>
      <c r="D63" s="24">
        <v>301</v>
      </c>
      <c r="E63" s="24">
        <v>712</v>
      </c>
      <c r="F63" s="24">
        <v>987</v>
      </c>
      <c r="G63" s="24">
        <v>708</v>
      </c>
      <c r="H63" s="24">
        <v>141</v>
      </c>
      <c r="I63" s="24">
        <v>601</v>
      </c>
      <c r="J63" s="24">
        <v>621</v>
      </c>
      <c r="K63" s="24">
        <v>871</v>
      </c>
      <c r="L63" s="24">
        <v>339</v>
      </c>
      <c r="M63" s="24">
        <v>243</v>
      </c>
      <c r="N63" s="117">
        <f>SUM(B63:M63)</f>
        <v>5783</v>
      </c>
      <c r="O63" s="116">
        <v>0</v>
      </c>
      <c r="P63" s="76">
        <f>O63/N63</f>
        <v>0</v>
      </c>
    </row>
    <row r="64" spans="1:17">
      <c r="A64" s="71" t="s">
        <v>351</v>
      </c>
      <c r="B64" s="24">
        <v>0</v>
      </c>
      <c r="C64" s="24">
        <v>0</v>
      </c>
      <c r="D64" s="24">
        <v>0</v>
      </c>
      <c r="E64" s="24">
        <v>0</v>
      </c>
      <c r="F64" s="24">
        <v>0</v>
      </c>
      <c r="G64" s="24">
        <v>0</v>
      </c>
      <c r="H64" s="24">
        <v>0</v>
      </c>
      <c r="I64" s="24">
        <v>0</v>
      </c>
      <c r="J64" s="24">
        <v>0</v>
      </c>
      <c r="K64" s="24">
        <v>0</v>
      </c>
      <c r="L64" s="24">
        <v>0</v>
      </c>
      <c r="M64" s="24">
        <v>0</v>
      </c>
      <c r="N64" s="118"/>
      <c r="O64" s="76"/>
      <c r="P64" s="76"/>
    </row>
    <row r="65" spans="1:17">
      <c r="A65" s="71" t="s">
        <v>10</v>
      </c>
      <c r="B65" s="24">
        <v>6</v>
      </c>
      <c r="C65" s="24">
        <v>2</v>
      </c>
      <c r="D65" s="24">
        <v>0</v>
      </c>
      <c r="E65" s="24">
        <v>0</v>
      </c>
      <c r="F65" s="24">
        <v>0</v>
      </c>
      <c r="G65" s="24">
        <v>0</v>
      </c>
      <c r="H65" s="24">
        <v>0</v>
      </c>
      <c r="I65" s="24">
        <v>0</v>
      </c>
      <c r="J65" s="24">
        <v>0</v>
      </c>
      <c r="K65" s="24">
        <v>0</v>
      </c>
      <c r="L65" s="24">
        <v>0</v>
      </c>
      <c r="M65" s="24">
        <v>0</v>
      </c>
      <c r="N65" s="73">
        <f>SUM(B65:M65)</f>
        <v>8</v>
      </c>
      <c r="O65" s="116"/>
      <c r="P65" s="76"/>
    </row>
    <row r="66" spans="1:17">
      <c r="B66" s="87"/>
      <c r="C66" s="87"/>
      <c r="D66" s="87"/>
      <c r="E66" s="87"/>
      <c r="F66" s="87"/>
      <c r="G66" s="87"/>
      <c r="H66" s="87"/>
      <c r="I66" s="87"/>
      <c r="J66" s="87"/>
      <c r="K66" s="87"/>
      <c r="L66" s="87"/>
      <c r="M66" s="87"/>
      <c r="N66" s="88"/>
      <c r="O66" s="76"/>
      <c r="P66" s="76"/>
    </row>
    <row r="67" spans="1:17">
      <c r="A67" s="5"/>
      <c r="B67" s="89"/>
      <c r="C67" s="89"/>
      <c r="D67" s="89"/>
      <c r="E67" s="89"/>
      <c r="F67" s="89"/>
      <c r="G67" s="89"/>
      <c r="H67" s="89"/>
      <c r="I67" s="89"/>
      <c r="J67" s="89"/>
      <c r="K67" s="89"/>
      <c r="L67" s="89"/>
      <c r="M67" s="89"/>
      <c r="N67" s="90"/>
      <c r="O67" s="103"/>
      <c r="P67" s="103"/>
    </row>
    <row r="68" spans="1:17" ht="25.5">
      <c r="A68" s="58"/>
      <c r="B68" s="59">
        <v>40360</v>
      </c>
      <c r="C68" s="59">
        <v>40391</v>
      </c>
      <c r="D68" s="59">
        <v>6614787</v>
      </c>
      <c r="E68" s="59">
        <v>40452</v>
      </c>
      <c r="F68" s="59">
        <v>40483</v>
      </c>
      <c r="G68" s="59">
        <v>40513</v>
      </c>
      <c r="H68" s="59">
        <v>40544</v>
      </c>
      <c r="I68" s="59">
        <v>40575</v>
      </c>
      <c r="J68" s="59">
        <v>40603</v>
      </c>
      <c r="K68" s="59">
        <v>40634</v>
      </c>
      <c r="L68" s="59">
        <v>40664</v>
      </c>
      <c r="M68" s="59">
        <v>40695</v>
      </c>
      <c r="N68" s="60" t="s">
        <v>371</v>
      </c>
      <c r="O68" s="61" t="s">
        <v>27</v>
      </c>
      <c r="P68" s="61" t="s">
        <v>175</v>
      </c>
      <c r="Q68" s="2"/>
    </row>
    <row r="69" spans="1:17">
      <c r="A69" s="183" t="s">
        <v>286</v>
      </c>
      <c r="B69" s="184"/>
      <c r="C69" s="184"/>
      <c r="D69" s="59"/>
      <c r="E69" s="59"/>
      <c r="F69" s="59"/>
      <c r="G69" s="59"/>
      <c r="H69" s="59"/>
      <c r="I69" s="59"/>
      <c r="J69" s="59"/>
      <c r="K69" s="59"/>
      <c r="L69" s="59"/>
      <c r="M69" s="59"/>
      <c r="N69" s="53"/>
      <c r="O69" s="104"/>
      <c r="P69" s="104"/>
    </row>
    <row r="70" spans="1:17">
      <c r="A70" s="71" t="s">
        <v>257</v>
      </c>
      <c r="B70" s="24">
        <v>71</v>
      </c>
      <c r="C70" s="24">
        <v>8</v>
      </c>
      <c r="D70" s="24">
        <v>79</v>
      </c>
      <c r="E70" s="24">
        <v>145</v>
      </c>
      <c r="F70" s="24">
        <v>179</v>
      </c>
      <c r="G70" s="24">
        <v>130</v>
      </c>
      <c r="H70" s="24">
        <v>27</v>
      </c>
      <c r="I70" s="24">
        <v>157</v>
      </c>
      <c r="J70" s="24">
        <v>155</v>
      </c>
      <c r="K70" s="24">
        <v>154</v>
      </c>
      <c r="L70" s="24">
        <v>74</v>
      </c>
      <c r="M70" s="24">
        <v>85</v>
      </c>
      <c r="N70" s="73">
        <f>SUM(B70:M70)</f>
        <v>1264</v>
      </c>
      <c r="O70" s="116"/>
      <c r="P70" s="76"/>
    </row>
    <row r="71" spans="1:17">
      <c r="A71" s="71" t="s">
        <v>208</v>
      </c>
      <c r="B71" s="24">
        <v>252</v>
      </c>
      <c r="C71" s="24">
        <v>24</v>
      </c>
      <c r="D71" s="24">
        <v>339</v>
      </c>
      <c r="E71" s="24">
        <v>608</v>
      </c>
      <c r="F71" s="24">
        <v>854</v>
      </c>
      <c r="G71" s="24">
        <v>826</v>
      </c>
      <c r="H71" s="24">
        <v>134</v>
      </c>
      <c r="I71" s="24">
        <v>636</v>
      </c>
      <c r="J71" s="24">
        <v>652</v>
      </c>
      <c r="K71" s="24">
        <v>879</v>
      </c>
      <c r="L71" s="24">
        <v>357</v>
      </c>
      <c r="M71" s="24">
        <v>371</v>
      </c>
      <c r="N71" s="73">
        <f>SUM(B71:M71)</f>
        <v>5932</v>
      </c>
      <c r="O71" s="116">
        <v>0</v>
      </c>
      <c r="P71" s="76" t="s">
        <v>231</v>
      </c>
    </row>
    <row r="72" spans="1:17">
      <c r="A72" s="2"/>
      <c r="B72" s="87"/>
      <c r="C72" s="87"/>
      <c r="D72" s="87"/>
      <c r="E72" s="87"/>
      <c r="F72" s="87"/>
      <c r="G72" s="87"/>
      <c r="H72" s="87"/>
      <c r="I72" s="87"/>
      <c r="J72" s="87"/>
      <c r="K72" s="87"/>
      <c r="L72" s="87"/>
      <c r="M72" s="87"/>
      <c r="N72" s="88"/>
      <c r="O72" s="76"/>
      <c r="P72" s="76"/>
    </row>
    <row r="73" spans="1:17">
      <c r="A73" s="5"/>
      <c r="B73" s="89"/>
      <c r="C73" s="89"/>
      <c r="D73" s="89"/>
      <c r="E73" s="89"/>
      <c r="F73" s="89"/>
      <c r="G73" s="89"/>
      <c r="H73" s="89"/>
      <c r="I73" s="89"/>
      <c r="J73" s="89"/>
      <c r="K73" s="89"/>
      <c r="L73" s="89"/>
      <c r="M73" s="89"/>
      <c r="N73" s="90"/>
      <c r="O73" s="103"/>
      <c r="P73" s="103"/>
    </row>
    <row r="74" spans="1:17" ht="25.5">
      <c r="A74" s="58"/>
      <c r="B74" s="59">
        <v>40360</v>
      </c>
      <c r="C74" s="59">
        <v>40391</v>
      </c>
      <c r="D74" s="59">
        <v>6614787</v>
      </c>
      <c r="E74" s="59">
        <v>40452</v>
      </c>
      <c r="F74" s="59">
        <v>40483</v>
      </c>
      <c r="G74" s="59">
        <v>40513</v>
      </c>
      <c r="H74" s="59">
        <v>40544</v>
      </c>
      <c r="I74" s="59">
        <v>40575</v>
      </c>
      <c r="J74" s="59">
        <v>40603</v>
      </c>
      <c r="K74" s="59">
        <v>40634</v>
      </c>
      <c r="L74" s="59">
        <v>40664</v>
      </c>
      <c r="M74" s="59">
        <v>40695</v>
      </c>
      <c r="N74" s="60" t="s">
        <v>371</v>
      </c>
      <c r="O74" s="61" t="s">
        <v>27</v>
      </c>
      <c r="P74" s="61" t="s">
        <v>175</v>
      </c>
    </row>
    <row r="75" spans="1:17">
      <c r="A75" s="67" t="s">
        <v>54</v>
      </c>
      <c r="B75" s="59"/>
      <c r="C75" s="59"/>
      <c r="D75" s="59"/>
      <c r="E75" s="59"/>
      <c r="F75" s="59"/>
      <c r="G75" s="59"/>
      <c r="H75" s="59"/>
      <c r="I75" s="59"/>
      <c r="J75" s="59"/>
      <c r="K75" s="59"/>
      <c r="L75" s="59"/>
      <c r="M75" s="59"/>
      <c r="N75" s="53"/>
      <c r="O75" s="104"/>
      <c r="P75" s="104"/>
    </row>
    <row r="76" spans="1:17">
      <c r="A76" s="71" t="s">
        <v>257</v>
      </c>
      <c r="B76" s="24">
        <v>57</v>
      </c>
      <c r="C76" s="24">
        <v>18</v>
      </c>
      <c r="D76" s="24">
        <v>50</v>
      </c>
      <c r="E76" s="24">
        <v>144</v>
      </c>
      <c r="F76" s="24">
        <v>199</v>
      </c>
      <c r="G76" s="24">
        <v>115</v>
      </c>
      <c r="H76" s="24">
        <v>21</v>
      </c>
      <c r="I76" s="24">
        <v>103</v>
      </c>
      <c r="J76" s="24">
        <v>146</v>
      </c>
      <c r="K76" s="24">
        <v>142</v>
      </c>
      <c r="L76" s="24">
        <v>66</v>
      </c>
      <c r="M76" s="24">
        <v>47</v>
      </c>
      <c r="N76" s="73">
        <f>SUM(B76:M76)</f>
        <v>1108</v>
      </c>
      <c r="O76" s="116"/>
      <c r="P76" s="76"/>
    </row>
    <row r="77" spans="1:17">
      <c r="A77" s="71" t="s">
        <v>208</v>
      </c>
      <c r="B77" s="24">
        <v>231</v>
      </c>
      <c r="C77" s="24">
        <v>62</v>
      </c>
      <c r="D77" s="24">
        <v>215</v>
      </c>
      <c r="E77" s="24">
        <v>680</v>
      </c>
      <c r="F77" s="24">
        <v>900</v>
      </c>
      <c r="G77" s="24">
        <v>733</v>
      </c>
      <c r="H77" s="24">
        <v>92</v>
      </c>
      <c r="I77" s="24">
        <v>436</v>
      </c>
      <c r="J77" s="24">
        <v>596</v>
      </c>
      <c r="K77" s="24">
        <v>873</v>
      </c>
      <c r="L77" s="24">
        <v>341</v>
      </c>
      <c r="M77" s="24">
        <v>231</v>
      </c>
      <c r="N77" s="73">
        <f>SUM(B77:M77)</f>
        <v>5390</v>
      </c>
      <c r="O77" s="116">
        <v>0</v>
      </c>
      <c r="P77" s="76" t="s">
        <v>231</v>
      </c>
    </row>
    <row r="78" spans="1:17">
      <c r="A78" s="2"/>
      <c r="B78" s="87"/>
      <c r="C78" s="87"/>
      <c r="D78" s="87"/>
      <c r="E78" s="87"/>
      <c r="F78" s="87"/>
      <c r="G78" s="87"/>
      <c r="H78" s="87"/>
      <c r="I78" s="87"/>
      <c r="J78" s="87"/>
      <c r="K78" s="87"/>
      <c r="L78" s="87"/>
      <c r="M78" s="87"/>
      <c r="N78" s="88"/>
      <c r="O78" s="76"/>
      <c r="P78" s="76"/>
    </row>
    <row r="79" spans="1:17">
      <c r="A79" s="5"/>
      <c r="B79" s="89"/>
      <c r="C79" s="89"/>
      <c r="D79" s="89"/>
      <c r="E79" s="89"/>
      <c r="F79" s="89"/>
      <c r="G79" s="89"/>
      <c r="H79" s="89"/>
      <c r="I79" s="89"/>
      <c r="J79" s="89"/>
      <c r="K79" s="89"/>
      <c r="L79" s="89"/>
      <c r="M79" s="89"/>
      <c r="N79" s="90"/>
      <c r="O79" s="103"/>
      <c r="P79" s="103"/>
    </row>
    <row r="80" spans="1:17" ht="25.5">
      <c r="A80" s="58"/>
      <c r="B80" s="59">
        <v>40360</v>
      </c>
      <c r="C80" s="59">
        <v>40391</v>
      </c>
      <c r="D80" s="59">
        <v>6614787</v>
      </c>
      <c r="E80" s="59">
        <v>40452</v>
      </c>
      <c r="F80" s="59">
        <v>40483</v>
      </c>
      <c r="G80" s="59">
        <v>40513</v>
      </c>
      <c r="H80" s="59">
        <v>40544</v>
      </c>
      <c r="I80" s="59">
        <v>40575</v>
      </c>
      <c r="J80" s="59">
        <v>40603</v>
      </c>
      <c r="K80" s="59">
        <v>40634</v>
      </c>
      <c r="L80" s="59">
        <v>40664</v>
      </c>
      <c r="M80" s="59">
        <v>40695</v>
      </c>
      <c r="N80" s="60" t="s">
        <v>371</v>
      </c>
      <c r="O80" s="61" t="s">
        <v>27</v>
      </c>
      <c r="P80" s="61" t="s">
        <v>175</v>
      </c>
    </row>
    <row r="81" spans="1:17">
      <c r="A81" s="179" t="s">
        <v>213</v>
      </c>
      <c r="B81" s="180"/>
      <c r="C81" s="184"/>
      <c r="D81" s="184"/>
      <c r="E81" s="189"/>
      <c r="F81" s="119"/>
      <c r="G81" s="119"/>
      <c r="H81" s="119"/>
      <c r="I81" s="120"/>
      <c r="J81" s="59"/>
      <c r="K81" s="59"/>
      <c r="L81" s="59"/>
      <c r="M81" s="59"/>
      <c r="N81" s="53"/>
      <c r="O81" s="104"/>
      <c r="P81" s="104"/>
    </row>
    <row r="82" spans="1:17">
      <c r="A82" s="71" t="s">
        <v>257</v>
      </c>
      <c r="B82" s="24">
        <v>286</v>
      </c>
      <c r="C82" s="24">
        <v>33</v>
      </c>
      <c r="D82" s="24">
        <v>192</v>
      </c>
      <c r="E82" s="24">
        <v>508</v>
      </c>
      <c r="F82" s="24">
        <v>645</v>
      </c>
      <c r="G82" s="24">
        <v>0</v>
      </c>
      <c r="H82" s="24">
        <v>0</v>
      </c>
      <c r="I82" s="24">
        <v>0</v>
      </c>
      <c r="J82" s="24">
        <v>0</v>
      </c>
      <c r="K82" s="24">
        <v>0</v>
      </c>
      <c r="L82" s="24">
        <v>0</v>
      </c>
      <c r="M82" s="24">
        <v>0</v>
      </c>
      <c r="N82" s="73">
        <f>SUM(B82:M82)</f>
        <v>1664</v>
      </c>
      <c r="O82" s="116"/>
      <c r="P82" s="76"/>
    </row>
    <row r="83" spans="1:17">
      <c r="A83" s="71" t="s">
        <v>208</v>
      </c>
      <c r="B83" s="24">
        <v>791</v>
      </c>
      <c r="C83" s="24">
        <v>115</v>
      </c>
      <c r="D83" s="24">
        <v>567</v>
      </c>
      <c r="E83" s="24">
        <v>1749</v>
      </c>
      <c r="F83" s="24">
        <v>2502</v>
      </c>
      <c r="G83" s="24">
        <v>0</v>
      </c>
      <c r="H83" s="24">
        <v>0</v>
      </c>
      <c r="I83" s="24">
        <v>0</v>
      </c>
      <c r="J83" s="24">
        <v>0</v>
      </c>
      <c r="K83" s="24">
        <v>0</v>
      </c>
      <c r="L83" s="24">
        <v>0</v>
      </c>
      <c r="M83" s="24">
        <v>0</v>
      </c>
      <c r="N83" s="73">
        <f>SUM(B83:M83)</f>
        <v>5724</v>
      </c>
      <c r="O83" s="116">
        <v>0</v>
      </c>
      <c r="P83" s="76" t="s">
        <v>231</v>
      </c>
    </row>
    <row r="84" spans="1:17">
      <c r="A84" s="2"/>
      <c r="B84" s="87"/>
      <c r="C84" s="87"/>
      <c r="D84" s="87"/>
      <c r="E84" s="87"/>
      <c r="F84" s="87"/>
      <c r="G84" s="87"/>
      <c r="H84" s="87"/>
      <c r="I84" s="87"/>
      <c r="J84" s="87"/>
      <c r="K84" s="87"/>
      <c r="L84" s="87"/>
      <c r="M84" s="87"/>
      <c r="N84" s="88"/>
      <c r="O84" s="76"/>
      <c r="P84" s="76"/>
    </row>
    <row r="85" spans="1:17">
      <c r="A85" s="5"/>
      <c r="B85" s="89"/>
      <c r="C85" s="89"/>
      <c r="D85" s="89"/>
      <c r="E85" s="89"/>
      <c r="F85" s="89"/>
      <c r="G85" s="89"/>
      <c r="H85" s="89"/>
      <c r="I85" s="89"/>
      <c r="J85" s="89"/>
      <c r="K85" s="89"/>
      <c r="L85" s="89"/>
      <c r="M85" s="89"/>
      <c r="N85" s="90"/>
      <c r="O85" s="103"/>
      <c r="P85" s="103"/>
    </row>
    <row r="86" spans="1:17" ht="25.5">
      <c r="A86" s="58"/>
      <c r="B86" s="59">
        <v>40360</v>
      </c>
      <c r="C86" s="59">
        <v>40391</v>
      </c>
      <c r="D86" s="59">
        <v>6614787</v>
      </c>
      <c r="E86" s="59">
        <v>40452</v>
      </c>
      <c r="F86" s="59">
        <v>40483</v>
      </c>
      <c r="G86" s="59">
        <v>40513</v>
      </c>
      <c r="H86" s="59">
        <v>40544</v>
      </c>
      <c r="I86" s="59">
        <v>40575</v>
      </c>
      <c r="J86" s="59">
        <v>40603</v>
      </c>
      <c r="K86" s="59">
        <v>40634</v>
      </c>
      <c r="L86" s="59">
        <v>40664</v>
      </c>
      <c r="M86" s="59">
        <v>40695</v>
      </c>
      <c r="N86" s="60" t="s">
        <v>371</v>
      </c>
      <c r="O86" s="61" t="s">
        <v>27</v>
      </c>
      <c r="P86" s="61" t="s">
        <v>175</v>
      </c>
      <c r="Q86" s="2"/>
    </row>
    <row r="87" spans="1:17">
      <c r="A87" s="52" t="s">
        <v>11</v>
      </c>
      <c r="B87" s="53"/>
      <c r="C87" s="59"/>
      <c r="D87" s="59"/>
      <c r="E87" s="59"/>
      <c r="F87" s="59"/>
      <c r="G87" s="59"/>
      <c r="H87" s="59"/>
      <c r="I87" s="59"/>
      <c r="J87" s="59"/>
      <c r="K87" s="59"/>
      <c r="L87" s="59"/>
      <c r="M87" s="59"/>
      <c r="N87" s="53"/>
      <c r="O87" s="104"/>
      <c r="P87" s="104"/>
    </row>
    <row r="88" spans="1:17">
      <c r="A88" s="71" t="s">
        <v>257</v>
      </c>
      <c r="B88" s="24">
        <v>67</v>
      </c>
      <c r="C88" s="24">
        <v>15</v>
      </c>
      <c r="D88" s="24">
        <v>68</v>
      </c>
      <c r="E88" s="24">
        <v>211</v>
      </c>
      <c r="F88" s="24">
        <v>270</v>
      </c>
      <c r="G88" s="24">
        <v>147</v>
      </c>
      <c r="H88" s="24">
        <v>24</v>
      </c>
      <c r="I88" s="24">
        <v>225</v>
      </c>
      <c r="J88" s="24">
        <v>167</v>
      </c>
      <c r="K88" s="24">
        <v>161</v>
      </c>
      <c r="L88" s="24">
        <v>71</v>
      </c>
      <c r="M88" s="24">
        <v>53</v>
      </c>
      <c r="N88" s="73">
        <f>SUM(B88:M88)</f>
        <v>1479</v>
      </c>
      <c r="O88" s="116"/>
      <c r="P88" s="76"/>
    </row>
    <row r="89" spans="1:17">
      <c r="A89" s="71" t="s">
        <v>208</v>
      </c>
      <c r="B89" s="24">
        <v>252</v>
      </c>
      <c r="C89" s="24">
        <v>31</v>
      </c>
      <c r="D89" s="24">
        <v>310</v>
      </c>
      <c r="E89" s="24">
        <v>910</v>
      </c>
      <c r="F89" s="24">
        <v>1182</v>
      </c>
      <c r="G89" s="24">
        <v>905</v>
      </c>
      <c r="H89" s="24">
        <v>118</v>
      </c>
      <c r="I89" s="24">
        <v>857</v>
      </c>
      <c r="J89" s="24">
        <v>759</v>
      </c>
      <c r="K89" s="24">
        <v>853</v>
      </c>
      <c r="L89" s="24">
        <v>325</v>
      </c>
      <c r="M89" s="24">
        <v>348</v>
      </c>
      <c r="N89" s="73">
        <f>SUM(B89:M89)</f>
        <v>6850</v>
      </c>
      <c r="O89" s="116">
        <v>0</v>
      </c>
      <c r="P89" s="76">
        <f>O89/N89</f>
        <v>0</v>
      </c>
    </row>
    <row r="90" spans="1:17">
      <c r="A90" s="2"/>
      <c r="B90" s="87"/>
      <c r="C90" s="87"/>
      <c r="D90" s="87"/>
      <c r="E90" s="87"/>
      <c r="F90" s="87"/>
      <c r="G90" s="87"/>
      <c r="H90" s="87"/>
      <c r="I90" s="87"/>
      <c r="J90" s="87"/>
      <c r="K90" s="87"/>
      <c r="L90" s="87"/>
      <c r="M90" s="87"/>
      <c r="N90" s="88"/>
      <c r="O90" s="76"/>
      <c r="P90" s="76"/>
    </row>
    <row r="91" spans="1:17">
      <c r="A91" s="5"/>
      <c r="B91" s="89"/>
      <c r="C91" s="89"/>
      <c r="D91" s="89"/>
      <c r="E91" s="89"/>
      <c r="F91" s="89"/>
      <c r="G91" s="89"/>
      <c r="H91" s="89"/>
      <c r="I91" s="89"/>
      <c r="J91" s="89"/>
      <c r="K91" s="89"/>
      <c r="L91" s="89"/>
      <c r="M91" s="89"/>
      <c r="N91" s="90"/>
      <c r="O91" s="103"/>
      <c r="P91" s="103"/>
    </row>
    <row r="92" spans="1:17" ht="25.5">
      <c r="A92" s="58"/>
      <c r="B92" s="59">
        <v>40360</v>
      </c>
      <c r="C92" s="59">
        <v>40391</v>
      </c>
      <c r="D92" s="59">
        <v>6614787</v>
      </c>
      <c r="E92" s="59">
        <v>40452</v>
      </c>
      <c r="F92" s="59">
        <v>40483</v>
      </c>
      <c r="G92" s="59">
        <v>40513</v>
      </c>
      <c r="H92" s="59">
        <v>40544</v>
      </c>
      <c r="I92" s="59">
        <v>40575</v>
      </c>
      <c r="J92" s="59">
        <v>40603</v>
      </c>
      <c r="K92" s="59">
        <v>40634</v>
      </c>
      <c r="L92" s="59">
        <v>40664</v>
      </c>
      <c r="M92" s="59">
        <v>40695</v>
      </c>
      <c r="N92" s="60" t="s">
        <v>371</v>
      </c>
      <c r="O92" s="61" t="s">
        <v>27</v>
      </c>
      <c r="P92" s="61" t="s">
        <v>175</v>
      </c>
    </row>
    <row r="93" spans="1:17">
      <c r="A93" s="179" t="s">
        <v>93</v>
      </c>
      <c r="B93" s="180"/>
      <c r="C93" s="184"/>
      <c r="D93" s="59"/>
      <c r="E93" s="59"/>
      <c r="F93" s="59"/>
      <c r="G93" s="59"/>
      <c r="H93" s="59"/>
      <c r="I93" s="59"/>
      <c r="J93" s="59"/>
      <c r="K93" s="59"/>
      <c r="L93" s="59"/>
      <c r="M93" s="59"/>
      <c r="N93" s="53"/>
      <c r="O93" s="104"/>
      <c r="P93" s="104"/>
    </row>
    <row r="94" spans="1:17">
      <c r="A94" s="71" t="s">
        <v>257</v>
      </c>
      <c r="B94" s="24">
        <v>73</v>
      </c>
      <c r="C94" s="24">
        <v>18</v>
      </c>
      <c r="D94" s="24">
        <v>102</v>
      </c>
      <c r="E94" s="24">
        <v>259</v>
      </c>
      <c r="F94" s="24">
        <v>294</v>
      </c>
      <c r="G94" s="24">
        <v>176</v>
      </c>
      <c r="H94" s="24">
        <v>27</v>
      </c>
      <c r="I94" s="24">
        <v>173</v>
      </c>
      <c r="J94" s="24">
        <v>262</v>
      </c>
      <c r="K94" s="24">
        <v>240</v>
      </c>
      <c r="L94" s="24">
        <v>78</v>
      </c>
      <c r="M94" s="24">
        <v>59</v>
      </c>
      <c r="N94" s="73">
        <f>SUM(B94:M94)</f>
        <v>1761</v>
      </c>
      <c r="O94" s="116"/>
      <c r="P94" s="76"/>
    </row>
    <row r="95" spans="1:17">
      <c r="A95" s="71" t="s">
        <v>208</v>
      </c>
      <c r="B95" s="24">
        <v>282</v>
      </c>
      <c r="C95" s="24">
        <v>39</v>
      </c>
      <c r="D95" s="24">
        <v>464</v>
      </c>
      <c r="E95" s="24">
        <v>943</v>
      </c>
      <c r="F95" s="24">
        <v>1126</v>
      </c>
      <c r="G95" s="24">
        <v>873</v>
      </c>
      <c r="H95" s="24">
        <v>112</v>
      </c>
      <c r="I95" s="24">
        <v>562</v>
      </c>
      <c r="J95" s="24">
        <v>819</v>
      </c>
      <c r="K95" s="24">
        <v>911</v>
      </c>
      <c r="L95" s="24">
        <v>296</v>
      </c>
      <c r="M95" s="24">
        <v>266</v>
      </c>
      <c r="N95" s="73">
        <f>SUM(B95:M95)</f>
        <v>6693</v>
      </c>
      <c r="O95" s="116">
        <v>0</v>
      </c>
      <c r="P95" s="76" t="s">
        <v>231</v>
      </c>
    </row>
    <row r="96" spans="1:17">
      <c r="A96" s="2"/>
      <c r="B96" s="87"/>
      <c r="C96" s="87"/>
      <c r="D96" s="87"/>
      <c r="E96" s="87"/>
      <c r="F96" s="87"/>
      <c r="G96" s="87"/>
      <c r="H96" s="87"/>
      <c r="I96" s="87"/>
      <c r="J96" s="87"/>
      <c r="K96" s="87"/>
      <c r="L96" s="87"/>
      <c r="M96" s="87"/>
      <c r="N96" s="88"/>
      <c r="O96" s="76"/>
      <c r="P96" s="76"/>
    </row>
    <row r="97" spans="1:17">
      <c r="A97" s="5"/>
      <c r="B97" s="89"/>
      <c r="C97" s="89"/>
      <c r="D97" s="89"/>
      <c r="E97" s="89"/>
      <c r="F97" s="89"/>
      <c r="G97" s="89"/>
      <c r="H97" s="89"/>
      <c r="I97" s="89"/>
      <c r="J97" s="89"/>
      <c r="K97" s="89"/>
      <c r="L97" s="89"/>
      <c r="M97" s="89"/>
      <c r="N97" s="90"/>
      <c r="O97" s="103"/>
      <c r="P97" s="103"/>
    </row>
    <row r="98" spans="1:17" ht="25.5">
      <c r="A98" s="58"/>
      <c r="B98" s="59">
        <v>40360</v>
      </c>
      <c r="C98" s="59">
        <v>40391</v>
      </c>
      <c r="D98" s="59">
        <v>6614787</v>
      </c>
      <c r="E98" s="59">
        <v>40452</v>
      </c>
      <c r="F98" s="59">
        <v>40483</v>
      </c>
      <c r="G98" s="59">
        <v>40513</v>
      </c>
      <c r="H98" s="59">
        <v>40544</v>
      </c>
      <c r="I98" s="59">
        <v>40575</v>
      </c>
      <c r="J98" s="59">
        <v>40603</v>
      </c>
      <c r="K98" s="59">
        <v>40634</v>
      </c>
      <c r="L98" s="59">
        <v>40664</v>
      </c>
      <c r="M98" s="59">
        <v>40695</v>
      </c>
      <c r="N98" s="60" t="s">
        <v>371</v>
      </c>
      <c r="O98" s="61" t="s">
        <v>27</v>
      </c>
      <c r="P98" s="61" t="s">
        <v>175</v>
      </c>
      <c r="Q98" s="2"/>
    </row>
    <row r="99" spans="1:17">
      <c r="A99" s="67" t="s">
        <v>42</v>
      </c>
      <c r="B99" s="59"/>
      <c r="C99" s="59"/>
      <c r="D99" s="59"/>
      <c r="E99" s="59"/>
      <c r="F99" s="59"/>
      <c r="G99" s="59"/>
      <c r="H99" s="59"/>
      <c r="I99" s="59"/>
      <c r="J99" s="59"/>
      <c r="K99" s="59"/>
      <c r="L99" s="59"/>
      <c r="M99" s="59"/>
      <c r="N99" s="53"/>
      <c r="O99" s="104"/>
      <c r="P99" s="104"/>
    </row>
    <row r="100" spans="1:17">
      <c r="A100" s="71" t="s">
        <v>257</v>
      </c>
      <c r="B100" s="24">
        <v>76</v>
      </c>
      <c r="C100" s="24">
        <v>13</v>
      </c>
      <c r="D100" s="24">
        <v>54</v>
      </c>
      <c r="E100" s="24">
        <v>140</v>
      </c>
      <c r="F100" s="24">
        <v>213</v>
      </c>
      <c r="G100" s="24">
        <v>128</v>
      </c>
      <c r="H100" s="24">
        <v>36</v>
      </c>
      <c r="I100" s="24">
        <v>123</v>
      </c>
      <c r="J100" s="24">
        <v>164</v>
      </c>
      <c r="K100" s="24">
        <v>168</v>
      </c>
      <c r="L100" s="24">
        <v>88</v>
      </c>
      <c r="M100" s="24">
        <v>62</v>
      </c>
      <c r="N100" s="73">
        <f>SUM(B100:M100)</f>
        <v>1265</v>
      </c>
      <c r="O100" s="116"/>
      <c r="P100" s="76"/>
    </row>
    <row r="101" spans="1:17">
      <c r="A101" s="71" t="s">
        <v>208</v>
      </c>
      <c r="B101" s="24">
        <v>284</v>
      </c>
      <c r="C101" s="24">
        <v>48</v>
      </c>
      <c r="D101" s="24">
        <v>256</v>
      </c>
      <c r="E101" s="24">
        <v>637</v>
      </c>
      <c r="F101" s="24">
        <v>953</v>
      </c>
      <c r="G101" s="24">
        <v>813</v>
      </c>
      <c r="H101" s="24">
        <v>162</v>
      </c>
      <c r="I101" s="24">
        <v>531</v>
      </c>
      <c r="J101" s="24">
        <v>707</v>
      </c>
      <c r="K101" s="24">
        <v>993</v>
      </c>
      <c r="L101" s="24">
        <v>378</v>
      </c>
      <c r="M101" s="24">
        <v>294</v>
      </c>
      <c r="N101" s="73">
        <f>SUM(B101:M101)</f>
        <v>6056</v>
      </c>
      <c r="O101" s="116">
        <v>0</v>
      </c>
      <c r="P101" s="76">
        <f>O101/N101</f>
        <v>0</v>
      </c>
    </row>
    <row r="102" spans="1:17">
      <c r="A102" s="2"/>
      <c r="B102" s="87"/>
      <c r="C102" s="87"/>
      <c r="D102" s="87"/>
      <c r="E102" s="87"/>
      <c r="F102" s="87"/>
      <c r="G102" s="87"/>
      <c r="H102" s="87"/>
      <c r="I102" s="87"/>
      <c r="J102" s="87"/>
      <c r="K102" s="87"/>
      <c r="L102" s="87"/>
      <c r="M102" s="87"/>
      <c r="N102" s="88"/>
      <c r="O102" s="76"/>
      <c r="P102" s="76"/>
    </row>
    <row r="103" spans="1:17">
      <c r="A103" s="5"/>
      <c r="B103" s="89"/>
      <c r="C103" s="89"/>
      <c r="D103" s="89"/>
      <c r="E103" s="89"/>
      <c r="F103" s="89"/>
      <c r="G103" s="89"/>
      <c r="H103" s="89"/>
      <c r="I103" s="89"/>
      <c r="J103" s="89"/>
      <c r="K103" s="89"/>
      <c r="L103" s="89"/>
      <c r="M103" s="89"/>
      <c r="N103" s="90"/>
      <c r="O103" s="103"/>
      <c r="P103" s="103"/>
    </row>
    <row r="104" spans="1:17" ht="25.5">
      <c r="A104" s="58"/>
      <c r="B104" s="59">
        <v>40360</v>
      </c>
      <c r="C104" s="59">
        <v>40391</v>
      </c>
      <c r="D104" s="59">
        <v>6614787</v>
      </c>
      <c r="E104" s="59">
        <v>40452</v>
      </c>
      <c r="F104" s="59">
        <v>40483</v>
      </c>
      <c r="G104" s="59">
        <v>40513</v>
      </c>
      <c r="H104" s="59">
        <v>40544</v>
      </c>
      <c r="I104" s="59">
        <v>40575</v>
      </c>
      <c r="J104" s="59">
        <v>40603</v>
      </c>
      <c r="K104" s="59">
        <v>40634</v>
      </c>
      <c r="L104" s="59">
        <v>40664</v>
      </c>
      <c r="M104" s="59">
        <v>40695</v>
      </c>
      <c r="N104" s="60" t="s">
        <v>371</v>
      </c>
      <c r="O104" s="61" t="s">
        <v>27</v>
      </c>
      <c r="P104" s="61" t="s">
        <v>175</v>
      </c>
    </row>
    <row r="105" spans="1:17">
      <c r="A105" s="183" t="s">
        <v>88</v>
      </c>
      <c r="B105" s="184"/>
      <c r="C105" s="184"/>
      <c r="D105" s="59"/>
      <c r="E105" s="59"/>
      <c r="F105" s="59"/>
      <c r="G105" s="59"/>
      <c r="H105" s="59"/>
      <c r="I105" s="59"/>
      <c r="J105" s="59"/>
      <c r="K105" s="59"/>
      <c r="L105" s="59"/>
      <c r="M105" s="59"/>
      <c r="N105" s="121"/>
      <c r="O105" s="104"/>
      <c r="P105" s="104"/>
    </row>
    <row r="106" spans="1:17">
      <c r="A106" s="71" t="s">
        <v>257</v>
      </c>
      <c r="B106" s="24">
        <v>97</v>
      </c>
      <c r="C106" s="24">
        <v>9</v>
      </c>
      <c r="D106" s="24">
        <v>90</v>
      </c>
      <c r="E106" s="24">
        <v>194</v>
      </c>
      <c r="F106" s="24">
        <v>235</v>
      </c>
      <c r="G106" s="24">
        <v>129</v>
      </c>
      <c r="H106" s="24">
        <v>35</v>
      </c>
      <c r="I106" s="24">
        <v>161</v>
      </c>
      <c r="J106" s="24">
        <v>184</v>
      </c>
      <c r="K106" s="24">
        <v>162</v>
      </c>
      <c r="L106" s="24">
        <v>72</v>
      </c>
      <c r="M106" s="24">
        <v>69</v>
      </c>
      <c r="N106" s="73">
        <f>SUM(B106:M106)</f>
        <v>1437</v>
      </c>
      <c r="O106" s="116"/>
      <c r="P106" s="76"/>
    </row>
    <row r="107" spans="1:17">
      <c r="A107" s="71" t="s">
        <v>208</v>
      </c>
      <c r="B107" s="24">
        <v>345</v>
      </c>
      <c r="C107" s="24">
        <v>32</v>
      </c>
      <c r="D107" s="24">
        <v>423</v>
      </c>
      <c r="E107" s="24">
        <v>986</v>
      </c>
      <c r="F107" s="24">
        <v>1060</v>
      </c>
      <c r="G107" s="24">
        <v>825</v>
      </c>
      <c r="H107" s="24">
        <v>170</v>
      </c>
      <c r="I107" s="24">
        <v>670</v>
      </c>
      <c r="J107" s="24">
        <v>858</v>
      </c>
      <c r="K107" s="24">
        <v>966</v>
      </c>
      <c r="L107" s="24">
        <v>326</v>
      </c>
      <c r="M107" s="24">
        <v>334</v>
      </c>
      <c r="N107" s="73">
        <f>SUM(B107:M107)</f>
        <v>6995</v>
      </c>
      <c r="O107" s="116">
        <v>0</v>
      </c>
      <c r="P107" s="76" t="s">
        <v>231</v>
      </c>
    </row>
    <row r="108" spans="1:17">
      <c r="A108" s="2"/>
      <c r="B108" s="87"/>
      <c r="C108" s="87"/>
      <c r="D108" s="87"/>
      <c r="E108" s="87"/>
      <c r="F108" s="87"/>
      <c r="G108" s="87"/>
      <c r="H108" s="87"/>
      <c r="I108" s="87"/>
      <c r="J108" s="87"/>
      <c r="K108" s="87"/>
      <c r="L108" s="87"/>
      <c r="M108" s="87"/>
      <c r="N108" s="88"/>
      <c r="O108" s="76"/>
      <c r="P108" s="76"/>
    </row>
    <row r="109" spans="1:17">
      <c r="A109" s="5"/>
      <c r="B109" s="89"/>
      <c r="C109" s="89"/>
      <c r="D109" s="89"/>
      <c r="E109" s="89"/>
      <c r="F109" s="89"/>
      <c r="G109" s="89"/>
      <c r="H109" s="89"/>
      <c r="I109" s="89"/>
      <c r="J109" s="89"/>
      <c r="K109" s="89"/>
      <c r="L109" s="89"/>
      <c r="M109" s="89"/>
      <c r="N109" s="90"/>
      <c r="O109" s="103"/>
      <c r="P109" s="103"/>
    </row>
    <row r="110" spans="1:17" ht="25.5">
      <c r="A110" s="58"/>
      <c r="B110" s="59">
        <v>40360</v>
      </c>
      <c r="C110" s="59">
        <v>40391</v>
      </c>
      <c r="D110" s="59">
        <v>6614787</v>
      </c>
      <c r="E110" s="59">
        <v>40452</v>
      </c>
      <c r="F110" s="59">
        <v>40483</v>
      </c>
      <c r="G110" s="59">
        <v>40513</v>
      </c>
      <c r="H110" s="59">
        <v>40544</v>
      </c>
      <c r="I110" s="59">
        <v>40575</v>
      </c>
      <c r="J110" s="59">
        <v>40603</v>
      </c>
      <c r="K110" s="59">
        <v>40634</v>
      </c>
      <c r="L110" s="59">
        <v>40664</v>
      </c>
      <c r="M110" s="59">
        <v>40695</v>
      </c>
      <c r="N110" s="60" t="s">
        <v>371</v>
      </c>
      <c r="O110" s="61" t="s">
        <v>27</v>
      </c>
      <c r="P110" s="61" t="s">
        <v>175</v>
      </c>
    </row>
    <row r="111" spans="1:17">
      <c r="A111" s="183" t="s">
        <v>251</v>
      </c>
      <c r="B111" s="184"/>
      <c r="C111" s="184"/>
      <c r="D111" s="59"/>
      <c r="E111" s="59"/>
      <c r="F111" s="59"/>
      <c r="G111" s="59"/>
      <c r="H111" s="59"/>
      <c r="I111" s="59"/>
      <c r="J111" s="59"/>
      <c r="K111" s="59"/>
      <c r="L111" s="59"/>
      <c r="M111" s="59"/>
      <c r="N111" s="121"/>
      <c r="O111" s="104"/>
      <c r="P111" s="104"/>
    </row>
    <row r="112" spans="1:17">
      <c r="A112" s="71" t="s">
        <v>257</v>
      </c>
      <c r="B112" s="24">
        <v>638</v>
      </c>
      <c r="C112" s="24">
        <v>66</v>
      </c>
      <c r="D112" s="24">
        <v>342</v>
      </c>
      <c r="E112" s="24">
        <v>681</v>
      </c>
      <c r="F112" s="24">
        <v>730</v>
      </c>
      <c r="G112" s="24">
        <v>356</v>
      </c>
      <c r="H112" s="24">
        <v>85</v>
      </c>
      <c r="I112" s="24">
        <v>558</v>
      </c>
      <c r="J112" s="24">
        <v>745</v>
      </c>
      <c r="K112" s="24">
        <v>599</v>
      </c>
      <c r="L112" s="24">
        <v>220</v>
      </c>
      <c r="M112" s="24">
        <v>250</v>
      </c>
      <c r="N112" s="73">
        <f>SUM(B112:M112)</f>
        <v>5270</v>
      </c>
      <c r="O112" s="116"/>
      <c r="P112" s="76"/>
    </row>
    <row r="113" spans="1:17">
      <c r="A113" s="71" t="s">
        <v>208</v>
      </c>
      <c r="B113" s="24">
        <v>1964</v>
      </c>
      <c r="C113" s="24">
        <v>196</v>
      </c>
      <c r="D113" s="24">
        <v>1103</v>
      </c>
      <c r="E113" s="24">
        <v>2657</v>
      </c>
      <c r="F113" s="24">
        <v>2687</v>
      </c>
      <c r="G113" s="24">
        <v>1644</v>
      </c>
      <c r="H113" s="24">
        <v>266</v>
      </c>
      <c r="I113" s="24">
        <v>2201</v>
      </c>
      <c r="J113" s="24">
        <v>3048</v>
      </c>
      <c r="K113" s="24">
        <v>2513</v>
      </c>
      <c r="L113" s="24">
        <v>837</v>
      </c>
      <c r="M113" s="24">
        <v>869</v>
      </c>
      <c r="N113" s="73">
        <f>SUM(B113:M113)</f>
        <v>19985</v>
      </c>
      <c r="O113" s="116">
        <v>0</v>
      </c>
      <c r="P113" s="76">
        <f>O113/N113</f>
        <v>0</v>
      </c>
    </row>
    <row r="114" spans="1:17">
      <c r="A114" s="2"/>
      <c r="B114" s="87"/>
      <c r="C114" s="87"/>
      <c r="D114" s="87"/>
      <c r="E114" s="87"/>
      <c r="F114" s="87"/>
      <c r="G114" s="87"/>
      <c r="H114" s="87"/>
      <c r="I114" s="87"/>
      <c r="J114" s="87"/>
      <c r="K114" s="87"/>
      <c r="L114" s="87"/>
      <c r="M114" s="87"/>
      <c r="N114" s="88"/>
      <c r="O114" s="76"/>
      <c r="P114" s="76"/>
    </row>
    <row r="115" spans="1:17">
      <c r="A115" s="5"/>
      <c r="B115" s="89"/>
      <c r="C115" s="89"/>
      <c r="D115" s="89"/>
      <c r="E115" s="89"/>
      <c r="F115" s="89"/>
      <c r="G115" s="89"/>
      <c r="H115" s="89"/>
      <c r="I115" s="89"/>
      <c r="J115" s="89"/>
      <c r="K115" s="89"/>
      <c r="L115" s="89"/>
      <c r="M115" s="89"/>
      <c r="N115" s="90"/>
      <c r="O115" s="103"/>
      <c r="P115" s="103"/>
    </row>
    <row r="116" spans="1:17" ht="25.5">
      <c r="A116" s="58"/>
      <c r="B116" s="59">
        <v>40360</v>
      </c>
      <c r="C116" s="59">
        <v>40391</v>
      </c>
      <c r="D116" s="59">
        <v>6614787</v>
      </c>
      <c r="E116" s="59">
        <v>40452</v>
      </c>
      <c r="F116" s="59">
        <v>40483</v>
      </c>
      <c r="G116" s="59">
        <v>40513</v>
      </c>
      <c r="H116" s="59">
        <v>40544</v>
      </c>
      <c r="I116" s="59">
        <v>40575</v>
      </c>
      <c r="J116" s="59">
        <v>40603</v>
      </c>
      <c r="K116" s="59">
        <v>40634</v>
      </c>
      <c r="L116" s="59">
        <v>40664</v>
      </c>
      <c r="M116" s="59">
        <v>40695</v>
      </c>
      <c r="N116" s="60" t="s">
        <v>371</v>
      </c>
      <c r="O116" s="61" t="s">
        <v>27</v>
      </c>
      <c r="P116" s="61" t="s">
        <v>175</v>
      </c>
      <c r="Q116" s="2"/>
    </row>
    <row r="117" spans="1:17">
      <c r="A117" s="67" t="s">
        <v>221</v>
      </c>
      <c r="B117" s="59"/>
      <c r="C117" s="59"/>
      <c r="D117" s="59"/>
      <c r="E117" s="59"/>
      <c r="F117" s="59"/>
      <c r="G117" s="59"/>
      <c r="H117" s="59"/>
      <c r="I117" s="59"/>
      <c r="J117" s="59"/>
      <c r="K117" s="59"/>
      <c r="L117" s="59"/>
      <c r="M117" s="59"/>
      <c r="N117" s="53"/>
      <c r="O117" s="104"/>
      <c r="P117" s="104"/>
    </row>
    <row r="118" spans="1:17">
      <c r="A118" s="71" t="s">
        <v>257</v>
      </c>
      <c r="B118" s="24">
        <v>64</v>
      </c>
      <c r="C118" s="24">
        <v>11</v>
      </c>
      <c r="D118" s="24">
        <v>57</v>
      </c>
      <c r="E118" s="24">
        <v>173</v>
      </c>
      <c r="F118" s="24">
        <v>211</v>
      </c>
      <c r="G118" s="24">
        <v>113</v>
      </c>
      <c r="H118" s="24">
        <v>31</v>
      </c>
      <c r="I118" s="24">
        <v>131</v>
      </c>
      <c r="J118" s="24">
        <v>155</v>
      </c>
      <c r="K118" s="24">
        <v>225</v>
      </c>
      <c r="L118" s="24">
        <v>79</v>
      </c>
      <c r="M118" s="24">
        <v>59</v>
      </c>
      <c r="N118" s="73">
        <f>SUM(B118:M118)</f>
        <v>1309</v>
      </c>
      <c r="O118" s="116"/>
      <c r="P118" s="76"/>
    </row>
    <row r="119" spans="1:17">
      <c r="A119" s="71" t="s">
        <v>208</v>
      </c>
      <c r="B119" s="24">
        <v>232</v>
      </c>
      <c r="C119" s="24">
        <v>32</v>
      </c>
      <c r="D119" s="24">
        <v>225</v>
      </c>
      <c r="E119" s="24">
        <v>561</v>
      </c>
      <c r="F119" s="24">
        <v>937</v>
      </c>
      <c r="G119" s="24">
        <v>729</v>
      </c>
      <c r="H119" s="24">
        <v>142</v>
      </c>
      <c r="I119" s="24">
        <v>503</v>
      </c>
      <c r="J119" s="24">
        <v>621</v>
      </c>
      <c r="K119" s="24">
        <v>789</v>
      </c>
      <c r="L119" s="24">
        <v>307</v>
      </c>
      <c r="M119" s="24">
        <v>256</v>
      </c>
      <c r="N119" s="73">
        <f>SUM(B119:M119)</f>
        <v>5334</v>
      </c>
      <c r="O119" s="116">
        <v>0</v>
      </c>
      <c r="P119" s="76" t="s">
        <v>231</v>
      </c>
    </row>
    <row r="120" spans="1:17">
      <c r="A120" s="2"/>
      <c r="B120" s="87"/>
      <c r="C120" s="87"/>
      <c r="D120" s="87"/>
      <c r="E120" s="87"/>
      <c r="F120" s="87"/>
      <c r="G120" s="87"/>
      <c r="H120" s="87"/>
      <c r="I120" s="87"/>
      <c r="J120" s="87"/>
      <c r="K120" s="87"/>
      <c r="L120" s="87"/>
      <c r="M120" s="87"/>
      <c r="N120" s="88"/>
      <c r="O120" s="76"/>
      <c r="P120" s="76"/>
    </row>
    <row r="121" spans="1:17">
      <c r="A121" s="5"/>
      <c r="B121" s="89"/>
      <c r="C121" s="89"/>
      <c r="D121" s="89"/>
      <c r="E121" s="89"/>
      <c r="F121" s="89"/>
      <c r="G121" s="89"/>
      <c r="H121" s="89"/>
      <c r="I121" s="89"/>
      <c r="J121" s="89"/>
      <c r="K121" s="89"/>
      <c r="L121" s="89"/>
      <c r="M121" s="89"/>
      <c r="N121" s="90"/>
      <c r="O121" s="103"/>
      <c r="P121" s="103"/>
    </row>
    <row r="122" spans="1:17" ht="25.5">
      <c r="A122" s="58"/>
      <c r="B122" s="59">
        <v>40360</v>
      </c>
      <c r="C122" s="59">
        <v>40391</v>
      </c>
      <c r="D122" s="59">
        <v>6614787</v>
      </c>
      <c r="E122" s="59">
        <v>40452</v>
      </c>
      <c r="F122" s="59">
        <v>40483</v>
      </c>
      <c r="G122" s="59">
        <v>40513</v>
      </c>
      <c r="H122" s="59">
        <v>40544</v>
      </c>
      <c r="I122" s="59">
        <v>40575</v>
      </c>
      <c r="J122" s="59">
        <v>40603</v>
      </c>
      <c r="K122" s="59">
        <v>40634</v>
      </c>
      <c r="L122" s="59">
        <v>40664</v>
      </c>
      <c r="M122" s="59">
        <v>40695</v>
      </c>
      <c r="N122" s="60" t="s">
        <v>371</v>
      </c>
      <c r="O122" s="61" t="s">
        <v>27</v>
      </c>
      <c r="P122" s="61" t="s">
        <v>175</v>
      </c>
    </row>
    <row r="123" spans="1:17">
      <c r="A123" s="179" t="s">
        <v>315</v>
      </c>
      <c r="B123" s="180"/>
      <c r="C123" s="184"/>
      <c r="D123" s="59"/>
      <c r="E123" s="59"/>
      <c r="F123" s="59"/>
      <c r="G123" s="59"/>
      <c r="H123" s="59"/>
      <c r="I123" s="59"/>
      <c r="J123" s="59"/>
      <c r="K123" s="59"/>
      <c r="L123" s="59"/>
      <c r="M123" s="59"/>
      <c r="N123" s="53"/>
      <c r="O123" s="104"/>
      <c r="P123" s="104"/>
    </row>
    <row r="124" spans="1:17">
      <c r="A124" s="71" t="s">
        <v>257</v>
      </c>
      <c r="B124" s="24">
        <v>406</v>
      </c>
      <c r="C124" s="24">
        <v>117</v>
      </c>
      <c r="D124" s="24">
        <v>318</v>
      </c>
      <c r="E124" s="24">
        <v>575</v>
      </c>
      <c r="F124" s="24">
        <v>747</v>
      </c>
      <c r="G124" s="24">
        <v>393</v>
      </c>
      <c r="H124" s="24">
        <v>119</v>
      </c>
      <c r="I124" s="24">
        <v>497</v>
      </c>
      <c r="J124" s="24">
        <v>588</v>
      </c>
      <c r="K124" s="24">
        <v>527</v>
      </c>
      <c r="L124" s="24">
        <v>171</v>
      </c>
      <c r="M124" s="24">
        <v>121</v>
      </c>
      <c r="N124" s="73">
        <f>SUM(B124:M124)</f>
        <v>4579</v>
      </c>
      <c r="O124" s="116"/>
      <c r="P124" s="76"/>
    </row>
    <row r="125" spans="1:17">
      <c r="A125" s="71" t="s">
        <v>208</v>
      </c>
      <c r="B125" s="24">
        <v>533</v>
      </c>
      <c r="C125" s="24">
        <v>63</v>
      </c>
      <c r="D125" s="24">
        <v>313</v>
      </c>
      <c r="E125" s="24">
        <v>796</v>
      </c>
      <c r="F125" s="24">
        <v>1136</v>
      </c>
      <c r="G125" s="24">
        <v>882</v>
      </c>
      <c r="H125" s="24">
        <v>139</v>
      </c>
      <c r="I125" s="24">
        <v>649</v>
      </c>
      <c r="J125" s="24">
        <v>826</v>
      </c>
      <c r="K125" s="24">
        <v>996</v>
      </c>
      <c r="L125" s="24">
        <v>399</v>
      </c>
      <c r="M125" s="24">
        <v>330</v>
      </c>
      <c r="N125" s="73">
        <f>SUM(B125:M125)</f>
        <v>7062</v>
      </c>
      <c r="O125" s="116">
        <v>0</v>
      </c>
      <c r="P125" s="76" t="s">
        <v>231</v>
      </c>
    </row>
    <row r="126" spans="1:17">
      <c r="A126" s="2"/>
      <c r="B126" s="87"/>
      <c r="C126" s="87"/>
      <c r="D126" s="87"/>
      <c r="E126" s="87"/>
      <c r="F126" s="87"/>
      <c r="G126" s="87"/>
      <c r="H126" s="87"/>
      <c r="I126" s="87"/>
      <c r="J126" s="87"/>
      <c r="K126" s="87"/>
      <c r="L126" s="87"/>
      <c r="M126" s="87"/>
      <c r="N126" s="88"/>
      <c r="O126" s="76"/>
      <c r="P126" s="76"/>
    </row>
    <row r="127" spans="1:17">
      <c r="A127" s="5"/>
      <c r="B127" s="89"/>
      <c r="C127" s="89"/>
      <c r="D127" s="89"/>
      <c r="E127" s="89"/>
      <c r="F127" s="89"/>
      <c r="G127" s="89"/>
      <c r="H127" s="89"/>
      <c r="I127" s="89"/>
      <c r="J127" s="89"/>
      <c r="K127" s="89"/>
      <c r="L127" s="89"/>
      <c r="M127" s="89"/>
      <c r="N127" s="90"/>
      <c r="O127" s="103"/>
      <c r="P127" s="103"/>
    </row>
    <row r="128" spans="1:17" ht="25.5">
      <c r="A128" s="58"/>
      <c r="B128" s="59">
        <v>40360</v>
      </c>
      <c r="C128" s="59">
        <v>40391</v>
      </c>
      <c r="D128" s="59">
        <v>6614787</v>
      </c>
      <c r="E128" s="59">
        <v>40452</v>
      </c>
      <c r="F128" s="59">
        <v>40483</v>
      </c>
      <c r="G128" s="59">
        <v>40513</v>
      </c>
      <c r="H128" s="59">
        <v>40544</v>
      </c>
      <c r="I128" s="59">
        <v>40575</v>
      </c>
      <c r="J128" s="59">
        <v>40603</v>
      </c>
      <c r="K128" s="59">
        <v>40634</v>
      </c>
      <c r="L128" s="59">
        <v>40664</v>
      </c>
      <c r="M128" s="59">
        <v>40695</v>
      </c>
      <c r="N128" s="60" t="s">
        <v>371</v>
      </c>
      <c r="O128" s="61" t="s">
        <v>27</v>
      </c>
      <c r="P128" s="61" t="s">
        <v>175</v>
      </c>
    </row>
    <row r="129" spans="1:16">
      <c r="A129" s="67" t="s">
        <v>187</v>
      </c>
      <c r="B129" s="59"/>
      <c r="C129" s="59"/>
      <c r="D129" s="59"/>
      <c r="E129" s="59"/>
      <c r="F129" s="59"/>
      <c r="G129" s="59"/>
      <c r="H129" s="59"/>
      <c r="I129" s="59"/>
      <c r="J129" s="59"/>
      <c r="K129" s="59"/>
      <c r="L129" s="59"/>
      <c r="M129" s="59"/>
      <c r="N129" s="53"/>
      <c r="O129" s="104"/>
      <c r="P129" s="104"/>
    </row>
    <row r="130" spans="1:16">
      <c r="A130" s="71" t="s">
        <v>257</v>
      </c>
      <c r="B130" s="24">
        <v>70</v>
      </c>
      <c r="C130" s="24">
        <v>11</v>
      </c>
      <c r="D130" s="24">
        <v>68</v>
      </c>
      <c r="E130" s="24">
        <v>175</v>
      </c>
      <c r="F130" s="24">
        <v>266</v>
      </c>
      <c r="G130" s="24">
        <v>195</v>
      </c>
      <c r="H130" s="24">
        <v>30</v>
      </c>
      <c r="I130" s="24">
        <v>146</v>
      </c>
      <c r="J130" s="24">
        <v>194</v>
      </c>
      <c r="K130" s="24">
        <v>190</v>
      </c>
      <c r="L130" s="24">
        <v>68</v>
      </c>
      <c r="M130" s="24">
        <v>60</v>
      </c>
      <c r="N130" s="73">
        <f>SUM(B130:M130)</f>
        <v>1473</v>
      </c>
      <c r="O130" s="116"/>
      <c r="P130" s="76"/>
    </row>
    <row r="131" spans="1:16">
      <c r="A131" s="71" t="s">
        <v>208</v>
      </c>
      <c r="B131" s="24">
        <v>297</v>
      </c>
      <c r="C131" s="24">
        <v>46</v>
      </c>
      <c r="D131" s="24">
        <v>374</v>
      </c>
      <c r="E131" s="24">
        <v>839</v>
      </c>
      <c r="F131" s="24">
        <v>1509</v>
      </c>
      <c r="G131" s="24">
        <v>1234</v>
      </c>
      <c r="H131" s="24">
        <v>136</v>
      </c>
      <c r="I131" s="24">
        <v>688</v>
      </c>
      <c r="J131" s="24">
        <v>965</v>
      </c>
      <c r="K131" s="24">
        <v>1134</v>
      </c>
      <c r="L131" s="24">
        <v>333</v>
      </c>
      <c r="M131" s="24">
        <v>311</v>
      </c>
      <c r="N131" s="73">
        <f>SUM(B131:M131)</f>
        <v>7866</v>
      </c>
      <c r="O131" s="116">
        <v>0</v>
      </c>
      <c r="P131" s="76" t="s">
        <v>231</v>
      </c>
    </row>
    <row r="132" spans="1:16">
      <c r="A132" s="2"/>
      <c r="B132" s="87"/>
      <c r="C132" s="87"/>
      <c r="D132" s="87"/>
      <c r="E132" s="87"/>
      <c r="F132" s="87"/>
      <c r="G132" s="87"/>
      <c r="H132" s="87"/>
      <c r="I132" s="87"/>
      <c r="J132" s="87"/>
      <c r="K132" s="87"/>
      <c r="L132" s="87"/>
      <c r="M132" s="87"/>
      <c r="N132" s="88"/>
      <c r="O132" s="76"/>
      <c r="P132" s="76"/>
    </row>
    <row r="133" spans="1:16">
      <c r="A133" s="5"/>
      <c r="B133" s="89"/>
      <c r="C133" s="89"/>
      <c r="D133" s="89"/>
      <c r="E133" s="89"/>
      <c r="F133" s="89"/>
      <c r="G133" s="89"/>
      <c r="H133" s="89"/>
      <c r="I133" s="89"/>
      <c r="J133" s="89"/>
      <c r="K133" s="89"/>
      <c r="L133" s="89"/>
      <c r="M133" s="89"/>
      <c r="N133" s="90"/>
      <c r="O133" s="103"/>
      <c r="P133" s="103"/>
    </row>
    <row r="134" spans="1:16" ht="25.5">
      <c r="A134" s="58"/>
      <c r="B134" s="59">
        <v>40360</v>
      </c>
      <c r="C134" s="59">
        <v>40391</v>
      </c>
      <c r="D134" s="59">
        <v>6614787</v>
      </c>
      <c r="E134" s="59">
        <v>40452</v>
      </c>
      <c r="F134" s="59">
        <v>40483</v>
      </c>
      <c r="G134" s="59">
        <v>40513</v>
      </c>
      <c r="H134" s="59">
        <v>40544</v>
      </c>
      <c r="I134" s="59">
        <v>40575</v>
      </c>
      <c r="J134" s="59">
        <v>40603</v>
      </c>
      <c r="K134" s="59">
        <v>40634</v>
      </c>
      <c r="L134" s="59">
        <v>40664</v>
      </c>
      <c r="M134" s="59">
        <v>40695</v>
      </c>
      <c r="N134" s="60" t="s">
        <v>371</v>
      </c>
      <c r="O134" s="61" t="s">
        <v>27</v>
      </c>
      <c r="P134" s="61" t="s">
        <v>175</v>
      </c>
    </row>
    <row r="135" spans="1:16">
      <c r="A135" s="67" t="s">
        <v>329</v>
      </c>
      <c r="B135" s="59"/>
      <c r="C135" s="59"/>
      <c r="D135" s="59"/>
      <c r="E135" s="59"/>
      <c r="F135" s="59"/>
      <c r="G135" s="59"/>
      <c r="H135" s="59"/>
      <c r="I135" s="59"/>
      <c r="J135" s="59"/>
      <c r="K135" s="59"/>
      <c r="L135" s="59"/>
      <c r="M135" s="59"/>
      <c r="N135" s="53"/>
      <c r="O135" s="104"/>
      <c r="P135" s="104"/>
    </row>
    <row r="136" spans="1:16">
      <c r="A136" s="71" t="s">
        <v>257</v>
      </c>
      <c r="B136" s="24">
        <v>72</v>
      </c>
      <c r="C136" s="24">
        <v>8</v>
      </c>
      <c r="D136" s="24">
        <v>53</v>
      </c>
      <c r="E136" s="24">
        <v>228</v>
      </c>
      <c r="F136" s="24">
        <v>361</v>
      </c>
      <c r="G136" s="24">
        <v>231</v>
      </c>
      <c r="H136" s="24">
        <v>34</v>
      </c>
      <c r="I136" s="24">
        <v>114</v>
      </c>
      <c r="J136" s="24">
        <v>176</v>
      </c>
      <c r="K136" s="24">
        <v>144</v>
      </c>
      <c r="L136" s="24">
        <v>60</v>
      </c>
      <c r="M136" s="24">
        <v>45</v>
      </c>
      <c r="N136" s="73">
        <f>SUM(B136:M136)</f>
        <v>1526</v>
      </c>
      <c r="O136" s="116"/>
      <c r="P136" s="76"/>
    </row>
    <row r="137" spans="1:16">
      <c r="A137" s="71" t="s">
        <v>208</v>
      </c>
      <c r="B137" s="24">
        <v>284</v>
      </c>
      <c r="C137" s="24">
        <v>23</v>
      </c>
      <c r="D137" s="24">
        <v>226</v>
      </c>
      <c r="E137" s="24">
        <v>1106</v>
      </c>
      <c r="F137" s="24">
        <v>1487</v>
      </c>
      <c r="G137" s="24">
        <v>1035</v>
      </c>
      <c r="H137" s="24">
        <v>144</v>
      </c>
      <c r="I137" s="24">
        <v>442</v>
      </c>
      <c r="J137" s="24">
        <v>638</v>
      </c>
      <c r="K137" s="24">
        <v>786</v>
      </c>
      <c r="L137" s="24">
        <v>254</v>
      </c>
      <c r="M137" s="24">
        <v>270</v>
      </c>
      <c r="N137" s="73">
        <f>SUM(B137:M137)</f>
        <v>6695</v>
      </c>
      <c r="O137" s="116">
        <v>0</v>
      </c>
      <c r="P137" s="76">
        <f>O137/N137</f>
        <v>0</v>
      </c>
    </row>
    <row r="138" spans="1:16">
      <c r="A138" s="71" t="s">
        <v>272</v>
      </c>
      <c r="B138" s="24">
        <v>0</v>
      </c>
      <c r="C138" s="24">
        <v>0</v>
      </c>
      <c r="D138" s="24">
        <v>0</v>
      </c>
      <c r="E138" s="24">
        <v>0</v>
      </c>
      <c r="F138" s="24">
        <v>0</v>
      </c>
      <c r="G138" s="24">
        <v>0</v>
      </c>
      <c r="H138" s="24">
        <v>0</v>
      </c>
      <c r="I138" s="24">
        <v>0</v>
      </c>
      <c r="J138" s="24">
        <v>0</v>
      </c>
      <c r="K138" s="24">
        <v>0</v>
      </c>
      <c r="L138" s="24">
        <v>0</v>
      </c>
      <c r="M138" s="24">
        <v>0</v>
      </c>
      <c r="N138" s="72"/>
      <c r="O138" s="116"/>
      <c r="P138" s="76"/>
    </row>
    <row r="139" spans="1:16">
      <c r="A139" s="71" t="s">
        <v>10</v>
      </c>
      <c r="B139" s="24">
        <v>0</v>
      </c>
      <c r="C139" s="24">
        <v>0</v>
      </c>
      <c r="D139" s="24">
        <v>0</v>
      </c>
      <c r="E139" s="24">
        <v>0</v>
      </c>
      <c r="F139" s="24">
        <v>0</v>
      </c>
      <c r="G139" s="24">
        <v>0</v>
      </c>
      <c r="H139" s="24">
        <v>0</v>
      </c>
      <c r="I139" s="24">
        <v>0</v>
      </c>
      <c r="J139" s="24">
        <v>0</v>
      </c>
      <c r="K139" s="24">
        <v>0</v>
      </c>
      <c r="L139" s="24">
        <v>0</v>
      </c>
      <c r="M139" s="24">
        <v>0</v>
      </c>
      <c r="N139" s="73">
        <f>SUM(B139:M139)</f>
        <v>0</v>
      </c>
      <c r="O139" s="116"/>
      <c r="P139" s="76"/>
    </row>
    <row r="140" spans="1:16">
      <c r="A140" s="2"/>
      <c r="B140" s="87"/>
      <c r="C140" s="87"/>
      <c r="D140" s="87"/>
      <c r="E140" s="87"/>
      <c r="F140" s="87"/>
      <c r="G140" s="87"/>
      <c r="H140" s="87"/>
      <c r="I140" s="87"/>
      <c r="J140" s="87"/>
      <c r="K140" s="87"/>
      <c r="L140" s="87"/>
      <c r="M140" s="87"/>
      <c r="N140" s="88"/>
      <c r="O140" s="76"/>
      <c r="P140" s="76"/>
    </row>
    <row r="141" spans="1:16">
      <c r="A141" s="5"/>
      <c r="B141" s="89"/>
      <c r="C141" s="89"/>
      <c r="D141" s="89"/>
      <c r="E141" s="89"/>
      <c r="F141" s="89"/>
      <c r="G141" s="89"/>
      <c r="H141" s="89"/>
      <c r="I141" s="89"/>
      <c r="J141" s="89"/>
      <c r="K141" s="89"/>
      <c r="L141" s="89"/>
      <c r="M141" s="89"/>
      <c r="N141" s="90"/>
      <c r="O141" s="103"/>
      <c r="P141" s="103"/>
    </row>
    <row r="142" spans="1:16" ht="25.5">
      <c r="A142" s="58"/>
      <c r="B142" s="59">
        <v>40360</v>
      </c>
      <c r="C142" s="59">
        <v>40391</v>
      </c>
      <c r="D142" s="59">
        <v>6614787</v>
      </c>
      <c r="E142" s="59">
        <v>40452</v>
      </c>
      <c r="F142" s="59">
        <v>40483</v>
      </c>
      <c r="G142" s="59">
        <v>40513</v>
      </c>
      <c r="H142" s="59">
        <v>40544</v>
      </c>
      <c r="I142" s="59">
        <v>40575</v>
      </c>
      <c r="J142" s="59">
        <v>40603</v>
      </c>
      <c r="K142" s="59">
        <v>40634</v>
      </c>
      <c r="L142" s="59">
        <v>40664</v>
      </c>
      <c r="M142" s="59">
        <v>40695</v>
      </c>
      <c r="N142" s="60" t="s">
        <v>371</v>
      </c>
      <c r="O142" s="61" t="s">
        <v>27</v>
      </c>
      <c r="P142" s="61" t="s">
        <v>175</v>
      </c>
    </row>
    <row r="143" spans="1:16">
      <c r="A143" s="179" t="s">
        <v>53</v>
      </c>
      <c r="B143" s="180"/>
      <c r="C143" s="184"/>
      <c r="D143" s="59"/>
      <c r="E143" s="59"/>
      <c r="F143" s="59"/>
      <c r="G143" s="59"/>
      <c r="H143" s="59"/>
      <c r="I143" s="59"/>
      <c r="J143" s="59"/>
      <c r="K143" s="59"/>
      <c r="L143" s="59"/>
      <c r="M143" s="59"/>
      <c r="N143" s="53"/>
      <c r="O143" s="104"/>
      <c r="P143" s="104"/>
    </row>
    <row r="144" spans="1:16">
      <c r="A144" s="71" t="s">
        <v>257</v>
      </c>
      <c r="B144" s="24">
        <v>65</v>
      </c>
      <c r="C144" s="24">
        <v>7</v>
      </c>
      <c r="D144" s="24">
        <v>47</v>
      </c>
      <c r="E144" s="24">
        <v>149</v>
      </c>
      <c r="F144" s="24">
        <v>197</v>
      </c>
      <c r="G144" s="24">
        <v>112</v>
      </c>
      <c r="H144" s="24">
        <v>23</v>
      </c>
      <c r="I144" s="24">
        <v>150</v>
      </c>
      <c r="J144" s="24">
        <v>144</v>
      </c>
      <c r="K144" s="24">
        <v>126</v>
      </c>
      <c r="L144" s="24">
        <v>70</v>
      </c>
      <c r="M144" s="24">
        <v>57</v>
      </c>
      <c r="N144" s="73">
        <f>SUM(B144:M144)</f>
        <v>1147</v>
      </c>
      <c r="O144" s="116"/>
      <c r="P144" s="76"/>
    </row>
    <row r="145" spans="1:17">
      <c r="A145" s="71" t="s">
        <v>208</v>
      </c>
      <c r="B145" s="24">
        <v>233</v>
      </c>
      <c r="C145" s="24">
        <v>18</v>
      </c>
      <c r="D145" s="24">
        <v>217</v>
      </c>
      <c r="E145" s="24">
        <v>568</v>
      </c>
      <c r="F145" s="24">
        <v>896</v>
      </c>
      <c r="G145" s="24">
        <v>765</v>
      </c>
      <c r="H145" s="24">
        <v>104</v>
      </c>
      <c r="I145" s="24">
        <v>569</v>
      </c>
      <c r="J145" s="24">
        <v>593</v>
      </c>
      <c r="K145" s="24">
        <v>786</v>
      </c>
      <c r="L145" s="24">
        <v>305</v>
      </c>
      <c r="M145" s="24">
        <v>263</v>
      </c>
      <c r="N145" s="73">
        <f>SUM(B145:M145)</f>
        <v>5317</v>
      </c>
      <c r="O145" s="116">
        <v>0</v>
      </c>
      <c r="P145" s="76" t="s">
        <v>231</v>
      </c>
    </row>
    <row r="146" spans="1:17">
      <c r="A146" s="2"/>
      <c r="B146" s="87"/>
      <c r="C146" s="87"/>
      <c r="D146" s="87"/>
      <c r="E146" s="87"/>
      <c r="F146" s="87"/>
      <c r="G146" s="87"/>
      <c r="H146" s="87"/>
      <c r="I146" s="87"/>
      <c r="J146" s="87"/>
      <c r="K146" s="87"/>
      <c r="L146" s="87"/>
      <c r="M146" s="87"/>
      <c r="N146" s="88"/>
      <c r="O146" s="76"/>
      <c r="P146" s="76"/>
    </row>
    <row r="147" spans="1:17">
      <c r="A147" s="5"/>
      <c r="B147" s="89"/>
      <c r="C147" s="89"/>
      <c r="D147" s="89"/>
      <c r="E147" s="89"/>
      <c r="F147" s="89"/>
      <c r="G147" s="89"/>
      <c r="H147" s="89"/>
      <c r="I147" s="89"/>
      <c r="J147" s="89"/>
      <c r="K147" s="89"/>
      <c r="L147" s="89"/>
      <c r="M147" s="89"/>
      <c r="N147" s="90"/>
      <c r="O147" s="103"/>
      <c r="P147" s="103"/>
    </row>
    <row r="148" spans="1:17" ht="25.5">
      <c r="A148" s="58"/>
      <c r="B148" s="59">
        <v>40360</v>
      </c>
      <c r="C148" s="59">
        <v>40391</v>
      </c>
      <c r="D148" s="59">
        <v>6614787</v>
      </c>
      <c r="E148" s="59">
        <v>40452</v>
      </c>
      <c r="F148" s="59">
        <v>40483</v>
      </c>
      <c r="G148" s="59">
        <v>40513</v>
      </c>
      <c r="H148" s="59">
        <v>40544</v>
      </c>
      <c r="I148" s="59">
        <v>40575</v>
      </c>
      <c r="J148" s="59">
        <v>40603</v>
      </c>
      <c r="K148" s="59">
        <v>40634</v>
      </c>
      <c r="L148" s="59">
        <v>40664</v>
      </c>
      <c r="M148" s="59">
        <v>40695</v>
      </c>
      <c r="N148" s="60" t="s">
        <v>371</v>
      </c>
      <c r="O148" s="61" t="s">
        <v>27</v>
      </c>
      <c r="P148" s="61" t="s">
        <v>175</v>
      </c>
      <c r="Q148" s="2"/>
    </row>
    <row r="149" spans="1:17">
      <c r="A149" s="183" t="s">
        <v>177</v>
      </c>
      <c r="B149" s="184"/>
      <c r="C149" s="59"/>
      <c r="D149" s="59"/>
      <c r="E149" s="59"/>
      <c r="F149" s="59"/>
      <c r="G149" s="59"/>
      <c r="H149" s="59"/>
      <c r="I149" s="59"/>
      <c r="J149" s="59"/>
      <c r="K149" s="59"/>
      <c r="L149" s="59"/>
      <c r="M149" s="59"/>
      <c r="N149" s="53"/>
      <c r="O149" s="104"/>
      <c r="P149" s="104"/>
    </row>
    <row r="150" spans="1:17">
      <c r="A150" s="71" t="s">
        <v>257</v>
      </c>
      <c r="B150" s="24">
        <v>95</v>
      </c>
      <c r="C150" s="24">
        <v>14</v>
      </c>
      <c r="D150" s="24">
        <v>61</v>
      </c>
      <c r="E150" s="24">
        <v>164</v>
      </c>
      <c r="F150" s="24">
        <v>235</v>
      </c>
      <c r="G150" s="24">
        <v>156</v>
      </c>
      <c r="H150" s="24">
        <v>33</v>
      </c>
      <c r="I150" s="24">
        <v>144</v>
      </c>
      <c r="J150" s="24">
        <v>195</v>
      </c>
      <c r="K150" s="24">
        <v>187</v>
      </c>
      <c r="L150" s="24">
        <v>85</v>
      </c>
      <c r="M150" s="24">
        <v>66</v>
      </c>
      <c r="N150" s="73">
        <f>SUM(B150:M150)</f>
        <v>1435</v>
      </c>
      <c r="O150" s="116"/>
      <c r="P150" s="76"/>
    </row>
    <row r="151" spans="1:17">
      <c r="A151" s="71" t="s">
        <v>208</v>
      </c>
      <c r="B151" s="24">
        <v>312</v>
      </c>
      <c r="C151" s="24">
        <v>25</v>
      </c>
      <c r="D151" s="24">
        <v>239</v>
      </c>
      <c r="E151" s="24">
        <v>692</v>
      </c>
      <c r="F151" s="24">
        <v>992</v>
      </c>
      <c r="G151" s="24">
        <v>794</v>
      </c>
      <c r="H151" s="24">
        <v>97</v>
      </c>
      <c r="I151" s="24">
        <v>535</v>
      </c>
      <c r="J151" s="24">
        <v>676</v>
      </c>
      <c r="K151" s="24">
        <v>907</v>
      </c>
      <c r="L151" s="24">
        <v>359</v>
      </c>
      <c r="M151" s="24">
        <v>257</v>
      </c>
      <c r="N151" s="73">
        <f>SUM(B151:M151)</f>
        <v>5885</v>
      </c>
      <c r="O151" s="116">
        <v>0</v>
      </c>
      <c r="P151" s="76" t="s">
        <v>231</v>
      </c>
    </row>
    <row r="152" spans="1:17">
      <c r="A152" s="2"/>
      <c r="B152" s="87"/>
      <c r="C152" s="87"/>
      <c r="D152" s="87"/>
      <c r="E152" s="87"/>
      <c r="F152" s="87"/>
      <c r="G152" s="87"/>
      <c r="H152" s="87"/>
      <c r="I152" s="87"/>
      <c r="J152" s="87"/>
      <c r="K152" s="87"/>
      <c r="L152" s="87"/>
      <c r="M152" s="87"/>
      <c r="N152" s="88"/>
      <c r="O152" s="76"/>
      <c r="P152" s="76"/>
    </row>
    <row r="153" spans="1:17">
      <c r="A153" s="5"/>
      <c r="B153" s="89"/>
      <c r="C153" s="89"/>
      <c r="D153" s="89"/>
      <c r="E153" s="89"/>
      <c r="F153" s="89"/>
      <c r="G153" s="89"/>
      <c r="H153" s="89"/>
      <c r="I153" s="89"/>
      <c r="J153" s="89"/>
      <c r="K153" s="89"/>
      <c r="L153" s="89"/>
      <c r="M153" s="89"/>
      <c r="N153" s="90"/>
      <c r="O153" s="103"/>
      <c r="P153" s="103"/>
    </row>
    <row r="154" spans="1:17" ht="25.5">
      <c r="A154" s="58"/>
      <c r="B154" s="59">
        <v>40360</v>
      </c>
      <c r="C154" s="59">
        <v>40391</v>
      </c>
      <c r="D154" s="59">
        <v>6614787</v>
      </c>
      <c r="E154" s="59">
        <v>40452</v>
      </c>
      <c r="F154" s="59">
        <v>40483</v>
      </c>
      <c r="G154" s="59">
        <v>40513</v>
      </c>
      <c r="H154" s="59">
        <v>40544</v>
      </c>
      <c r="I154" s="59">
        <v>40575</v>
      </c>
      <c r="J154" s="59">
        <v>40603</v>
      </c>
      <c r="K154" s="59">
        <v>40634</v>
      </c>
      <c r="L154" s="59">
        <v>40664</v>
      </c>
      <c r="M154" s="59">
        <v>40695</v>
      </c>
      <c r="N154" s="60" t="s">
        <v>371</v>
      </c>
      <c r="O154" s="61" t="s">
        <v>27</v>
      </c>
      <c r="P154" s="61" t="s">
        <v>175</v>
      </c>
    </row>
    <row r="155" spans="1:17">
      <c r="A155" s="67" t="s">
        <v>385</v>
      </c>
      <c r="B155" s="59"/>
      <c r="C155" s="59"/>
      <c r="D155" s="59"/>
      <c r="E155" s="59"/>
      <c r="F155" s="59"/>
      <c r="G155" s="59"/>
      <c r="H155" s="59"/>
      <c r="I155" s="59"/>
      <c r="J155" s="59"/>
      <c r="K155" s="59"/>
      <c r="L155" s="59"/>
      <c r="M155" s="59"/>
      <c r="N155" s="53"/>
      <c r="O155" s="104"/>
      <c r="P155" s="104"/>
    </row>
    <row r="156" spans="1:17">
      <c r="A156" s="71" t="s">
        <v>257</v>
      </c>
      <c r="B156" s="24">
        <v>67</v>
      </c>
      <c r="C156" s="24">
        <v>8</v>
      </c>
      <c r="D156" s="24">
        <v>49</v>
      </c>
      <c r="E156" s="24">
        <v>136</v>
      </c>
      <c r="F156" s="24">
        <v>233</v>
      </c>
      <c r="G156" s="24">
        <v>111</v>
      </c>
      <c r="H156" s="24">
        <v>25</v>
      </c>
      <c r="I156" s="24">
        <v>106</v>
      </c>
      <c r="J156" s="24">
        <v>154</v>
      </c>
      <c r="K156" s="24">
        <v>135</v>
      </c>
      <c r="L156" s="24">
        <v>58</v>
      </c>
      <c r="M156" s="24">
        <v>50</v>
      </c>
      <c r="N156" s="73">
        <f>SUM(B156:M156)</f>
        <v>1132</v>
      </c>
      <c r="O156" s="116"/>
      <c r="P156" s="76"/>
    </row>
    <row r="157" spans="1:17">
      <c r="A157" s="71" t="s">
        <v>208</v>
      </c>
      <c r="B157" s="24">
        <v>314</v>
      </c>
      <c r="C157" s="24">
        <v>24</v>
      </c>
      <c r="D157" s="24">
        <v>227</v>
      </c>
      <c r="E157" s="24">
        <v>655</v>
      </c>
      <c r="F157" s="24">
        <v>1119</v>
      </c>
      <c r="G157" s="24">
        <v>693</v>
      </c>
      <c r="H157" s="24">
        <v>107</v>
      </c>
      <c r="I157" s="24">
        <v>446</v>
      </c>
      <c r="J157" s="24">
        <v>697</v>
      </c>
      <c r="K157" s="24">
        <v>719</v>
      </c>
      <c r="L157" s="24">
        <v>258</v>
      </c>
      <c r="M157" s="24">
        <v>251</v>
      </c>
      <c r="N157" s="73">
        <f>SUM(B157:M157)</f>
        <v>5510</v>
      </c>
      <c r="O157" s="116">
        <v>0</v>
      </c>
      <c r="P157" s="76">
        <f>O157/N157</f>
        <v>0</v>
      </c>
    </row>
    <row r="158" spans="1:17">
      <c r="A158" s="2"/>
      <c r="B158" s="87"/>
      <c r="C158" s="87"/>
      <c r="D158" s="87"/>
      <c r="E158" s="87"/>
      <c r="F158" s="87"/>
      <c r="G158" s="87"/>
      <c r="H158" s="87"/>
      <c r="I158" s="87"/>
      <c r="J158" s="87"/>
      <c r="K158" s="87"/>
      <c r="L158" s="87"/>
      <c r="M158" s="87"/>
      <c r="N158" s="88"/>
      <c r="O158" s="76"/>
      <c r="P158" s="76"/>
    </row>
    <row r="159" spans="1:17">
      <c r="A159" s="5"/>
      <c r="B159" s="89"/>
      <c r="C159" s="89"/>
      <c r="D159" s="89"/>
      <c r="E159" s="89"/>
      <c r="F159" s="89"/>
      <c r="G159" s="89"/>
      <c r="H159" s="89"/>
      <c r="I159" s="89"/>
      <c r="J159" s="89"/>
      <c r="K159" s="89"/>
      <c r="L159" s="89"/>
      <c r="M159" s="89"/>
      <c r="N159" s="90"/>
      <c r="O159" s="103"/>
      <c r="P159" s="103"/>
    </row>
    <row r="160" spans="1:17" ht="25.5">
      <c r="A160" s="58"/>
      <c r="B160" s="59">
        <v>40360</v>
      </c>
      <c r="C160" s="59">
        <v>40391</v>
      </c>
      <c r="D160" s="59">
        <v>6614787</v>
      </c>
      <c r="E160" s="59">
        <v>40452</v>
      </c>
      <c r="F160" s="59">
        <v>40483</v>
      </c>
      <c r="G160" s="59">
        <v>40513</v>
      </c>
      <c r="H160" s="59">
        <v>40544</v>
      </c>
      <c r="I160" s="59">
        <v>40575</v>
      </c>
      <c r="J160" s="59">
        <v>40603</v>
      </c>
      <c r="K160" s="59">
        <v>40634</v>
      </c>
      <c r="L160" s="59">
        <v>40664</v>
      </c>
      <c r="M160" s="59">
        <v>40695</v>
      </c>
      <c r="N160" s="60" t="s">
        <v>371</v>
      </c>
      <c r="O160" s="61" t="s">
        <v>27</v>
      </c>
      <c r="P160" s="61" t="s">
        <v>175</v>
      </c>
      <c r="Q160" s="2"/>
    </row>
    <row r="161" spans="1:16">
      <c r="A161" s="67" t="s">
        <v>392</v>
      </c>
      <c r="B161" s="59"/>
      <c r="C161" s="59"/>
      <c r="D161" s="59"/>
      <c r="E161" s="59"/>
      <c r="F161" s="59"/>
      <c r="G161" s="59"/>
      <c r="H161" s="59"/>
      <c r="I161" s="59"/>
      <c r="J161" s="59"/>
      <c r="K161" s="59"/>
      <c r="L161" s="59"/>
      <c r="M161" s="59"/>
      <c r="N161" s="53"/>
      <c r="O161" s="104"/>
      <c r="P161" s="104"/>
    </row>
    <row r="162" spans="1:16">
      <c r="A162" s="71" t="s">
        <v>257</v>
      </c>
      <c r="B162" s="24">
        <v>110</v>
      </c>
      <c r="C162" s="24">
        <v>8</v>
      </c>
      <c r="D162" s="24">
        <v>57</v>
      </c>
      <c r="E162" s="24">
        <v>147</v>
      </c>
      <c r="F162" s="24">
        <v>220</v>
      </c>
      <c r="G162" s="24">
        <v>123</v>
      </c>
      <c r="H162" s="24">
        <v>26</v>
      </c>
      <c r="I162" s="24">
        <v>148</v>
      </c>
      <c r="J162" s="24">
        <v>159</v>
      </c>
      <c r="K162" s="24">
        <v>173</v>
      </c>
      <c r="L162" s="24">
        <v>79</v>
      </c>
      <c r="M162" s="24">
        <v>68</v>
      </c>
      <c r="N162" s="73">
        <f>SUM(B162:M162)</f>
        <v>1318</v>
      </c>
      <c r="O162" s="10"/>
      <c r="P162" s="76"/>
    </row>
    <row r="163" spans="1:16">
      <c r="A163" s="71" t="s">
        <v>208</v>
      </c>
      <c r="B163" s="24">
        <v>435</v>
      </c>
      <c r="C163" s="24">
        <v>26</v>
      </c>
      <c r="D163" s="24">
        <v>280</v>
      </c>
      <c r="E163" s="24">
        <v>689</v>
      </c>
      <c r="F163" s="24">
        <v>1102</v>
      </c>
      <c r="G163" s="24">
        <v>852</v>
      </c>
      <c r="H163" s="24">
        <v>125</v>
      </c>
      <c r="I163" s="24">
        <v>671</v>
      </c>
      <c r="J163" s="24">
        <v>705</v>
      </c>
      <c r="K163" s="24">
        <v>1016</v>
      </c>
      <c r="L163" s="24">
        <v>407</v>
      </c>
      <c r="M163" s="24">
        <v>288</v>
      </c>
      <c r="N163" s="73">
        <f>SUM(B163:M163)</f>
        <v>6596</v>
      </c>
      <c r="O163" s="116">
        <v>0</v>
      </c>
      <c r="P163" s="76" t="s">
        <v>231</v>
      </c>
    </row>
    <row r="164" spans="1:16">
      <c r="A164" s="2"/>
      <c r="B164" s="87"/>
      <c r="C164" s="87"/>
      <c r="D164" s="87"/>
      <c r="E164" s="87"/>
      <c r="F164" s="87"/>
      <c r="G164" s="87"/>
      <c r="H164" s="87"/>
      <c r="I164" s="87"/>
      <c r="J164" s="87"/>
      <c r="K164" s="87"/>
      <c r="L164" s="87"/>
      <c r="M164" s="87"/>
      <c r="N164" s="88"/>
      <c r="O164" s="76"/>
      <c r="P164" s="76"/>
    </row>
    <row r="165" spans="1:16">
      <c r="A165" s="5"/>
      <c r="B165" s="89"/>
      <c r="C165" s="89"/>
      <c r="D165" s="89"/>
      <c r="E165" s="89"/>
      <c r="F165" s="89"/>
      <c r="G165" s="89"/>
      <c r="H165" s="89"/>
      <c r="I165" s="89"/>
      <c r="J165" s="89"/>
      <c r="K165" s="89"/>
      <c r="L165" s="89"/>
      <c r="M165" s="89"/>
      <c r="N165" s="90"/>
      <c r="O165" s="103"/>
      <c r="P165" s="103"/>
    </row>
    <row r="166" spans="1:16" ht="25.5">
      <c r="A166" s="58"/>
      <c r="B166" s="59">
        <v>40360</v>
      </c>
      <c r="C166" s="59">
        <v>40391</v>
      </c>
      <c r="D166" s="59">
        <v>6614787</v>
      </c>
      <c r="E166" s="59">
        <v>40452</v>
      </c>
      <c r="F166" s="59">
        <v>40483</v>
      </c>
      <c r="G166" s="59">
        <v>40513</v>
      </c>
      <c r="H166" s="59">
        <v>40544</v>
      </c>
      <c r="I166" s="59">
        <v>40575</v>
      </c>
      <c r="J166" s="59">
        <v>40603</v>
      </c>
      <c r="K166" s="59">
        <v>40634</v>
      </c>
      <c r="L166" s="59">
        <v>40664</v>
      </c>
      <c r="M166" s="59">
        <v>40695</v>
      </c>
      <c r="N166" s="60" t="s">
        <v>371</v>
      </c>
      <c r="O166" s="61" t="s">
        <v>27</v>
      </c>
      <c r="P166" s="61" t="s">
        <v>175</v>
      </c>
    </row>
    <row r="167" spans="1:16">
      <c r="A167" s="179" t="s">
        <v>375</v>
      </c>
      <c r="B167" s="180"/>
      <c r="C167" s="184"/>
      <c r="D167" s="59"/>
      <c r="E167" s="59"/>
      <c r="F167" s="59"/>
      <c r="G167" s="59"/>
      <c r="H167" s="59"/>
      <c r="I167" s="59"/>
      <c r="J167" s="59"/>
      <c r="K167" s="59"/>
      <c r="L167" s="59"/>
      <c r="M167" s="59"/>
      <c r="N167" s="53"/>
      <c r="O167" s="104"/>
      <c r="P167" s="104"/>
    </row>
    <row r="168" spans="1:16">
      <c r="A168" s="71" t="s">
        <v>257</v>
      </c>
      <c r="B168" s="24">
        <v>63</v>
      </c>
      <c r="C168" s="24">
        <v>7</v>
      </c>
      <c r="D168" s="24">
        <v>42</v>
      </c>
      <c r="E168" s="24">
        <v>113</v>
      </c>
      <c r="F168" s="24">
        <v>145</v>
      </c>
      <c r="G168" s="24">
        <v>0</v>
      </c>
      <c r="H168" s="24">
        <v>0</v>
      </c>
      <c r="I168" s="24">
        <v>0</v>
      </c>
      <c r="J168" s="24">
        <v>0</v>
      </c>
      <c r="K168" s="24">
        <v>0</v>
      </c>
      <c r="L168" s="24">
        <v>0</v>
      </c>
      <c r="M168" s="24">
        <v>0</v>
      </c>
      <c r="N168" s="73">
        <f>SUM(B168:M168)</f>
        <v>370</v>
      </c>
      <c r="O168" s="116"/>
      <c r="P168" s="76"/>
    </row>
    <row r="169" spans="1:16">
      <c r="A169" s="71" t="s">
        <v>208</v>
      </c>
      <c r="B169" s="24">
        <v>261</v>
      </c>
      <c r="C169" s="24">
        <v>26</v>
      </c>
      <c r="D169" s="24">
        <v>209</v>
      </c>
      <c r="E169" s="24">
        <v>544</v>
      </c>
      <c r="F169" s="24">
        <v>694</v>
      </c>
      <c r="G169" s="24">
        <v>0</v>
      </c>
      <c r="H169" s="24">
        <v>0</v>
      </c>
      <c r="I169" s="24">
        <v>0</v>
      </c>
      <c r="J169" s="24">
        <v>0</v>
      </c>
      <c r="K169" s="24">
        <v>0</v>
      </c>
      <c r="L169" s="24">
        <v>0</v>
      </c>
      <c r="M169" s="24">
        <v>0</v>
      </c>
      <c r="N169" s="73">
        <f>SUM(B169:M169)</f>
        <v>1734</v>
      </c>
      <c r="O169" s="116">
        <v>0</v>
      </c>
      <c r="P169" s="76" t="s">
        <v>231</v>
      </c>
    </row>
    <row r="170" spans="1:16">
      <c r="A170" s="2"/>
      <c r="B170" s="87"/>
      <c r="C170" s="87"/>
      <c r="D170" s="87"/>
      <c r="E170" s="87"/>
      <c r="F170" s="87"/>
      <c r="G170" s="87"/>
      <c r="H170" s="87"/>
      <c r="I170" s="87"/>
      <c r="J170" s="87"/>
      <c r="K170" s="87"/>
      <c r="L170" s="87"/>
      <c r="M170" s="87"/>
      <c r="N170" s="88"/>
      <c r="O170" s="76"/>
      <c r="P170" s="76"/>
    </row>
    <row r="171" spans="1:16">
      <c r="A171" s="5"/>
      <c r="B171" s="89"/>
      <c r="C171" s="89"/>
      <c r="D171" s="89"/>
      <c r="E171" s="89"/>
      <c r="F171" s="89"/>
      <c r="G171" s="89"/>
      <c r="H171" s="89"/>
      <c r="I171" s="89"/>
      <c r="J171" s="89"/>
      <c r="K171" s="89"/>
      <c r="L171" s="89"/>
      <c r="M171" s="89"/>
      <c r="N171" s="90"/>
      <c r="O171" s="103"/>
      <c r="P171" s="103"/>
    </row>
    <row r="172" spans="1:16" ht="25.5">
      <c r="A172" s="58"/>
      <c r="B172" s="59">
        <v>40360</v>
      </c>
      <c r="C172" s="59">
        <v>40391</v>
      </c>
      <c r="D172" s="59">
        <v>6614787</v>
      </c>
      <c r="E172" s="59">
        <v>40452</v>
      </c>
      <c r="F172" s="59">
        <v>40483</v>
      </c>
      <c r="G172" s="59">
        <v>40513</v>
      </c>
      <c r="H172" s="59">
        <v>40544</v>
      </c>
      <c r="I172" s="59">
        <v>40575</v>
      </c>
      <c r="J172" s="59">
        <v>40603</v>
      </c>
      <c r="K172" s="59">
        <v>40634</v>
      </c>
      <c r="L172" s="59">
        <v>40664</v>
      </c>
      <c r="M172" s="59">
        <v>40695</v>
      </c>
      <c r="N172" s="60" t="s">
        <v>371</v>
      </c>
      <c r="O172" s="61" t="s">
        <v>27</v>
      </c>
      <c r="P172" s="61" t="s">
        <v>175</v>
      </c>
    </row>
    <row r="173" spans="1:16">
      <c r="A173" s="67" t="s">
        <v>35</v>
      </c>
      <c r="B173" s="59"/>
      <c r="C173" s="59"/>
      <c r="D173" s="59"/>
      <c r="E173" s="59"/>
      <c r="F173" s="59"/>
      <c r="G173" s="59"/>
      <c r="H173" s="59"/>
      <c r="I173" s="59"/>
      <c r="J173" s="59"/>
      <c r="K173" s="59"/>
      <c r="L173" s="59"/>
      <c r="M173" s="59"/>
      <c r="N173" s="53"/>
      <c r="O173" s="104"/>
      <c r="P173" s="104"/>
    </row>
    <row r="174" spans="1:16">
      <c r="A174" s="71" t="s">
        <v>257</v>
      </c>
      <c r="B174" s="24">
        <v>93</v>
      </c>
      <c r="C174" s="24">
        <v>9</v>
      </c>
      <c r="D174" s="24">
        <v>58</v>
      </c>
      <c r="E174" s="24">
        <v>137</v>
      </c>
      <c r="F174" s="24">
        <v>185</v>
      </c>
      <c r="G174" s="24">
        <v>111</v>
      </c>
      <c r="H174" s="24">
        <v>25</v>
      </c>
      <c r="I174" s="24">
        <v>115</v>
      </c>
      <c r="J174" s="24">
        <v>150</v>
      </c>
      <c r="K174" s="24">
        <v>140</v>
      </c>
      <c r="L174" s="24">
        <v>60</v>
      </c>
      <c r="M174" s="24">
        <v>61</v>
      </c>
      <c r="N174" s="73">
        <f>SUM(B174:M174)</f>
        <v>1144</v>
      </c>
      <c r="O174" s="10"/>
      <c r="P174" s="76"/>
    </row>
    <row r="175" spans="1:16">
      <c r="A175" s="71" t="s">
        <v>208</v>
      </c>
      <c r="B175" s="24">
        <v>383</v>
      </c>
      <c r="C175" s="24">
        <v>36</v>
      </c>
      <c r="D175" s="24">
        <v>269</v>
      </c>
      <c r="E175" s="24">
        <v>656</v>
      </c>
      <c r="F175" s="24">
        <v>859</v>
      </c>
      <c r="G175" s="24">
        <v>771</v>
      </c>
      <c r="H175" s="24">
        <v>129</v>
      </c>
      <c r="I175" s="24">
        <v>529</v>
      </c>
      <c r="J175" s="24">
        <v>723</v>
      </c>
      <c r="K175" s="24">
        <v>849</v>
      </c>
      <c r="L175" s="24">
        <v>292</v>
      </c>
      <c r="M175" s="24">
        <v>299</v>
      </c>
      <c r="N175" s="73">
        <f>SUM(B175:M175)</f>
        <v>5795</v>
      </c>
      <c r="O175" s="116">
        <v>0</v>
      </c>
      <c r="P175" s="76" t="s">
        <v>231</v>
      </c>
    </row>
    <row r="176" spans="1:16">
      <c r="A176" s="2"/>
      <c r="B176" s="87"/>
      <c r="C176" s="87"/>
      <c r="D176" s="87"/>
      <c r="E176" s="87"/>
      <c r="F176" s="87"/>
      <c r="G176" s="87"/>
      <c r="H176" s="87"/>
      <c r="I176" s="87"/>
      <c r="J176" s="87"/>
      <c r="K176" s="87"/>
      <c r="L176" s="87"/>
      <c r="M176" s="87"/>
      <c r="N176" s="88"/>
      <c r="O176" s="76"/>
      <c r="P176" s="76"/>
    </row>
    <row r="177" spans="1:17">
      <c r="A177" s="5"/>
      <c r="B177" s="89"/>
      <c r="C177" s="89"/>
      <c r="D177" s="89"/>
      <c r="E177" s="89"/>
      <c r="F177" s="89"/>
      <c r="G177" s="89"/>
      <c r="H177" s="89"/>
      <c r="I177" s="89"/>
      <c r="J177" s="89"/>
      <c r="K177" s="89"/>
      <c r="L177" s="89"/>
      <c r="M177" s="89"/>
      <c r="N177" s="90"/>
      <c r="O177" s="103"/>
      <c r="P177" s="103"/>
    </row>
    <row r="178" spans="1:17" ht="25.5">
      <c r="A178" s="58"/>
      <c r="B178" s="59">
        <v>40360</v>
      </c>
      <c r="C178" s="59">
        <v>40391</v>
      </c>
      <c r="D178" s="59">
        <v>6614787</v>
      </c>
      <c r="E178" s="59">
        <v>40452</v>
      </c>
      <c r="F178" s="59">
        <v>40483</v>
      </c>
      <c r="G178" s="59">
        <v>40513</v>
      </c>
      <c r="H178" s="59">
        <v>40544</v>
      </c>
      <c r="I178" s="59">
        <v>40575</v>
      </c>
      <c r="J178" s="59">
        <v>40603</v>
      </c>
      <c r="K178" s="59">
        <v>40634</v>
      </c>
      <c r="L178" s="59">
        <v>40664</v>
      </c>
      <c r="M178" s="59">
        <v>40695</v>
      </c>
      <c r="N178" s="60" t="s">
        <v>371</v>
      </c>
      <c r="O178" s="61" t="s">
        <v>27</v>
      </c>
      <c r="P178" s="61" t="s">
        <v>175</v>
      </c>
      <c r="Q178" s="2"/>
    </row>
    <row r="179" spans="1:17">
      <c r="A179" s="67" t="s">
        <v>5</v>
      </c>
      <c r="B179" s="59"/>
      <c r="C179" s="59"/>
      <c r="D179" s="59"/>
      <c r="E179" s="59"/>
      <c r="F179" s="59"/>
      <c r="G179" s="59"/>
      <c r="H179" s="59"/>
      <c r="I179" s="59"/>
      <c r="J179" s="59"/>
      <c r="K179" s="59"/>
      <c r="L179" s="59"/>
      <c r="M179" s="59"/>
      <c r="N179" s="53"/>
      <c r="O179" s="104"/>
      <c r="P179" s="104"/>
    </row>
    <row r="180" spans="1:17">
      <c r="A180" s="71" t="s">
        <v>257</v>
      </c>
      <c r="B180" s="24">
        <v>56</v>
      </c>
      <c r="C180" s="24">
        <v>9</v>
      </c>
      <c r="D180" s="24">
        <v>103</v>
      </c>
      <c r="E180" s="24">
        <v>152</v>
      </c>
      <c r="F180" s="24">
        <v>239</v>
      </c>
      <c r="G180" s="24">
        <v>115</v>
      </c>
      <c r="H180" s="24">
        <v>32</v>
      </c>
      <c r="I180" s="24">
        <v>189</v>
      </c>
      <c r="J180" s="24">
        <v>211</v>
      </c>
      <c r="K180" s="24">
        <v>155</v>
      </c>
      <c r="L180" s="24">
        <v>75</v>
      </c>
      <c r="M180" s="24">
        <v>54</v>
      </c>
      <c r="N180" s="73">
        <f>SUM(B180:M180)</f>
        <v>1390</v>
      </c>
      <c r="O180" s="116"/>
      <c r="P180" s="76"/>
    </row>
    <row r="181" spans="1:17">
      <c r="A181" s="71" t="s">
        <v>208</v>
      </c>
      <c r="B181" s="24">
        <v>217</v>
      </c>
      <c r="C181" s="24">
        <v>29</v>
      </c>
      <c r="D181" s="24">
        <v>528</v>
      </c>
      <c r="E181" s="24">
        <v>788</v>
      </c>
      <c r="F181" s="24">
        <v>1148</v>
      </c>
      <c r="G181" s="24">
        <v>747</v>
      </c>
      <c r="H181" s="24">
        <v>163</v>
      </c>
      <c r="I181" s="24">
        <v>811</v>
      </c>
      <c r="J181" s="24">
        <v>888</v>
      </c>
      <c r="K181" s="24">
        <v>931</v>
      </c>
      <c r="L181" s="24">
        <v>434</v>
      </c>
      <c r="M181" s="24">
        <v>256</v>
      </c>
      <c r="N181" s="73">
        <f>SUM(B181:M181)</f>
        <v>6940</v>
      </c>
      <c r="O181" s="116">
        <v>0</v>
      </c>
      <c r="P181" s="76">
        <f>O181/N181</f>
        <v>0</v>
      </c>
    </row>
    <row r="182" spans="1:17">
      <c r="A182" s="2"/>
      <c r="B182" s="87"/>
      <c r="C182" s="87"/>
      <c r="D182" s="87"/>
      <c r="E182" s="87"/>
      <c r="F182" s="87"/>
      <c r="G182" s="87"/>
      <c r="H182" s="87"/>
      <c r="I182" s="87"/>
      <c r="J182" s="87"/>
      <c r="K182" s="87"/>
      <c r="L182" s="87"/>
      <c r="M182" s="87"/>
      <c r="N182" s="88"/>
      <c r="O182" s="76"/>
      <c r="P182" s="76"/>
    </row>
    <row r="183" spans="1:17">
      <c r="A183" s="5"/>
      <c r="B183" s="122"/>
      <c r="C183" s="122"/>
      <c r="D183" s="122"/>
      <c r="E183" s="122"/>
      <c r="F183" s="122"/>
      <c r="G183" s="122"/>
      <c r="H183" s="123"/>
      <c r="I183" s="123"/>
      <c r="J183" s="89"/>
      <c r="K183" s="89"/>
      <c r="L183" s="89"/>
      <c r="M183" s="89"/>
      <c r="N183" s="90"/>
      <c r="O183" s="103"/>
      <c r="P183" s="103"/>
    </row>
    <row r="184" spans="1:17" ht="25.5">
      <c r="A184" s="58"/>
      <c r="B184" s="59">
        <v>40360</v>
      </c>
      <c r="C184" s="59">
        <v>40391</v>
      </c>
      <c r="D184" s="59">
        <v>6614787</v>
      </c>
      <c r="E184" s="59">
        <v>40452</v>
      </c>
      <c r="F184" s="59">
        <v>40483</v>
      </c>
      <c r="G184" s="59">
        <v>40513</v>
      </c>
      <c r="H184" s="59">
        <v>40544</v>
      </c>
      <c r="I184" s="59">
        <v>40575</v>
      </c>
      <c r="J184" s="59">
        <v>40603</v>
      </c>
      <c r="K184" s="59">
        <v>40634</v>
      </c>
      <c r="L184" s="59">
        <v>40664</v>
      </c>
      <c r="M184" s="59">
        <v>40695</v>
      </c>
      <c r="N184" s="60" t="s">
        <v>371</v>
      </c>
      <c r="O184" s="61" t="s">
        <v>27</v>
      </c>
      <c r="P184" s="61" t="s">
        <v>175</v>
      </c>
    </row>
    <row r="185" spans="1:17">
      <c r="A185" s="179" t="s">
        <v>400</v>
      </c>
      <c r="B185" s="180"/>
      <c r="C185" s="59"/>
      <c r="D185" s="59"/>
      <c r="E185" s="59"/>
      <c r="F185" s="59"/>
      <c r="G185" s="59"/>
      <c r="H185" s="59"/>
      <c r="I185" s="59"/>
      <c r="J185" s="59"/>
      <c r="K185" s="59"/>
      <c r="L185" s="59"/>
      <c r="M185" s="59"/>
      <c r="N185" s="53"/>
      <c r="O185" s="104"/>
      <c r="P185" s="104"/>
    </row>
    <row r="186" spans="1:17">
      <c r="A186" s="71" t="s">
        <v>257</v>
      </c>
      <c r="B186" s="24">
        <v>106</v>
      </c>
      <c r="C186" s="24">
        <v>13</v>
      </c>
      <c r="D186" s="24">
        <v>60</v>
      </c>
      <c r="E186" s="24">
        <v>182</v>
      </c>
      <c r="F186" s="24">
        <v>219</v>
      </c>
      <c r="G186" s="24">
        <v>135</v>
      </c>
      <c r="H186" s="24">
        <v>22</v>
      </c>
      <c r="I186" s="24">
        <v>139</v>
      </c>
      <c r="J186" s="24">
        <v>179</v>
      </c>
      <c r="K186" s="24">
        <v>175</v>
      </c>
      <c r="L186" s="24">
        <v>68</v>
      </c>
      <c r="M186" s="24">
        <v>64</v>
      </c>
      <c r="N186" s="73">
        <f>SUM(B186:M186)</f>
        <v>1362</v>
      </c>
      <c r="O186" s="116"/>
      <c r="P186" s="76"/>
    </row>
    <row r="187" spans="1:17">
      <c r="A187" s="71" t="s">
        <v>208</v>
      </c>
      <c r="B187" s="24">
        <v>371</v>
      </c>
      <c r="C187" s="24">
        <v>45</v>
      </c>
      <c r="D187" s="24">
        <v>259</v>
      </c>
      <c r="E187" s="24">
        <v>780</v>
      </c>
      <c r="F187" s="24">
        <v>1036</v>
      </c>
      <c r="G187" s="24">
        <v>880</v>
      </c>
      <c r="H187" s="24">
        <v>104</v>
      </c>
      <c r="I187" s="24">
        <v>586</v>
      </c>
      <c r="J187" s="24">
        <v>789</v>
      </c>
      <c r="K187" s="24">
        <v>987</v>
      </c>
      <c r="L187" s="24">
        <v>331</v>
      </c>
      <c r="M187" s="24">
        <v>290</v>
      </c>
      <c r="N187" s="73">
        <f>SUM(B187:M187)</f>
        <v>6458</v>
      </c>
      <c r="O187" s="116">
        <v>0</v>
      </c>
      <c r="P187" s="76" t="s">
        <v>231</v>
      </c>
    </row>
    <row r="188" spans="1:17">
      <c r="A188" s="2"/>
      <c r="B188" s="124"/>
      <c r="C188" s="124"/>
      <c r="D188" s="124"/>
      <c r="E188" s="124"/>
      <c r="F188" s="124"/>
      <c r="G188" s="124"/>
      <c r="H188" s="125"/>
      <c r="I188" s="125"/>
      <c r="J188" s="87"/>
      <c r="K188" s="87"/>
      <c r="L188" s="87"/>
      <c r="M188" s="87"/>
      <c r="N188" s="88"/>
      <c r="O188" s="76"/>
      <c r="P188" s="76"/>
    </row>
    <row r="189" spans="1:17">
      <c r="A189" s="5"/>
      <c r="B189" s="122"/>
      <c r="C189" s="122"/>
      <c r="D189" s="122"/>
      <c r="E189" s="122"/>
      <c r="F189" s="122"/>
      <c r="G189" s="122"/>
      <c r="H189" s="126"/>
      <c r="I189" s="126"/>
      <c r="J189" s="89"/>
      <c r="K189" s="89"/>
      <c r="L189" s="89"/>
      <c r="M189" s="89"/>
      <c r="N189" s="90"/>
      <c r="O189" s="103"/>
      <c r="P189" s="103"/>
    </row>
    <row r="190" spans="1:17" ht="25.5">
      <c r="A190" s="58"/>
      <c r="B190" s="59">
        <v>40360</v>
      </c>
      <c r="C190" s="59">
        <v>40391</v>
      </c>
      <c r="D190" s="59">
        <v>6614787</v>
      </c>
      <c r="E190" s="59">
        <v>40452</v>
      </c>
      <c r="F190" s="59">
        <v>40483</v>
      </c>
      <c r="G190" s="59">
        <v>40513</v>
      </c>
      <c r="H190" s="59">
        <v>40544</v>
      </c>
      <c r="I190" s="59">
        <v>40575</v>
      </c>
      <c r="J190" s="59">
        <v>40603</v>
      </c>
      <c r="K190" s="59">
        <v>40634</v>
      </c>
      <c r="L190" s="59">
        <v>40664</v>
      </c>
      <c r="M190" s="59">
        <v>40695</v>
      </c>
      <c r="N190" s="60" t="s">
        <v>371</v>
      </c>
      <c r="O190" s="61" t="s">
        <v>27</v>
      </c>
      <c r="P190" s="61" t="s">
        <v>175</v>
      </c>
      <c r="Q190" s="2"/>
    </row>
    <row r="191" spans="1:17">
      <c r="A191" s="67" t="s">
        <v>103</v>
      </c>
      <c r="B191" s="59"/>
      <c r="C191" s="59"/>
      <c r="D191" s="59"/>
      <c r="E191" s="59"/>
      <c r="F191" s="59"/>
      <c r="G191" s="59"/>
      <c r="H191" s="59"/>
      <c r="I191" s="59"/>
      <c r="J191" s="59"/>
      <c r="K191" s="59"/>
      <c r="L191" s="59"/>
      <c r="M191" s="59"/>
      <c r="N191" s="53"/>
      <c r="O191" s="104"/>
      <c r="P191" s="104"/>
    </row>
    <row r="192" spans="1:17">
      <c r="A192" s="71" t="s">
        <v>257</v>
      </c>
      <c r="B192" s="24">
        <v>75</v>
      </c>
      <c r="C192" s="24">
        <v>9</v>
      </c>
      <c r="D192" s="24">
        <v>49</v>
      </c>
      <c r="E192" s="24">
        <v>155</v>
      </c>
      <c r="F192" s="24">
        <v>338</v>
      </c>
      <c r="G192" s="24">
        <v>146</v>
      </c>
      <c r="H192" s="24">
        <v>32</v>
      </c>
      <c r="I192" s="24">
        <v>142</v>
      </c>
      <c r="J192" s="24">
        <v>182</v>
      </c>
      <c r="K192" s="24">
        <v>218</v>
      </c>
      <c r="L192" s="24">
        <v>85</v>
      </c>
      <c r="M192" s="24">
        <v>70</v>
      </c>
      <c r="N192" s="73">
        <f>SUM(B192:M192)</f>
        <v>1501</v>
      </c>
      <c r="O192" s="116"/>
      <c r="P192" s="76"/>
    </row>
    <row r="193" spans="1:17">
      <c r="A193" s="71" t="s">
        <v>208</v>
      </c>
      <c r="B193" s="24">
        <v>295</v>
      </c>
      <c r="C193" s="24">
        <v>24</v>
      </c>
      <c r="D193" s="24">
        <v>221</v>
      </c>
      <c r="E193" s="24">
        <v>722</v>
      </c>
      <c r="F193" s="24">
        <v>1427</v>
      </c>
      <c r="G193" s="24">
        <v>821</v>
      </c>
      <c r="H193" s="24">
        <v>193</v>
      </c>
      <c r="I193" s="24">
        <v>603</v>
      </c>
      <c r="J193" s="24">
        <v>785</v>
      </c>
      <c r="K193" s="24">
        <v>1099</v>
      </c>
      <c r="L193" s="24">
        <v>347</v>
      </c>
      <c r="M193" s="24">
        <v>311</v>
      </c>
      <c r="N193" s="73">
        <f>SUM(B193:M193)</f>
        <v>6848</v>
      </c>
      <c r="O193" s="116">
        <v>0</v>
      </c>
      <c r="P193" s="76">
        <f>O193/N193</f>
        <v>0</v>
      </c>
    </row>
    <row r="194" spans="1:17">
      <c r="A194" s="2"/>
      <c r="B194" s="87"/>
      <c r="C194" s="87"/>
      <c r="D194" s="87"/>
      <c r="E194" s="87"/>
      <c r="F194" s="87"/>
      <c r="G194" s="87"/>
      <c r="H194" s="87"/>
      <c r="I194" s="87"/>
      <c r="J194" s="87"/>
      <c r="K194" s="87"/>
      <c r="L194" s="87"/>
      <c r="M194" s="87"/>
      <c r="N194" s="88"/>
      <c r="O194" s="76"/>
      <c r="P194" s="76"/>
    </row>
    <row r="195" spans="1:17">
      <c r="A195" s="5"/>
      <c r="B195" s="89"/>
      <c r="C195" s="89"/>
      <c r="D195" s="89"/>
      <c r="E195" s="89"/>
      <c r="F195" s="89"/>
      <c r="G195" s="89"/>
      <c r="H195" s="89"/>
      <c r="I195" s="89"/>
      <c r="J195" s="89"/>
      <c r="K195" s="89"/>
      <c r="L195" s="89"/>
      <c r="M195" s="89"/>
      <c r="N195" s="90"/>
      <c r="O195" s="103"/>
      <c r="P195" s="103"/>
    </row>
    <row r="196" spans="1:17" ht="25.5">
      <c r="A196" s="58"/>
      <c r="B196" s="59">
        <v>40360</v>
      </c>
      <c r="C196" s="59">
        <v>40391</v>
      </c>
      <c r="D196" s="59">
        <v>6614787</v>
      </c>
      <c r="E196" s="59">
        <v>40452</v>
      </c>
      <c r="F196" s="59">
        <v>40483</v>
      </c>
      <c r="G196" s="59">
        <v>40513</v>
      </c>
      <c r="H196" s="59">
        <v>40544</v>
      </c>
      <c r="I196" s="59">
        <v>40575</v>
      </c>
      <c r="J196" s="59">
        <v>40603</v>
      </c>
      <c r="K196" s="59">
        <v>40634</v>
      </c>
      <c r="L196" s="59">
        <v>40664</v>
      </c>
      <c r="M196" s="59">
        <v>40695</v>
      </c>
      <c r="N196" s="60" t="s">
        <v>371</v>
      </c>
      <c r="O196" s="61" t="s">
        <v>27</v>
      </c>
      <c r="P196" s="61" t="s">
        <v>175</v>
      </c>
      <c r="Q196" s="2"/>
    </row>
    <row r="197" spans="1:17">
      <c r="A197" s="67" t="s">
        <v>378</v>
      </c>
      <c r="B197" s="59"/>
      <c r="C197" s="59"/>
      <c r="D197" s="59"/>
      <c r="E197" s="59"/>
      <c r="F197" s="59"/>
      <c r="G197" s="59"/>
      <c r="H197" s="59"/>
      <c r="I197" s="59"/>
      <c r="J197" s="59"/>
      <c r="K197" s="59"/>
      <c r="L197" s="59"/>
      <c r="M197" s="59"/>
      <c r="N197" s="53"/>
      <c r="O197" s="104"/>
      <c r="P197" s="104"/>
    </row>
    <row r="198" spans="1:17">
      <c r="A198" s="71" t="s">
        <v>257</v>
      </c>
      <c r="B198" s="24">
        <v>6944</v>
      </c>
      <c r="C198" s="24">
        <v>1947</v>
      </c>
      <c r="D198" s="24">
        <v>7310</v>
      </c>
      <c r="E198" s="24">
        <v>16983</v>
      </c>
      <c r="F198" s="24">
        <v>18765</v>
      </c>
      <c r="G198" s="24">
        <v>8578</v>
      </c>
      <c r="H198" s="24">
        <v>2761</v>
      </c>
      <c r="I198" s="24">
        <v>11630</v>
      </c>
      <c r="J198" s="24">
        <v>17739</v>
      </c>
      <c r="K198" s="24">
        <v>16857</v>
      </c>
      <c r="L198" s="24">
        <v>5206</v>
      </c>
      <c r="M198" s="24">
        <v>4716</v>
      </c>
      <c r="N198" s="73">
        <f>SUM(B198:M198)</f>
        <v>119436</v>
      </c>
      <c r="O198" s="116"/>
      <c r="P198" s="76"/>
    </row>
    <row r="199" spans="1:17">
      <c r="A199" s="71" t="s">
        <v>208</v>
      </c>
      <c r="B199" s="24">
        <v>26525</v>
      </c>
      <c r="C199" s="24">
        <v>3872</v>
      </c>
      <c r="D199" s="24">
        <v>27308</v>
      </c>
      <c r="E199" s="24">
        <v>74048</v>
      </c>
      <c r="F199" s="24">
        <v>86500</v>
      </c>
      <c r="G199" s="24">
        <v>46499</v>
      </c>
      <c r="H199" s="24">
        <v>9054</v>
      </c>
      <c r="I199" s="24">
        <v>52378</v>
      </c>
      <c r="J199" s="24">
        <v>74650</v>
      </c>
      <c r="K199" s="24">
        <v>76583</v>
      </c>
      <c r="L199" s="24">
        <v>21472</v>
      </c>
      <c r="M199" s="24">
        <v>20331</v>
      </c>
      <c r="N199" s="73">
        <f>SUM(B199:M199)</f>
        <v>519220</v>
      </c>
      <c r="O199" s="116" t="s">
        <v>87</v>
      </c>
      <c r="P199" s="76" t="e">
        <f>O199/N199</f>
        <v>#VALUE!</v>
      </c>
    </row>
    <row r="200" spans="1:17">
      <c r="A200" s="71" t="s">
        <v>38</v>
      </c>
      <c r="B200" s="24">
        <v>9059</v>
      </c>
      <c r="C200" s="24">
        <v>2145</v>
      </c>
      <c r="D200" s="24">
        <v>8953</v>
      </c>
      <c r="E200" s="24">
        <v>24219</v>
      </c>
      <c r="F200" s="24">
        <v>28117</v>
      </c>
      <c r="G200" s="24">
        <v>11319</v>
      </c>
      <c r="H200" s="24">
        <v>2588</v>
      </c>
      <c r="I200" s="24">
        <v>14949</v>
      </c>
      <c r="J200" s="24">
        <v>24390</v>
      </c>
      <c r="K200" s="24">
        <v>19436</v>
      </c>
      <c r="L200" s="24">
        <v>2224</v>
      </c>
      <c r="M200" s="24">
        <v>4531</v>
      </c>
      <c r="N200" s="73">
        <f>SUM(B200:M200)</f>
        <v>151930</v>
      </c>
      <c r="O200" s="116" t="str">
        <f>O199</f>
        <v>=((((((((((((((((((((((((((((R[-190]C+R[-184]C)+R[-178]C)+R[-172]C)+R[-154]C)+R[-148]C)+R[-142]C)+R[-136]C)+R[-128]C)+R[-122]C)+R[-116]C)+R[-110]C)+R[-104]C)+R[-98]C)+R[-92]C)+R[-86]C)+R[-80]C)+R[-74]C)+R[-68]C)+R[-62]C)+R[-54]C)+R[-48]C)+R[-42]C)+R[-36]C)+{})+R[-30]C)+R[-24]C)+R[-18]C)+R[-12]C)+R[-6]C</v>
      </c>
      <c r="P200" s="76" t="e">
        <f>O200/N200</f>
        <v>#VALUE!</v>
      </c>
    </row>
    <row r="201" spans="1:17">
      <c r="A201" s="2"/>
      <c r="B201" s="43"/>
      <c r="C201" s="43"/>
      <c r="D201" s="43"/>
      <c r="E201" s="43"/>
      <c r="F201" s="43"/>
      <c r="G201" s="43"/>
      <c r="H201" s="43"/>
      <c r="I201" s="43"/>
      <c r="J201" s="43"/>
      <c r="K201" s="43"/>
      <c r="L201" s="43"/>
      <c r="M201" s="43"/>
      <c r="N201" s="43"/>
      <c r="O201" s="2"/>
      <c r="P201" s="2"/>
    </row>
    <row r="202" spans="1:17">
      <c r="A202" s="2"/>
      <c r="O202" s="2"/>
      <c r="P202" s="2"/>
    </row>
    <row r="203" spans="1:17">
      <c r="A203" s="2"/>
      <c r="O203" s="2"/>
      <c r="P203" s="2"/>
    </row>
  </sheetData>
  <mergeCells count="14">
    <mergeCell ref="A167:C167"/>
    <mergeCell ref="A185:B185"/>
    <mergeCell ref="A93:C93"/>
    <mergeCell ref="A105:C105"/>
    <mergeCell ref="A111:C111"/>
    <mergeCell ref="A123:C123"/>
    <mergeCell ref="A143:C143"/>
    <mergeCell ref="A149:B149"/>
    <mergeCell ref="A1:C1"/>
    <mergeCell ref="A7:D7"/>
    <mergeCell ref="A55:B55"/>
    <mergeCell ref="A61:B61"/>
    <mergeCell ref="A69:C69"/>
    <mergeCell ref="A81:E81"/>
  </mergeCells>
  <pageMargins left="0.75" right="0.75" top="1" bottom="1" header="0.5" footer="0.5"/>
  <pageSetup paperSize="9"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dimension ref="A1:Q22"/>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3.5703125" customWidth="1"/>
    <col min="2" max="14" width="8.5703125" customWidth="1"/>
    <col min="15" max="16" width="10.85546875" customWidth="1"/>
    <col min="17" max="17" width="9.140625" customWidth="1"/>
  </cols>
  <sheetData>
    <row r="1" spans="1:17" ht="20.25">
      <c r="A1" s="1" t="s">
        <v>388</v>
      </c>
      <c r="B1" s="2"/>
      <c r="C1" s="2"/>
      <c r="D1" s="2"/>
      <c r="E1" s="2"/>
      <c r="F1" s="2"/>
      <c r="G1" s="2"/>
      <c r="H1" s="2"/>
      <c r="I1" s="2"/>
      <c r="J1" s="2"/>
      <c r="K1" s="2"/>
      <c r="L1" s="2"/>
      <c r="M1" s="2"/>
      <c r="N1" s="2"/>
      <c r="O1" s="2"/>
      <c r="P1" s="2"/>
      <c r="Q1" s="2"/>
    </row>
    <row r="2" spans="1:17" ht="18">
      <c r="A2" s="48" t="s">
        <v>141</v>
      </c>
      <c r="B2" s="2"/>
      <c r="C2" s="2"/>
      <c r="D2" s="2"/>
      <c r="E2" s="2"/>
      <c r="F2" s="2"/>
      <c r="G2" s="2"/>
      <c r="H2" s="2"/>
      <c r="I2" s="2"/>
      <c r="J2" s="2"/>
      <c r="K2" s="2"/>
      <c r="L2" s="2"/>
      <c r="M2" s="2"/>
      <c r="N2" s="2"/>
      <c r="O2" s="2"/>
      <c r="P2" s="2"/>
      <c r="Q2" s="2"/>
    </row>
    <row r="3" spans="1:17">
      <c r="O3" s="2"/>
      <c r="P3" s="2"/>
    </row>
    <row r="4" spans="1:17">
      <c r="A4" s="2" t="s">
        <v>17</v>
      </c>
      <c r="B4" s="49" t="s">
        <v>151</v>
      </c>
      <c r="O4" s="2"/>
      <c r="P4" s="2"/>
    </row>
    <row r="5" spans="1:17">
      <c r="A5" s="5"/>
      <c r="B5" s="6"/>
      <c r="C5" s="6"/>
      <c r="D5" s="6"/>
      <c r="E5" s="6"/>
      <c r="F5" s="6"/>
      <c r="G5" s="6"/>
      <c r="H5" s="6"/>
      <c r="I5" s="6"/>
      <c r="J5" s="6"/>
      <c r="K5" s="6"/>
      <c r="L5" s="6"/>
      <c r="M5" s="6"/>
      <c r="N5" s="6"/>
      <c r="O5" s="5"/>
      <c r="P5" s="5"/>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67" t="s">
        <v>146</v>
      </c>
      <c r="B7" s="59"/>
      <c r="C7" s="59"/>
      <c r="D7" s="59"/>
      <c r="E7" s="59"/>
      <c r="F7" s="59"/>
      <c r="G7" s="59"/>
      <c r="H7" s="59"/>
      <c r="I7" s="59"/>
      <c r="J7" s="59"/>
      <c r="K7" s="59"/>
      <c r="L7" s="59"/>
      <c r="M7" s="59"/>
      <c r="N7" s="53"/>
      <c r="O7" s="104"/>
      <c r="P7" s="104"/>
    </row>
    <row r="8" spans="1:17">
      <c r="A8" s="71" t="s">
        <v>257</v>
      </c>
      <c r="B8" s="24" t="s">
        <v>231</v>
      </c>
      <c r="C8" s="24" t="s">
        <v>231</v>
      </c>
      <c r="D8" s="24" t="s">
        <v>231</v>
      </c>
      <c r="E8" s="24" t="s">
        <v>231</v>
      </c>
      <c r="F8" s="24" t="s">
        <v>231</v>
      </c>
      <c r="G8" s="24" t="s">
        <v>231</v>
      </c>
      <c r="H8" s="24" t="s">
        <v>231</v>
      </c>
      <c r="I8" s="24" t="s">
        <v>231</v>
      </c>
      <c r="J8" s="24" t="s">
        <v>231</v>
      </c>
      <c r="K8" s="24" t="s">
        <v>231</v>
      </c>
      <c r="L8" s="24" t="s">
        <v>231</v>
      </c>
      <c r="M8" s="24" t="s">
        <v>231</v>
      </c>
      <c r="N8" s="73">
        <f>SUM(B8:M8)</f>
        <v>0</v>
      </c>
      <c r="O8" s="10"/>
      <c r="P8" s="76"/>
    </row>
    <row r="9" spans="1:17">
      <c r="A9" s="71" t="s">
        <v>208</v>
      </c>
      <c r="B9" s="24" t="s">
        <v>231</v>
      </c>
      <c r="C9" s="24" t="s">
        <v>231</v>
      </c>
      <c r="D9" s="24" t="s">
        <v>231</v>
      </c>
      <c r="E9" s="24" t="s">
        <v>231</v>
      </c>
      <c r="F9" s="24" t="s">
        <v>231</v>
      </c>
      <c r="G9" s="24" t="s">
        <v>231</v>
      </c>
      <c r="H9" s="24" t="s">
        <v>231</v>
      </c>
      <c r="I9" s="24" t="s">
        <v>231</v>
      </c>
      <c r="J9" s="24" t="s">
        <v>231</v>
      </c>
      <c r="K9" s="24" t="s">
        <v>231</v>
      </c>
      <c r="L9" s="24" t="s">
        <v>231</v>
      </c>
      <c r="M9" s="24" t="s">
        <v>231</v>
      </c>
      <c r="N9" s="73">
        <f>SUM(B9:M9)</f>
        <v>0</v>
      </c>
      <c r="O9" s="116">
        <v>0</v>
      </c>
      <c r="P9" s="76" t="s">
        <v>231</v>
      </c>
    </row>
    <row r="10" spans="1:17">
      <c r="A10" s="97"/>
      <c r="B10" s="53"/>
      <c r="C10" s="53"/>
      <c r="D10" s="53"/>
      <c r="E10" s="53"/>
      <c r="F10" s="53"/>
      <c r="G10" s="53"/>
      <c r="H10" s="53"/>
      <c r="I10" s="53"/>
      <c r="J10" s="53"/>
      <c r="K10" s="53"/>
      <c r="L10" s="53"/>
      <c r="M10" s="53"/>
      <c r="N10" s="53"/>
      <c r="O10" s="98"/>
      <c r="P10" s="98"/>
    </row>
    <row r="11" spans="1:17" ht="25.5">
      <c r="A11" s="58"/>
      <c r="B11" s="59">
        <v>40360</v>
      </c>
      <c r="C11" s="59">
        <v>40391</v>
      </c>
      <c r="D11" s="59">
        <v>6614787</v>
      </c>
      <c r="E11" s="59">
        <v>40452</v>
      </c>
      <c r="F11" s="59">
        <v>40483</v>
      </c>
      <c r="G11" s="59">
        <v>40513</v>
      </c>
      <c r="H11" s="59">
        <v>40544</v>
      </c>
      <c r="I11" s="59">
        <v>40575</v>
      </c>
      <c r="J11" s="59">
        <v>40603</v>
      </c>
      <c r="K11" s="59">
        <v>40634</v>
      </c>
      <c r="L11" s="59">
        <v>40664</v>
      </c>
      <c r="M11" s="59">
        <v>40695</v>
      </c>
      <c r="N11" s="60" t="s">
        <v>371</v>
      </c>
      <c r="O11" s="61" t="s">
        <v>27</v>
      </c>
      <c r="P11" s="61" t="s">
        <v>175</v>
      </c>
      <c r="Q11" s="2"/>
    </row>
    <row r="12" spans="1:17">
      <c r="A12" s="67" t="s">
        <v>139</v>
      </c>
      <c r="B12" s="59"/>
      <c r="C12" s="59"/>
      <c r="D12" s="59"/>
      <c r="E12" s="59"/>
      <c r="F12" s="59"/>
      <c r="G12" s="59"/>
      <c r="H12" s="59"/>
      <c r="I12" s="59"/>
      <c r="J12" s="59"/>
      <c r="K12" s="59"/>
      <c r="L12" s="59"/>
      <c r="M12" s="59"/>
      <c r="N12" s="53"/>
      <c r="O12" s="104"/>
      <c r="P12" s="104"/>
    </row>
    <row r="13" spans="1:17">
      <c r="A13" s="71" t="s">
        <v>235</v>
      </c>
      <c r="B13" s="24">
        <v>0</v>
      </c>
      <c r="C13" s="24">
        <v>0</v>
      </c>
      <c r="D13" s="24">
        <v>0</v>
      </c>
      <c r="E13" s="24">
        <v>0</v>
      </c>
      <c r="F13" s="24">
        <v>0</v>
      </c>
      <c r="G13" s="24">
        <v>0</v>
      </c>
      <c r="H13" s="24">
        <v>0</v>
      </c>
      <c r="I13" s="24">
        <v>0</v>
      </c>
      <c r="J13" s="24">
        <v>0</v>
      </c>
      <c r="K13" s="24">
        <v>0</v>
      </c>
      <c r="L13" s="24">
        <v>0</v>
      </c>
      <c r="M13" s="24">
        <v>0</v>
      </c>
      <c r="N13" s="73">
        <f>SUM(B13:M13)</f>
        <v>0</v>
      </c>
      <c r="O13" s="116">
        <v>0</v>
      </c>
      <c r="P13" s="76" t="e">
        <f>O13/N13</f>
        <v>#DIV/0!</v>
      </c>
    </row>
    <row r="14" spans="1:17">
      <c r="A14" s="2"/>
      <c r="B14" s="94"/>
      <c r="C14" s="94"/>
      <c r="D14" s="94"/>
      <c r="E14" s="94"/>
      <c r="F14" s="94"/>
      <c r="G14" s="94"/>
      <c r="H14" s="94"/>
      <c r="I14" s="94"/>
      <c r="J14" s="94"/>
      <c r="K14" s="94"/>
      <c r="L14" s="94"/>
      <c r="M14" s="94"/>
      <c r="N14" s="82"/>
      <c r="O14" s="76"/>
      <c r="P14" s="76"/>
    </row>
    <row r="15" spans="1:17">
      <c r="A15" s="5"/>
      <c r="B15" s="5"/>
      <c r="C15" s="5"/>
      <c r="D15" s="5"/>
      <c r="E15" s="5"/>
      <c r="F15" s="5"/>
      <c r="G15" s="5"/>
      <c r="H15" s="5"/>
      <c r="I15" s="5"/>
      <c r="J15" s="5"/>
      <c r="K15" s="5"/>
      <c r="L15" s="5"/>
      <c r="M15" s="5"/>
      <c r="N15" s="127"/>
      <c r="O15" s="103"/>
      <c r="P15" s="103"/>
    </row>
    <row r="16" spans="1:17" ht="25.5">
      <c r="A16" s="58"/>
      <c r="B16" s="59">
        <v>40360</v>
      </c>
      <c r="C16" s="59">
        <v>40391</v>
      </c>
      <c r="D16" s="59">
        <v>6614787</v>
      </c>
      <c r="E16" s="59">
        <v>40452</v>
      </c>
      <c r="F16" s="59">
        <v>40483</v>
      </c>
      <c r="G16" s="59">
        <v>40513</v>
      </c>
      <c r="H16" s="59">
        <v>40544</v>
      </c>
      <c r="I16" s="59">
        <v>40575</v>
      </c>
      <c r="J16" s="59">
        <v>40603</v>
      </c>
      <c r="K16" s="59">
        <v>40634</v>
      </c>
      <c r="L16" s="59">
        <v>40664</v>
      </c>
      <c r="M16" s="59">
        <v>40695</v>
      </c>
      <c r="N16" s="60" t="s">
        <v>371</v>
      </c>
      <c r="O16" s="61" t="s">
        <v>27</v>
      </c>
      <c r="P16" s="61" t="s">
        <v>175</v>
      </c>
    </row>
    <row r="17" spans="1:16">
      <c r="A17" s="183" t="s">
        <v>419</v>
      </c>
      <c r="B17" s="190"/>
      <c r="C17" s="59"/>
      <c r="D17" s="59"/>
      <c r="E17" s="59"/>
      <c r="F17" s="59"/>
      <c r="G17" s="59"/>
      <c r="H17" s="59"/>
      <c r="I17" s="59"/>
      <c r="J17" s="59"/>
      <c r="K17" s="59"/>
      <c r="L17" s="59"/>
      <c r="M17" s="59"/>
      <c r="N17" s="53"/>
      <c r="O17" s="191" t="s">
        <v>163</v>
      </c>
      <c r="P17" s="191"/>
    </row>
    <row r="18" spans="1:16">
      <c r="A18" s="71" t="s">
        <v>235</v>
      </c>
      <c r="B18" s="33">
        <v>1</v>
      </c>
      <c r="C18" s="24">
        <v>0</v>
      </c>
      <c r="D18" s="24">
        <v>14</v>
      </c>
      <c r="E18" s="24">
        <v>2</v>
      </c>
      <c r="F18" s="24">
        <v>9</v>
      </c>
      <c r="G18" s="24">
        <v>5</v>
      </c>
      <c r="H18" s="24">
        <v>1</v>
      </c>
      <c r="I18" s="24">
        <v>5</v>
      </c>
      <c r="J18" s="24">
        <v>11</v>
      </c>
      <c r="K18" s="24">
        <v>19</v>
      </c>
      <c r="L18" s="24">
        <v>0</v>
      </c>
      <c r="M18" s="24">
        <v>1</v>
      </c>
      <c r="N18" s="73">
        <f>SUM(B18:M18)</f>
        <v>68</v>
      </c>
      <c r="O18" s="116">
        <v>0</v>
      </c>
      <c r="P18" s="76">
        <f>O18/N18</f>
        <v>0</v>
      </c>
    </row>
    <row r="19" spans="1:16">
      <c r="A19" s="2"/>
      <c r="B19" s="43"/>
      <c r="C19" s="43"/>
      <c r="D19" s="43"/>
      <c r="E19" s="43"/>
      <c r="F19" s="43"/>
      <c r="G19" s="43"/>
      <c r="H19" s="43"/>
      <c r="I19" s="43"/>
      <c r="J19" s="43"/>
      <c r="K19" s="43"/>
      <c r="L19" s="43"/>
      <c r="M19" s="43"/>
      <c r="N19" s="43"/>
      <c r="O19" s="2"/>
      <c r="P19" s="2"/>
    </row>
    <row r="20" spans="1:16">
      <c r="A20" s="2"/>
      <c r="O20" s="2"/>
      <c r="P20" s="2"/>
    </row>
    <row r="21" spans="1:16">
      <c r="A21" s="2"/>
      <c r="O21" s="2"/>
      <c r="P21" s="2"/>
    </row>
    <row r="22" spans="1:16">
      <c r="A22" s="2"/>
      <c r="O22" s="2"/>
      <c r="P22" s="2"/>
    </row>
  </sheetData>
  <mergeCells count="2">
    <mergeCell ref="A17:B17"/>
    <mergeCell ref="O17:P17"/>
  </mergeCells>
  <pageMargins left="0.75" right="0.75" top="1" bottom="1" header="0.5" footer="0.5"/>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dimension ref="A1:Q10"/>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33.5703125" customWidth="1"/>
    <col min="2" max="14" width="8.5703125" customWidth="1"/>
    <col min="15" max="16" width="10.85546875" customWidth="1"/>
    <col min="17" max="17" width="9.140625" customWidth="1"/>
  </cols>
  <sheetData>
    <row r="1" spans="1:17" ht="20.25">
      <c r="A1" s="1" t="s">
        <v>376</v>
      </c>
      <c r="B1" s="2"/>
      <c r="C1" s="2"/>
      <c r="D1" s="2"/>
      <c r="E1" s="2"/>
      <c r="F1" s="2"/>
      <c r="G1" s="2"/>
      <c r="H1" s="2"/>
      <c r="I1" s="2"/>
      <c r="J1" s="2"/>
      <c r="K1" s="2"/>
      <c r="L1" s="2"/>
      <c r="M1" s="2"/>
      <c r="N1" s="2"/>
      <c r="O1" s="2"/>
      <c r="P1" s="2"/>
      <c r="Q1" s="2"/>
    </row>
    <row r="2" spans="1:17" ht="18">
      <c r="A2" s="48" t="s">
        <v>141</v>
      </c>
      <c r="B2" s="2"/>
      <c r="C2" s="2"/>
      <c r="D2" s="2"/>
      <c r="E2" s="2"/>
      <c r="F2" s="2"/>
      <c r="G2" s="2"/>
      <c r="H2" s="2"/>
      <c r="I2" s="2"/>
      <c r="J2" s="2"/>
      <c r="K2" s="2"/>
      <c r="L2" s="2"/>
      <c r="M2" s="2"/>
      <c r="N2" s="2"/>
      <c r="O2" s="2"/>
      <c r="P2" s="2"/>
      <c r="Q2" s="2"/>
    </row>
    <row r="3" spans="1:17">
      <c r="O3" s="2"/>
      <c r="P3" s="2"/>
    </row>
    <row r="4" spans="1:17">
      <c r="A4" s="2" t="s">
        <v>17</v>
      </c>
      <c r="B4" s="49" t="s">
        <v>151</v>
      </c>
      <c r="O4" s="2"/>
      <c r="P4" s="2"/>
    </row>
    <row r="5" spans="1:17">
      <c r="A5" s="5"/>
      <c r="B5" s="6"/>
      <c r="C5" s="6"/>
      <c r="D5" s="6"/>
      <c r="E5" s="6"/>
      <c r="F5" s="6"/>
      <c r="G5" s="6"/>
      <c r="H5" s="6"/>
      <c r="I5" s="6"/>
      <c r="J5" s="6"/>
      <c r="K5" s="6"/>
      <c r="L5" s="6"/>
      <c r="M5" s="6"/>
      <c r="N5" s="6"/>
      <c r="O5" s="5"/>
      <c r="P5" s="5"/>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67" t="s">
        <v>75</v>
      </c>
      <c r="B7" s="53"/>
      <c r="C7" s="53"/>
      <c r="D7" s="53"/>
      <c r="E7" s="53"/>
      <c r="F7" s="53"/>
      <c r="G7" s="53"/>
      <c r="H7" s="53"/>
      <c r="I7" s="53"/>
      <c r="J7" s="53"/>
      <c r="K7" s="53"/>
      <c r="L7" s="53"/>
      <c r="M7" s="53"/>
      <c r="N7" s="53"/>
      <c r="O7" s="104"/>
      <c r="P7" s="104"/>
    </row>
    <row r="8" spans="1:17">
      <c r="A8" s="71" t="s">
        <v>257</v>
      </c>
      <c r="B8" s="24">
        <v>172</v>
      </c>
      <c r="C8" s="24">
        <v>65</v>
      </c>
      <c r="D8" s="24">
        <v>207</v>
      </c>
      <c r="E8" s="24">
        <v>220</v>
      </c>
      <c r="F8" s="24">
        <v>191</v>
      </c>
      <c r="G8" s="24">
        <v>79</v>
      </c>
      <c r="H8" s="24">
        <v>67</v>
      </c>
      <c r="I8" s="24">
        <v>405</v>
      </c>
      <c r="J8" s="24">
        <v>578</v>
      </c>
      <c r="K8" s="24">
        <v>331</v>
      </c>
      <c r="L8" s="24">
        <v>154</v>
      </c>
      <c r="M8" s="24">
        <v>160</v>
      </c>
      <c r="N8" s="73">
        <f>SUM(B8:M8)</f>
        <v>2629</v>
      </c>
      <c r="O8" s="116"/>
      <c r="P8" s="76"/>
    </row>
    <row r="9" spans="1:17">
      <c r="A9" s="71" t="s">
        <v>208</v>
      </c>
      <c r="B9" s="24">
        <v>517</v>
      </c>
      <c r="C9" s="24">
        <v>143</v>
      </c>
      <c r="D9" s="24">
        <v>640</v>
      </c>
      <c r="E9" s="24">
        <v>647</v>
      </c>
      <c r="F9" s="24">
        <v>598</v>
      </c>
      <c r="G9" s="24">
        <v>184</v>
      </c>
      <c r="H9" s="24">
        <v>326</v>
      </c>
      <c r="I9" s="24">
        <v>2139</v>
      </c>
      <c r="J9" s="24">
        <v>2191</v>
      </c>
      <c r="K9" s="24">
        <v>1047</v>
      </c>
      <c r="L9" s="24">
        <v>499</v>
      </c>
      <c r="M9" s="24">
        <v>550</v>
      </c>
      <c r="N9" s="73">
        <f>SUM(B9:M9)</f>
        <v>9481</v>
      </c>
      <c r="O9" s="116">
        <v>11528</v>
      </c>
      <c r="P9" s="76">
        <f>O9/N9</f>
        <v>1.2159054952009283</v>
      </c>
    </row>
    <row r="10" spans="1:17">
      <c r="A10" s="2"/>
      <c r="B10" s="82"/>
      <c r="C10" s="82"/>
      <c r="D10" s="82"/>
      <c r="E10" s="82"/>
      <c r="F10" s="82"/>
      <c r="G10" s="82"/>
      <c r="H10" s="82"/>
      <c r="I10" s="82"/>
      <c r="J10" s="82"/>
      <c r="K10" s="82"/>
      <c r="L10" s="82"/>
      <c r="M10" s="82"/>
      <c r="N10" s="128"/>
      <c r="O10" s="76"/>
      <c r="P10" s="76"/>
    </row>
  </sheetData>
  <pageMargins left="0.75" right="0.75" top="1" bottom="1" header="0.5" footer="0.5"/>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dimension ref="A1:Q141"/>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4.85546875" customWidth="1"/>
    <col min="2" max="14" width="8.5703125" customWidth="1"/>
    <col min="15" max="16" width="10.85546875" customWidth="1"/>
    <col min="17" max="17" width="9.140625" customWidth="1"/>
  </cols>
  <sheetData>
    <row r="1" spans="1:17" ht="20.25">
      <c r="A1" s="1" t="s">
        <v>367</v>
      </c>
      <c r="B1" s="2"/>
      <c r="C1" s="2"/>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c r="O3" s="2"/>
      <c r="P3" s="2"/>
    </row>
    <row r="4" spans="1:17">
      <c r="A4" s="2" t="s">
        <v>17</v>
      </c>
      <c r="B4" s="2" t="s">
        <v>192</v>
      </c>
      <c r="O4" s="2"/>
      <c r="P4" s="2"/>
    </row>
    <row r="5" spans="1:17">
      <c r="A5" s="5"/>
      <c r="B5" s="6"/>
      <c r="C5" s="6"/>
      <c r="D5" s="6"/>
      <c r="E5" s="6"/>
      <c r="F5" s="6"/>
      <c r="G5" s="6"/>
      <c r="H5" s="6"/>
      <c r="I5" s="6"/>
      <c r="J5" s="6"/>
      <c r="K5" s="6"/>
      <c r="L5" s="6"/>
      <c r="M5" s="6"/>
      <c r="N5" s="6"/>
      <c r="O5" s="5"/>
      <c r="P5" s="5"/>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67" t="s">
        <v>352</v>
      </c>
      <c r="B7" s="121"/>
      <c r="C7" s="121"/>
      <c r="D7" s="121"/>
      <c r="E7" s="121"/>
      <c r="F7" s="121"/>
      <c r="G7" s="121"/>
      <c r="H7" s="121"/>
      <c r="I7" s="121"/>
      <c r="J7" s="121"/>
      <c r="K7" s="121"/>
      <c r="L7" s="121"/>
      <c r="M7" s="121"/>
      <c r="N7" s="121"/>
      <c r="O7" s="104"/>
      <c r="P7" s="104"/>
    </row>
    <row r="8" spans="1:17">
      <c r="A8" s="71" t="s">
        <v>208</v>
      </c>
      <c r="B8" s="24">
        <v>0</v>
      </c>
      <c r="C8" s="24">
        <v>0</v>
      </c>
      <c r="D8" s="24">
        <v>0</v>
      </c>
      <c r="E8" s="24">
        <v>0</v>
      </c>
      <c r="F8" s="24">
        <v>0</v>
      </c>
      <c r="G8" s="24">
        <v>0</v>
      </c>
      <c r="H8" s="24" t="s">
        <v>231</v>
      </c>
      <c r="I8" s="24" t="s">
        <v>231</v>
      </c>
      <c r="J8" s="24" t="s">
        <v>231</v>
      </c>
      <c r="K8" s="24" t="s">
        <v>231</v>
      </c>
      <c r="L8" s="24" t="s">
        <v>231</v>
      </c>
      <c r="M8" s="24" t="s">
        <v>231</v>
      </c>
      <c r="N8" s="73">
        <f>SUM(B8:M8)</f>
        <v>0</v>
      </c>
      <c r="O8" s="116">
        <v>0</v>
      </c>
      <c r="P8" s="76" t="s">
        <v>231</v>
      </c>
    </row>
    <row r="9" spans="1:17">
      <c r="A9" s="2"/>
      <c r="B9" s="87"/>
      <c r="C9" s="87"/>
      <c r="D9" s="87"/>
      <c r="E9" s="87"/>
      <c r="F9" s="87"/>
      <c r="G9" s="87"/>
      <c r="H9" s="87"/>
      <c r="I9" s="87"/>
      <c r="J9" s="87"/>
      <c r="K9" s="87"/>
      <c r="L9" s="87"/>
      <c r="M9" s="87"/>
      <c r="N9" s="88"/>
      <c r="O9" s="76"/>
      <c r="P9" s="76"/>
    </row>
    <row r="10" spans="1:17">
      <c r="A10" s="5"/>
      <c r="B10" s="89"/>
      <c r="C10" s="89"/>
      <c r="D10" s="89"/>
      <c r="E10" s="89"/>
      <c r="F10" s="89"/>
      <c r="G10" s="89"/>
      <c r="H10" s="89"/>
      <c r="I10" s="89"/>
      <c r="J10" s="89"/>
      <c r="K10" s="89"/>
      <c r="L10" s="89"/>
      <c r="M10" s="89"/>
      <c r="N10" s="90"/>
      <c r="O10" s="103"/>
      <c r="P10" s="103"/>
    </row>
    <row r="11" spans="1:17" ht="25.5">
      <c r="A11" s="58"/>
      <c r="B11" s="59">
        <v>40360</v>
      </c>
      <c r="C11" s="59">
        <v>40391</v>
      </c>
      <c r="D11" s="59">
        <v>6614787</v>
      </c>
      <c r="E11" s="59">
        <v>40452</v>
      </c>
      <c r="F11" s="59">
        <v>40483</v>
      </c>
      <c r="G11" s="59">
        <v>40513</v>
      </c>
      <c r="H11" s="59">
        <v>40544</v>
      </c>
      <c r="I11" s="59">
        <v>40575</v>
      </c>
      <c r="J11" s="59">
        <v>40603</v>
      </c>
      <c r="K11" s="59">
        <v>40634</v>
      </c>
      <c r="L11" s="59">
        <v>40664</v>
      </c>
      <c r="M11" s="59">
        <v>40695</v>
      </c>
      <c r="N11" s="60" t="s">
        <v>371</v>
      </c>
      <c r="O11" s="61" t="s">
        <v>27</v>
      </c>
      <c r="P11" s="61" t="s">
        <v>175</v>
      </c>
      <c r="Q11" s="2"/>
    </row>
    <row r="12" spans="1:17">
      <c r="A12" s="67" t="s">
        <v>147</v>
      </c>
      <c r="B12" s="59"/>
      <c r="C12" s="59"/>
      <c r="D12" s="59"/>
      <c r="E12" s="59"/>
      <c r="F12" s="59"/>
      <c r="G12" s="59"/>
      <c r="H12" s="59"/>
      <c r="I12" s="59"/>
      <c r="J12" s="59"/>
      <c r="K12" s="59"/>
      <c r="L12" s="59"/>
      <c r="M12" s="59"/>
      <c r="N12" s="53"/>
      <c r="O12" s="104"/>
      <c r="P12" s="104"/>
    </row>
    <row r="13" spans="1:17">
      <c r="A13" s="71" t="s">
        <v>208</v>
      </c>
      <c r="B13" s="24">
        <v>0</v>
      </c>
      <c r="C13" s="24">
        <v>0</v>
      </c>
      <c r="D13" s="24">
        <v>0</v>
      </c>
      <c r="E13" s="24">
        <v>0</v>
      </c>
      <c r="F13" s="24">
        <v>0</v>
      </c>
      <c r="G13" s="24">
        <v>0</v>
      </c>
      <c r="H13" s="24" t="s">
        <v>231</v>
      </c>
      <c r="I13" s="24" t="s">
        <v>231</v>
      </c>
      <c r="J13" s="24" t="s">
        <v>231</v>
      </c>
      <c r="K13" s="24" t="s">
        <v>231</v>
      </c>
      <c r="L13" s="24" t="s">
        <v>231</v>
      </c>
      <c r="M13" s="24" t="s">
        <v>231</v>
      </c>
      <c r="N13" s="129">
        <f>SUM(B13:M13)</f>
        <v>0</v>
      </c>
      <c r="O13" s="116">
        <v>0</v>
      </c>
      <c r="P13" s="76" t="s">
        <v>231</v>
      </c>
    </row>
    <row r="14" spans="1:17">
      <c r="A14" s="2"/>
      <c r="B14" s="124"/>
      <c r="C14" s="124"/>
      <c r="D14" s="124"/>
      <c r="E14" s="124"/>
      <c r="F14" s="124"/>
      <c r="G14" s="124"/>
      <c r="H14" s="124"/>
      <c r="I14" s="124"/>
      <c r="J14" s="124"/>
      <c r="K14" s="124"/>
      <c r="L14" s="124"/>
      <c r="M14" s="124"/>
      <c r="N14" s="82"/>
      <c r="O14" s="76"/>
      <c r="P14" s="76"/>
    </row>
    <row r="15" spans="1:17">
      <c r="A15" s="5"/>
      <c r="B15" s="122"/>
      <c r="C15" s="122"/>
      <c r="D15" s="122"/>
      <c r="E15" s="122"/>
      <c r="F15" s="122"/>
      <c r="G15" s="122"/>
      <c r="H15" s="122"/>
      <c r="I15" s="122"/>
      <c r="J15" s="122"/>
      <c r="K15" s="122"/>
      <c r="L15" s="122"/>
      <c r="M15" s="122"/>
      <c r="N15" s="5"/>
      <c r="O15" s="103"/>
      <c r="P15" s="103"/>
    </row>
    <row r="16" spans="1:17" ht="25.5">
      <c r="A16" s="58"/>
      <c r="B16" s="59">
        <v>40360</v>
      </c>
      <c r="C16" s="59">
        <v>40391</v>
      </c>
      <c r="D16" s="59">
        <v>6614787</v>
      </c>
      <c r="E16" s="59">
        <v>40452</v>
      </c>
      <c r="F16" s="59">
        <v>40483</v>
      </c>
      <c r="G16" s="59">
        <v>40513</v>
      </c>
      <c r="H16" s="59">
        <v>40544</v>
      </c>
      <c r="I16" s="59">
        <v>40575</v>
      </c>
      <c r="J16" s="59">
        <v>40603</v>
      </c>
      <c r="K16" s="59">
        <v>40634</v>
      </c>
      <c r="L16" s="59">
        <v>40664</v>
      </c>
      <c r="M16" s="59">
        <v>40695</v>
      </c>
      <c r="N16" s="60" t="s">
        <v>371</v>
      </c>
      <c r="O16" s="61" t="s">
        <v>27</v>
      </c>
      <c r="P16" s="61" t="s">
        <v>175</v>
      </c>
      <c r="Q16" s="2"/>
    </row>
    <row r="17" spans="1:17">
      <c r="A17" s="67" t="s">
        <v>111</v>
      </c>
      <c r="B17" s="59"/>
      <c r="C17" s="59"/>
      <c r="D17" s="59"/>
      <c r="E17" s="59"/>
      <c r="F17" s="59"/>
      <c r="G17" s="59"/>
      <c r="H17" s="59"/>
      <c r="I17" s="59"/>
      <c r="J17" s="59"/>
      <c r="K17" s="59"/>
      <c r="L17" s="59"/>
      <c r="M17" s="59"/>
      <c r="N17" s="53"/>
      <c r="O17" s="104"/>
      <c r="P17" s="104"/>
    </row>
    <row r="18" spans="1:17">
      <c r="A18" s="71" t="s">
        <v>306</v>
      </c>
      <c r="B18" s="24">
        <v>101</v>
      </c>
      <c r="C18" s="24">
        <v>26</v>
      </c>
      <c r="D18" s="24">
        <v>103</v>
      </c>
      <c r="E18" s="24">
        <v>158</v>
      </c>
      <c r="F18" s="24">
        <v>168</v>
      </c>
      <c r="G18" s="24">
        <v>104</v>
      </c>
      <c r="H18" s="24">
        <v>46</v>
      </c>
      <c r="I18" s="24">
        <v>91</v>
      </c>
      <c r="J18" s="24">
        <v>121</v>
      </c>
      <c r="K18" s="24">
        <v>88</v>
      </c>
      <c r="L18" s="24">
        <v>48</v>
      </c>
      <c r="M18" s="24">
        <v>43</v>
      </c>
      <c r="N18" s="73">
        <f>SUM(B18:M18)</f>
        <v>1097</v>
      </c>
      <c r="O18" s="116"/>
      <c r="P18" s="76"/>
    </row>
    <row r="19" spans="1:17">
      <c r="A19" s="71" t="s">
        <v>208</v>
      </c>
      <c r="B19" s="24">
        <v>521</v>
      </c>
      <c r="C19" s="24">
        <v>43</v>
      </c>
      <c r="D19" s="24">
        <v>616</v>
      </c>
      <c r="E19" s="24">
        <v>274</v>
      </c>
      <c r="F19" s="24">
        <v>694</v>
      </c>
      <c r="G19" s="24">
        <v>669</v>
      </c>
      <c r="H19" s="24">
        <v>374</v>
      </c>
      <c r="I19" s="24">
        <v>302</v>
      </c>
      <c r="J19" s="24">
        <v>230</v>
      </c>
      <c r="K19" s="24">
        <v>484</v>
      </c>
      <c r="L19" s="24">
        <v>297</v>
      </c>
      <c r="M19" s="24">
        <v>473</v>
      </c>
      <c r="N19" s="73">
        <f>SUM(B19:M19)</f>
        <v>4977</v>
      </c>
      <c r="O19" s="116">
        <v>0</v>
      </c>
      <c r="P19" s="76" t="s">
        <v>231</v>
      </c>
    </row>
    <row r="20" spans="1:17">
      <c r="A20" s="71" t="s">
        <v>241</v>
      </c>
      <c r="B20" s="24">
        <v>2</v>
      </c>
      <c r="C20" s="24">
        <v>2</v>
      </c>
      <c r="D20" s="24">
        <v>2</v>
      </c>
      <c r="E20" s="24">
        <v>2</v>
      </c>
      <c r="F20" s="24">
        <v>2</v>
      </c>
      <c r="G20" s="24">
        <v>2</v>
      </c>
      <c r="H20" s="24">
        <v>2</v>
      </c>
      <c r="I20" s="24">
        <v>2</v>
      </c>
      <c r="J20" s="24">
        <v>2</v>
      </c>
      <c r="K20" s="24">
        <v>2</v>
      </c>
      <c r="L20" s="24">
        <v>2</v>
      </c>
      <c r="M20" s="24">
        <v>2</v>
      </c>
      <c r="N20" s="73"/>
      <c r="O20" s="116"/>
      <c r="P20" s="76"/>
    </row>
    <row r="21" spans="1:17">
      <c r="A21" s="71" t="s">
        <v>228</v>
      </c>
      <c r="B21" s="24">
        <v>5</v>
      </c>
      <c r="C21" s="24">
        <v>0</v>
      </c>
      <c r="D21" s="24">
        <v>8</v>
      </c>
      <c r="E21" s="24">
        <v>6</v>
      </c>
      <c r="F21" s="24">
        <v>2</v>
      </c>
      <c r="G21" s="24">
        <v>4</v>
      </c>
      <c r="H21" s="24">
        <v>0</v>
      </c>
      <c r="I21" s="24">
        <v>2</v>
      </c>
      <c r="J21" s="24">
        <v>4</v>
      </c>
      <c r="K21" s="24">
        <v>0</v>
      </c>
      <c r="L21" s="24">
        <v>0</v>
      </c>
      <c r="M21" s="24">
        <v>0</v>
      </c>
      <c r="N21" s="73">
        <f>SUM(B21:M21)</f>
        <v>31</v>
      </c>
      <c r="O21" s="116"/>
      <c r="P21" s="76"/>
    </row>
    <row r="22" spans="1:17">
      <c r="A22" s="2"/>
      <c r="B22" s="88"/>
      <c r="C22" s="88"/>
      <c r="D22" s="88"/>
      <c r="E22" s="88"/>
      <c r="F22" s="88"/>
      <c r="G22" s="88"/>
      <c r="H22" s="88"/>
      <c r="I22" s="88"/>
      <c r="J22" s="88"/>
      <c r="K22" s="88"/>
      <c r="L22" s="88"/>
      <c r="M22" s="88"/>
      <c r="N22" s="88"/>
      <c r="O22" s="76"/>
      <c r="P22" s="76"/>
    </row>
    <row r="23" spans="1:17">
      <c r="A23" s="5"/>
      <c r="B23" s="90"/>
      <c r="C23" s="90"/>
      <c r="D23" s="90"/>
      <c r="E23" s="90"/>
      <c r="F23" s="90"/>
      <c r="G23" s="90"/>
      <c r="H23" s="90"/>
      <c r="I23" s="90"/>
      <c r="J23" s="90"/>
      <c r="K23" s="90"/>
      <c r="L23" s="90"/>
      <c r="M23" s="90"/>
      <c r="N23" s="90"/>
      <c r="O23" s="103"/>
      <c r="P23" s="103"/>
    </row>
    <row r="24" spans="1:17" ht="25.5">
      <c r="A24" s="58"/>
      <c r="B24" s="59">
        <v>40360</v>
      </c>
      <c r="C24" s="59">
        <v>40391</v>
      </c>
      <c r="D24" s="59">
        <v>6614787</v>
      </c>
      <c r="E24" s="59">
        <v>40452</v>
      </c>
      <c r="F24" s="59">
        <v>40483</v>
      </c>
      <c r="G24" s="59">
        <v>40513</v>
      </c>
      <c r="H24" s="59">
        <v>40544</v>
      </c>
      <c r="I24" s="59">
        <v>40575</v>
      </c>
      <c r="J24" s="59">
        <v>40603</v>
      </c>
      <c r="K24" s="59">
        <v>40634</v>
      </c>
      <c r="L24" s="59">
        <v>40664</v>
      </c>
      <c r="M24" s="59">
        <v>40695</v>
      </c>
      <c r="N24" s="60" t="s">
        <v>371</v>
      </c>
      <c r="O24" s="61" t="s">
        <v>27</v>
      </c>
      <c r="P24" s="61" t="s">
        <v>175</v>
      </c>
      <c r="Q24" s="2"/>
    </row>
    <row r="25" spans="1:17">
      <c r="A25" s="67" t="s">
        <v>230</v>
      </c>
      <c r="B25" s="59"/>
      <c r="C25" s="59"/>
      <c r="D25" s="59"/>
      <c r="E25" s="59"/>
      <c r="F25" s="59"/>
      <c r="G25" s="59"/>
      <c r="H25" s="59"/>
      <c r="I25" s="59"/>
      <c r="J25" s="59"/>
      <c r="K25" s="59"/>
      <c r="L25" s="59"/>
      <c r="M25" s="59"/>
      <c r="N25" s="53"/>
      <c r="O25" s="104"/>
      <c r="P25" s="104"/>
    </row>
    <row r="26" spans="1:17">
      <c r="A26" s="71" t="s">
        <v>306</v>
      </c>
      <c r="B26" s="24">
        <v>6</v>
      </c>
      <c r="C26" s="24">
        <v>0</v>
      </c>
      <c r="D26" s="24">
        <v>4</v>
      </c>
      <c r="E26" s="24">
        <v>13</v>
      </c>
      <c r="F26" s="24">
        <v>11</v>
      </c>
      <c r="G26" s="24">
        <v>20</v>
      </c>
      <c r="H26" s="24">
        <v>5</v>
      </c>
      <c r="I26" s="24">
        <v>5</v>
      </c>
      <c r="J26" s="24">
        <v>7</v>
      </c>
      <c r="K26" s="24">
        <v>16</v>
      </c>
      <c r="L26" s="24">
        <v>6</v>
      </c>
      <c r="M26" s="24">
        <v>4</v>
      </c>
      <c r="N26" s="73">
        <f>SUM(B26:M26)</f>
        <v>97</v>
      </c>
      <c r="O26" s="116"/>
      <c r="P26" s="76"/>
    </row>
    <row r="27" spans="1:17">
      <c r="A27" s="71" t="s">
        <v>208</v>
      </c>
      <c r="B27" s="24">
        <v>3</v>
      </c>
      <c r="C27" s="24">
        <v>0</v>
      </c>
      <c r="D27" s="24">
        <v>3</v>
      </c>
      <c r="E27" s="24">
        <v>11</v>
      </c>
      <c r="F27" s="24">
        <v>14</v>
      </c>
      <c r="G27" s="24">
        <v>26</v>
      </c>
      <c r="H27" s="24">
        <v>1</v>
      </c>
      <c r="I27" s="24">
        <v>5</v>
      </c>
      <c r="J27" s="24">
        <v>10</v>
      </c>
      <c r="K27" s="24">
        <v>18</v>
      </c>
      <c r="L27" s="24">
        <v>6</v>
      </c>
      <c r="M27" s="24">
        <v>1</v>
      </c>
      <c r="N27" s="73">
        <f>SUM(B27:M27)</f>
        <v>98</v>
      </c>
      <c r="O27" s="116">
        <v>0</v>
      </c>
      <c r="P27" s="76" t="s">
        <v>231</v>
      </c>
    </row>
    <row r="28" spans="1:17">
      <c r="A28" s="71" t="s">
        <v>241</v>
      </c>
      <c r="B28" s="24">
        <v>2</v>
      </c>
      <c r="C28" s="24">
        <v>0</v>
      </c>
      <c r="D28" s="24">
        <v>2</v>
      </c>
      <c r="E28" s="24">
        <v>2</v>
      </c>
      <c r="F28" s="24">
        <v>2</v>
      </c>
      <c r="G28" s="24">
        <v>2</v>
      </c>
      <c r="H28" s="24">
        <v>2</v>
      </c>
      <c r="I28" s="24">
        <v>2</v>
      </c>
      <c r="J28" s="24">
        <v>2</v>
      </c>
      <c r="K28" s="24">
        <v>2</v>
      </c>
      <c r="L28" s="24">
        <v>2</v>
      </c>
      <c r="M28" s="24">
        <v>2</v>
      </c>
      <c r="N28" s="73"/>
      <c r="O28" s="116"/>
      <c r="P28" s="76"/>
    </row>
    <row r="29" spans="1:17">
      <c r="A29" s="71" t="s">
        <v>228</v>
      </c>
      <c r="B29" s="24">
        <v>0</v>
      </c>
      <c r="C29" s="24">
        <v>0</v>
      </c>
      <c r="D29" s="24">
        <v>0</v>
      </c>
      <c r="E29" s="24">
        <v>0</v>
      </c>
      <c r="F29" s="24">
        <v>0</v>
      </c>
      <c r="G29" s="24">
        <v>1</v>
      </c>
      <c r="H29" s="24">
        <v>0</v>
      </c>
      <c r="I29" s="24">
        <v>0</v>
      </c>
      <c r="J29" s="24">
        <v>0</v>
      </c>
      <c r="K29" s="24">
        <v>0</v>
      </c>
      <c r="L29" s="24">
        <v>0</v>
      </c>
      <c r="M29" s="24">
        <v>0</v>
      </c>
      <c r="N29" s="73">
        <f>SUM(B29:M29)</f>
        <v>1</v>
      </c>
      <c r="O29" s="116"/>
      <c r="P29" s="76"/>
    </row>
    <row r="30" spans="1:17">
      <c r="A30" s="2"/>
      <c r="B30" s="88"/>
      <c r="C30" s="88"/>
      <c r="D30" s="88"/>
      <c r="E30" s="88"/>
      <c r="F30" s="88"/>
      <c r="G30" s="88"/>
      <c r="H30" s="88"/>
      <c r="I30" s="88"/>
      <c r="J30" s="88"/>
      <c r="K30" s="88"/>
      <c r="L30" s="88"/>
      <c r="M30" s="88"/>
      <c r="N30" s="88"/>
      <c r="O30" s="76"/>
      <c r="P30" s="76"/>
    </row>
    <row r="31" spans="1:17">
      <c r="A31" s="5"/>
      <c r="B31" s="90"/>
      <c r="C31" s="90"/>
      <c r="D31" s="90"/>
      <c r="E31" s="90"/>
      <c r="F31" s="90"/>
      <c r="G31" s="90"/>
      <c r="H31" s="90"/>
      <c r="I31" s="90"/>
      <c r="J31" s="90"/>
      <c r="K31" s="90"/>
      <c r="L31" s="90"/>
      <c r="M31" s="90"/>
      <c r="N31" s="90"/>
      <c r="O31" s="103"/>
      <c r="P31" s="103"/>
    </row>
    <row r="32" spans="1:17" ht="25.5">
      <c r="A32" s="58"/>
      <c r="B32" s="59">
        <v>40360</v>
      </c>
      <c r="C32" s="59">
        <v>40391</v>
      </c>
      <c r="D32" s="59">
        <v>6614787</v>
      </c>
      <c r="E32" s="59">
        <v>40452</v>
      </c>
      <c r="F32" s="59">
        <v>40483</v>
      </c>
      <c r="G32" s="59">
        <v>40513</v>
      </c>
      <c r="H32" s="59">
        <v>40544</v>
      </c>
      <c r="I32" s="59">
        <v>40575</v>
      </c>
      <c r="J32" s="59">
        <v>40603</v>
      </c>
      <c r="K32" s="59">
        <v>40634</v>
      </c>
      <c r="L32" s="59">
        <v>40664</v>
      </c>
      <c r="M32" s="59">
        <v>40695</v>
      </c>
      <c r="N32" s="60" t="s">
        <v>371</v>
      </c>
      <c r="O32" s="61" t="s">
        <v>27</v>
      </c>
      <c r="P32" s="61" t="s">
        <v>175</v>
      </c>
      <c r="Q32" s="2"/>
    </row>
    <row r="33" spans="1:17">
      <c r="A33" s="67" t="s">
        <v>259</v>
      </c>
      <c r="B33" s="59"/>
      <c r="C33" s="59"/>
      <c r="D33" s="59"/>
      <c r="E33" s="59"/>
      <c r="F33" s="59"/>
      <c r="G33" s="59"/>
      <c r="H33" s="59"/>
      <c r="I33" s="59"/>
      <c r="J33" s="59"/>
      <c r="K33" s="59"/>
      <c r="L33" s="59"/>
      <c r="M33" s="59"/>
      <c r="N33" s="53"/>
      <c r="O33" s="104"/>
      <c r="P33" s="104"/>
    </row>
    <row r="34" spans="1:17">
      <c r="A34" s="71" t="s">
        <v>306</v>
      </c>
      <c r="B34" s="24">
        <v>113</v>
      </c>
      <c r="C34" s="24">
        <v>14</v>
      </c>
      <c r="D34" s="24">
        <v>34</v>
      </c>
      <c r="E34" s="24">
        <v>88</v>
      </c>
      <c r="F34" s="24">
        <v>96</v>
      </c>
      <c r="G34" s="24">
        <v>29</v>
      </c>
      <c r="H34" s="24">
        <v>13</v>
      </c>
      <c r="I34" s="24">
        <v>51</v>
      </c>
      <c r="J34" s="24">
        <v>73</v>
      </c>
      <c r="K34" s="24">
        <v>60</v>
      </c>
      <c r="L34" s="24">
        <v>19</v>
      </c>
      <c r="M34" s="24">
        <v>15</v>
      </c>
      <c r="N34" s="73">
        <f>SUM(B34:M34)</f>
        <v>605</v>
      </c>
      <c r="O34" s="116"/>
      <c r="P34" s="76"/>
    </row>
    <row r="35" spans="1:17">
      <c r="A35" s="71" t="s">
        <v>208</v>
      </c>
      <c r="B35" s="24">
        <v>196</v>
      </c>
      <c r="C35" s="24">
        <v>11</v>
      </c>
      <c r="D35" s="24">
        <v>48</v>
      </c>
      <c r="E35" s="24">
        <v>189</v>
      </c>
      <c r="F35" s="24">
        <v>222</v>
      </c>
      <c r="G35" s="24">
        <v>29</v>
      </c>
      <c r="H35" s="24">
        <v>18</v>
      </c>
      <c r="I35" s="24">
        <v>166</v>
      </c>
      <c r="J35" s="24">
        <v>149</v>
      </c>
      <c r="K35" s="24">
        <v>139</v>
      </c>
      <c r="L35" s="24">
        <v>40</v>
      </c>
      <c r="M35" s="24">
        <v>22</v>
      </c>
      <c r="N35" s="73">
        <f>SUM(B35:M35)</f>
        <v>1229</v>
      </c>
      <c r="O35" s="116">
        <v>0</v>
      </c>
      <c r="P35" s="76" t="s">
        <v>231</v>
      </c>
    </row>
    <row r="36" spans="1:17">
      <c r="A36" s="71" t="s">
        <v>241</v>
      </c>
      <c r="B36" s="24">
        <v>2</v>
      </c>
      <c r="C36" s="24">
        <v>2</v>
      </c>
      <c r="D36" s="24">
        <v>2</v>
      </c>
      <c r="E36" s="24">
        <v>2</v>
      </c>
      <c r="F36" s="24">
        <v>2</v>
      </c>
      <c r="G36" s="24">
        <v>2</v>
      </c>
      <c r="H36" s="24">
        <v>2</v>
      </c>
      <c r="I36" s="24">
        <v>2</v>
      </c>
      <c r="J36" s="24">
        <v>2</v>
      </c>
      <c r="K36" s="24">
        <v>2</v>
      </c>
      <c r="L36" s="24">
        <v>2</v>
      </c>
      <c r="M36" s="24">
        <v>2</v>
      </c>
      <c r="N36" s="73"/>
      <c r="O36" s="116"/>
      <c r="P36" s="76"/>
    </row>
    <row r="37" spans="1:17">
      <c r="A37" s="71" t="s">
        <v>228</v>
      </c>
      <c r="B37" s="24">
        <v>10</v>
      </c>
      <c r="C37" s="24">
        <v>2</v>
      </c>
      <c r="D37" s="24">
        <v>1</v>
      </c>
      <c r="E37" s="24">
        <v>5</v>
      </c>
      <c r="F37" s="24">
        <v>2</v>
      </c>
      <c r="G37" s="24">
        <v>0</v>
      </c>
      <c r="H37" s="24">
        <v>0</v>
      </c>
      <c r="I37" s="24">
        <v>1</v>
      </c>
      <c r="J37" s="24">
        <v>1</v>
      </c>
      <c r="K37" s="24">
        <v>4</v>
      </c>
      <c r="L37" s="24">
        <v>0</v>
      </c>
      <c r="M37" s="24">
        <v>0</v>
      </c>
      <c r="N37" s="73">
        <f>SUM(B37:M37)</f>
        <v>26</v>
      </c>
      <c r="O37" s="116"/>
      <c r="P37" s="76"/>
    </row>
    <row r="38" spans="1:17">
      <c r="A38" s="2"/>
      <c r="B38" s="88"/>
      <c r="C38" s="88"/>
      <c r="D38" s="88"/>
      <c r="E38" s="88"/>
      <c r="F38" s="88"/>
      <c r="G38" s="88"/>
      <c r="H38" s="88"/>
      <c r="I38" s="88"/>
      <c r="J38" s="88"/>
      <c r="K38" s="88"/>
      <c r="L38" s="88"/>
      <c r="M38" s="88"/>
      <c r="N38" s="88"/>
      <c r="O38" s="76"/>
      <c r="P38" s="76"/>
    </row>
    <row r="39" spans="1:17">
      <c r="A39" s="5"/>
      <c r="B39" s="90"/>
      <c r="C39" s="90"/>
      <c r="D39" s="90"/>
      <c r="E39" s="90"/>
      <c r="F39" s="90"/>
      <c r="G39" s="90"/>
      <c r="H39" s="90"/>
      <c r="I39" s="90"/>
      <c r="J39" s="90"/>
      <c r="K39" s="90"/>
      <c r="L39" s="90"/>
      <c r="M39" s="90"/>
      <c r="N39" s="90"/>
      <c r="O39" s="103"/>
      <c r="P39" s="103"/>
    </row>
    <row r="40" spans="1:17" ht="25.5">
      <c r="A40" s="58"/>
      <c r="B40" s="59">
        <v>40360</v>
      </c>
      <c r="C40" s="59">
        <v>40391</v>
      </c>
      <c r="D40" s="59">
        <v>6614787</v>
      </c>
      <c r="E40" s="59">
        <v>40452</v>
      </c>
      <c r="F40" s="59">
        <v>40483</v>
      </c>
      <c r="G40" s="59">
        <v>40513</v>
      </c>
      <c r="H40" s="59">
        <v>40544</v>
      </c>
      <c r="I40" s="59">
        <v>40575</v>
      </c>
      <c r="J40" s="59">
        <v>40603</v>
      </c>
      <c r="K40" s="59">
        <v>40634</v>
      </c>
      <c r="L40" s="59">
        <v>40664</v>
      </c>
      <c r="M40" s="59">
        <v>40695</v>
      </c>
      <c r="N40" s="60" t="s">
        <v>371</v>
      </c>
      <c r="O40" s="61" t="s">
        <v>27</v>
      </c>
      <c r="P40" s="61" t="s">
        <v>175</v>
      </c>
    </row>
    <row r="41" spans="1:17">
      <c r="A41" s="67" t="s">
        <v>347</v>
      </c>
      <c r="B41" s="59"/>
      <c r="C41" s="59"/>
      <c r="D41" s="59"/>
      <c r="E41" s="59"/>
      <c r="F41" s="59"/>
      <c r="G41" s="59"/>
      <c r="H41" s="59"/>
      <c r="I41" s="59"/>
      <c r="J41" s="59"/>
      <c r="K41" s="59"/>
      <c r="L41" s="59"/>
      <c r="M41" s="59"/>
      <c r="N41" s="53"/>
      <c r="O41" s="104"/>
      <c r="P41" s="104"/>
    </row>
    <row r="42" spans="1:17">
      <c r="A42" s="71" t="s">
        <v>208</v>
      </c>
      <c r="B42" s="24">
        <v>20</v>
      </c>
      <c r="C42" s="24">
        <v>1</v>
      </c>
      <c r="D42" s="24">
        <v>1</v>
      </c>
      <c r="E42" s="24">
        <v>3</v>
      </c>
      <c r="F42" s="24">
        <v>0</v>
      </c>
      <c r="G42" s="24">
        <v>3</v>
      </c>
      <c r="H42" s="24">
        <v>4</v>
      </c>
      <c r="I42" s="24">
        <v>2</v>
      </c>
      <c r="J42" s="24">
        <v>1</v>
      </c>
      <c r="K42" s="24">
        <v>1</v>
      </c>
      <c r="L42" s="24">
        <v>3</v>
      </c>
      <c r="M42" s="24">
        <v>5</v>
      </c>
      <c r="N42" s="73">
        <f>SUM(B42:M42)</f>
        <v>44</v>
      </c>
      <c r="O42" s="116">
        <v>0</v>
      </c>
      <c r="P42" s="76" t="s">
        <v>231</v>
      </c>
    </row>
    <row r="43" spans="1:17">
      <c r="A43" s="2"/>
      <c r="B43" s="130"/>
      <c r="C43" s="130"/>
      <c r="D43" s="130"/>
      <c r="E43" s="130"/>
      <c r="F43" s="130"/>
      <c r="G43" s="130"/>
      <c r="H43" s="130"/>
      <c r="I43" s="130"/>
      <c r="J43" s="130"/>
      <c r="K43" s="130"/>
      <c r="L43" s="130"/>
      <c r="M43" s="130"/>
      <c r="N43" s="88"/>
      <c r="O43" s="76"/>
      <c r="P43" s="76"/>
    </row>
    <row r="44" spans="1:17">
      <c r="A44" s="5"/>
      <c r="B44" s="90"/>
      <c r="C44" s="90"/>
      <c r="D44" s="90"/>
      <c r="E44" s="90"/>
      <c r="F44" s="90"/>
      <c r="G44" s="90"/>
      <c r="H44" s="90"/>
      <c r="I44" s="90"/>
      <c r="J44" s="90"/>
      <c r="K44" s="90"/>
      <c r="L44" s="90"/>
      <c r="M44" s="90"/>
      <c r="N44" s="90"/>
      <c r="O44" s="103"/>
      <c r="P44" s="103"/>
    </row>
    <row r="45" spans="1:17" ht="25.5">
      <c r="A45" s="58"/>
      <c r="B45" s="59">
        <v>40360</v>
      </c>
      <c r="C45" s="59">
        <v>40391</v>
      </c>
      <c r="D45" s="59">
        <v>6614787</v>
      </c>
      <c r="E45" s="59">
        <v>40452</v>
      </c>
      <c r="F45" s="59">
        <v>40483</v>
      </c>
      <c r="G45" s="59">
        <v>40513</v>
      </c>
      <c r="H45" s="59">
        <v>40544</v>
      </c>
      <c r="I45" s="59">
        <v>40575</v>
      </c>
      <c r="J45" s="59">
        <v>40603</v>
      </c>
      <c r="K45" s="59">
        <v>40634</v>
      </c>
      <c r="L45" s="59">
        <v>40664</v>
      </c>
      <c r="M45" s="59">
        <v>40695</v>
      </c>
      <c r="N45" s="60" t="s">
        <v>371</v>
      </c>
      <c r="O45" s="61" t="s">
        <v>27</v>
      </c>
      <c r="P45" s="61" t="s">
        <v>175</v>
      </c>
      <c r="Q45" s="2"/>
    </row>
    <row r="46" spans="1:17">
      <c r="A46" s="67" t="s">
        <v>49</v>
      </c>
      <c r="B46" s="59"/>
      <c r="C46" s="59"/>
      <c r="D46" s="59"/>
      <c r="E46" s="59"/>
      <c r="F46" s="59"/>
      <c r="G46" s="59"/>
      <c r="H46" s="59"/>
      <c r="I46" s="59"/>
      <c r="J46" s="59"/>
      <c r="K46" s="59"/>
      <c r="L46" s="59"/>
      <c r="M46" s="59"/>
      <c r="N46" s="53"/>
      <c r="O46" s="104"/>
      <c r="P46" s="104"/>
    </row>
    <row r="47" spans="1:17">
      <c r="A47" s="71" t="s">
        <v>306</v>
      </c>
      <c r="B47" s="24">
        <v>6</v>
      </c>
      <c r="C47" s="24">
        <v>3</v>
      </c>
      <c r="D47" s="24">
        <v>5</v>
      </c>
      <c r="E47" s="24">
        <v>5</v>
      </c>
      <c r="F47" s="24">
        <v>14</v>
      </c>
      <c r="G47" s="24">
        <v>4</v>
      </c>
      <c r="H47" s="24">
        <v>0</v>
      </c>
      <c r="I47" s="24">
        <v>7</v>
      </c>
      <c r="J47" s="24">
        <v>8</v>
      </c>
      <c r="K47" s="24">
        <v>3</v>
      </c>
      <c r="L47" s="24">
        <v>2</v>
      </c>
      <c r="M47" s="24">
        <v>0</v>
      </c>
      <c r="N47" s="73">
        <f>SUM(B47:M47)</f>
        <v>57</v>
      </c>
      <c r="O47" s="116"/>
      <c r="P47" s="76"/>
    </row>
    <row r="48" spans="1:17">
      <c r="A48" s="71" t="s">
        <v>208</v>
      </c>
      <c r="B48" s="24">
        <v>5</v>
      </c>
      <c r="C48" s="24">
        <v>2</v>
      </c>
      <c r="D48" s="24">
        <v>1</v>
      </c>
      <c r="E48" s="24">
        <v>7</v>
      </c>
      <c r="F48" s="24">
        <v>23</v>
      </c>
      <c r="G48" s="24">
        <v>9</v>
      </c>
      <c r="H48" s="24">
        <v>0</v>
      </c>
      <c r="I48" s="24">
        <v>5</v>
      </c>
      <c r="J48" s="24">
        <v>12</v>
      </c>
      <c r="K48" s="24">
        <v>2</v>
      </c>
      <c r="L48" s="24">
        <v>9</v>
      </c>
      <c r="M48" s="24">
        <v>0</v>
      </c>
      <c r="N48" s="73">
        <f>SUM(B48:M48)</f>
        <v>75</v>
      </c>
      <c r="O48" s="116">
        <v>0</v>
      </c>
      <c r="P48" s="76" t="s">
        <v>231</v>
      </c>
    </row>
    <row r="49" spans="1:17">
      <c r="A49" s="71" t="s">
        <v>241</v>
      </c>
      <c r="B49" s="24">
        <v>2</v>
      </c>
      <c r="C49" s="24">
        <v>2</v>
      </c>
      <c r="D49" s="24">
        <v>2</v>
      </c>
      <c r="E49" s="24">
        <v>2</v>
      </c>
      <c r="F49" s="24">
        <v>2</v>
      </c>
      <c r="G49" s="24">
        <v>2</v>
      </c>
      <c r="H49" s="24">
        <v>0</v>
      </c>
      <c r="I49" s="24">
        <v>2</v>
      </c>
      <c r="J49" s="24">
        <v>2</v>
      </c>
      <c r="K49" s="24">
        <v>2</v>
      </c>
      <c r="L49" s="24">
        <v>2</v>
      </c>
      <c r="M49" s="24">
        <v>0</v>
      </c>
      <c r="N49" s="73"/>
      <c r="O49" s="116"/>
      <c r="P49" s="76"/>
    </row>
    <row r="50" spans="1:17">
      <c r="A50" s="71" t="s">
        <v>228</v>
      </c>
      <c r="B50" s="24">
        <v>0</v>
      </c>
      <c r="C50" s="24">
        <v>0</v>
      </c>
      <c r="D50" s="24">
        <v>1</v>
      </c>
      <c r="E50" s="24">
        <v>0</v>
      </c>
      <c r="F50" s="24">
        <v>0</v>
      </c>
      <c r="G50" s="24">
        <v>0</v>
      </c>
      <c r="H50" s="24">
        <v>0</v>
      </c>
      <c r="I50" s="24">
        <v>0</v>
      </c>
      <c r="J50" s="24">
        <v>0</v>
      </c>
      <c r="K50" s="24">
        <v>0</v>
      </c>
      <c r="L50" s="24">
        <v>0</v>
      </c>
      <c r="M50" s="24">
        <v>0</v>
      </c>
      <c r="N50" s="73">
        <f>SUM(B50:M50)</f>
        <v>1</v>
      </c>
      <c r="O50" s="116"/>
      <c r="P50" s="76"/>
    </row>
    <row r="51" spans="1:17">
      <c r="A51" s="2"/>
      <c r="B51" s="88"/>
      <c r="C51" s="88"/>
      <c r="D51" s="88"/>
      <c r="E51" s="88"/>
      <c r="F51" s="88"/>
      <c r="G51" s="88"/>
      <c r="H51" s="88"/>
      <c r="I51" s="88"/>
      <c r="J51" s="88"/>
      <c r="K51" s="131"/>
      <c r="L51" s="88"/>
      <c r="M51" s="88"/>
      <c r="N51" s="88"/>
      <c r="O51" s="76"/>
      <c r="P51" s="76"/>
    </row>
    <row r="52" spans="1:17">
      <c r="A52" s="5"/>
      <c r="B52" s="90"/>
      <c r="C52" s="90"/>
      <c r="D52" s="90"/>
      <c r="E52" s="90"/>
      <c r="F52" s="90"/>
      <c r="G52" s="90"/>
      <c r="H52" s="90"/>
      <c r="I52" s="90"/>
      <c r="J52" s="90"/>
      <c r="K52" s="126"/>
      <c r="L52" s="90"/>
      <c r="M52" s="90"/>
      <c r="N52" s="90"/>
      <c r="O52" s="103"/>
      <c r="P52" s="103"/>
    </row>
    <row r="53" spans="1:17" ht="25.5">
      <c r="A53" s="58"/>
      <c r="B53" s="59">
        <v>40360</v>
      </c>
      <c r="C53" s="59">
        <v>40391</v>
      </c>
      <c r="D53" s="59">
        <v>6614787</v>
      </c>
      <c r="E53" s="59">
        <v>40452</v>
      </c>
      <c r="F53" s="59">
        <v>40483</v>
      </c>
      <c r="G53" s="59">
        <v>40513</v>
      </c>
      <c r="H53" s="59">
        <v>40544</v>
      </c>
      <c r="I53" s="59">
        <v>40575</v>
      </c>
      <c r="J53" s="59">
        <v>40603</v>
      </c>
      <c r="K53" s="59">
        <v>40634</v>
      </c>
      <c r="L53" s="59">
        <v>40664</v>
      </c>
      <c r="M53" s="59">
        <v>40695</v>
      </c>
      <c r="N53" s="60" t="s">
        <v>371</v>
      </c>
      <c r="O53" s="61" t="s">
        <v>27</v>
      </c>
      <c r="P53" s="61" t="s">
        <v>175</v>
      </c>
      <c r="Q53" s="2"/>
    </row>
    <row r="54" spans="1:17">
      <c r="A54" s="67" t="s">
        <v>187</v>
      </c>
      <c r="B54" s="59"/>
      <c r="C54" s="59"/>
      <c r="D54" s="59"/>
      <c r="E54" s="59"/>
      <c r="F54" s="59"/>
      <c r="G54" s="59"/>
      <c r="H54" s="59"/>
      <c r="I54" s="59"/>
      <c r="J54" s="59"/>
      <c r="K54" s="59"/>
      <c r="L54" s="59"/>
      <c r="M54" s="59"/>
      <c r="N54" s="53"/>
      <c r="O54" s="104"/>
      <c r="P54" s="104"/>
    </row>
    <row r="55" spans="1:17">
      <c r="A55" s="71" t="s">
        <v>306</v>
      </c>
      <c r="B55" s="24">
        <v>205</v>
      </c>
      <c r="C55" s="24">
        <v>72</v>
      </c>
      <c r="D55" s="24">
        <v>183</v>
      </c>
      <c r="E55" s="24">
        <v>381</v>
      </c>
      <c r="F55" s="24">
        <v>349</v>
      </c>
      <c r="G55" s="24">
        <v>160</v>
      </c>
      <c r="H55" s="24">
        <v>166</v>
      </c>
      <c r="I55" s="24">
        <v>362</v>
      </c>
      <c r="J55" s="24">
        <v>403</v>
      </c>
      <c r="K55" s="24">
        <v>461</v>
      </c>
      <c r="L55" s="24">
        <v>130</v>
      </c>
      <c r="M55" s="24">
        <v>166</v>
      </c>
      <c r="N55" s="73">
        <f>SUM(B55:M55)</f>
        <v>3038</v>
      </c>
      <c r="O55" s="116"/>
      <c r="P55" s="76"/>
    </row>
    <row r="56" spans="1:17">
      <c r="A56" s="71" t="s">
        <v>208</v>
      </c>
      <c r="B56" s="24">
        <v>457</v>
      </c>
      <c r="C56" s="24">
        <v>151</v>
      </c>
      <c r="D56" s="24">
        <v>500</v>
      </c>
      <c r="E56" s="24">
        <v>742</v>
      </c>
      <c r="F56" s="24">
        <v>576</v>
      </c>
      <c r="G56" s="24">
        <v>254</v>
      </c>
      <c r="H56" s="24">
        <v>533</v>
      </c>
      <c r="I56" s="24">
        <v>688</v>
      </c>
      <c r="J56" s="24">
        <v>782</v>
      </c>
      <c r="K56" s="24">
        <v>717</v>
      </c>
      <c r="L56" s="24">
        <v>248</v>
      </c>
      <c r="M56" s="24">
        <v>227</v>
      </c>
      <c r="N56" s="73">
        <f>SUM(B56:M56)</f>
        <v>5875</v>
      </c>
      <c r="O56" s="116">
        <v>0</v>
      </c>
      <c r="P56" s="76" t="s">
        <v>231</v>
      </c>
    </row>
    <row r="57" spans="1:17">
      <c r="A57" s="71" t="s">
        <v>241</v>
      </c>
      <c r="B57" s="24">
        <v>2</v>
      </c>
      <c r="C57" s="24">
        <v>2</v>
      </c>
      <c r="D57" s="24">
        <v>2</v>
      </c>
      <c r="E57" s="24">
        <v>2</v>
      </c>
      <c r="F57" s="24">
        <v>2</v>
      </c>
      <c r="G57" s="24">
        <v>2</v>
      </c>
      <c r="H57" s="24">
        <v>2</v>
      </c>
      <c r="I57" s="24">
        <v>2</v>
      </c>
      <c r="J57" s="24">
        <v>2</v>
      </c>
      <c r="K57" s="24">
        <v>2</v>
      </c>
      <c r="L57" s="24">
        <v>2</v>
      </c>
      <c r="M57" s="24">
        <v>2</v>
      </c>
      <c r="N57" s="73"/>
      <c r="O57" s="116"/>
      <c r="P57" s="76"/>
    </row>
    <row r="58" spans="1:17">
      <c r="A58" s="71" t="s">
        <v>228</v>
      </c>
      <c r="B58" s="24">
        <v>101</v>
      </c>
      <c r="C58" s="24">
        <v>2</v>
      </c>
      <c r="D58" s="24">
        <v>31</v>
      </c>
      <c r="E58" s="24">
        <v>35</v>
      </c>
      <c r="F58" s="24">
        <v>29</v>
      </c>
      <c r="G58" s="24">
        <v>7</v>
      </c>
      <c r="H58" s="24">
        <v>7</v>
      </c>
      <c r="I58" s="24">
        <v>31</v>
      </c>
      <c r="J58" s="24">
        <v>50</v>
      </c>
      <c r="K58" s="24">
        <v>56</v>
      </c>
      <c r="L58" s="24">
        <v>0</v>
      </c>
      <c r="M58" s="24">
        <v>43</v>
      </c>
      <c r="N58" s="73">
        <f>SUM(B58:M58)</f>
        <v>392</v>
      </c>
      <c r="O58" s="116"/>
      <c r="P58" s="76"/>
    </row>
    <row r="59" spans="1:17">
      <c r="A59" s="2"/>
      <c r="B59" s="88"/>
      <c r="C59" s="88"/>
      <c r="D59" s="88"/>
      <c r="E59" s="88"/>
      <c r="F59" s="88"/>
      <c r="G59" s="88"/>
      <c r="H59" s="88"/>
      <c r="I59" s="88"/>
      <c r="J59" s="88"/>
      <c r="K59" s="88"/>
      <c r="L59" s="88"/>
      <c r="M59" s="88"/>
      <c r="N59" s="88"/>
      <c r="O59" s="76"/>
      <c r="P59" s="76"/>
    </row>
    <row r="60" spans="1:17">
      <c r="A60" s="5"/>
      <c r="B60" s="90"/>
      <c r="C60" s="90"/>
      <c r="D60" s="90"/>
      <c r="E60" s="90"/>
      <c r="F60" s="90"/>
      <c r="G60" s="90"/>
      <c r="H60" s="90"/>
      <c r="I60" s="90"/>
      <c r="J60" s="90"/>
      <c r="K60" s="90"/>
      <c r="L60" s="90"/>
      <c r="M60" s="90"/>
      <c r="N60" s="90"/>
      <c r="O60" s="103"/>
      <c r="P60" s="103"/>
    </row>
    <row r="61" spans="1:17" ht="25.5">
      <c r="A61" s="58"/>
      <c r="B61" s="59">
        <v>40360</v>
      </c>
      <c r="C61" s="59">
        <v>40391</v>
      </c>
      <c r="D61" s="59">
        <v>6614787</v>
      </c>
      <c r="E61" s="59">
        <v>40452</v>
      </c>
      <c r="F61" s="59">
        <v>40483</v>
      </c>
      <c r="G61" s="59">
        <v>40513</v>
      </c>
      <c r="H61" s="59">
        <v>40544</v>
      </c>
      <c r="I61" s="59">
        <v>40575</v>
      </c>
      <c r="J61" s="59">
        <v>40603</v>
      </c>
      <c r="K61" s="59">
        <v>40634</v>
      </c>
      <c r="L61" s="59">
        <v>40664</v>
      </c>
      <c r="M61" s="59">
        <v>40695</v>
      </c>
      <c r="N61" s="60" t="s">
        <v>371</v>
      </c>
      <c r="O61" s="61" t="s">
        <v>27</v>
      </c>
      <c r="P61" s="61" t="s">
        <v>175</v>
      </c>
    </row>
    <row r="62" spans="1:17">
      <c r="A62" s="67" t="s">
        <v>121</v>
      </c>
      <c r="B62" s="59"/>
      <c r="C62" s="59"/>
      <c r="D62" s="59"/>
      <c r="E62" s="59"/>
      <c r="F62" s="59"/>
      <c r="G62" s="59"/>
      <c r="H62" s="59"/>
      <c r="I62" s="59"/>
      <c r="J62" s="59"/>
      <c r="K62" s="59"/>
      <c r="L62" s="59"/>
      <c r="M62" s="59"/>
      <c r="N62" s="53"/>
      <c r="O62" s="104"/>
      <c r="P62" s="104"/>
    </row>
    <row r="63" spans="1:17">
      <c r="A63" s="71" t="s">
        <v>306</v>
      </c>
      <c r="B63" s="24">
        <v>0</v>
      </c>
      <c r="C63" s="24">
        <v>2</v>
      </c>
      <c r="D63" s="24">
        <v>15</v>
      </c>
      <c r="E63" s="24">
        <v>2</v>
      </c>
      <c r="F63" s="24">
        <v>3</v>
      </c>
      <c r="G63" s="24">
        <v>0</v>
      </c>
      <c r="H63" s="24">
        <v>0</v>
      </c>
      <c r="I63" s="24">
        <v>3</v>
      </c>
      <c r="J63" s="24">
        <v>1</v>
      </c>
      <c r="K63" s="24">
        <v>1</v>
      </c>
      <c r="L63" s="24">
        <v>0</v>
      </c>
      <c r="M63" s="24">
        <v>1</v>
      </c>
      <c r="N63" s="73">
        <f>SUM(B63:M63)</f>
        <v>28</v>
      </c>
      <c r="O63" s="116"/>
      <c r="P63" s="76"/>
    </row>
    <row r="64" spans="1:17">
      <c r="A64" s="71" t="s">
        <v>208</v>
      </c>
      <c r="B64" s="24">
        <v>0</v>
      </c>
      <c r="C64" s="24">
        <v>2</v>
      </c>
      <c r="D64" s="24">
        <v>38</v>
      </c>
      <c r="E64" s="24">
        <v>1</v>
      </c>
      <c r="F64" s="24">
        <v>1</v>
      </c>
      <c r="G64" s="24">
        <v>0</v>
      </c>
      <c r="H64" s="24">
        <v>0</v>
      </c>
      <c r="I64" s="24">
        <v>3</v>
      </c>
      <c r="J64" s="24">
        <v>1</v>
      </c>
      <c r="K64" s="24">
        <v>2</v>
      </c>
      <c r="L64" s="24">
        <v>0</v>
      </c>
      <c r="M64" s="24">
        <v>1</v>
      </c>
      <c r="N64" s="73">
        <f>SUM(B64:M64)</f>
        <v>49</v>
      </c>
      <c r="O64" s="116">
        <v>0</v>
      </c>
      <c r="P64" s="76" t="s">
        <v>231</v>
      </c>
    </row>
    <row r="65" spans="1:17">
      <c r="A65" s="71" t="s">
        <v>241</v>
      </c>
      <c r="B65" s="24">
        <v>0</v>
      </c>
      <c r="C65" s="24">
        <v>2</v>
      </c>
      <c r="D65" s="24">
        <v>2</v>
      </c>
      <c r="E65" s="24">
        <v>2</v>
      </c>
      <c r="F65" s="24">
        <v>2</v>
      </c>
      <c r="G65" s="24">
        <v>0</v>
      </c>
      <c r="H65" s="24">
        <v>0</v>
      </c>
      <c r="I65" s="24">
        <v>2</v>
      </c>
      <c r="J65" s="24">
        <v>2</v>
      </c>
      <c r="K65" s="24">
        <v>2</v>
      </c>
      <c r="L65" s="24">
        <v>0</v>
      </c>
      <c r="M65" s="24">
        <v>2</v>
      </c>
      <c r="N65" s="73"/>
      <c r="O65" s="116"/>
      <c r="P65" s="76"/>
    </row>
    <row r="66" spans="1:17">
      <c r="A66" s="71" t="s">
        <v>228</v>
      </c>
      <c r="B66" s="24">
        <v>0</v>
      </c>
      <c r="C66" s="24">
        <v>0</v>
      </c>
      <c r="D66" s="24">
        <v>0</v>
      </c>
      <c r="E66" s="24">
        <v>0</v>
      </c>
      <c r="F66" s="24">
        <v>0</v>
      </c>
      <c r="G66" s="24">
        <v>0</v>
      </c>
      <c r="H66" s="24">
        <v>0</v>
      </c>
      <c r="I66" s="24">
        <v>0</v>
      </c>
      <c r="J66" s="24">
        <v>0</v>
      </c>
      <c r="K66" s="24">
        <v>0</v>
      </c>
      <c r="L66" s="24">
        <v>0</v>
      </c>
      <c r="M66" s="24">
        <v>0</v>
      </c>
      <c r="N66" s="73">
        <f>SUM(B66:M66)</f>
        <v>0</v>
      </c>
      <c r="O66" s="116"/>
      <c r="P66" s="76"/>
    </row>
    <row r="67" spans="1:17">
      <c r="A67" s="2"/>
      <c r="B67" s="88"/>
      <c r="C67" s="88"/>
      <c r="D67" s="88"/>
      <c r="E67" s="88"/>
      <c r="F67" s="88"/>
      <c r="G67" s="88"/>
      <c r="H67" s="88"/>
      <c r="I67" s="88"/>
      <c r="J67" s="88"/>
      <c r="K67" s="88"/>
      <c r="L67" s="88"/>
      <c r="M67" s="88"/>
      <c r="N67" s="88"/>
      <c r="O67" s="76"/>
      <c r="P67" s="76"/>
    </row>
    <row r="68" spans="1:17">
      <c r="A68" s="5"/>
      <c r="B68" s="89"/>
      <c r="C68" s="89"/>
      <c r="D68" s="89"/>
      <c r="E68" s="89"/>
      <c r="F68" s="89"/>
      <c r="G68" s="89"/>
      <c r="H68" s="89"/>
      <c r="I68" s="89"/>
      <c r="J68" s="89"/>
      <c r="K68" s="89"/>
      <c r="L68" s="89"/>
      <c r="M68" s="89"/>
      <c r="N68" s="90"/>
      <c r="O68" s="103"/>
      <c r="P68" s="103"/>
    </row>
    <row r="69" spans="1:17" ht="25.5">
      <c r="A69" s="58"/>
      <c r="B69" s="59">
        <v>40360</v>
      </c>
      <c r="C69" s="59">
        <v>40391</v>
      </c>
      <c r="D69" s="59">
        <v>6614787</v>
      </c>
      <c r="E69" s="59">
        <v>40452</v>
      </c>
      <c r="F69" s="59">
        <v>40483</v>
      </c>
      <c r="G69" s="59">
        <v>40513</v>
      </c>
      <c r="H69" s="59">
        <v>40544</v>
      </c>
      <c r="I69" s="59">
        <v>40575</v>
      </c>
      <c r="J69" s="59">
        <v>40603</v>
      </c>
      <c r="K69" s="59">
        <v>40634</v>
      </c>
      <c r="L69" s="59">
        <v>40664</v>
      </c>
      <c r="M69" s="59">
        <v>40695</v>
      </c>
      <c r="N69" s="60" t="s">
        <v>371</v>
      </c>
      <c r="O69" s="61" t="s">
        <v>27</v>
      </c>
      <c r="P69" s="61" t="s">
        <v>175</v>
      </c>
      <c r="Q69" s="2"/>
    </row>
    <row r="70" spans="1:17">
      <c r="A70" s="67" t="s">
        <v>233</v>
      </c>
      <c r="B70" s="59"/>
      <c r="C70" s="59"/>
      <c r="D70" s="59"/>
      <c r="E70" s="59"/>
      <c r="F70" s="59"/>
      <c r="G70" s="59"/>
      <c r="H70" s="59"/>
      <c r="I70" s="59"/>
      <c r="J70" s="59"/>
      <c r="K70" s="59"/>
      <c r="L70" s="59"/>
      <c r="M70" s="59"/>
      <c r="N70" s="53"/>
      <c r="O70" s="104"/>
      <c r="P70" s="104"/>
    </row>
    <row r="71" spans="1:17">
      <c r="A71" s="71" t="s">
        <v>306</v>
      </c>
      <c r="B71" s="24">
        <v>7</v>
      </c>
      <c r="C71" s="24">
        <v>3</v>
      </c>
      <c r="D71" s="24">
        <v>12</v>
      </c>
      <c r="E71" s="24">
        <v>16</v>
      </c>
      <c r="F71" s="24">
        <v>14</v>
      </c>
      <c r="G71" s="24">
        <v>7</v>
      </c>
      <c r="H71" s="24">
        <v>8</v>
      </c>
      <c r="I71" s="24">
        <v>16</v>
      </c>
      <c r="J71" s="24">
        <v>9</v>
      </c>
      <c r="K71" s="24">
        <v>3</v>
      </c>
      <c r="L71" s="24">
        <v>9</v>
      </c>
      <c r="M71" s="24">
        <v>10</v>
      </c>
      <c r="N71" s="73">
        <f>SUM(B71:M71)</f>
        <v>114</v>
      </c>
      <c r="O71" s="116"/>
      <c r="P71" s="76"/>
    </row>
    <row r="72" spans="1:17">
      <c r="A72" s="71" t="s">
        <v>208</v>
      </c>
      <c r="B72" s="24">
        <v>7</v>
      </c>
      <c r="C72" s="24">
        <v>1</v>
      </c>
      <c r="D72" s="24">
        <v>16</v>
      </c>
      <c r="E72" s="24">
        <v>22</v>
      </c>
      <c r="F72" s="24">
        <v>13</v>
      </c>
      <c r="G72" s="24">
        <v>5</v>
      </c>
      <c r="H72" s="24">
        <v>13</v>
      </c>
      <c r="I72" s="24">
        <v>13</v>
      </c>
      <c r="J72" s="24">
        <v>7</v>
      </c>
      <c r="K72" s="24">
        <v>3</v>
      </c>
      <c r="L72" s="24">
        <v>5</v>
      </c>
      <c r="M72" s="24">
        <v>9</v>
      </c>
      <c r="N72" s="73">
        <f>SUM(B72:M72)</f>
        <v>114</v>
      </c>
      <c r="O72" s="116">
        <v>0</v>
      </c>
      <c r="P72" s="76" t="s">
        <v>231</v>
      </c>
    </row>
    <row r="73" spans="1:17">
      <c r="A73" s="71" t="s">
        <v>241</v>
      </c>
      <c r="B73" s="24">
        <v>2</v>
      </c>
      <c r="C73" s="24">
        <v>2</v>
      </c>
      <c r="D73" s="24">
        <v>2</v>
      </c>
      <c r="E73" s="24">
        <v>2</v>
      </c>
      <c r="F73" s="24">
        <v>2</v>
      </c>
      <c r="G73" s="24">
        <v>2</v>
      </c>
      <c r="H73" s="24">
        <v>2</v>
      </c>
      <c r="I73" s="24">
        <v>2</v>
      </c>
      <c r="J73" s="24">
        <v>2</v>
      </c>
      <c r="K73" s="24">
        <v>2</v>
      </c>
      <c r="L73" s="24">
        <v>2</v>
      </c>
      <c r="M73" s="24">
        <v>2</v>
      </c>
      <c r="N73" s="73"/>
      <c r="O73" s="116"/>
      <c r="P73" s="76"/>
    </row>
    <row r="74" spans="1:17">
      <c r="A74" s="71" t="s">
        <v>228</v>
      </c>
      <c r="B74" s="24">
        <v>0</v>
      </c>
      <c r="C74" s="24">
        <v>0</v>
      </c>
      <c r="D74" s="24">
        <v>0</v>
      </c>
      <c r="E74" s="24">
        <v>0</v>
      </c>
      <c r="F74" s="24">
        <v>0</v>
      </c>
      <c r="G74" s="24">
        <v>0</v>
      </c>
      <c r="H74" s="24">
        <v>0</v>
      </c>
      <c r="I74" s="24">
        <v>0</v>
      </c>
      <c r="J74" s="24">
        <v>0</v>
      </c>
      <c r="K74" s="24">
        <v>0</v>
      </c>
      <c r="L74" s="24">
        <v>0</v>
      </c>
      <c r="M74" s="24">
        <v>0</v>
      </c>
      <c r="N74" s="73">
        <f>SUM(B74:M74)</f>
        <v>0</v>
      </c>
      <c r="O74" s="116"/>
      <c r="P74" s="76"/>
    </row>
    <row r="75" spans="1:17">
      <c r="A75" s="2"/>
      <c r="B75" s="88"/>
      <c r="C75" s="88"/>
      <c r="D75" s="88"/>
      <c r="E75" s="88"/>
      <c r="F75" s="88"/>
      <c r="G75" s="88"/>
      <c r="H75" s="88" t="s">
        <v>15</v>
      </c>
      <c r="I75" s="88"/>
      <c r="J75" s="88"/>
      <c r="K75" s="88"/>
      <c r="L75" s="88"/>
      <c r="M75" s="88"/>
      <c r="N75" s="88"/>
      <c r="O75" s="76"/>
      <c r="P75" s="76"/>
    </row>
    <row r="76" spans="1:17">
      <c r="A76" s="5"/>
      <c r="B76" s="90"/>
      <c r="C76" s="90"/>
      <c r="D76" s="90"/>
      <c r="E76" s="90"/>
      <c r="F76" s="90"/>
      <c r="G76" s="90"/>
      <c r="H76" s="90"/>
      <c r="I76" s="90"/>
      <c r="J76" s="90"/>
      <c r="K76" s="90"/>
      <c r="L76" s="90"/>
      <c r="M76" s="90"/>
      <c r="N76" s="90"/>
      <c r="O76" s="103"/>
      <c r="P76" s="103"/>
    </row>
    <row r="77" spans="1:17" ht="25.5">
      <c r="A77" s="58"/>
      <c r="B77" s="59">
        <v>40360</v>
      </c>
      <c r="C77" s="59">
        <v>40391</v>
      </c>
      <c r="D77" s="59">
        <v>6614787</v>
      </c>
      <c r="E77" s="59">
        <v>40452</v>
      </c>
      <c r="F77" s="59">
        <v>40483</v>
      </c>
      <c r="G77" s="59">
        <v>40513</v>
      </c>
      <c r="H77" s="59">
        <v>40544</v>
      </c>
      <c r="I77" s="59">
        <v>40575</v>
      </c>
      <c r="J77" s="59">
        <v>40603</v>
      </c>
      <c r="K77" s="59">
        <v>40634</v>
      </c>
      <c r="L77" s="59">
        <v>40664</v>
      </c>
      <c r="M77" s="59">
        <v>40695</v>
      </c>
      <c r="N77" s="60" t="s">
        <v>371</v>
      </c>
      <c r="O77" s="61" t="s">
        <v>27</v>
      </c>
      <c r="P77" s="61" t="s">
        <v>175</v>
      </c>
      <c r="Q77" s="2"/>
    </row>
    <row r="78" spans="1:17">
      <c r="A78" s="67" t="s">
        <v>276</v>
      </c>
      <c r="B78" s="59"/>
      <c r="C78" s="59"/>
      <c r="D78" s="59"/>
      <c r="E78" s="59"/>
      <c r="F78" s="59"/>
      <c r="G78" s="59"/>
      <c r="H78" s="59"/>
      <c r="I78" s="59"/>
      <c r="J78" s="59"/>
      <c r="K78" s="59"/>
      <c r="L78" s="59"/>
      <c r="M78" s="59"/>
      <c r="N78" s="53"/>
      <c r="O78" s="104"/>
      <c r="P78" s="104"/>
    </row>
    <row r="79" spans="1:17">
      <c r="A79" s="71" t="s">
        <v>306</v>
      </c>
      <c r="B79" s="24">
        <v>21</v>
      </c>
      <c r="C79" s="24">
        <v>6</v>
      </c>
      <c r="D79" s="24">
        <v>37</v>
      </c>
      <c r="E79" s="24">
        <v>63</v>
      </c>
      <c r="F79" s="24">
        <v>49</v>
      </c>
      <c r="G79" s="24">
        <v>22</v>
      </c>
      <c r="H79" s="24">
        <v>11</v>
      </c>
      <c r="I79" s="24">
        <v>33</v>
      </c>
      <c r="J79" s="24">
        <v>27</v>
      </c>
      <c r="K79" s="24">
        <v>34</v>
      </c>
      <c r="L79" s="24">
        <v>6</v>
      </c>
      <c r="M79" s="24">
        <v>14</v>
      </c>
      <c r="N79" s="73">
        <f>SUM(B79:M79)</f>
        <v>323</v>
      </c>
      <c r="O79" s="116"/>
      <c r="P79" s="76"/>
    </row>
    <row r="80" spans="1:17">
      <c r="A80" s="71" t="s">
        <v>208</v>
      </c>
      <c r="B80" s="24">
        <v>25</v>
      </c>
      <c r="C80" s="24">
        <v>6</v>
      </c>
      <c r="D80" s="24">
        <v>58</v>
      </c>
      <c r="E80" s="24">
        <v>107</v>
      </c>
      <c r="F80" s="24">
        <v>65</v>
      </c>
      <c r="G80" s="24">
        <v>56</v>
      </c>
      <c r="H80" s="24">
        <v>11</v>
      </c>
      <c r="I80" s="24">
        <v>48</v>
      </c>
      <c r="J80" s="24">
        <v>37</v>
      </c>
      <c r="K80" s="24">
        <v>55</v>
      </c>
      <c r="L80" s="24">
        <v>4</v>
      </c>
      <c r="M80" s="24">
        <v>13</v>
      </c>
      <c r="N80" s="73">
        <f>SUM(B80:M80)</f>
        <v>485</v>
      </c>
      <c r="O80" s="116">
        <v>0</v>
      </c>
      <c r="P80" s="76" t="s">
        <v>231</v>
      </c>
    </row>
    <row r="81" spans="1:17">
      <c r="A81" s="71" t="s">
        <v>241</v>
      </c>
      <c r="B81" s="24">
        <v>2</v>
      </c>
      <c r="C81" s="24">
        <v>2</v>
      </c>
      <c r="D81" s="24">
        <v>2</v>
      </c>
      <c r="E81" s="24">
        <v>2</v>
      </c>
      <c r="F81" s="24">
        <v>2</v>
      </c>
      <c r="G81" s="24">
        <v>2</v>
      </c>
      <c r="H81" s="24">
        <v>2</v>
      </c>
      <c r="I81" s="24">
        <v>2</v>
      </c>
      <c r="J81" s="24">
        <v>2</v>
      </c>
      <c r="K81" s="24">
        <v>2</v>
      </c>
      <c r="L81" s="24">
        <v>2</v>
      </c>
      <c r="M81" s="24">
        <v>2</v>
      </c>
      <c r="N81" s="73"/>
      <c r="O81" s="116"/>
      <c r="P81" s="76"/>
    </row>
    <row r="82" spans="1:17">
      <c r="A82" s="71" t="s">
        <v>228</v>
      </c>
      <c r="B82" s="24">
        <v>0</v>
      </c>
      <c r="C82" s="24">
        <v>0</v>
      </c>
      <c r="D82" s="24">
        <v>5</v>
      </c>
      <c r="E82" s="24">
        <v>0</v>
      </c>
      <c r="F82" s="24">
        <v>0</v>
      </c>
      <c r="G82" s="24">
        <v>0</v>
      </c>
      <c r="H82" s="24">
        <v>0</v>
      </c>
      <c r="I82" s="24">
        <v>0</v>
      </c>
      <c r="J82" s="24">
        <v>0</v>
      </c>
      <c r="K82" s="24">
        <v>0</v>
      </c>
      <c r="L82" s="24">
        <v>0</v>
      </c>
      <c r="M82" s="24">
        <v>0</v>
      </c>
      <c r="N82" s="73">
        <f>SUM(B82:M82)</f>
        <v>5</v>
      </c>
      <c r="O82" s="116"/>
      <c r="P82" s="76"/>
    </row>
    <row r="83" spans="1:17">
      <c r="A83" s="2"/>
      <c r="B83" s="88"/>
      <c r="C83" s="88"/>
      <c r="D83" s="88"/>
      <c r="E83" s="88"/>
      <c r="F83" s="88"/>
      <c r="G83" s="88"/>
      <c r="H83" s="88"/>
      <c r="I83" s="88"/>
      <c r="J83" s="88"/>
      <c r="K83" s="88"/>
      <c r="L83" s="88"/>
      <c r="M83" s="88"/>
      <c r="N83" s="88"/>
      <c r="O83" s="76"/>
      <c r="P83" s="76"/>
    </row>
    <row r="84" spans="1:17">
      <c r="A84" s="5"/>
      <c r="B84" s="90"/>
      <c r="C84" s="90"/>
      <c r="D84" s="90"/>
      <c r="E84" s="90"/>
      <c r="F84" s="90"/>
      <c r="G84" s="90"/>
      <c r="H84" s="90"/>
      <c r="I84" s="90"/>
      <c r="J84" s="90"/>
      <c r="K84" s="90"/>
      <c r="L84" s="90"/>
      <c r="M84" s="90"/>
      <c r="N84" s="90"/>
      <c r="O84" s="103"/>
      <c r="P84" s="103"/>
    </row>
    <row r="85" spans="1:17" ht="25.5">
      <c r="A85" s="58"/>
      <c r="B85" s="59">
        <v>40360</v>
      </c>
      <c r="C85" s="59">
        <v>40391</v>
      </c>
      <c r="D85" s="59">
        <v>6614787</v>
      </c>
      <c r="E85" s="59">
        <v>40452</v>
      </c>
      <c r="F85" s="59">
        <v>40483</v>
      </c>
      <c r="G85" s="59">
        <v>40513</v>
      </c>
      <c r="H85" s="59">
        <v>40544</v>
      </c>
      <c r="I85" s="59">
        <v>40575</v>
      </c>
      <c r="J85" s="59">
        <v>40603</v>
      </c>
      <c r="K85" s="59">
        <v>40634</v>
      </c>
      <c r="L85" s="59">
        <v>40664</v>
      </c>
      <c r="M85" s="59">
        <v>40695</v>
      </c>
      <c r="N85" s="60" t="s">
        <v>371</v>
      </c>
      <c r="O85" s="61" t="s">
        <v>27</v>
      </c>
      <c r="P85" s="61" t="s">
        <v>175</v>
      </c>
      <c r="Q85" s="2"/>
    </row>
    <row r="86" spans="1:17">
      <c r="A86" s="67" t="s">
        <v>362</v>
      </c>
      <c r="B86" s="59"/>
      <c r="C86" s="59"/>
      <c r="D86" s="59"/>
      <c r="E86" s="59"/>
      <c r="F86" s="59"/>
      <c r="G86" s="59"/>
      <c r="H86" s="59"/>
      <c r="I86" s="59"/>
      <c r="J86" s="59"/>
      <c r="K86" s="59"/>
      <c r="L86" s="59"/>
      <c r="M86" s="59"/>
      <c r="N86" s="53"/>
      <c r="O86" s="104"/>
      <c r="P86" s="104"/>
    </row>
    <row r="87" spans="1:17">
      <c r="A87" s="71" t="s">
        <v>306</v>
      </c>
      <c r="B87" s="24">
        <v>7</v>
      </c>
      <c r="C87" s="24">
        <v>5</v>
      </c>
      <c r="D87" s="24">
        <v>9</v>
      </c>
      <c r="E87" s="24">
        <v>32</v>
      </c>
      <c r="F87" s="24">
        <v>12</v>
      </c>
      <c r="G87" s="24">
        <v>8</v>
      </c>
      <c r="H87" s="24">
        <v>0</v>
      </c>
      <c r="I87" s="24">
        <v>3</v>
      </c>
      <c r="J87" s="24">
        <v>6</v>
      </c>
      <c r="K87" s="24">
        <v>3</v>
      </c>
      <c r="L87" s="24">
        <v>2</v>
      </c>
      <c r="M87" s="24">
        <v>3</v>
      </c>
      <c r="N87" s="73">
        <f>SUM(B87:M87)</f>
        <v>90</v>
      </c>
      <c r="O87" s="116"/>
      <c r="P87" s="76"/>
    </row>
    <row r="88" spans="1:17">
      <c r="A88" s="71" t="s">
        <v>208</v>
      </c>
      <c r="B88" s="24">
        <v>4</v>
      </c>
      <c r="C88" s="24">
        <v>3</v>
      </c>
      <c r="D88" s="24">
        <v>18</v>
      </c>
      <c r="E88" s="24">
        <v>69</v>
      </c>
      <c r="F88" s="24">
        <v>15</v>
      </c>
      <c r="G88" s="24">
        <v>8</v>
      </c>
      <c r="H88" s="24">
        <v>0</v>
      </c>
      <c r="I88" s="24">
        <v>4</v>
      </c>
      <c r="J88" s="24">
        <v>6</v>
      </c>
      <c r="K88" s="24">
        <v>1</v>
      </c>
      <c r="L88" s="24">
        <v>4</v>
      </c>
      <c r="M88" s="24">
        <v>1</v>
      </c>
      <c r="N88" s="73">
        <f>SUM(B88:M88)</f>
        <v>133</v>
      </c>
      <c r="O88" s="116">
        <v>0</v>
      </c>
      <c r="P88" s="76" t="s">
        <v>231</v>
      </c>
    </row>
    <row r="89" spans="1:17">
      <c r="A89" s="71" t="s">
        <v>241</v>
      </c>
      <c r="B89" s="24">
        <v>2</v>
      </c>
      <c r="C89" s="24">
        <v>2</v>
      </c>
      <c r="D89" s="24">
        <v>2</v>
      </c>
      <c r="E89" s="24">
        <v>2</v>
      </c>
      <c r="F89" s="24">
        <v>2</v>
      </c>
      <c r="G89" s="24">
        <v>2</v>
      </c>
      <c r="H89" s="24">
        <v>0</v>
      </c>
      <c r="I89" s="24">
        <v>2</v>
      </c>
      <c r="J89" s="24">
        <v>2</v>
      </c>
      <c r="K89" s="24">
        <v>2</v>
      </c>
      <c r="L89" s="24">
        <v>2</v>
      </c>
      <c r="M89" s="24">
        <v>2</v>
      </c>
      <c r="N89" s="73"/>
      <c r="O89" s="116"/>
      <c r="P89" s="76"/>
    </row>
    <row r="90" spans="1:17">
      <c r="A90" s="71" t="s">
        <v>228</v>
      </c>
      <c r="B90" s="24">
        <v>0</v>
      </c>
      <c r="C90" s="24">
        <v>0</v>
      </c>
      <c r="D90" s="24">
        <v>2</v>
      </c>
      <c r="E90" s="24">
        <v>0</v>
      </c>
      <c r="F90" s="24">
        <v>0</v>
      </c>
      <c r="G90" s="24">
        <v>1</v>
      </c>
      <c r="H90" s="24">
        <v>0</v>
      </c>
      <c r="I90" s="24">
        <v>0</v>
      </c>
      <c r="J90" s="24">
        <v>0</v>
      </c>
      <c r="K90" s="24">
        <v>0</v>
      </c>
      <c r="L90" s="24">
        <v>0</v>
      </c>
      <c r="M90" s="24">
        <v>0</v>
      </c>
      <c r="N90" s="73">
        <f>SUM(B90:M90)</f>
        <v>3</v>
      </c>
      <c r="O90" s="116"/>
      <c r="P90" s="76"/>
    </row>
    <row r="91" spans="1:17">
      <c r="A91" s="2"/>
      <c r="B91" s="88"/>
      <c r="C91" s="88"/>
      <c r="D91" s="88"/>
      <c r="E91" s="88"/>
      <c r="F91" s="88"/>
      <c r="G91" s="88"/>
      <c r="H91" s="88"/>
      <c r="I91" s="88"/>
      <c r="J91" s="88"/>
      <c r="K91" s="88"/>
      <c r="L91" s="88"/>
      <c r="M91" s="88"/>
      <c r="N91" s="88"/>
      <c r="O91" s="76"/>
      <c r="P91" s="76"/>
    </row>
    <row r="92" spans="1:17">
      <c r="A92" s="5"/>
      <c r="B92" s="90"/>
      <c r="C92" s="90"/>
      <c r="D92" s="90"/>
      <c r="E92" s="90"/>
      <c r="F92" s="90"/>
      <c r="G92" s="90"/>
      <c r="H92" s="90"/>
      <c r="I92" s="90"/>
      <c r="J92" s="90"/>
      <c r="K92" s="90"/>
      <c r="L92" s="90"/>
      <c r="M92" s="90"/>
      <c r="N92" s="90"/>
      <c r="O92" s="103"/>
      <c r="P92" s="103"/>
    </row>
    <row r="93" spans="1:17" ht="25.5">
      <c r="A93" s="58"/>
      <c r="B93" s="59">
        <v>40360</v>
      </c>
      <c r="C93" s="59">
        <v>40391</v>
      </c>
      <c r="D93" s="59">
        <v>6614787</v>
      </c>
      <c r="E93" s="59">
        <v>40452</v>
      </c>
      <c r="F93" s="59">
        <v>40483</v>
      </c>
      <c r="G93" s="59">
        <v>40513</v>
      </c>
      <c r="H93" s="59">
        <v>40544</v>
      </c>
      <c r="I93" s="59">
        <v>40575</v>
      </c>
      <c r="J93" s="59">
        <v>40603</v>
      </c>
      <c r="K93" s="59">
        <v>40634</v>
      </c>
      <c r="L93" s="59">
        <v>40664</v>
      </c>
      <c r="M93" s="59">
        <v>40695</v>
      </c>
      <c r="N93" s="60" t="s">
        <v>371</v>
      </c>
      <c r="O93" s="61" t="s">
        <v>27</v>
      </c>
      <c r="P93" s="61" t="s">
        <v>175</v>
      </c>
      <c r="Q93" s="2"/>
    </row>
    <row r="94" spans="1:17">
      <c r="A94" s="67" t="s">
        <v>101</v>
      </c>
      <c r="B94" s="59"/>
      <c r="C94" s="59"/>
      <c r="D94" s="59"/>
      <c r="E94" s="59"/>
      <c r="F94" s="59" t="s">
        <v>15</v>
      </c>
      <c r="G94" s="59" t="s">
        <v>15</v>
      </c>
      <c r="H94" s="59"/>
      <c r="I94" s="59"/>
      <c r="J94" s="59"/>
      <c r="K94" s="59"/>
      <c r="L94" s="59"/>
      <c r="M94" s="59"/>
      <c r="N94" s="53"/>
      <c r="O94" s="104"/>
      <c r="P94" s="104"/>
    </row>
    <row r="95" spans="1:17">
      <c r="A95" s="71" t="s">
        <v>306</v>
      </c>
      <c r="B95" s="24">
        <v>4</v>
      </c>
      <c r="C95" s="24">
        <v>0</v>
      </c>
      <c r="D95" s="24">
        <v>3</v>
      </c>
      <c r="E95" s="24">
        <v>3</v>
      </c>
      <c r="F95" s="24">
        <v>7</v>
      </c>
      <c r="G95" s="24">
        <v>13</v>
      </c>
      <c r="H95" s="24">
        <v>1</v>
      </c>
      <c r="I95" s="24">
        <v>5</v>
      </c>
      <c r="J95" s="24">
        <v>2</v>
      </c>
      <c r="K95" s="24">
        <v>2</v>
      </c>
      <c r="L95" s="24">
        <v>2</v>
      </c>
      <c r="M95" s="24">
        <v>1</v>
      </c>
      <c r="N95" s="73">
        <f>SUM(B95:M95)</f>
        <v>43</v>
      </c>
      <c r="O95" s="116"/>
      <c r="P95" s="76"/>
    </row>
    <row r="96" spans="1:17">
      <c r="A96" s="71" t="s">
        <v>208</v>
      </c>
      <c r="B96" s="24">
        <v>1</v>
      </c>
      <c r="C96" s="24">
        <v>0</v>
      </c>
      <c r="D96" s="24">
        <v>3</v>
      </c>
      <c r="E96" s="24">
        <v>5</v>
      </c>
      <c r="F96" s="24">
        <v>8</v>
      </c>
      <c r="G96" s="24">
        <v>21</v>
      </c>
      <c r="H96" s="24">
        <v>1</v>
      </c>
      <c r="I96" s="24">
        <v>3</v>
      </c>
      <c r="J96" s="24">
        <v>7</v>
      </c>
      <c r="K96" s="24">
        <v>2</v>
      </c>
      <c r="L96" s="24">
        <v>1</v>
      </c>
      <c r="M96" s="24">
        <v>1</v>
      </c>
      <c r="N96" s="73">
        <f>SUM(B96:M96)</f>
        <v>53</v>
      </c>
      <c r="O96" s="116">
        <v>0</v>
      </c>
      <c r="P96" s="76" t="s">
        <v>231</v>
      </c>
    </row>
    <row r="97" spans="1:17">
      <c r="A97" s="71" t="s">
        <v>241</v>
      </c>
      <c r="B97" s="24">
        <v>2</v>
      </c>
      <c r="C97" s="24">
        <v>0</v>
      </c>
      <c r="D97" s="24">
        <v>2</v>
      </c>
      <c r="E97" s="24">
        <v>2</v>
      </c>
      <c r="F97" s="24">
        <v>2</v>
      </c>
      <c r="G97" s="24">
        <v>2</v>
      </c>
      <c r="H97" s="24">
        <v>2</v>
      </c>
      <c r="I97" s="24">
        <v>2</v>
      </c>
      <c r="J97" s="24">
        <v>2</v>
      </c>
      <c r="K97" s="24">
        <v>2</v>
      </c>
      <c r="L97" s="24">
        <v>2</v>
      </c>
      <c r="M97" s="24">
        <v>2</v>
      </c>
      <c r="N97" s="73"/>
      <c r="O97" s="116"/>
      <c r="P97" s="76"/>
    </row>
    <row r="98" spans="1:17">
      <c r="A98" s="71" t="s">
        <v>228</v>
      </c>
      <c r="B98" s="24">
        <v>0</v>
      </c>
      <c r="C98" s="24">
        <v>0</v>
      </c>
      <c r="D98" s="24">
        <v>0</v>
      </c>
      <c r="E98" s="24">
        <v>0</v>
      </c>
      <c r="F98" s="24">
        <v>0</v>
      </c>
      <c r="G98" s="24">
        <v>1</v>
      </c>
      <c r="H98" s="24">
        <v>0</v>
      </c>
      <c r="I98" s="24">
        <v>0</v>
      </c>
      <c r="J98" s="24">
        <v>0</v>
      </c>
      <c r="K98" s="24">
        <v>0</v>
      </c>
      <c r="L98" s="24">
        <v>0</v>
      </c>
      <c r="M98" s="24">
        <v>0</v>
      </c>
      <c r="N98" s="73">
        <f>SUM(B98:M98)</f>
        <v>1</v>
      </c>
      <c r="O98" s="116"/>
      <c r="P98" s="76"/>
    </row>
    <row r="99" spans="1:17">
      <c r="A99" s="2"/>
      <c r="B99" s="88"/>
      <c r="C99" s="88"/>
      <c r="D99" s="88"/>
      <c r="E99" s="88"/>
      <c r="F99" s="88"/>
      <c r="G99" s="88"/>
      <c r="H99" s="88"/>
      <c r="I99" s="88"/>
      <c r="J99" s="88"/>
      <c r="K99" s="88"/>
      <c r="L99" s="88"/>
      <c r="M99" s="88"/>
      <c r="N99" s="88"/>
      <c r="O99" s="76"/>
      <c r="P99" s="76"/>
    </row>
    <row r="100" spans="1:17">
      <c r="A100" s="5"/>
      <c r="B100" s="90"/>
      <c r="C100" s="90"/>
      <c r="D100" s="90"/>
      <c r="E100" s="90"/>
      <c r="F100" s="90"/>
      <c r="G100" s="90"/>
      <c r="H100" s="90"/>
      <c r="I100" s="90"/>
      <c r="J100" s="90"/>
      <c r="K100" s="90"/>
      <c r="L100" s="90"/>
      <c r="M100" s="90"/>
      <c r="N100" s="90"/>
      <c r="O100" s="103"/>
      <c r="P100" s="103"/>
    </row>
    <row r="101" spans="1:17" ht="25.5">
      <c r="A101" s="58"/>
      <c r="B101" s="59">
        <v>40360</v>
      </c>
      <c r="C101" s="59">
        <v>40391</v>
      </c>
      <c r="D101" s="59">
        <v>6614787</v>
      </c>
      <c r="E101" s="59">
        <v>40452</v>
      </c>
      <c r="F101" s="59">
        <v>40483</v>
      </c>
      <c r="G101" s="59">
        <v>40513</v>
      </c>
      <c r="H101" s="59">
        <v>40544</v>
      </c>
      <c r="I101" s="59">
        <v>40575</v>
      </c>
      <c r="J101" s="59">
        <v>40603</v>
      </c>
      <c r="K101" s="59">
        <v>40634</v>
      </c>
      <c r="L101" s="59">
        <v>40664</v>
      </c>
      <c r="M101" s="59">
        <v>40695</v>
      </c>
      <c r="N101" s="60" t="s">
        <v>371</v>
      </c>
      <c r="O101" s="61" t="s">
        <v>27</v>
      </c>
      <c r="P101" s="61" t="s">
        <v>175</v>
      </c>
      <c r="Q101" s="2"/>
    </row>
    <row r="102" spans="1:17">
      <c r="A102" s="67" t="s">
        <v>58</v>
      </c>
      <c r="B102" s="59"/>
      <c r="C102" s="59"/>
      <c r="D102" s="59"/>
      <c r="E102" s="59"/>
      <c r="F102" s="59"/>
      <c r="G102" s="59"/>
      <c r="H102" s="59"/>
      <c r="I102" s="59"/>
      <c r="J102" s="59"/>
      <c r="K102" s="59"/>
      <c r="L102" s="59"/>
      <c r="M102" s="59"/>
      <c r="N102" s="53"/>
      <c r="O102" s="104"/>
      <c r="P102" s="104"/>
    </row>
    <row r="103" spans="1:17">
      <c r="A103" s="71" t="s">
        <v>306</v>
      </c>
      <c r="B103" s="24">
        <v>8</v>
      </c>
      <c r="C103" s="24">
        <v>0</v>
      </c>
      <c r="D103" s="24">
        <v>10</v>
      </c>
      <c r="E103" s="24">
        <v>15</v>
      </c>
      <c r="F103" s="24">
        <v>7</v>
      </c>
      <c r="G103" s="24">
        <v>13</v>
      </c>
      <c r="H103" s="24">
        <v>4</v>
      </c>
      <c r="I103" s="24">
        <v>15</v>
      </c>
      <c r="J103" s="24">
        <v>19</v>
      </c>
      <c r="K103" s="24">
        <v>12</v>
      </c>
      <c r="L103" s="24">
        <v>2</v>
      </c>
      <c r="M103" s="24">
        <v>7</v>
      </c>
      <c r="N103" s="73">
        <f>SUM(B103:M103)</f>
        <v>112</v>
      </c>
      <c r="O103" s="116"/>
      <c r="P103" s="76"/>
    </row>
    <row r="104" spans="1:17">
      <c r="A104" s="71" t="s">
        <v>208</v>
      </c>
      <c r="B104" s="24">
        <v>10</v>
      </c>
      <c r="C104" s="24">
        <v>0</v>
      </c>
      <c r="D104" s="24">
        <v>11</v>
      </c>
      <c r="E104" s="24">
        <v>38</v>
      </c>
      <c r="F104" s="24">
        <v>7</v>
      </c>
      <c r="G104" s="24">
        <v>17</v>
      </c>
      <c r="H104" s="24">
        <v>4</v>
      </c>
      <c r="I104" s="24">
        <v>7</v>
      </c>
      <c r="J104" s="24">
        <v>36</v>
      </c>
      <c r="K104" s="24">
        <v>14</v>
      </c>
      <c r="L104" s="24">
        <v>1</v>
      </c>
      <c r="M104" s="24">
        <v>13</v>
      </c>
      <c r="N104" s="73">
        <f>SUM(B104:M104)</f>
        <v>158</v>
      </c>
      <c r="O104" s="116">
        <v>0</v>
      </c>
      <c r="P104" s="76" t="s">
        <v>231</v>
      </c>
    </row>
    <row r="105" spans="1:17">
      <c r="A105" s="71" t="s">
        <v>241</v>
      </c>
      <c r="B105" s="24">
        <v>2</v>
      </c>
      <c r="C105" s="24">
        <v>0</v>
      </c>
      <c r="D105" s="24">
        <v>2</v>
      </c>
      <c r="E105" s="24">
        <v>2</v>
      </c>
      <c r="F105" s="24">
        <v>2</v>
      </c>
      <c r="G105" s="24">
        <v>2</v>
      </c>
      <c r="H105" s="24">
        <v>2</v>
      </c>
      <c r="I105" s="24">
        <v>2</v>
      </c>
      <c r="J105" s="24">
        <v>2</v>
      </c>
      <c r="K105" s="24">
        <v>2</v>
      </c>
      <c r="L105" s="24">
        <v>2</v>
      </c>
      <c r="M105" s="24">
        <v>2</v>
      </c>
      <c r="N105" s="73"/>
      <c r="O105" s="116"/>
      <c r="P105" s="76"/>
    </row>
    <row r="106" spans="1:17">
      <c r="A106" s="71" t="s">
        <v>228</v>
      </c>
      <c r="B106" s="24">
        <v>0</v>
      </c>
      <c r="C106" s="24">
        <v>0</v>
      </c>
      <c r="D106" s="24">
        <v>0</v>
      </c>
      <c r="E106" s="24">
        <v>0</v>
      </c>
      <c r="F106" s="24">
        <v>0</v>
      </c>
      <c r="G106" s="24">
        <v>0</v>
      </c>
      <c r="H106" s="24">
        <v>0</v>
      </c>
      <c r="I106" s="24">
        <v>0</v>
      </c>
      <c r="J106" s="24">
        <v>24</v>
      </c>
      <c r="K106" s="24">
        <v>0</v>
      </c>
      <c r="L106" s="24">
        <v>0</v>
      </c>
      <c r="M106" s="24">
        <v>0</v>
      </c>
      <c r="N106" s="73">
        <f>SUM(B106:M106)</f>
        <v>24</v>
      </c>
      <c r="O106" s="116"/>
      <c r="P106" s="76"/>
    </row>
    <row r="107" spans="1:17">
      <c r="A107" s="2"/>
      <c r="B107" s="88"/>
      <c r="C107" s="88"/>
      <c r="D107" s="88"/>
      <c r="E107" s="88"/>
      <c r="F107" s="88"/>
      <c r="G107" s="88"/>
      <c r="H107" s="88"/>
      <c r="I107" s="88"/>
      <c r="J107" s="88"/>
      <c r="K107" s="88"/>
      <c r="L107" s="88"/>
      <c r="M107" s="88"/>
      <c r="N107" s="88"/>
      <c r="O107" s="76"/>
      <c r="P107" s="76"/>
    </row>
    <row r="108" spans="1:17">
      <c r="A108" s="5"/>
      <c r="B108" s="90"/>
      <c r="C108" s="90"/>
      <c r="D108" s="90"/>
      <c r="E108" s="90"/>
      <c r="F108" s="90"/>
      <c r="G108" s="90"/>
      <c r="H108" s="90"/>
      <c r="I108" s="90"/>
      <c r="J108" s="90"/>
      <c r="K108" s="90"/>
      <c r="L108" s="90"/>
      <c r="M108" s="90"/>
      <c r="N108" s="90"/>
      <c r="O108" s="103"/>
      <c r="P108" s="103"/>
    </row>
    <row r="109" spans="1:17" ht="25.5">
      <c r="A109" s="58"/>
      <c r="B109" s="59">
        <v>40360</v>
      </c>
      <c r="C109" s="59">
        <v>40391</v>
      </c>
      <c r="D109" s="59">
        <v>6614787</v>
      </c>
      <c r="E109" s="59">
        <v>40452</v>
      </c>
      <c r="F109" s="59">
        <v>40483</v>
      </c>
      <c r="G109" s="59">
        <v>40513</v>
      </c>
      <c r="H109" s="59">
        <v>40544</v>
      </c>
      <c r="I109" s="59">
        <v>40575</v>
      </c>
      <c r="J109" s="59">
        <v>40603</v>
      </c>
      <c r="K109" s="59">
        <v>40634</v>
      </c>
      <c r="L109" s="59">
        <v>40664</v>
      </c>
      <c r="M109" s="59">
        <v>40695</v>
      </c>
      <c r="N109" s="60" t="s">
        <v>371</v>
      </c>
      <c r="O109" s="61" t="s">
        <v>27</v>
      </c>
      <c r="P109" s="61" t="s">
        <v>175</v>
      </c>
      <c r="Q109" s="2"/>
    </row>
    <row r="110" spans="1:17">
      <c r="A110" s="67" t="s">
        <v>89</v>
      </c>
      <c r="B110" s="59"/>
      <c r="C110" s="59"/>
      <c r="D110" s="59"/>
      <c r="E110" s="59"/>
      <c r="F110" s="59"/>
      <c r="G110" s="59"/>
      <c r="H110" s="59"/>
      <c r="I110" s="59"/>
      <c r="J110" s="59"/>
      <c r="K110" s="59"/>
      <c r="L110" s="59"/>
      <c r="M110" s="59"/>
      <c r="N110" s="53"/>
      <c r="O110" s="104"/>
      <c r="P110" s="104"/>
    </row>
    <row r="111" spans="1:17">
      <c r="A111" s="71" t="s">
        <v>306</v>
      </c>
      <c r="B111" s="24">
        <v>224</v>
      </c>
      <c r="C111" s="24">
        <v>157</v>
      </c>
      <c r="D111" s="24">
        <v>239</v>
      </c>
      <c r="E111" s="24">
        <v>289</v>
      </c>
      <c r="F111" s="24">
        <v>263</v>
      </c>
      <c r="G111" s="24">
        <v>181</v>
      </c>
      <c r="H111" s="24">
        <v>111</v>
      </c>
      <c r="I111" s="24">
        <v>319</v>
      </c>
      <c r="J111" s="24">
        <v>309</v>
      </c>
      <c r="K111" s="24">
        <v>200</v>
      </c>
      <c r="L111" s="24">
        <v>148</v>
      </c>
      <c r="M111" s="24">
        <v>109</v>
      </c>
      <c r="N111" s="73">
        <f>SUM(B111:M111)</f>
        <v>2549</v>
      </c>
      <c r="O111" s="116"/>
      <c r="P111" s="76"/>
    </row>
    <row r="112" spans="1:17">
      <c r="A112" s="71" t="s">
        <v>208</v>
      </c>
      <c r="B112" s="24">
        <v>546</v>
      </c>
      <c r="C112" s="24">
        <v>360</v>
      </c>
      <c r="D112" s="24">
        <v>624</v>
      </c>
      <c r="E112" s="24">
        <v>1996</v>
      </c>
      <c r="F112" s="24">
        <v>750</v>
      </c>
      <c r="G112" s="24">
        <v>1216</v>
      </c>
      <c r="H112" s="24">
        <v>318</v>
      </c>
      <c r="I112" s="24">
        <v>1670</v>
      </c>
      <c r="J112" s="24">
        <v>928</v>
      </c>
      <c r="K112" s="24">
        <v>644</v>
      </c>
      <c r="L112" s="24">
        <v>796</v>
      </c>
      <c r="M112" s="24">
        <v>980</v>
      </c>
      <c r="N112" s="73">
        <f>SUM(B112:M112)</f>
        <v>10828</v>
      </c>
      <c r="O112" s="116">
        <v>0</v>
      </c>
      <c r="P112" s="76">
        <f>O112/N112</f>
        <v>0</v>
      </c>
    </row>
    <row r="113" spans="1:17">
      <c r="A113" s="71" t="s">
        <v>241</v>
      </c>
      <c r="B113" s="24">
        <v>2</v>
      </c>
      <c r="C113" s="24">
        <v>2</v>
      </c>
      <c r="D113" s="24">
        <v>2</v>
      </c>
      <c r="E113" s="24">
        <v>2</v>
      </c>
      <c r="F113" s="24">
        <v>2</v>
      </c>
      <c r="G113" s="24">
        <v>2</v>
      </c>
      <c r="H113" s="24">
        <v>2</v>
      </c>
      <c r="I113" s="24">
        <v>2</v>
      </c>
      <c r="J113" s="24">
        <v>2</v>
      </c>
      <c r="K113" s="24">
        <v>2</v>
      </c>
      <c r="L113" s="24">
        <v>2</v>
      </c>
      <c r="M113" s="24">
        <v>5</v>
      </c>
      <c r="N113" s="73"/>
      <c r="O113" s="116"/>
      <c r="P113" s="76"/>
    </row>
    <row r="114" spans="1:17">
      <c r="A114" s="71" t="s">
        <v>228</v>
      </c>
      <c r="B114" s="24">
        <v>20</v>
      </c>
      <c r="C114" s="24">
        <v>39</v>
      </c>
      <c r="D114" s="24">
        <v>30</v>
      </c>
      <c r="E114" s="24">
        <v>151</v>
      </c>
      <c r="F114" s="24">
        <v>34</v>
      </c>
      <c r="G114" s="24">
        <v>14</v>
      </c>
      <c r="H114" s="24">
        <v>13</v>
      </c>
      <c r="I114" s="24">
        <v>42</v>
      </c>
      <c r="J114" s="24">
        <v>26</v>
      </c>
      <c r="K114" s="24">
        <v>27</v>
      </c>
      <c r="L114" s="24">
        <v>5</v>
      </c>
      <c r="M114" s="24">
        <v>4</v>
      </c>
      <c r="N114" s="73">
        <f>SUM(B114:M114)</f>
        <v>405</v>
      </c>
      <c r="O114" s="116"/>
      <c r="P114" s="76"/>
    </row>
    <row r="115" spans="1:17">
      <c r="A115" s="2"/>
      <c r="B115" s="88"/>
      <c r="C115" s="88"/>
      <c r="D115" s="88"/>
      <c r="E115" s="88"/>
      <c r="F115" s="88"/>
      <c r="G115" s="88"/>
      <c r="H115" s="88"/>
      <c r="I115" s="88"/>
      <c r="J115" s="88"/>
      <c r="K115" s="88"/>
      <c r="L115" s="88"/>
      <c r="M115" s="88"/>
      <c r="N115" s="88"/>
      <c r="O115" s="76"/>
      <c r="P115" s="76"/>
    </row>
    <row r="116" spans="1:17">
      <c r="A116" s="5"/>
      <c r="B116" s="90"/>
      <c r="C116" s="90"/>
      <c r="D116" s="90"/>
      <c r="E116" s="90"/>
      <c r="F116" s="90"/>
      <c r="G116" s="90"/>
      <c r="H116" s="90"/>
      <c r="I116" s="90"/>
      <c r="J116" s="90"/>
      <c r="K116" s="90"/>
      <c r="L116" s="90"/>
      <c r="M116" s="90"/>
      <c r="N116" s="90"/>
      <c r="O116" s="103"/>
      <c r="P116" s="103"/>
    </row>
    <row r="117" spans="1:17" ht="25.5">
      <c r="A117" s="58"/>
      <c r="B117" s="59">
        <v>40360</v>
      </c>
      <c r="C117" s="59">
        <v>40391</v>
      </c>
      <c r="D117" s="59">
        <v>6614787</v>
      </c>
      <c r="E117" s="59">
        <v>40452</v>
      </c>
      <c r="F117" s="59">
        <v>40483</v>
      </c>
      <c r="G117" s="59">
        <v>40513</v>
      </c>
      <c r="H117" s="59">
        <v>40544</v>
      </c>
      <c r="I117" s="59">
        <v>40575</v>
      </c>
      <c r="J117" s="59">
        <v>40603</v>
      </c>
      <c r="K117" s="59">
        <v>40634</v>
      </c>
      <c r="L117" s="59">
        <v>40664</v>
      </c>
      <c r="M117" s="59">
        <v>40695</v>
      </c>
      <c r="N117" s="60" t="s">
        <v>371</v>
      </c>
      <c r="O117" s="61" t="s">
        <v>27</v>
      </c>
      <c r="P117" s="61" t="s">
        <v>175</v>
      </c>
      <c r="Q117" s="2"/>
    </row>
    <row r="118" spans="1:17">
      <c r="A118" s="67" t="s">
        <v>263</v>
      </c>
      <c r="B118" s="59"/>
      <c r="C118" s="59"/>
      <c r="D118" s="59"/>
      <c r="E118" s="59"/>
      <c r="F118" s="59"/>
      <c r="G118" s="59"/>
      <c r="H118" s="59"/>
      <c r="I118" s="59"/>
      <c r="J118" s="59"/>
      <c r="K118" s="59"/>
      <c r="L118" s="59"/>
      <c r="M118" s="59"/>
      <c r="N118" s="53"/>
      <c r="O118" s="104"/>
      <c r="P118" s="104"/>
    </row>
    <row r="119" spans="1:17">
      <c r="A119" s="71" t="s">
        <v>306</v>
      </c>
      <c r="B119" s="24">
        <v>18</v>
      </c>
      <c r="C119" s="24">
        <v>3</v>
      </c>
      <c r="D119" s="24">
        <v>5</v>
      </c>
      <c r="E119" s="24">
        <v>18</v>
      </c>
      <c r="F119" s="24">
        <v>9</v>
      </c>
      <c r="G119" s="24">
        <v>10</v>
      </c>
      <c r="H119" s="24">
        <v>3</v>
      </c>
      <c r="I119" s="24">
        <v>5</v>
      </c>
      <c r="J119" s="24">
        <v>12</v>
      </c>
      <c r="K119" s="24">
        <v>6</v>
      </c>
      <c r="L119" s="24">
        <v>4</v>
      </c>
      <c r="M119" s="24">
        <v>10</v>
      </c>
      <c r="N119" s="73">
        <f>SUM(B119:M119)</f>
        <v>103</v>
      </c>
      <c r="O119" s="116"/>
      <c r="P119" s="76"/>
    </row>
    <row r="120" spans="1:17">
      <c r="A120" s="71" t="s">
        <v>208</v>
      </c>
      <c r="B120" s="24">
        <v>32</v>
      </c>
      <c r="C120" s="24">
        <v>26</v>
      </c>
      <c r="D120" s="24">
        <v>8</v>
      </c>
      <c r="E120" s="24">
        <v>29</v>
      </c>
      <c r="F120" s="24">
        <v>17</v>
      </c>
      <c r="G120" s="24">
        <v>11</v>
      </c>
      <c r="H120" s="24">
        <v>7</v>
      </c>
      <c r="I120" s="24">
        <v>2</v>
      </c>
      <c r="J120" s="24">
        <v>18</v>
      </c>
      <c r="K120" s="24">
        <v>14</v>
      </c>
      <c r="L120" s="24">
        <v>8</v>
      </c>
      <c r="M120" s="24">
        <v>17</v>
      </c>
      <c r="N120" s="73">
        <f>SUM(B120:M120)</f>
        <v>189</v>
      </c>
      <c r="O120" s="116">
        <v>0</v>
      </c>
      <c r="P120" s="76" t="s">
        <v>231</v>
      </c>
    </row>
    <row r="121" spans="1:17">
      <c r="A121" s="71" t="s">
        <v>241</v>
      </c>
      <c r="B121" s="24">
        <v>2</v>
      </c>
      <c r="C121" s="24">
        <v>2</v>
      </c>
      <c r="D121" s="24">
        <v>2</v>
      </c>
      <c r="E121" s="24">
        <v>2</v>
      </c>
      <c r="F121" s="24">
        <v>2</v>
      </c>
      <c r="G121" s="24">
        <v>2</v>
      </c>
      <c r="H121" s="24">
        <v>2</v>
      </c>
      <c r="I121" s="24">
        <v>2</v>
      </c>
      <c r="J121" s="24">
        <v>2</v>
      </c>
      <c r="K121" s="24">
        <v>2</v>
      </c>
      <c r="L121" s="24">
        <v>2</v>
      </c>
      <c r="M121" s="24">
        <v>2</v>
      </c>
      <c r="N121" s="73"/>
      <c r="O121" s="116"/>
      <c r="P121" s="76"/>
    </row>
    <row r="122" spans="1:17">
      <c r="A122" s="71" t="s">
        <v>228</v>
      </c>
      <c r="B122" s="24">
        <v>0</v>
      </c>
      <c r="C122" s="24">
        <v>0</v>
      </c>
      <c r="D122" s="24">
        <v>0</v>
      </c>
      <c r="E122" s="24">
        <v>3</v>
      </c>
      <c r="F122" s="24">
        <v>0</v>
      </c>
      <c r="G122" s="24">
        <v>1</v>
      </c>
      <c r="H122" s="24">
        <v>0</v>
      </c>
      <c r="I122" s="24">
        <v>0</v>
      </c>
      <c r="J122" s="24">
        <v>0</v>
      </c>
      <c r="K122" s="24">
        <v>0</v>
      </c>
      <c r="L122" s="24">
        <v>0</v>
      </c>
      <c r="M122" s="24">
        <v>0</v>
      </c>
      <c r="N122" s="73">
        <f>SUM(B122:M122)</f>
        <v>4</v>
      </c>
      <c r="O122" s="116"/>
      <c r="P122" s="76"/>
    </row>
    <row r="123" spans="1:17">
      <c r="A123" s="2"/>
      <c r="B123" s="82"/>
      <c r="C123" s="82"/>
      <c r="D123" s="82"/>
      <c r="E123" s="82"/>
      <c r="F123" s="82"/>
      <c r="G123" s="82"/>
      <c r="H123" s="82"/>
      <c r="I123" s="82"/>
      <c r="J123" s="82"/>
      <c r="K123" s="82"/>
      <c r="L123" s="82"/>
      <c r="M123" s="82"/>
      <c r="N123" s="128"/>
      <c r="O123" s="76"/>
      <c r="P123" s="76"/>
    </row>
    <row r="124" spans="1:17">
      <c r="A124" s="2"/>
      <c r="B124" s="2"/>
      <c r="C124" s="2"/>
      <c r="D124" s="2"/>
      <c r="E124" s="2"/>
      <c r="F124" s="2"/>
      <c r="G124" s="2"/>
      <c r="H124" s="2"/>
      <c r="I124" s="2"/>
      <c r="J124" s="2"/>
      <c r="K124" s="2"/>
      <c r="L124" s="2"/>
      <c r="M124" s="2"/>
      <c r="N124" s="132"/>
      <c r="O124" s="76"/>
      <c r="P124" s="76"/>
    </row>
    <row r="125" spans="1:17">
      <c r="A125" s="5"/>
      <c r="B125" s="5"/>
      <c r="C125" s="5"/>
      <c r="D125" s="5"/>
      <c r="E125" s="5"/>
      <c r="F125" s="5"/>
      <c r="G125" s="5"/>
      <c r="H125" s="5"/>
      <c r="I125" s="5"/>
      <c r="J125" s="5"/>
      <c r="K125" s="5"/>
      <c r="L125" s="5"/>
      <c r="M125" s="5"/>
      <c r="N125" s="127"/>
      <c r="O125" s="103"/>
      <c r="P125" s="103"/>
    </row>
    <row r="126" spans="1:17" ht="25.5">
      <c r="A126" s="58"/>
      <c r="B126" s="59">
        <v>40360</v>
      </c>
      <c r="C126" s="59">
        <v>40391</v>
      </c>
      <c r="D126" s="59">
        <v>6614787</v>
      </c>
      <c r="E126" s="59">
        <v>40452</v>
      </c>
      <c r="F126" s="59">
        <v>40483</v>
      </c>
      <c r="G126" s="59">
        <v>40513</v>
      </c>
      <c r="H126" s="59">
        <v>40544</v>
      </c>
      <c r="I126" s="59">
        <v>40575</v>
      </c>
      <c r="J126" s="59">
        <v>40603</v>
      </c>
      <c r="K126" s="59">
        <v>40634</v>
      </c>
      <c r="L126" s="59">
        <v>40664</v>
      </c>
      <c r="M126" s="59">
        <v>40695</v>
      </c>
      <c r="N126" s="60" t="s">
        <v>371</v>
      </c>
      <c r="O126" s="61" t="s">
        <v>27</v>
      </c>
      <c r="P126" s="61" t="s">
        <v>175</v>
      </c>
      <c r="Q126" s="2"/>
    </row>
    <row r="127" spans="1:17">
      <c r="A127" s="67" t="s">
        <v>174</v>
      </c>
      <c r="B127" s="59"/>
      <c r="C127" s="59"/>
      <c r="D127" s="59"/>
      <c r="E127" s="59"/>
      <c r="F127" s="59"/>
      <c r="G127" s="59"/>
      <c r="H127" s="59"/>
      <c r="I127" s="59"/>
      <c r="J127" s="59"/>
      <c r="K127" s="59"/>
      <c r="L127" s="59"/>
      <c r="M127" s="59"/>
      <c r="N127" s="53"/>
      <c r="O127" s="104"/>
      <c r="P127" s="104"/>
    </row>
    <row r="128" spans="1:17">
      <c r="A128" s="71" t="s">
        <v>306</v>
      </c>
      <c r="B128" s="24">
        <v>720</v>
      </c>
      <c r="C128" s="24">
        <v>291</v>
      </c>
      <c r="D128" s="24">
        <v>659</v>
      </c>
      <c r="E128" s="24">
        <v>1083</v>
      </c>
      <c r="F128" s="24">
        <v>1002</v>
      </c>
      <c r="G128" s="24">
        <v>571</v>
      </c>
      <c r="H128" s="24">
        <v>368</v>
      </c>
      <c r="I128" s="24">
        <v>915</v>
      </c>
      <c r="J128" s="24">
        <v>997</v>
      </c>
      <c r="K128" s="24">
        <v>889</v>
      </c>
      <c r="L128" s="24">
        <v>378</v>
      </c>
      <c r="M128" s="24">
        <v>383</v>
      </c>
      <c r="N128" s="73">
        <f>SUM(B128:M128)</f>
        <v>8256</v>
      </c>
      <c r="O128" s="116"/>
      <c r="P128" s="76"/>
    </row>
    <row r="129" spans="1:17">
      <c r="A129" s="71" t="s">
        <v>208</v>
      </c>
      <c r="B129" s="24">
        <v>1807</v>
      </c>
      <c r="C129" s="24">
        <v>605</v>
      </c>
      <c r="D129" s="24">
        <v>1944</v>
      </c>
      <c r="E129" s="24">
        <v>3490</v>
      </c>
      <c r="F129" s="24">
        <v>2405</v>
      </c>
      <c r="G129" s="24">
        <v>2321</v>
      </c>
      <c r="H129" s="24">
        <v>1280</v>
      </c>
      <c r="I129" s="24">
        <v>2916</v>
      </c>
      <c r="J129" s="24">
        <v>2223</v>
      </c>
      <c r="K129" s="24">
        <v>2095</v>
      </c>
      <c r="L129" s="24">
        <v>1419</v>
      </c>
      <c r="M129" s="24">
        <v>1758</v>
      </c>
      <c r="N129" s="73">
        <f>SUM(B129:M129)</f>
        <v>24263</v>
      </c>
      <c r="O129" s="116">
        <v>0</v>
      </c>
      <c r="P129" s="76">
        <f>O129/N129</f>
        <v>0</v>
      </c>
    </row>
    <row r="130" spans="1:17">
      <c r="A130" s="71" t="s">
        <v>310</v>
      </c>
      <c r="B130" s="24">
        <v>2</v>
      </c>
      <c r="C130" s="24">
        <v>2</v>
      </c>
      <c r="D130" s="24">
        <v>2</v>
      </c>
      <c r="E130" s="24">
        <v>2</v>
      </c>
      <c r="F130" s="24">
        <v>2</v>
      </c>
      <c r="G130" s="24">
        <v>2</v>
      </c>
      <c r="H130" s="24">
        <v>2</v>
      </c>
      <c r="I130" s="24">
        <v>2</v>
      </c>
      <c r="J130" s="24">
        <v>2</v>
      </c>
      <c r="K130" s="24">
        <v>2</v>
      </c>
      <c r="L130" s="24">
        <v>2</v>
      </c>
      <c r="M130" s="24">
        <v>2</v>
      </c>
      <c r="N130" s="73"/>
      <c r="O130" s="116"/>
      <c r="P130" s="76"/>
    </row>
    <row r="131" spans="1:17">
      <c r="A131" s="71" t="s">
        <v>228</v>
      </c>
      <c r="B131" s="24">
        <v>136</v>
      </c>
      <c r="C131" s="24">
        <v>43</v>
      </c>
      <c r="D131" s="24">
        <v>78</v>
      </c>
      <c r="E131" s="24">
        <v>201</v>
      </c>
      <c r="F131" s="24">
        <v>67</v>
      </c>
      <c r="G131" s="24">
        <v>28</v>
      </c>
      <c r="H131" s="24">
        <v>20</v>
      </c>
      <c r="I131" s="24">
        <v>76</v>
      </c>
      <c r="J131" s="24">
        <v>105</v>
      </c>
      <c r="K131" s="24">
        <v>87</v>
      </c>
      <c r="L131" s="24">
        <v>5</v>
      </c>
      <c r="M131" s="24">
        <v>47</v>
      </c>
      <c r="N131" s="73">
        <f>SUM(B131:M131)</f>
        <v>893</v>
      </c>
      <c r="O131" s="116"/>
      <c r="P131" s="76"/>
    </row>
    <row r="132" spans="1:17">
      <c r="A132" s="2"/>
      <c r="B132" s="88"/>
      <c r="C132" s="88"/>
      <c r="D132" s="88"/>
      <c r="E132" s="88"/>
      <c r="F132" s="88"/>
      <c r="G132" s="88"/>
      <c r="H132" s="88"/>
      <c r="I132" s="88"/>
      <c r="J132" s="88"/>
      <c r="K132" s="88"/>
      <c r="L132" s="88"/>
      <c r="M132" s="88"/>
      <c r="N132" s="88"/>
      <c r="O132" s="76"/>
      <c r="P132" s="76"/>
    </row>
    <row r="133" spans="1:17">
      <c r="A133" s="5"/>
      <c r="B133" s="90"/>
      <c r="C133" s="90"/>
      <c r="D133" s="90"/>
      <c r="E133" s="90"/>
      <c r="F133" s="90"/>
      <c r="G133" s="90"/>
      <c r="H133" s="90"/>
      <c r="I133" s="90"/>
      <c r="J133" s="90"/>
      <c r="K133" s="90"/>
      <c r="L133" s="90"/>
      <c r="M133" s="90"/>
      <c r="N133" s="90"/>
      <c r="O133" s="103"/>
      <c r="P133" s="103"/>
    </row>
    <row r="134" spans="1:17" ht="25.5">
      <c r="A134" s="58"/>
      <c r="B134" s="59">
        <v>40360</v>
      </c>
      <c r="C134" s="59">
        <v>40391</v>
      </c>
      <c r="D134" s="59">
        <v>6614787</v>
      </c>
      <c r="E134" s="59">
        <v>40452</v>
      </c>
      <c r="F134" s="59">
        <v>40483</v>
      </c>
      <c r="G134" s="59">
        <v>40513</v>
      </c>
      <c r="H134" s="59">
        <v>40544</v>
      </c>
      <c r="I134" s="59">
        <v>40575</v>
      </c>
      <c r="J134" s="59">
        <v>40603</v>
      </c>
      <c r="K134" s="59">
        <v>40634</v>
      </c>
      <c r="L134" s="59">
        <v>40664</v>
      </c>
      <c r="M134" s="59">
        <v>40695</v>
      </c>
      <c r="N134" s="60" t="s">
        <v>371</v>
      </c>
      <c r="O134" s="61" t="s">
        <v>27</v>
      </c>
      <c r="P134" s="61" t="s">
        <v>175</v>
      </c>
      <c r="Q134" s="2"/>
    </row>
    <row r="135" spans="1:17">
      <c r="A135" s="67" t="s">
        <v>79</v>
      </c>
      <c r="B135" s="59"/>
      <c r="C135" s="59"/>
      <c r="D135" s="59"/>
      <c r="E135" s="59"/>
      <c r="F135" s="59"/>
      <c r="G135" s="59"/>
      <c r="H135" s="59"/>
      <c r="I135" s="59"/>
      <c r="J135" s="59"/>
      <c r="K135" s="59"/>
      <c r="L135" s="59"/>
      <c r="M135" s="59"/>
      <c r="N135" s="53"/>
      <c r="O135" s="104"/>
      <c r="P135" s="104"/>
    </row>
    <row r="136" spans="1:17">
      <c r="A136" s="71" t="s">
        <v>208</v>
      </c>
      <c r="B136" s="24">
        <v>20</v>
      </c>
      <c r="C136" s="24">
        <v>1</v>
      </c>
      <c r="D136" s="24">
        <v>1</v>
      </c>
      <c r="E136" s="24">
        <v>1</v>
      </c>
      <c r="F136" s="24">
        <v>0</v>
      </c>
      <c r="G136" s="24">
        <v>9</v>
      </c>
      <c r="H136" s="24">
        <v>4</v>
      </c>
      <c r="I136" s="24">
        <v>2</v>
      </c>
      <c r="J136" s="24">
        <v>1</v>
      </c>
      <c r="K136" s="24">
        <v>1</v>
      </c>
      <c r="L136" s="24">
        <v>3</v>
      </c>
      <c r="M136" s="24">
        <v>5</v>
      </c>
      <c r="N136" s="73">
        <f>SUM(B136:M136)</f>
        <v>48</v>
      </c>
      <c r="O136" s="116">
        <v>0</v>
      </c>
      <c r="P136" s="76" t="s">
        <v>231</v>
      </c>
    </row>
    <row r="137" spans="1:17">
      <c r="A137" s="2"/>
      <c r="B137" s="43"/>
      <c r="C137" s="43"/>
      <c r="D137" s="43"/>
      <c r="E137" s="43"/>
      <c r="F137" s="43"/>
      <c r="G137" s="43"/>
      <c r="H137" s="43"/>
      <c r="I137" s="43"/>
      <c r="J137" s="43"/>
      <c r="K137" s="43"/>
      <c r="L137" s="43"/>
      <c r="M137" s="43"/>
      <c r="N137" s="43"/>
      <c r="O137" s="2"/>
      <c r="P137" s="2"/>
    </row>
    <row r="138" spans="1:17">
      <c r="A138" s="2"/>
      <c r="O138" s="2"/>
      <c r="P138" s="2"/>
    </row>
    <row r="139" spans="1:17">
      <c r="A139" s="2"/>
      <c r="O139" s="2"/>
      <c r="P139" s="2"/>
    </row>
    <row r="140" spans="1:17">
      <c r="O140" s="2"/>
      <c r="P140" s="2"/>
    </row>
    <row r="141" spans="1:17">
      <c r="A141" s="2"/>
      <c r="O141" s="2"/>
      <c r="P141" s="2"/>
    </row>
  </sheetData>
  <pageMargins left="0.75" right="0.75" top="1" bottom="1" header="0.5" footer="0.5"/>
  <pageSetup paperSize="9"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dimension ref="A1:P10"/>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25.140625" customWidth="1"/>
    <col min="2" max="14" width="9" customWidth="1"/>
    <col min="15" max="15" width="10.42578125" customWidth="1"/>
    <col min="16" max="16" width="9" customWidth="1"/>
    <col min="17" max="20" width="17.140625" customWidth="1"/>
  </cols>
  <sheetData>
    <row r="1" spans="1:16" ht="20.25">
      <c r="A1" s="175" t="s">
        <v>379</v>
      </c>
      <c r="B1" s="178"/>
      <c r="C1" s="178"/>
      <c r="D1" s="178"/>
    </row>
    <row r="2" spans="1:16" ht="18">
      <c r="A2" s="182" t="s">
        <v>279</v>
      </c>
      <c r="B2" s="178"/>
      <c r="C2" s="178"/>
      <c r="D2" s="178"/>
      <c r="E2" s="178"/>
      <c r="F2" s="178"/>
    </row>
    <row r="4" spans="1:16">
      <c r="A4" s="49" t="s">
        <v>48</v>
      </c>
      <c r="B4" s="49" t="s">
        <v>252</v>
      </c>
    </row>
    <row r="5" spans="1:16">
      <c r="A5" s="6"/>
      <c r="B5" s="6"/>
      <c r="C5" s="6"/>
      <c r="D5" s="6"/>
      <c r="E5" s="6"/>
      <c r="F5" s="6"/>
      <c r="G5" s="6"/>
      <c r="H5" s="6"/>
      <c r="I5" s="6"/>
      <c r="J5" s="6"/>
      <c r="K5" s="6"/>
      <c r="L5" s="6"/>
      <c r="M5" s="6"/>
      <c r="N5" s="6"/>
      <c r="O5" s="6"/>
      <c r="P5" s="6"/>
    </row>
    <row r="6" spans="1:16"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row>
    <row r="7" spans="1:16">
      <c r="A7" s="52" t="s">
        <v>82</v>
      </c>
      <c r="B7" s="53"/>
      <c r="C7" s="53"/>
      <c r="D7" s="53"/>
      <c r="E7" s="53"/>
      <c r="F7" s="53"/>
      <c r="G7" s="53"/>
      <c r="H7" s="53"/>
      <c r="I7" s="53"/>
      <c r="J7" s="53"/>
      <c r="K7" s="53"/>
      <c r="L7" s="53"/>
      <c r="M7" s="53"/>
      <c r="N7" s="53"/>
      <c r="O7" s="43"/>
      <c r="P7" s="43"/>
    </row>
    <row r="8" spans="1:16">
      <c r="A8" s="71" t="s">
        <v>373</v>
      </c>
      <c r="B8" s="24">
        <v>0</v>
      </c>
      <c r="C8" s="24">
        <v>0</v>
      </c>
      <c r="D8" s="24">
        <v>0</v>
      </c>
      <c r="E8" s="24">
        <v>0</v>
      </c>
      <c r="F8" s="24">
        <v>0</v>
      </c>
      <c r="G8" s="24">
        <v>0</v>
      </c>
      <c r="H8" s="24">
        <v>0</v>
      </c>
      <c r="I8" s="24">
        <v>0</v>
      </c>
      <c r="J8" s="24">
        <v>0</v>
      </c>
      <c r="K8" s="24">
        <v>0</v>
      </c>
      <c r="L8" s="24">
        <v>0</v>
      </c>
      <c r="M8" s="24">
        <v>0</v>
      </c>
      <c r="N8" s="73">
        <f>SUM(B8:M8)</f>
        <v>0</v>
      </c>
      <c r="O8" s="56">
        <v>0</v>
      </c>
      <c r="P8" s="57" t="e">
        <f>O8/N8</f>
        <v>#DIV/0!</v>
      </c>
    </row>
    <row r="9" spans="1:16">
      <c r="A9" s="71" t="s">
        <v>158</v>
      </c>
      <c r="B9" s="40">
        <v>1</v>
      </c>
      <c r="C9" s="16">
        <v>0</v>
      </c>
      <c r="D9" s="16">
        <v>0</v>
      </c>
      <c r="E9" s="16">
        <v>1</v>
      </c>
      <c r="F9" s="16">
        <v>0</v>
      </c>
      <c r="G9" s="16">
        <v>2</v>
      </c>
      <c r="H9" s="16">
        <v>1</v>
      </c>
      <c r="I9" s="16">
        <v>0</v>
      </c>
      <c r="J9" s="16">
        <v>0</v>
      </c>
      <c r="K9" s="16">
        <v>4</v>
      </c>
      <c r="L9" s="16">
        <v>0</v>
      </c>
      <c r="M9" s="16">
        <v>0</v>
      </c>
      <c r="N9" s="73">
        <f>SUM(B9:M9)</f>
        <v>9</v>
      </c>
      <c r="O9" s="18"/>
    </row>
    <row r="10" spans="1:16">
      <c r="B10" s="43"/>
      <c r="C10" s="43"/>
      <c r="D10" s="43"/>
      <c r="E10" s="43"/>
      <c r="F10" s="43"/>
      <c r="G10" s="43"/>
      <c r="H10" s="43"/>
      <c r="I10" s="43"/>
      <c r="J10" s="43"/>
      <c r="K10" s="43"/>
      <c r="L10" s="43"/>
      <c r="M10" s="43"/>
      <c r="N10" s="43"/>
    </row>
  </sheetData>
  <mergeCells count="2">
    <mergeCell ref="A1:D1"/>
    <mergeCell ref="A2:F2"/>
  </mergeCells>
  <pageMargins left="0.75" right="0.75" top="1" bottom="1" header="0.5" footer="0.5"/>
  <pageSetup paperSize="9"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dimension ref="A1:Q23"/>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6.85546875" customWidth="1"/>
    <col min="2" max="2" width="7.85546875" customWidth="1"/>
    <col min="3" max="3" width="8.7109375" customWidth="1"/>
    <col min="4" max="4" width="8" customWidth="1"/>
    <col min="5" max="5" width="8.85546875" customWidth="1"/>
    <col min="6" max="6" width="8.5703125" customWidth="1"/>
    <col min="7" max="7" width="9.140625" customWidth="1"/>
    <col min="8" max="8" width="7.85546875" customWidth="1"/>
    <col min="9" max="9" width="8.28515625" customWidth="1"/>
    <col min="10" max="10" width="9.42578125" customWidth="1"/>
    <col min="11" max="11" width="9" customWidth="1"/>
    <col min="12" max="12" width="9.28515625" customWidth="1"/>
    <col min="13" max="13" width="9" customWidth="1"/>
    <col min="14" max="14" width="10.28515625" customWidth="1"/>
    <col min="15" max="15" width="10.140625" customWidth="1"/>
    <col min="16" max="16" width="8.5703125" customWidth="1"/>
    <col min="17" max="17" width="9.140625" customWidth="1"/>
  </cols>
  <sheetData>
    <row r="1" spans="1:17" ht="20.25">
      <c r="A1" s="1" t="s">
        <v>50</v>
      </c>
      <c r="B1" s="2"/>
      <c r="C1" s="2"/>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row>
    <row r="4" spans="1:17">
      <c r="A4" s="2" t="s">
        <v>17</v>
      </c>
      <c r="B4" s="2" t="s">
        <v>192</v>
      </c>
    </row>
    <row r="5" spans="1:17">
      <c r="A5" s="5"/>
      <c r="B5" s="6"/>
      <c r="C5" s="6"/>
      <c r="D5" s="6"/>
      <c r="E5" s="6"/>
      <c r="F5" s="6"/>
      <c r="G5" s="6"/>
      <c r="H5" s="6"/>
      <c r="I5" s="6"/>
      <c r="J5" s="6"/>
      <c r="K5" s="6"/>
      <c r="L5" s="6"/>
      <c r="M5" s="6"/>
      <c r="N5" s="6"/>
      <c r="O5" s="6"/>
      <c r="P5" s="6"/>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67" t="s">
        <v>167</v>
      </c>
      <c r="B7" s="68"/>
      <c r="C7" s="68"/>
      <c r="D7" s="68"/>
      <c r="E7" s="68"/>
      <c r="F7" s="68"/>
      <c r="G7" s="68"/>
      <c r="H7" s="68"/>
      <c r="I7" s="68"/>
      <c r="J7" s="68"/>
      <c r="K7" s="68"/>
      <c r="L7" s="68"/>
      <c r="M7" s="68"/>
      <c r="N7" s="68"/>
      <c r="O7" s="188" t="s">
        <v>418</v>
      </c>
      <c r="P7" s="188"/>
    </row>
    <row r="8" spans="1:17">
      <c r="A8" s="71" t="s">
        <v>373</v>
      </c>
      <c r="B8" s="24">
        <v>162</v>
      </c>
      <c r="C8" s="24">
        <v>85</v>
      </c>
      <c r="D8" s="24">
        <v>421</v>
      </c>
      <c r="E8" s="24">
        <v>527</v>
      </c>
      <c r="F8" s="24">
        <v>974</v>
      </c>
      <c r="G8" s="24">
        <v>1013</v>
      </c>
      <c r="H8" s="24">
        <v>242</v>
      </c>
      <c r="I8" s="24">
        <v>406</v>
      </c>
      <c r="J8" s="24">
        <v>772</v>
      </c>
      <c r="K8" s="24">
        <v>1082</v>
      </c>
      <c r="L8" s="24">
        <v>407</v>
      </c>
      <c r="M8" s="24">
        <v>154</v>
      </c>
      <c r="N8" s="73">
        <f>SUM(B8:M8)</f>
        <v>6245</v>
      </c>
      <c r="O8" s="74">
        <v>2105</v>
      </c>
      <c r="P8" s="75">
        <f>O8/N8</f>
        <v>0.33706965572457964</v>
      </c>
    </row>
    <row r="9" spans="1:17">
      <c r="A9" s="71" t="s">
        <v>257</v>
      </c>
      <c r="B9" s="24">
        <v>69</v>
      </c>
      <c r="C9" s="24">
        <v>28</v>
      </c>
      <c r="D9" s="24">
        <v>123</v>
      </c>
      <c r="E9" s="24">
        <v>182</v>
      </c>
      <c r="F9" s="24">
        <v>256</v>
      </c>
      <c r="G9" s="24">
        <v>251</v>
      </c>
      <c r="H9" s="24">
        <v>81</v>
      </c>
      <c r="I9" s="24">
        <v>145</v>
      </c>
      <c r="J9" s="24">
        <v>219</v>
      </c>
      <c r="K9" s="24">
        <v>246</v>
      </c>
      <c r="L9" s="24">
        <v>123</v>
      </c>
      <c r="M9" s="24">
        <v>42</v>
      </c>
      <c r="N9" s="73">
        <f>SUM(B9:M9)</f>
        <v>1765</v>
      </c>
      <c r="O9" s="74"/>
    </row>
    <row r="10" spans="1:17">
      <c r="A10" s="71" t="s">
        <v>228</v>
      </c>
      <c r="B10" s="24">
        <v>0</v>
      </c>
      <c r="C10" s="24">
        <v>0</v>
      </c>
      <c r="D10" s="24">
        <v>0</v>
      </c>
      <c r="E10" s="24">
        <v>0</v>
      </c>
      <c r="F10" s="24">
        <v>0</v>
      </c>
      <c r="G10" s="24">
        <v>0</v>
      </c>
      <c r="H10" s="24">
        <v>0</v>
      </c>
      <c r="I10" s="24">
        <v>0</v>
      </c>
      <c r="J10" s="24">
        <v>0</v>
      </c>
      <c r="K10" s="24">
        <v>0</v>
      </c>
      <c r="L10" s="24">
        <v>0</v>
      </c>
      <c r="M10" s="24">
        <v>0</v>
      </c>
      <c r="N10" s="73">
        <f>SUM(B10:M10)</f>
        <v>0</v>
      </c>
      <c r="O10" s="74"/>
      <c r="P10" s="75"/>
    </row>
    <row r="11" spans="1:17" ht="25.5">
      <c r="A11" s="133" t="s">
        <v>273</v>
      </c>
      <c r="B11" s="24">
        <v>65</v>
      </c>
      <c r="C11" s="24">
        <v>65</v>
      </c>
      <c r="D11" s="24">
        <v>92</v>
      </c>
      <c r="E11" s="24">
        <v>146</v>
      </c>
      <c r="F11" s="24">
        <v>282</v>
      </c>
      <c r="G11" s="24">
        <v>284</v>
      </c>
      <c r="H11" s="24">
        <v>115</v>
      </c>
      <c r="I11" s="24">
        <v>126</v>
      </c>
      <c r="J11" s="24">
        <v>310</v>
      </c>
      <c r="K11" s="24">
        <v>360</v>
      </c>
      <c r="L11" s="24">
        <v>289</v>
      </c>
      <c r="M11" s="24">
        <v>81</v>
      </c>
      <c r="N11" s="134">
        <f>SUM(B11:M11)</f>
        <v>2215</v>
      </c>
      <c r="O11" s="74" t="s">
        <v>15</v>
      </c>
      <c r="P11" s="75" t="s">
        <v>15</v>
      </c>
      <c r="Q11" s="2"/>
    </row>
    <row r="12" spans="1:17">
      <c r="A12" s="2"/>
      <c r="B12" s="43"/>
      <c r="C12" s="43"/>
      <c r="D12" s="43"/>
      <c r="E12" s="43"/>
      <c r="F12" s="43"/>
      <c r="G12" s="43"/>
      <c r="H12" s="43"/>
      <c r="I12" s="43"/>
      <c r="J12" s="43"/>
      <c r="K12" s="43"/>
      <c r="L12" s="43"/>
      <c r="M12" s="43"/>
      <c r="N12" s="43"/>
    </row>
    <row r="13" spans="1:17">
      <c r="A13" s="2"/>
    </row>
    <row r="15" spans="1:17">
      <c r="A15" s="2"/>
    </row>
    <row r="16" spans="1:17">
      <c r="A16" s="2"/>
    </row>
    <row r="17" spans="1:9">
      <c r="A17" s="2"/>
    </row>
    <row r="18" spans="1:9">
      <c r="A18" s="2"/>
      <c r="I18" s="135"/>
    </row>
    <row r="19" spans="1:9">
      <c r="A19" s="2"/>
      <c r="I19" s="136"/>
    </row>
    <row r="20" spans="1:9">
      <c r="A20" s="2"/>
      <c r="I20" s="136"/>
    </row>
    <row r="21" spans="1:9">
      <c r="A21" s="2"/>
      <c r="I21" s="136"/>
    </row>
    <row r="22" spans="1:9">
      <c r="A22" s="2"/>
      <c r="I22" s="136"/>
    </row>
    <row r="23" spans="1:9">
      <c r="A23" s="2"/>
    </row>
  </sheetData>
  <mergeCells count="1">
    <mergeCell ref="O7:P7"/>
  </mergeCells>
  <pageMargins left="0.75" right="0.75" top="1" bottom="1" header="0.5" footer="0.5"/>
  <pageSetup paperSize="9"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dimension ref="A1:Q31"/>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49.5703125" customWidth="1"/>
    <col min="2" max="2" width="7.85546875" customWidth="1"/>
    <col min="3" max="3" width="8.7109375" customWidth="1"/>
    <col min="4" max="4" width="8" customWidth="1"/>
    <col min="5" max="5" width="8.85546875" customWidth="1"/>
    <col min="6" max="6" width="8.5703125" customWidth="1"/>
    <col min="7" max="7" width="9.140625" customWidth="1"/>
    <col min="8" max="8" width="7.85546875" customWidth="1"/>
    <col min="9" max="9" width="8.28515625" customWidth="1"/>
    <col min="10" max="10" width="9.42578125" customWidth="1"/>
    <col min="11" max="11" width="9" customWidth="1"/>
    <col min="12" max="12" width="9.28515625" customWidth="1"/>
    <col min="13" max="13" width="9" customWidth="1"/>
    <col min="14" max="14" width="10.28515625" customWidth="1"/>
    <col min="15" max="15" width="10.140625" customWidth="1"/>
    <col min="16" max="16" width="8.5703125" customWidth="1"/>
    <col min="17" max="17" width="9.140625" customWidth="1"/>
  </cols>
  <sheetData>
    <row r="1" spans="1:17" ht="20.25">
      <c r="A1" s="1" t="s">
        <v>76</v>
      </c>
      <c r="B1" s="2"/>
      <c r="C1" s="2"/>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row>
    <row r="4" spans="1:17">
      <c r="A4" s="2" t="s">
        <v>17</v>
      </c>
      <c r="B4" s="2" t="s">
        <v>151</v>
      </c>
    </row>
    <row r="5" spans="1:17">
      <c r="A5" s="5"/>
      <c r="B5" s="6"/>
      <c r="C5" s="6"/>
      <c r="D5" s="6"/>
      <c r="E5" s="6"/>
      <c r="F5" s="6"/>
      <c r="G5" s="6"/>
      <c r="H5" s="6"/>
      <c r="I5" s="6"/>
      <c r="J5" s="6"/>
      <c r="K5" s="6"/>
      <c r="L5" s="6"/>
      <c r="M5" s="6"/>
      <c r="N5" s="6"/>
      <c r="O5" s="6"/>
      <c r="P5" s="6"/>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67" t="s">
        <v>76</v>
      </c>
      <c r="B7" s="68"/>
      <c r="C7" s="68"/>
      <c r="D7" s="68"/>
      <c r="E7" s="68"/>
      <c r="F7" s="68"/>
      <c r="G7" s="68"/>
      <c r="H7" s="68"/>
      <c r="I7" s="68"/>
      <c r="J7" s="68"/>
      <c r="K7" s="68"/>
      <c r="L7" s="68"/>
      <c r="M7" s="68"/>
      <c r="N7" s="68"/>
      <c r="O7" s="43"/>
      <c r="P7" s="43"/>
    </row>
    <row r="8" spans="1:17">
      <c r="A8" s="71" t="s">
        <v>90</v>
      </c>
      <c r="B8" s="72">
        <v>29</v>
      </c>
      <c r="C8" s="72">
        <v>0</v>
      </c>
      <c r="D8" s="72">
        <v>5</v>
      </c>
      <c r="E8" s="72">
        <v>19</v>
      </c>
      <c r="F8" s="72">
        <v>57</v>
      </c>
      <c r="G8" s="72">
        <v>16</v>
      </c>
      <c r="H8" s="72">
        <v>0</v>
      </c>
      <c r="I8" s="72">
        <v>2</v>
      </c>
      <c r="J8" s="20">
        <v>0</v>
      </c>
      <c r="K8" s="72">
        <v>7</v>
      </c>
      <c r="L8" s="72">
        <v>3</v>
      </c>
      <c r="M8" s="72">
        <v>0</v>
      </c>
      <c r="N8" s="73">
        <f t="shared" ref="N8:N17" si="0">SUM(B8:M8)</f>
        <v>138</v>
      </c>
      <c r="O8" s="74">
        <v>15000</v>
      </c>
      <c r="P8" s="75">
        <f>O8/N8</f>
        <v>108.69565217391305</v>
      </c>
    </row>
    <row r="9" spans="1:17">
      <c r="A9" s="71" t="s">
        <v>284</v>
      </c>
      <c r="B9" s="72">
        <v>29</v>
      </c>
      <c r="C9" s="72">
        <v>0</v>
      </c>
      <c r="D9" s="72">
        <v>7</v>
      </c>
      <c r="E9" s="72">
        <v>28</v>
      </c>
      <c r="F9" s="72">
        <v>64</v>
      </c>
      <c r="G9" s="72">
        <v>32</v>
      </c>
      <c r="H9" s="72">
        <v>0</v>
      </c>
      <c r="I9" s="72">
        <v>4</v>
      </c>
      <c r="J9" s="20">
        <v>0</v>
      </c>
      <c r="K9" s="72">
        <v>7</v>
      </c>
      <c r="L9" s="72">
        <v>3</v>
      </c>
      <c r="M9" s="72">
        <v>0</v>
      </c>
      <c r="N9" s="73">
        <f t="shared" si="0"/>
        <v>174</v>
      </c>
      <c r="O9" s="74" t="s">
        <v>15</v>
      </c>
      <c r="P9" s="75"/>
    </row>
    <row r="10" spans="1:17">
      <c r="A10" s="71" t="s">
        <v>216</v>
      </c>
      <c r="B10" s="72">
        <v>13</v>
      </c>
      <c r="C10" s="72">
        <v>0</v>
      </c>
      <c r="D10" s="72">
        <v>7</v>
      </c>
      <c r="E10" s="72">
        <v>15</v>
      </c>
      <c r="F10" s="72">
        <v>42</v>
      </c>
      <c r="G10" s="72">
        <v>32</v>
      </c>
      <c r="H10" s="72">
        <v>0</v>
      </c>
      <c r="I10" s="72">
        <v>0</v>
      </c>
      <c r="J10" s="20">
        <v>0</v>
      </c>
      <c r="K10" s="72">
        <v>7</v>
      </c>
      <c r="L10" s="72">
        <v>3</v>
      </c>
      <c r="M10" s="72">
        <v>0</v>
      </c>
      <c r="N10" s="73">
        <f t="shared" si="0"/>
        <v>119</v>
      </c>
      <c r="O10" s="74" t="s">
        <v>15</v>
      </c>
      <c r="P10" s="75"/>
    </row>
    <row r="11" spans="1:17">
      <c r="A11" s="71" t="s">
        <v>382</v>
      </c>
      <c r="B11" s="72">
        <v>5</v>
      </c>
      <c r="C11" s="72">
        <v>0</v>
      </c>
      <c r="D11" s="72">
        <v>3</v>
      </c>
      <c r="E11" s="72">
        <v>13</v>
      </c>
      <c r="F11" s="72">
        <v>13</v>
      </c>
      <c r="G11" s="72">
        <v>8</v>
      </c>
      <c r="H11" s="72">
        <v>0</v>
      </c>
      <c r="I11" s="72">
        <v>1</v>
      </c>
      <c r="J11" s="20">
        <v>0</v>
      </c>
      <c r="K11" s="72">
        <v>3</v>
      </c>
      <c r="L11" s="72">
        <v>1</v>
      </c>
      <c r="M11" s="72">
        <v>0</v>
      </c>
      <c r="N11" s="73">
        <f t="shared" si="0"/>
        <v>47</v>
      </c>
      <c r="O11" s="74" t="s">
        <v>15</v>
      </c>
      <c r="P11" s="75"/>
    </row>
    <row r="12" spans="1:17">
      <c r="A12" s="71" t="s">
        <v>202</v>
      </c>
      <c r="B12" s="72">
        <v>5</v>
      </c>
      <c r="C12" s="72">
        <v>0</v>
      </c>
      <c r="D12" s="72">
        <v>3</v>
      </c>
      <c r="E12" s="72">
        <v>13</v>
      </c>
      <c r="F12" s="72">
        <v>13</v>
      </c>
      <c r="G12" s="72">
        <v>8</v>
      </c>
      <c r="H12" s="72">
        <v>0</v>
      </c>
      <c r="I12" s="72">
        <v>1</v>
      </c>
      <c r="J12" s="20">
        <v>0</v>
      </c>
      <c r="K12" s="72">
        <v>3</v>
      </c>
      <c r="L12" s="72">
        <v>1</v>
      </c>
      <c r="M12" s="72">
        <v>0</v>
      </c>
      <c r="N12" s="73">
        <f t="shared" si="0"/>
        <v>47</v>
      </c>
      <c r="O12" s="74" t="s">
        <v>34</v>
      </c>
      <c r="P12" s="75"/>
    </row>
    <row r="13" spans="1:17">
      <c r="A13" s="71" t="s">
        <v>70</v>
      </c>
      <c r="B13" s="72">
        <v>1</v>
      </c>
      <c r="C13" s="72">
        <v>0</v>
      </c>
      <c r="D13" s="72">
        <v>3</v>
      </c>
      <c r="E13" s="72">
        <v>2</v>
      </c>
      <c r="F13" s="72">
        <v>9</v>
      </c>
      <c r="G13" s="72">
        <v>8</v>
      </c>
      <c r="H13" s="72">
        <v>0</v>
      </c>
      <c r="I13" s="72">
        <v>0</v>
      </c>
      <c r="J13" s="20">
        <v>0</v>
      </c>
      <c r="K13" s="72">
        <v>3</v>
      </c>
      <c r="L13" s="72">
        <v>1</v>
      </c>
      <c r="M13" s="72">
        <v>0</v>
      </c>
      <c r="N13" s="73">
        <f t="shared" si="0"/>
        <v>27</v>
      </c>
      <c r="O13" s="74" t="s">
        <v>15</v>
      </c>
      <c r="P13" s="75"/>
    </row>
    <row r="14" spans="1:17">
      <c r="A14" s="71" t="s">
        <v>374</v>
      </c>
      <c r="B14" s="72">
        <v>3</v>
      </c>
      <c r="C14" s="72">
        <v>0</v>
      </c>
      <c r="D14" s="72">
        <v>2</v>
      </c>
      <c r="E14" s="72">
        <v>4</v>
      </c>
      <c r="F14" s="72">
        <v>5</v>
      </c>
      <c r="G14" s="72">
        <v>1</v>
      </c>
      <c r="H14" s="72">
        <v>0</v>
      </c>
      <c r="I14" s="72">
        <v>1</v>
      </c>
      <c r="J14" s="20">
        <v>0</v>
      </c>
      <c r="K14" s="72">
        <v>3</v>
      </c>
      <c r="L14" s="72">
        <v>1</v>
      </c>
      <c r="M14" s="72">
        <v>0</v>
      </c>
      <c r="N14" s="73">
        <f t="shared" si="0"/>
        <v>20</v>
      </c>
      <c r="O14" s="74" t="s">
        <v>15</v>
      </c>
      <c r="P14" s="75"/>
    </row>
    <row r="15" spans="1:17">
      <c r="A15" s="71" t="s">
        <v>416</v>
      </c>
      <c r="B15" s="72">
        <v>3</v>
      </c>
      <c r="C15" s="72">
        <v>0</v>
      </c>
      <c r="D15" s="72">
        <v>2</v>
      </c>
      <c r="E15" s="72">
        <v>4</v>
      </c>
      <c r="F15" s="72">
        <v>5</v>
      </c>
      <c r="G15" s="72">
        <v>1</v>
      </c>
      <c r="H15" s="72">
        <v>0</v>
      </c>
      <c r="I15" s="72">
        <v>1</v>
      </c>
      <c r="J15" s="20">
        <v>0</v>
      </c>
      <c r="K15" s="72">
        <v>3</v>
      </c>
      <c r="L15" s="72">
        <v>1</v>
      </c>
      <c r="M15" s="72">
        <v>0</v>
      </c>
      <c r="N15" s="73">
        <f t="shared" si="0"/>
        <v>20</v>
      </c>
      <c r="O15" s="74" t="s">
        <v>34</v>
      </c>
      <c r="P15" s="75"/>
    </row>
    <row r="16" spans="1:17">
      <c r="A16" s="71" t="s">
        <v>152</v>
      </c>
      <c r="B16" s="72">
        <v>1</v>
      </c>
      <c r="C16" s="72">
        <v>0</v>
      </c>
      <c r="D16" s="72">
        <v>2</v>
      </c>
      <c r="E16" s="72">
        <v>2</v>
      </c>
      <c r="F16" s="72">
        <v>3</v>
      </c>
      <c r="G16" s="72">
        <v>1</v>
      </c>
      <c r="H16" s="72">
        <v>0</v>
      </c>
      <c r="I16" s="72">
        <v>0</v>
      </c>
      <c r="J16" s="20">
        <v>0</v>
      </c>
      <c r="K16" s="72">
        <v>3</v>
      </c>
      <c r="L16" s="72">
        <v>1</v>
      </c>
      <c r="M16" s="72">
        <v>0</v>
      </c>
      <c r="N16" s="73">
        <f t="shared" si="0"/>
        <v>13</v>
      </c>
      <c r="O16" s="74" t="s">
        <v>15</v>
      </c>
      <c r="P16" s="75"/>
    </row>
    <row r="17" spans="1:16">
      <c r="A17" s="71" t="s">
        <v>338</v>
      </c>
      <c r="B17" s="72">
        <v>1</v>
      </c>
      <c r="C17" s="72">
        <v>0</v>
      </c>
      <c r="D17" s="72">
        <v>1</v>
      </c>
      <c r="E17" s="72">
        <v>3</v>
      </c>
      <c r="F17" s="72">
        <v>3</v>
      </c>
      <c r="G17" s="72">
        <v>1</v>
      </c>
      <c r="H17" s="72">
        <v>0</v>
      </c>
      <c r="I17" s="72">
        <v>1</v>
      </c>
      <c r="J17" s="20">
        <v>0</v>
      </c>
      <c r="K17" s="72">
        <v>2</v>
      </c>
      <c r="L17" s="72">
        <v>1</v>
      </c>
      <c r="M17" s="72">
        <v>0</v>
      </c>
      <c r="N17" s="73">
        <f t="shared" si="0"/>
        <v>13</v>
      </c>
      <c r="O17" s="74" t="s">
        <v>15</v>
      </c>
      <c r="P17" s="75"/>
    </row>
    <row r="18" spans="1:16">
      <c r="A18" s="2"/>
      <c r="B18" s="43"/>
      <c r="C18" s="43"/>
      <c r="D18" s="43"/>
      <c r="E18" s="43"/>
      <c r="F18" s="43"/>
      <c r="G18" s="43"/>
      <c r="H18" s="43"/>
      <c r="I18" s="43"/>
      <c r="J18" s="43"/>
      <c r="K18" s="43"/>
      <c r="L18" s="43"/>
      <c r="M18" s="43"/>
      <c r="N18" s="43"/>
    </row>
    <row r="19" spans="1:16">
      <c r="A19" s="2"/>
    </row>
    <row r="20" spans="1:16">
      <c r="A20" s="84" t="s">
        <v>137</v>
      </c>
    </row>
    <row r="21" spans="1:16">
      <c r="A21" s="2" t="s">
        <v>216</v>
      </c>
      <c r="B21" s="137">
        <v>0</v>
      </c>
      <c r="C21" s="137">
        <v>0</v>
      </c>
      <c r="D21" s="137">
        <v>0</v>
      </c>
      <c r="E21" s="137">
        <v>0</v>
      </c>
      <c r="F21" s="137">
        <v>0</v>
      </c>
      <c r="G21" s="137">
        <v>0</v>
      </c>
      <c r="H21" s="137">
        <v>0</v>
      </c>
      <c r="I21" s="137">
        <v>0</v>
      </c>
      <c r="J21" s="137">
        <v>0</v>
      </c>
      <c r="K21" s="137">
        <v>0</v>
      </c>
      <c r="L21" s="137">
        <v>0</v>
      </c>
      <c r="M21" s="137">
        <v>0</v>
      </c>
      <c r="N21" s="138">
        <v>3039</v>
      </c>
      <c r="O21" s="75" t="s">
        <v>15</v>
      </c>
      <c r="P21" s="75"/>
    </row>
    <row r="22" spans="1:16">
      <c r="A22" s="2" t="s">
        <v>382</v>
      </c>
      <c r="B22" s="137">
        <v>0</v>
      </c>
      <c r="C22" s="137">
        <v>0</v>
      </c>
      <c r="D22" s="137">
        <v>0</v>
      </c>
      <c r="E22" s="137">
        <v>0</v>
      </c>
      <c r="F22" s="137">
        <v>0</v>
      </c>
      <c r="G22" s="137">
        <v>0</v>
      </c>
      <c r="H22" s="137">
        <v>0</v>
      </c>
      <c r="I22" s="137">
        <v>0</v>
      </c>
      <c r="J22" s="137">
        <v>0</v>
      </c>
      <c r="K22" s="137">
        <v>0</v>
      </c>
      <c r="L22" s="137">
        <v>0</v>
      </c>
      <c r="M22" s="137">
        <v>0</v>
      </c>
      <c r="N22" s="138">
        <v>1157</v>
      </c>
      <c r="O22" s="75" t="s">
        <v>15</v>
      </c>
      <c r="P22" s="75"/>
    </row>
    <row r="23" spans="1:16">
      <c r="A23" s="2" t="s">
        <v>202</v>
      </c>
      <c r="B23" s="137">
        <v>0</v>
      </c>
      <c r="C23" s="137">
        <v>0</v>
      </c>
      <c r="D23" s="137">
        <v>0</v>
      </c>
      <c r="E23" s="137">
        <v>0</v>
      </c>
      <c r="F23" s="137">
        <v>0</v>
      </c>
      <c r="G23" s="137">
        <v>0</v>
      </c>
      <c r="H23" s="137">
        <v>0</v>
      </c>
      <c r="I23" s="137">
        <v>0</v>
      </c>
      <c r="J23" s="137">
        <v>0</v>
      </c>
      <c r="K23" s="137">
        <v>0</v>
      </c>
      <c r="L23" s="137">
        <v>0</v>
      </c>
      <c r="M23" s="137">
        <v>0</v>
      </c>
      <c r="N23" s="138">
        <v>1553</v>
      </c>
      <c r="O23" s="75" t="s">
        <v>34</v>
      </c>
      <c r="P23" s="75"/>
    </row>
    <row r="24" spans="1:16">
      <c r="A24" s="2" t="s">
        <v>70</v>
      </c>
      <c r="B24" s="137">
        <v>0</v>
      </c>
      <c r="C24" s="137">
        <v>0</v>
      </c>
      <c r="D24" s="137">
        <v>0</v>
      </c>
      <c r="E24" s="137">
        <v>0</v>
      </c>
      <c r="F24" s="137">
        <v>0</v>
      </c>
      <c r="G24" s="137">
        <v>0</v>
      </c>
      <c r="H24" s="137">
        <v>0</v>
      </c>
      <c r="I24" s="137">
        <v>0</v>
      </c>
      <c r="J24" s="137">
        <v>0</v>
      </c>
      <c r="K24" s="137">
        <v>0</v>
      </c>
      <c r="L24" s="137">
        <v>0</v>
      </c>
      <c r="M24" s="137">
        <v>0</v>
      </c>
      <c r="N24" s="138">
        <v>758</v>
      </c>
      <c r="O24" s="75" t="s">
        <v>15</v>
      </c>
      <c r="P24" s="75"/>
    </row>
    <row r="25" spans="1:16">
      <c r="A25" s="2" t="s">
        <v>374</v>
      </c>
      <c r="B25" s="137">
        <v>0</v>
      </c>
      <c r="C25" s="137">
        <v>0</v>
      </c>
      <c r="D25" s="137">
        <v>0</v>
      </c>
      <c r="E25" s="137">
        <v>0</v>
      </c>
      <c r="F25" s="137">
        <v>0</v>
      </c>
      <c r="G25" s="137">
        <v>0</v>
      </c>
      <c r="H25" s="137">
        <v>0</v>
      </c>
      <c r="I25" s="137">
        <v>0</v>
      </c>
      <c r="J25" s="137">
        <v>0</v>
      </c>
      <c r="K25" s="137">
        <v>0</v>
      </c>
      <c r="L25" s="137">
        <v>0</v>
      </c>
      <c r="M25" s="137">
        <v>0</v>
      </c>
      <c r="N25" s="138">
        <v>197</v>
      </c>
      <c r="O25" s="75" t="s">
        <v>15</v>
      </c>
      <c r="P25" s="75"/>
    </row>
    <row r="26" spans="1:16">
      <c r="A26" s="2" t="s">
        <v>416</v>
      </c>
      <c r="B26" s="137">
        <v>0</v>
      </c>
      <c r="C26" s="137">
        <v>0</v>
      </c>
      <c r="D26" s="137">
        <v>0</v>
      </c>
      <c r="E26" s="137">
        <v>0</v>
      </c>
      <c r="F26" s="137">
        <v>0</v>
      </c>
      <c r="G26" s="137">
        <v>0</v>
      </c>
      <c r="H26" s="137">
        <v>0</v>
      </c>
      <c r="I26" s="137">
        <v>0</v>
      </c>
      <c r="J26" s="137">
        <v>0</v>
      </c>
      <c r="K26" s="137">
        <v>0</v>
      </c>
      <c r="L26" s="137">
        <v>0</v>
      </c>
      <c r="M26" s="137">
        <v>0</v>
      </c>
      <c r="N26" s="138">
        <v>322</v>
      </c>
      <c r="O26" s="75" t="s">
        <v>34</v>
      </c>
      <c r="P26" s="75"/>
    </row>
    <row r="27" spans="1:16">
      <c r="A27" s="2" t="s">
        <v>152</v>
      </c>
      <c r="B27" s="137">
        <v>0</v>
      </c>
      <c r="C27" s="137">
        <v>0</v>
      </c>
      <c r="D27" s="137">
        <v>0</v>
      </c>
      <c r="E27" s="137">
        <v>0</v>
      </c>
      <c r="F27" s="137">
        <v>0</v>
      </c>
      <c r="G27" s="137">
        <v>0</v>
      </c>
      <c r="H27" s="137">
        <v>0</v>
      </c>
      <c r="I27" s="137">
        <v>0</v>
      </c>
      <c r="J27" s="137">
        <v>0</v>
      </c>
      <c r="K27" s="137">
        <v>0</v>
      </c>
      <c r="L27" s="137">
        <v>0</v>
      </c>
      <c r="M27" s="137">
        <v>0</v>
      </c>
      <c r="N27" s="138">
        <v>148</v>
      </c>
      <c r="O27" s="75" t="s">
        <v>15</v>
      </c>
      <c r="P27" s="75"/>
    </row>
    <row r="28" spans="1:16">
      <c r="A28" s="2" t="s">
        <v>338</v>
      </c>
      <c r="B28" s="137">
        <v>0</v>
      </c>
      <c r="C28" s="137">
        <v>0</v>
      </c>
      <c r="D28" s="137">
        <v>0</v>
      </c>
      <c r="E28" s="137">
        <v>0</v>
      </c>
      <c r="F28" s="137">
        <v>0</v>
      </c>
      <c r="G28" s="137">
        <v>0</v>
      </c>
      <c r="H28" s="137">
        <v>0</v>
      </c>
      <c r="I28" s="137">
        <v>0</v>
      </c>
      <c r="J28" s="137">
        <v>0</v>
      </c>
      <c r="K28" s="137">
        <v>0</v>
      </c>
      <c r="L28" s="137">
        <v>0</v>
      </c>
      <c r="M28" s="137">
        <v>0</v>
      </c>
      <c r="N28" s="138">
        <v>66</v>
      </c>
      <c r="O28" s="75" t="s">
        <v>15</v>
      </c>
      <c r="P28" s="75"/>
    </row>
    <row r="29" spans="1:16">
      <c r="A29" s="2"/>
      <c r="I29" s="136"/>
    </row>
    <row r="30" spans="1:16">
      <c r="A30" s="176" t="s">
        <v>134</v>
      </c>
      <c r="B30" s="178"/>
      <c r="C30" s="178"/>
      <c r="D30" s="178"/>
      <c r="E30" s="178"/>
      <c r="F30" s="178"/>
      <c r="I30" s="136"/>
    </row>
    <row r="31" spans="1:16">
      <c r="A31" s="2"/>
    </row>
  </sheetData>
  <mergeCells count="1">
    <mergeCell ref="A30:F30"/>
  </mergeCells>
  <pageMargins left="0.75" right="0.75" top="1" bottom="1" header="0.5" footer="0.5"/>
  <pageSetup paperSize="9"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dimension ref="A1:Q30"/>
  <sheetViews>
    <sheetView zoomScaleNormal="100" workbookViewId="0"/>
  </sheetViews>
  <sheetFormatPr defaultColWidth="17.140625" defaultRowHeight="12.75" customHeight="1"/>
  <cols>
    <col min="1" max="1" width="26.42578125" customWidth="1"/>
    <col min="2" max="2" width="11.140625" customWidth="1"/>
    <col min="3" max="3" width="11.7109375" customWidth="1"/>
    <col min="4" max="5" width="11.42578125" customWidth="1"/>
    <col min="6" max="6" width="11.28515625" customWidth="1"/>
    <col min="7" max="7" width="11.42578125" customWidth="1"/>
    <col min="8" max="8" width="11.5703125" customWidth="1"/>
    <col min="9" max="9" width="11.28515625" customWidth="1"/>
    <col min="10" max="10" width="9.85546875" customWidth="1"/>
    <col min="11" max="11" width="11.140625" customWidth="1"/>
    <col min="12" max="13" width="11.42578125" customWidth="1"/>
    <col min="14" max="14" width="10.85546875" customWidth="1"/>
    <col min="15" max="15" width="9.85546875" customWidth="1"/>
    <col min="16" max="16" width="8.7109375" customWidth="1"/>
    <col min="17" max="20" width="17.140625" customWidth="1"/>
  </cols>
  <sheetData>
    <row r="1" spans="1:17" ht="20.25">
      <c r="A1" s="175" t="s">
        <v>69</v>
      </c>
      <c r="B1" s="176"/>
      <c r="C1" s="176"/>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c r="O3" s="2"/>
      <c r="P3" s="2"/>
    </row>
    <row r="4" spans="1:17">
      <c r="A4" s="2" t="s">
        <v>17</v>
      </c>
      <c r="B4" s="2" t="s">
        <v>28</v>
      </c>
      <c r="O4" s="2"/>
      <c r="P4" s="2"/>
    </row>
    <row r="5" spans="1:17">
      <c r="A5" s="6"/>
      <c r="B5" s="6"/>
      <c r="C5" s="6"/>
      <c r="D5" s="6"/>
      <c r="E5" s="6"/>
      <c r="F5" s="6"/>
      <c r="G5" s="6"/>
      <c r="H5" s="6"/>
      <c r="I5" s="6"/>
      <c r="J5" s="6"/>
      <c r="K5" s="6"/>
      <c r="L5" s="6"/>
      <c r="M5" s="6"/>
      <c r="N5" s="6"/>
      <c r="O5" s="6"/>
      <c r="P5" s="6"/>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row>
    <row r="7" spans="1:17">
      <c r="A7" s="183" t="s">
        <v>250</v>
      </c>
      <c r="B7" s="184"/>
      <c r="C7" s="184"/>
      <c r="D7" s="184"/>
      <c r="E7" s="59"/>
      <c r="F7" s="59"/>
      <c r="G7" s="59"/>
      <c r="H7" s="59"/>
      <c r="I7" s="59"/>
      <c r="J7" s="59"/>
      <c r="K7" s="59"/>
      <c r="L7" s="59"/>
      <c r="M7" s="59"/>
      <c r="N7" s="53"/>
      <c r="O7" s="82" t="s">
        <v>327</v>
      </c>
      <c r="P7" s="115"/>
    </row>
    <row r="8" spans="1:17">
      <c r="A8" s="71" t="s">
        <v>257</v>
      </c>
      <c r="B8" s="24" t="s">
        <v>231</v>
      </c>
      <c r="C8" s="24" t="s">
        <v>231</v>
      </c>
      <c r="D8" s="24" t="s">
        <v>231</v>
      </c>
      <c r="E8" s="24" t="s">
        <v>231</v>
      </c>
      <c r="F8" s="24" t="s">
        <v>231</v>
      </c>
      <c r="G8" s="24" t="s">
        <v>231</v>
      </c>
      <c r="H8" s="24" t="s">
        <v>231</v>
      </c>
      <c r="I8" s="24" t="s">
        <v>231</v>
      </c>
      <c r="J8" s="24" t="s">
        <v>231</v>
      </c>
      <c r="K8" s="24" t="s">
        <v>231</v>
      </c>
      <c r="L8" s="24" t="s">
        <v>231</v>
      </c>
      <c r="M8" s="24" t="s">
        <v>231</v>
      </c>
      <c r="N8" s="73">
        <f>SUM(B8:M8)</f>
        <v>0</v>
      </c>
      <c r="O8" s="10"/>
      <c r="P8" s="76"/>
    </row>
    <row r="9" spans="1:17">
      <c r="A9" s="71" t="s">
        <v>208</v>
      </c>
      <c r="B9" s="24" t="s">
        <v>231</v>
      </c>
      <c r="C9" s="24" t="s">
        <v>231</v>
      </c>
      <c r="D9" s="24" t="s">
        <v>231</v>
      </c>
      <c r="E9" s="24" t="s">
        <v>231</v>
      </c>
      <c r="F9" s="24" t="s">
        <v>231</v>
      </c>
      <c r="G9" s="24" t="s">
        <v>231</v>
      </c>
      <c r="H9" s="24" t="s">
        <v>231</v>
      </c>
      <c r="I9" s="24" t="s">
        <v>231</v>
      </c>
      <c r="J9" s="24" t="s">
        <v>231</v>
      </c>
      <c r="K9" s="24" t="s">
        <v>231</v>
      </c>
      <c r="L9" s="24" t="s">
        <v>231</v>
      </c>
      <c r="M9" s="24" t="s">
        <v>231</v>
      </c>
      <c r="N9" s="73">
        <f>SUM(B9:M9)</f>
        <v>0</v>
      </c>
      <c r="O9" s="116">
        <v>0</v>
      </c>
      <c r="P9" s="76" t="e">
        <f>O9/N9</f>
        <v>#DIV/0!</v>
      </c>
    </row>
    <row r="10" spans="1:17">
      <c r="A10" s="2"/>
      <c r="B10" s="43"/>
      <c r="C10" s="43"/>
      <c r="D10" s="43"/>
      <c r="E10" s="43"/>
      <c r="F10" s="43"/>
      <c r="G10" s="43"/>
      <c r="H10" s="43"/>
      <c r="I10" s="43"/>
      <c r="J10" s="43"/>
      <c r="K10" s="43"/>
      <c r="L10" s="43"/>
      <c r="M10" s="43"/>
      <c r="N10" s="43"/>
      <c r="O10" s="2"/>
      <c r="P10" s="2"/>
    </row>
    <row r="11" spans="1:17">
      <c r="A11" s="5"/>
      <c r="B11" s="6"/>
      <c r="C11" s="6"/>
      <c r="D11" s="6"/>
      <c r="E11" s="6"/>
      <c r="F11" s="6"/>
      <c r="G11" s="6"/>
      <c r="H11" s="6"/>
      <c r="I11" s="6"/>
      <c r="J11" s="6"/>
      <c r="K11" s="6"/>
      <c r="L11" s="6"/>
      <c r="M11" s="6"/>
      <c r="N11" s="6"/>
      <c r="O11" s="5"/>
      <c r="P11" s="5"/>
    </row>
    <row r="12" spans="1:17" ht="25.5">
      <c r="A12" s="58"/>
      <c r="B12" s="59">
        <v>40360</v>
      </c>
      <c r="C12" s="59">
        <v>40391</v>
      </c>
      <c r="D12" s="59">
        <v>6614787</v>
      </c>
      <c r="E12" s="59">
        <v>40452</v>
      </c>
      <c r="F12" s="59">
        <v>40483</v>
      </c>
      <c r="G12" s="59">
        <v>40513</v>
      </c>
      <c r="H12" s="59">
        <v>40544</v>
      </c>
      <c r="I12" s="59">
        <v>40575</v>
      </c>
      <c r="J12" s="59">
        <v>40603</v>
      </c>
      <c r="K12" s="59">
        <v>40634</v>
      </c>
      <c r="L12" s="59">
        <v>40664</v>
      </c>
      <c r="M12" s="59">
        <v>40695</v>
      </c>
      <c r="N12" s="60" t="s">
        <v>371</v>
      </c>
      <c r="O12" s="61" t="s">
        <v>27</v>
      </c>
      <c r="P12" s="61" t="s">
        <v>175</v>
      </c>
      <c r="Q12" s="2"/>
    </row>
    <row r="13" spans="1:17">
      <c r="A13" s="67" t="s">
        <v>127</v>
      </c>
      <c r="B13" s="59"/>
      <c r="C13" s="59"/>
      <c r="D13" s="59"/>
      <c r="E13" s="59"/>
      <c r="F13" s="59"/>
      <c r="G13" s="59"/>
      <c r="H13" s="59"/>
      <c r="I13" s="59"/>
      <c r="J13" s="59"/>
      <c r="K13" s="59"/>
      <c r="L13" s="59"/>
      <c r="M13" s="59"/>
      <c r="N13" s="53"/>
      <c r="O13" s="67"/>
      <c r="P13" s="115"/>
    </row>
    <row r="14" spans="1:17">
      <c r="A14" s="71" t="s">
        <v>257</v>
      </c>
      <c r="B14" s="24">
        <v>0</v>
      </c>
      <c r="C14" s="24">
        <v>2</v>
      </c>
      <c r="D14" s="24">
        <v>42</v>
      </c>
      <c r="E14" s="24">
        <v>47</v>
      </c>
      <c r="F14" s="24">
        <v>64</v>
      </c>
      <c r="G14" s="24">
        <v>416</v>
      </c>
      <c r="H14" s="24">
        <v>5</v>
      </c>
      <c r="I14" s="24">
        <v>11</v>
      </c>
      <c r="J14" s="24">
        <v>25</v>
      </c>
      <c r="K14" s="24">
        <v>13</v>
      </c>
      <c r="L14" s="24">
        <v>12</v>
      </c>
      <c r="M14" s="24">
        <v>3</v>
      </c>
      <c r="N14" s="73">
        <f>SUM(B14:M14)</f>
        <v>640</v>
      </c>
      <c r="O14" s="10"/>
      <c r="P14" s="76"/>
    </row>
    <row r="15" spans="1:17">
      <c r="A15" s="71" t="s">
        <v>208</v>
      </c>
      <c r="B15" s="24">
        <v>0</v>
      </c>
      <c r="C15" s="24">
        <v>0</v>
      </c>
      <c r="D15" s="24">
        <v>126</v>
      </c>
      <c r="E15" s="24">
        <v>210</v>
      </c>
      <c r="F15" s="24">
        <v>296</v>
      </c>
      <c r="G15" s="24">
        <v>93</v>
      </c>
      <c r="H15" s="24">
        <v>13</v>
      </c>
      <c r="I15" s="24">
        <v>44</v>
      </c>
      <c r="J15" s="24">
        <v>89</v>
      </c>
      <c r="K15" s="24">
        <v>40</v>
      </c>
      <c r="L15" s="24">
        <v>27</v>
      </c>
      <c r="M15" s="24">
        <v>3</v>
      </c>
      <c r="N15" s="73">
        <f>SUM(B15:M15)</f>
        <v>941</v>
      </c>
      <c r="O15" s="116">
        <v>545.4</v>
      </c>
      <c r="P15" s="76">
        <f>O15/N15</f>
        <v>0.57959617428267796</v>
      </c>
    </row>
    <row r="16" spans="1:17">
      <c r="A16" s="2"/>
      <c r="B16" s="87"/>
      <c r="C16" s="87"/>
      <c r="D16" s="87"/>
      <c r="E16" s="87"/>
      <c r="F16" s="87"/>
      <c r="G16" s="87"/>
      <c r="H16" s="87"/>
      <c r="I16" s="87"/>
      <c r="J16" s="87"/>
      <c r="K16" s="87"/>
      <c r="L16" s="87"/>
      <c r="M16" s="87"/>
      <c r="N16" s="88"/>
      <c r="O16" s="76"/>
      <c r="P16" s="76"/>
    </row>
    <row r="17" spans="1:17">
      <c r="A17" s="5"/>
      <c r="B17" s="89"/>
      <c r="C17" s="89"/>
      <c r="D17" s="89"/>
      <c r="E17" s="89"/>
      <c r="F17" s="89"/>
      <c r="G17" s="89"/>
      <c r="H17" s="89"/>
      <c r="I17" s="89"/>
      <c r="J17" s="89"/>
      <c r="K17" s="89"/>
      <c r="L17" s="89"/>
      <c r="M17" s="89"/>
      <c r="N17" s="90"/>
      <c r="O17" s="103"/>
      <c r="P17" s="103"/>
    </row>
    <row r="18" spans="1:17" ht="25.5">
      <c r="A18" s="58"/>
      <c r="B18" s="59">
        <v>40360</v>
      </c>
      <c r="C18" s="59">
        <v>40391</v>
      </c>
      <c r="D18" s="59">
        <v>6614787</v>
      </c>
      <c r="E18" s="59">
        <v>40452</v>
      </c>
      <c r="F18" s="59">
        <v>40483</v>
      </c>
      <c r="G18" s="59">
        <v>40513</v>
      </c>
      <c r="H18" s="59">
        <v>40544</v>
      </c>
      <c r="I18" s="59">
        <v>40575</v>
      </c>
      <c r="J18" s="59">
        <v>40603</v>
      </c>
      <c r="K18" s="59">
        <v>40634</v>
      </c>
      <c r="L18" s="59">
        <v>40664</v>
      </c>
      <c r="M18" s="59">
        <v>40695</v>
      </c>
      <c r="N18" s="60" t="s">
        <v>371</v>
      </c>
      <c r="O18" s="61" t="s">
        <v>27</v>
      </c>
      <c r="P18" s="61" t="s">
        <v>175</v>
      </c>
      <c r="Q18" s="2"/>
    </row>
    <row r="19" spans="1:17">
      <c r="A19" s="67" t="s">
        <v>393</v>
      </c>
      <c r="B19" s="59"/>
      <c r="C19" s="59"/>
      <c r="D19" s="59"/>
      <c r="E19" s="59"/>
      <c r="F19" s="59"/>
      <c r="G19" s="59"/>
      <c r="H19" s="59"/>
      <c r="I19" s="59"/>
      <c r="J19" s="59"/>
      <c r="K19" s="59"/>
      <c r="L19" s="59"/>
      <c r="M19" s="59"/>
      <c r="N19" s="53"/>
      <c r="O19" s="104"/>
      <c r="P19" s="104"/>
    </row>
    <row r="20" spans="1:17">
      <c r="A20" s="71" t="s">
        <v>257</v>
      </c>
      <c r="B20" s="24" t="s">
        <v>231</v>
      </c>
      <c r="C20" s="24" t="s">
        <v>231</v>
      </c>
      <c r="D20" s="24" t="s">
        <v>231</v>
      </c>
      <c r="E20" s="24" t="s">
        <v>231</v>
      </c>
      <c r="F20" s="24" t="s">
        <v>231</v>
      </c>
      <c r="G20" s="24" t="s">
        <v>231</v>
      </c>
      <c r="H20" s="24" t="s">
        <v>231</v>
      </c>
      <c r="I20" s="24" t="s">
        <v>231</v>
      </c>
      <c r="J20" s="24" t="s">
        <v>231</v>
      </c>
      <c r="K20" s="24" t="s">
        <v>231</v>
      </c>
      <c r="L20" s="24" t="s">
        <v>231</v>
      </c>
      <c r="M20" s="24" t="s">
        <v>231</v>
      </c>
      <c r="N20" s="73">
        <f>SUM(B20:M20)</f>
        <v>0</v>
      </c>
      <c r="O20" s="116"/>
      <c r="P20" s="76"/>
    </row>
    <row r="21" spans="1:17">
      <c r="A21" s="71" t="s">
        <v>208</v>
      </c>
      <c r="B21" s="24" t="s">
        <v>231</v>
      </c>
      <c r="C21" s="24" t="s">
        <v>231</v>
      </c>
      <c r="D21" s="24" t="s">
        <v>231</v>
      </c>
      <c r="E21" s="24" t="s">
        <v>231</v>
      </c>
      <c r="F21" s="24" t="s">
        <v>231</v>
      </c>
      <c r="G21" s="24" t="s">
        <v>231</v>
      </c>
      <c r="H21" s="24" t="s">
        <v>231</v>
      </c>
      <c r="I21" s="24" t="s">
        <v>231</v>
      </c>
      <c r="J21" s="24" t="s">
        <v>231</v>
      </c>
      <c r="K21" s="24" t="s">
        <v>231</v>
      </c>
      <c r="L21" s="24" t="s">
        <v>231</v>
      </c>
      <c r="M21" s="24" t="s">
        <v>231</v>
      </c>
      <c r="N21" s="73">
        <f>SUM(B21:M21)</f>
        <v>0</v>
      </c>
      <c r="O21" s="116">
        <v>0</v>
      </c>
      <c r="P21" s="76" t="e">
        <f>O21/N21</f>
        <v>#DIV/0!</v>
      </c>
    </row>
    <row r="22" spans="1:17">
      <c r="A22" s="2"/>
      <c r="B22" s="87"/>
      <c r="C22" s="87"/>
      <c r="D22" s="87"/>
      <c r="E22" s="87"/>
      <c r="F22" s="87"/>
      <c r="G22" s="87"/>
      <c r="H22" s="87"/>
      <c r="I22" s="87"/>
      <c r="J22" s="87"/>
      <c r="K22" s="87"/>
      <c r="L22" s="87"/>
      <c r="M22" s="87"/>
      <c r="N22" s="88"/>
      <c r="O22" s="76"/>
      <c r="P22" s="76"/>
    </row>
    <row r="23" spans="1:17">
      <c r="A23" s="5"/>
      <c r="B23" s="89"/>
      <c r="C23" s="89"/>
      <c r="D23" s="89"/>
      <c r="E23" s="89"/>
      <c r="F23" s="89"/>
      <c r="G23" s="89"/>
      <c r="H23" s="89"/>
      <c r="I23" s="89"/>
      <c r="J23" s="89"/>
      <c r="K23" s="89"/>
      <c r="L23" s="89"/>
      <c r="M23" s="89"/>
      <c r="N23" s="90"/>
      <c r="O23" s="103"/>
      <c r="P23" s="103"/>
    </row>
    <row r="24" spans="1:17" ht="25.5">
      <c r="A24" s="58"/>
      <c r="B24" s="59">
        <v>40360</v>
      </c>
      <c r="C24" s="59">
        <v>40391</v>
      </c>
      <c r="D24" s="59">
        <v>6614787</v>
      </c>
      <c r="E24" s="59">
        <v>40452</v>
      </c>
      <c r="F24" s="59">
        <v>40483</v>
      </c>
      <c r="G24" s="59">
        <v>40513</v>
      </c>
      <c r="H24" s="59">
        <v>40544</v>
      </c>
      <c r="I24" s="59">
        <v>40575</v>
      </c>
      <c r="J24" s="59">
        <v>40603</v>
      </c>
      <c r="K24" s="59">
        <v>40634</v>
      </c>
      <c r="L24" s="59">
        <v>40664</v>
      </c>
      <c r="M24" s="59">
        <v>40695</v>
      </c>
      <c r="N24" s="60" t="s">
        <v>371</v>
      </c>
      <c r="O24" s="61" t="s">
        <v>27</v>
      </c>
      <c r="P24" s="61" t="s">
        <v>175</v>
      </c>
    </row>
    <row r="25" spans="1:17">
      <c r="A25" s="67" t="s">
        <v>180</v>
      </c>
      <c r="B25" s="59"/>
      <c r="C25" s="59"/>
      <c r="D25" s="59"/>
      <c r="E25" s="59"/>
      <c r="F25" s="59"/>
      <c r="G25" s="59"/>
      <c r="H25" s="59"/>
      <c r="I25" s="59"/>
      <c r="J25" s="59"/>
      <c r="K25" s="59"/>
      <c r="L25" s="59"/>
      <c r="M25" s="59"/>
      <c r="N25" s="53"/>
      <c r="O25" s="104" t="s">
        <v>327</v>
      </c>
      <c r="P25" s="104"/>
    </row>
    <row r="26" spans="1:17">
      <c r="A26" s="71" t="s">
        <v>257</v>
      </c>
      <c r="B26" s="24" t="s">
        <v>231</v>
      </c>
      <c r="C26" s="24" t="s">
        <v>231</v>
      </c>
      <c r="D26" s="24" t="s">
        <v>231</v>
      </c>
      <c r="E26" s="24" t="s">
        <v>231</v>
      </c>
      <c r="F26" s="24" t="s">
        <v>231</v>
      </c>
      <c r="G26" s="24" t="s">
        <v>231</v>
      </c>
      <c r="H26" s="24" t="s">
        <v>231</v>
      </c>
      <c r="I26" s="24" t="s">
        <v>231</v>
      </c>
      <c r="J26" s="24" t="s">
        <v>231</v>
      </c>
      <c r="K26" s="24" t="s">
        <v>231</v>
      </c>
      <c r="L26" s="24" t="s">
        <v>231</v>
      </c>
      <c r="M26" s="24" t="s">
        <v>231</v>
      </c>
      <c r="N26" s="73">
        <f>SUM(B26:M26)</f>
        <v>0</v>
      </c>
      <c r="O26" s="116"/>
      <c r="P26" s="76"/>
    </row>
    <row r="27" spans="1:17">
      <c r="A27" s="71" t="s">
        <v>208</v>
      </c>
      <c r="B27" s="24" t="s">
        <v>231</v>
      </c>
      <c r="C27" s="24" t="s">
        <v>231</v>
      </c>
      <c r="D27" s="24" t="s">
        <v>231</v>
      </c>
      <c r="E27" s="24" t="s">
        <v>231</v>
      </c>
      <c r="F27" s="24" t="s">
        <v>231</v>
      </c>
      <c r="G27" s="24" t="s">
        <v>231</v>
      </c>
      <c r="H27" s="24" t="s">
        <v>231</v>
      </c>
      <c r="I27" s="24" t="s">
        <v>231</v>
      </c>
      <c r="J27" s="24" t="s">
        <v>231</v>
      </c>
      <c r="K27" s="24" t="s">
        <v>231</v>
      </c>
      <c r="L27" s="24" t="s">
        <v>231</v>
      </c>
      <c r="M27" s="24" t="s">
        <v>231</v>
      </c>
      <c r="N27" s="73">
        <f>SUM(B27:M27)</f>
        <v>0</v>
      </c>
      <c r="O27" s="116">
        <v>0</v>
      </c>
      <c r="P27" s="76" t="e">
        <f>O27/N27</f>
        <v>#DIV/0!</v>
      </c>
    </row>
    <row r="28" spans="1:17">
      <c r="A28" s="2"/>
      <c r="B28" s="87"/>
      <c r="C28" s="87"/>
      <c r="D28" s="87"/>
      <c r="E28" s="87"/>
      <c r="F28" s="87"/>
      <c r="G28" s="87"/>
      <c r="H28" s="87"/>
      <c r="I28" s="87"/>
      <c r="J28" s="87"/>
      <c r="K28" s="87"/>
      <c r="L28" s="87"/>
      <c r="M28" s="87"/>
      <c r="N28" s="88"/>
      <c r="O28" s="76"/>
      <c r="P28" s="76"/>
    </row>
    <row r="29" spans="1:17">
      <c r="A29" s="5"/>
      <c r="B29" s="89"/>
      <c r="C29" s="89"/>
      <c r="D29" s="89"/>
      <c r="E29" s="89"/>
      <c r="F29" s="89"/>
      <c r="G29" s="89"/>
      <c r="H29" s="89"/>
      <c r="I29" s="89"/>
      <c r="J29" s="89"/>
      <c r="K29" s="89"/>
      <c r="L29" s="89"/>
      <c r="M29" s="89"/>
      <c r="N29" s="90"/>
      <c r="O29" s="103"/>
      <c r="P29" s="103"/>
    </row>
    <row r="30" spans="1:17">
      <c r="A30" s="43"/>
      <c r="B30" s="43"/>
      <c r="C30" s="43"/>
      <c r="D30" s="43"/>
      <c r="E30" s="43"/>
      <c r="F30" s="43"/>
      <c r="G30" s="43"/>
      <c r="H30" s="43"/>
      <c r="I30" s="43"/>
      <c r="J30" s="43"/>
      <c r="K30" s="43"/>
      <c r="L30" s="43"/>
      <c r="M30" s="43"/>
      <c r="N30" s="43"/>
      <c r="O30" s="43"/>
      <c r="P30" s="43"/>
    </row>
  </sheetData>
  <mergeCells count="2">
    <mergeCell ref="A1:C1"/>
    <mergeCell ref="A7:D7"/>
  </mergeCells>
  <pageMargins left="0.75" right="0.75" top="1" bottom="1" header="0.5" footer="0.5"/>
  <pageSetup paperSize="9"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dimension ref="A1:P12"/>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34.7109375" customWidth="1"/>
    <col min="2" max="14" width="8.5703125" customWidth="1"/>
    <col min="15" max="15" width="11.42578125" customWidth="1"/>
    <col min="16" max="16" width="12.42578125" customWidth="1"/>
  </cols>
  <sheetData>
    <row r="1" spans="1:16" ht="20.25">
      <c r="A1" s="1" t="s">
        <v>324</v>
      </c>
      <c r="B1" s="2"/>
      <c r="C1" s="2"/>
      <c r="D1" s="2"/>
      <c r="E1" s="2"/>
      <c r="F1" s="2"/>
      <c r="G1" s="2"/>
      <c r="H1" s="2"/>
      <c r="I1" s="2"/>
      <c r="J1" s="2"/>
      <c r="K1" s="2"/>
      <c r="L1" s="2"/>
      <c r="M1" s="2"/>
      <c r="N1" s="2"/>
      <c r="O1" s="2"/>
      <c r="P1" s="2"/>
    </row>
    <row r="2" spans="1:16" ht="18">
      <c r="A2" s="48" t="s">
        <v>141</v>
      </c>
      <c r="B2" s="2"/>
      <c r="C2" s="2"/>
      <c r="D2" s="2"/>
      <c r="E2" s="2"/>
      <c r="F2" s="2"/>
      <c r="G2" s="2"/>
      <c r="H2" s="2"/>
      <c r="I2" s="2"/>
      <c r="J2" s="2"/>
      <c r="K2" s="2"/>
      <c r="L2" s="2"/>
      <c r="M2" s="2"/>
      <c r="N2" s="2"/>
      <c r="O2" s="2"/>
      <c r="P2" s="2"/>
    </row>
    <row r="3" spans="1:16">
      <c r="A3" s="2"/>
    </row>
    <row r="4" spans="1:16">
      <c r="A4" s="2" t="s">
        <v>226</v>
      </c>
    </row>
    <row r="5" spans="1:16">
      <c r="A5" s="5"/>
      <c r="B5" s="6"/>
      <c r="C5" s="6"/>
      <c r="D5" s="6"/>
      <c r="E5" s="6"/>
      <c r="F5" s="6"/>
      <c r="G5" s="6"/>
      <c r="H5" s="6"/>
      <c r="I5" s="6"/>
      <c r="J5" s="6"/>
      <c r="K5" s="6"/>
      <c r="L5" s="6"/>
      <c r="M5" s="6"/>
      <c r="N5" s="6"/>
      <c r="O5" s="6"/>
      <c r="P5" s="6"/>
    </row>
    <row r="6" spans="1:16"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row>
    <row r="7" spans="1:16">
      <c r="A7" s="67" t="s">
        <v>324</v>
      </c>
      <c r="B7" s="121"/>
      <c r="C7" s="121"/>
      <c r="D7" s="121"/>
      <c r="E7" s="121"/>
      <c r="F7" s="121"/>
      <c r="G7" s="121"/>
      <c r="H7" s="121"/>
      <c r="I7" s="121"/>
      <c r="J7" s="121"/>
      <c r="K7" s="121"/>
      <c r="L7" s="121"/>
      <c r="M7" s="121"/>
      <c r="N7" s="121"/>
      <c r="O7" s="43"/>
      <c r="P7" s="43"/>
    </row>
    <row r="8" spans="1:16">
      <c r="A8" s="71" t="s">
        <v>257</v>
      </c>
      <c r="B8" s="24">
        <v>2378</v>
      </c>
      <c r="C8" s="24">
        <v>902</v>
      </c>
      <c r="D8" s="24">
        <v>3248</v>
      </c>
      <c r="E8" s="24">
        <v>5673</v>
      </c>
      <c r="F8" s="24">
        <v>7947</v>
      </c>
      <c r="G8" s="24">
        <v>6019</v>
      </c>
      <c r="H8" s="24">
        <v>1500</v>
      </c>
      <c r="I8" s="24">
        <v>5271</v>
      </c>
      <c r="J8" s="24">
        <v>6532</v>
      </c>
      <c r="K8" s="24">
        <v>8607</v>
      </c>
      <c r="L8" s="24">
        <v>4514</v>
      </c>
      <c r="M8" s="24">
        <v>1715</v>
      </c>
      <c r="N8" s="73">
        <f>SUM(B8:M8)</f>
        <v>54306</v>
      </c>
      <c r="O8" s="74"/>
      <c r="P8" s="75"/>
    </row>
    <row r="9" spans="1:16">
      <c r="A9" s="71" t="s">
        <v>208</v>
      </c>
      <c r="B9" s="24">
        <v>3339</v>
      </c>
      <c r="C9" s="24">
        <v>882</v>
      </c>
      <c r="D9" s="24">
        <v>4491</v>
      </c>
      <c r="E9" s="24">
        <v>9690</v>
      </c>
      <c r="F9" s="24">
        <v>16186</v>
      </c>
      <c r="G9" s="24">
        <v>9976</v>
      </c>
      <c r="H9" s="24">
        <v>2158</v>
      </c>
      <c r="I9" s="24">
        <v>8144</v>
      </c>
      <c r="J9" s="24">
        <v>11260</v>
      </c>
      <c r="K9" s="24">
        <v>13432</v>
      </c>
      <c r="L9" s="24">
        <v>6950</v>
      </c>
      <c r="M9" s="24">
        <v>2162</v>
      </c>
      <c r="N9" s="73">
        <f>SUM(B9:M9)</f>
        <v>88670</v>
      </c>
      <c r="O9" s="74">
        <v>0</v>
      </c>
      <c r="P9" s="75">
        <f>O9/N9</f>
        <v>0</v>
      </c>
    </row>
    <row r="10" spans="1:16">
      <c r="A10" s="71" t="s">
        <v>228</v>
      </c>
      <c r="B10" s="24" t="s">
        <v>231</v>
      </c>
      <c r="C10" s="24" t="s">
        <v>231</v>
      </c>
      <c r="D10" s="24" t="s">
        <v>231</v>
      </c>
      <c r="E10" s="24" t="s">
        <v>231</v>
      </c>
      <c r="F10" s="24" t="s">
        <v>231</v>
      </c>
      <c r="G10" s="24" t="s">
        <v>231</v>
      </c>
      <c r="H10" s="24" t="s">
        <v>231</v>
      </c>
      <c r="I10" s="24" t="s">
        <v>231</v>
      </c>
      <c r="J10" s="24" t="s">
        <v>231</v>
      </c>
      <c r="K10" s="24" t="s">
        <v>231</v>
      </c>
      <c r="L10" s="24" t="s">
        <v>231</v>
      </c>
      <c r="M10" s="24" t="s">
        <v>231</v>
      </c>
      <c r="N10" s="73">
        <f>SUM(B10:M10)</f>
        <v>0</v>
      </c>
      <c r="O10" s="74"/>
      <c r="P10" s="75"/>
    </row>
    <row r="11" spans="1:16">
      <c r="A11" s="2"/>
      <c r="B11" s="94"/>
      <c r="C11" s="94"/>
      <c r="D11" s="94"/>
      <c r="E11" s="94"/>
      <c r="F11" s="94"/>
      <c r="G11" s="94"/>
      <c r="H11" s="94"/>
      <c r="I11" s="94"/>
      <c r="J11" s="94"/>
      <c r="K11" s="94"/>
      <c r="L11" s="94"/>
      <c r="M11" s="94"/>
      <c r="N11" s="82"/>
      <c r="O11" s="75"/>
      <c r="P11" s="75"/>
    </row>
    <row r="12" spans="1:16">
      <c r="A12" s="5"/>
      <c r="B12" s="98"/>
      <c r="C12" s="98"/>
      <c r="D12" s="98"/>
      <c r="E12" s="98"/>
      <c r="F12" s="98"/>
      <c r="G12" s="98"/>
      <c r="H12" s="98"/>
      <c r="I12" s="98"/>
      <c r="J12" s="98"/>
      <c r="K12" s="98"/>
      <c r="L12" s="98"/>
      <c r="M12" s="98"/>
      <c r="N12" s="5"/>
      <c r="O12" s="91"/>
      <c r="P12" s="91"/>
    </row>
  </sheetData>
  <pageMargins left="0.75" right="0.75" top="1" bottom="1" header="0.5" footer="0.5"/>
  <pageSetup paperSize="9"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dimension ref="A1:P15"/>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1.42578125" customWidth="1"/>
    <col min="2" max="14" width="9.140625" customWidth="1"/>
    <col min="15" max="15" width="10.42578125" customWidth="1"/>
    <col min="16" max="20" width="9.140625" customWidth="1"/>
  </cols>
  <sheetData>
    <row r="1" spans="1:16" ht="18">
      <c r="A1" s="182" t="s">
        <v>387</v>
      </c>
      <c r="B1" s="192"/>
      <c r="C1" s="192"/>
      <c r="D1" s="192"/>
    </row>
    <row r="2" spans="1:16" ht="18">
      <c r="A2" s="182" t="s">
        <v>279</v>
      </c>
      <c r="B2" s="192"/>
      <c r="C2" s="192"/>
      <c r="D2" s="139"/>
    </row>
    <row r="3" spans="1:16">
      <c r="A3" s="2"/>
    </row>
    <row r="4" spans="1:16">
      <c r="A4" s="49" t="s">
        <v>181</v>
      </c>
      <c r="B4" s="49" t="s">
        <v>151</v>
      </c>
    </row>
    <row r="5" spans="1:16">
      <c r="A5" s="5"/>
      <c r="B5" s="6"/>
      <c r="C5" s="6"/>
      <c r="D5" s="6"/>
      <c r="E5" s="6"/>
      <c r="F5" s="6"/>
      <c r="G5" s="6"/>
      <c r="H5" s="6"/>
      <c r="I5" s="6"/>
      <c r="J5" s="6"/>
      <c r="K5" s="6"/>
      <c r="L5" s="6"/>
      <c r="M5" s="6"/>
      <c r="N5" s="6"/>
      <c r="O5" s="6"/>
      <c r="P5" s="6"/>
    </row>
    <row r="6" spans="1:16"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row>
    <row r="7" spans="1:16">
      <c r="A7" s="67" t="s">
        <v>387</v>
      </c>
      <c r="B7" s="68"/>
      <c r="C7" s="68"/>
      <c r="D7" s="68"/>
      <c r="E7" s="68"/>
      <c r="F7" s="68"/>
      <c r="G7" s="68"/>
      <c r="H7" s="68"/>
      <c r="I7" s="68"/>
      <c r="J7" s="68"/>
      <c r="K7" s="68"/>
      <c r="L7" s="68"/>
      <c r="M7" s="68"/>
      <c r="N7" s="68"/>
      <c r="O7" s="43"/>
      <c r="P7" s="43"/>
    </row>
    <row r="8" spans="1:16">
      <c r="A8" s="71" t="s">
        <v>208</v>
      </c>
      <c r="B8" s="72">
        <v>5</v>
      </c>
      <c r="C8" s="72">
        <v>0</v>
      </c>
      <c r="D8" s="72">
        <v>0</v>
      </c>
      <c r="E8" s="72">
        <v>25</v>
      </c>
      <c r="F8" s="72">
        <v>12</v>
      </c>
      <c r="G8" s="72">
        <v>5</v>
      </c>
      <c r="H8" s="24">
        <v>3</v>
      </c>
      <c r="I8" s="24">
        <v>6</v>
      </c>
      <c r="J8" s="24">
        <v>1</v>
      </c>
      <c r="K8" s="24">
        <v>18</v>
      </c>
      <c r="L8" s="24">
        <v>0</v>
      </c>
      <c r="M8" s="24">
        <v>3</v>
      </c>
      <c r="N8" s="73">
        <f>SUM(B8:M8)</f>
        <v>78</v>
      </c>
      <c r="O8" s="74">
        <v>0</v>
      </c>
      <c r="P8" s="75">
        <f>O8/N8</f>
        <v>0</v>
      </c>
    </row>
    <row r="9" spans="1:16">
      <c r="A9" s="71" t="s">
        <v>245</v>
      </c>
      <c r="B9" s="24">
        <v>12</v>
      </c>
      <c r="C9" s="24">
        <v>1</v>
      </c>
      <c r="D9" s="24">
        <v>4</v>
      </c>
      <c r="E9" s="24">
        <v>64</v>
      </c>
      <c r="F9" s="24">
        <v>32</v>
      </c>
      <c r="G9" s="24">
        <v>11</v>
      </c>
      <c r="H9" s="24">
        <v>7</v>
      </c>
      <c r="I9" s="24">
        <v>10</v>
      </c>
      <c r="J9" s="24">
        <v>13</v>
      </c>
      <c r="K9" s="24">
        <v>28</v>
      </c>
      <c r="L9" s="24">
        <v>1</v>
      </c>
      <c r="M9" s="24">
        <v>18</v>
      </c>
      <c r="N9" s="73">
        <f>SUM(B9:M9)</f>
        <v>201</v>
      </c>
      <c r="O9" s="74"/>
      <c r="P9" s="75"/>
    </row>
    <row r="10" spans="1:16">
      <c r="A10" s="2"/>
      <c r="B10" s="43"/>
      <c r="C10" s="43"/>
      <c r="D10" s="43"/>
      <c r="E10" s="43"/>
      <c r="F10" s="43"/>
      <c r="G10" s="43"/>
      <c r="H10" s="43"/>
      <c r="I10" s="43"/>
      <c r="J10" s="43"/>
      <c r="K10" s="43"/>
      <c r="L10" s="43"/>
      <c r="M10" s="43"/>
      <c r="N10" s="43"/>
    </row>
    <row r="11" spans="1:16">
      <c r="A11" s="2"/>
    </row>
    <row r="12" spans="1:16">
      <c r="A12" s="2"/>
    </row>
    <row r="13" spans="1:16">
      <c r="A13" s="2"/>
    </row>
    <row r="14" spans="1:16">
      <c r="A14" s="2"/>
    </row>
    <row r="15" spans="1:16">
      <c r="A15" s="2"/>
    </row>
  </sheetData>
  <mergeCells count="2">
    <mergeCell ref="A1:D1"/>
    <mergeCell ref="A2:C2"/>
  </mergeCells>
  <pageMargins left="0.75" right="0.75" top="1" bottom="1" header="0.5" footer="0.5"/>
  <pageSetup paperSize="9"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dimension ref="A1:Q13"/>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21" customWidth="1"/>
    <col min="2" max="9" width="8.85546875" customWidth="1"/>
    <col min="10" max="13" width="9.42578125" customWidth="1"/>
    <col min="14" max="14" width="9" customWidth="1"/>
    <col min="15" max="15" width="10.5703125" customWidth="1"/>
    <col min="16" max="16" width="10.28515625" customWidth="1"/>
    <col min="17" max="20" width="17.140625" customWidth="1"/>
  </cols>
  <sheetData>
    <row r="1" spans="1:17" ht="20.25">
      <c r="A1" s="1" t="s">
        <v>189</v>
      </c>
      <c r="B1" s="2"/>
      <c r="C1" s="2"/>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c r="O3" s="2"/>
    </row>
    <row r="4" spans="1:17">
      <c r="A4" s="2" t="s">
        <v>17</v>
      </c>
      <c r="B4" s="2" t="s">
        <v>151</v>
      </c>
      <c r="O4" s="2"/>
    </row>
    <row r="5" spans="1:17">
      <c r="A5" s="5"/>
      <c r="B5" s="6"/>
      <c r="C5" s="6"/>
      <c r="D5" s="6"/>
      <c r="E5" s="6"/>
      <c r="F5" s="6"/>
      <c r="G5" s="6"/>
      <c r="H5" s="6"/>
      <c r="I5" s="6"/>
      <c r="J5" s="6"/>
      <c r="K5" s="6"/>
      <c r="L5" s="6"/>
      <c r="M5" s="6"/>
      <c r="N5" s="6"/>
      <c r="O5" s="5"/>
      <c r="P5" s="6"/>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170</v>
      </c>
      <c r="P6" s="61" t="s">
        <v>175</v>
      </c>
      <c r="Q6" s="2"/>
    </row>
    <row r="7" spans="1:17">
      <c r="A7" s="67" t="s">
        <v>248</v>
      </c>
      <c r="B7" s="121"/>
      <c r="C7" s="121"/>
      <c r="D7" s="121"/>
      <c r="E7" s="121"/>
      <c r="F7" s="121"/>
      <c r="G7" s="121"/>
      <c r="H7" s="121"/>
      <c r="I7" s="121"/>
      <c r="J7" s="121"/>
      <c r="K7" s="121"/>
      <c r="L7" s="121"/>
      <c r="M7" s="121"/>
      <c r="N7" s="121"/>
      <c r="O7" s="82"/>
      <c r="P7" s="88"/>
    </row>
    <row r="8" spans="1:17">
      <c r="A8" s="71" t="s">
        <v>118</v>
      </c>
      <c r="B8" s="72">
        <v>771</v>
      </c>
      <c r="C8" s="72">
        <v>561</v>
      </c>
      <c r="D8" s="72">
        <v>689</v>
      </c>
      <c r="E8" s="72">
        <v>859</v>
      </c>
      <c r="F8" s="72">
        <v>755</v>
      </c>
      <c r="G8" s="72">
        <v>510</v>
      </c>
      <c r="H8" s="72">
        <v>802</v>
      </c>
      <c r="I8" s="72">
        <v>1062</v>
      </c>
      <c r="J8" s="72">
        <v>1366</v>
      </c>
      <c r="K8" s="72">
        <v>877</v>
      </c>
      <c r="L8" s="72">
        <v>534</v>
      </c>
      <c r="M8" s="72">
        <v>1032</v>
      </c>
      <c r="N8" s="73">
        <f>SUM(B8:M8)</f>
        <v>9818</v>
      </c>
      <c r="O8" s="74">
        <v>0</v>
      </c>
      <c r="P8" s="75" t="s">
        <v>231</v>
      </c>
    </row>
    <row r="9" spans="1:17">
      <c r="A9" s="71" t="s">
        <v>208</v>
      </c>
      <c r="B9" s="72">
        <v>1765</v>
      </c>
      <c r="C9" s="72">
        <v>1292</v>
      </c>
      <c r="D9" s="72">
        <v>1568</v>
      </c>
      <c r="E9" s="72">
        <v>2044</v>
      </c>
      <c r="F9" s="72">
        <v>1465</v>
      </c>
      <c r="G9" s="72">
        <v>1375</v>
      </c>
      <c r="H9" s="72">
        <v>1840</v>
      </c>
      <c r="I9" s="72">
        <v>2134</v>
      </c>
      <c r="J9" s="72">
        <v>2396</v>
      </c>
      <c r="K9" s="72">
        <v>1658</v>
      </c>
      <c r="L9" s="72">
        <v>127</v>
      </c>
      <c r="M9" s="72">
        <v>3073</v>
      </c>
      <c r="N9" s="73">
        <f>SUM(B9:M9)</f>
        <v>20737</v>
      </c>
      <c r="O9" s="74">
        <v>0</v>
      </c>
      <c r="P9" s="75" t="s">
        <v>231</v>
      </c>
    </row>
    <row r="10" spans="1:17">
      <c r="A10" s="71" t="s">
        <v>196</v>
      </c>
      <c r="B10" s="72">
        <v>2527</v>
      </c>
      <c r="C10" s="72">
        <v>1768</v>
      </c>
      <c r="D10" s="72">
        <v>2046</v>
      </c>
      <c r="E10" s="72">
        <v>2869</v>
      </c>
      <c r="F10" s="72">
        <v>2045</v>
      </c>
      <c r="G10" s="72">
        <v>1594</v>
      </c>
      <c r="H10" s="72">
        <v>2519</v>
      </c>
      <c r="I10" s="72">
        <v>2999</v>
      </c>
      <c r="J10" s="72">
        <v>3142</v>
      </c>
      <c r="K10" s="72">
        <v>2241</v>
      </c>
      <c r="L10" s="72">
        <v>1675</v>
      </c>
      <c r="M10" s="72">
        <v>4108</v>
      </c>
      <c r="N10" s="73">
        <f>SUM(B10:M10)</f>
        <v>29533</v>
      </c>
      <c r="O10" s="74">
        <v>0</v>
      </c>
      <c r="P10" s="75" t="s">
        <v>231</v>
      </c>
    </row>
    <row r="11" spans="1:17">
      <c r="A11" s="2"/>
      <c r="B11" s="43"/>
      <c r="C11" s="43"/>
      <c r="D11" s="43"/>
      <c r="E11" s="43"/>
      <c r="F11" s="43"/>
      <c r="G11" s="43"/>
      <c r="H11" s="43"/>
      <c r="I11" s="43"/>
      <c r="J11" s="43"/>
      <c r="K11" s="43"/>
      <c r="L11" s="43"/>
      <c r="M11" s="43"/>
      <c r="N11" s="43"/>
      <c r="O11" s="2"/>
    </row>
    <row r="12" spans="1:17">
      <c r="A12" s="2"/>
      <c r="O12" s="2"/>
    </row>
    <row r="13" spans="1:17">
      <c r="O13" s="2"/>
    </row>
  </sheetData>
  <pageMargins left="0.75" right="0.75" top="1" bottom="1" header="0.5" footer="0.5"/>
  <pageSetup paperSize="9"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dimension ref="A1:Q18"/>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0.5703125" customWidth="1"/>
    <col min="2" max="14" width="8.5703125" customWidth="1"/>
    <col min="15" max="15" width="10.85546875" customWidth="1"/>
    <col min="16" max="16" width="8.5703125" customWidth="1"/>
    <col min="17" max="17" width="9.140625" customWidth="1"/>
  </cols>
  <sheetData>
    <row r="1" spans="1:17" ht="20.25">
      <c r="A1" s="1" t="s">
        <v>360</v>
      </c>
      <c r="B1" s="2"/>
      <c r="C1" s="2"/>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c r="O3" s="2"/>
    </row>
    <row r="4" spans="1:17">
      <c r="A4" s="2" t="s">
        <v>17</v>
      </c>
      <c r="B4" s="2" t="s">
        <v>192</v>
      </c>
      <c r="O4" s="2"/>
    </row>
    <row r="5" spans="1:17">
      <c r="A5" s="5"/>
      <c r="B5" s="6"/>
      <c r="C5" s="6"/>
      <c r="D5" s="6"/>
      <c r="E5" s="6"/>
      <c r="F5" s="6"/>
      <c r="G5" s="6"/>
      <c r="H5" s="6"/>
      <c r="I5" s="6"/>
      <c r="J5" s="6"/>
      <c r="K5" s="6"/>
      <c r="L5" s="6"/>
      <c r="M5" s="6"/>
      <c r="N5" s="6"/>
      <c r="O5" s="5"/>
      <c r="P5" s="6"/>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67" t="s">
        <v>135</v>
      </c>
      <c r="B7" s="121"/>
      <c r="C7" s="121"/>
      <c r="D7" s="121"/>
      <c r="E7" s="121"/>
      <c r="F7" s="121"/>
      <c r="G7" s="121"/>
      <c r="H7" s="121"/>
      <c r="I7" s="121"/>
      <c r="J7" s="121"/>
      <c r="K7" s="121"/>
      <c r="L7" s="121"/>
      <c r="M7" s="121"/>
      <c r="N7" s="121"/>
      <c r="O7" s="82"/>
      <c r="P7" s="88"/>
    </row>
    <row r="8" spans="1:17">
      <c r="A8" s="71" t="s">
        <v>257</v>
      </c>
      <c r="B8" s="40">
        <v>1379</v>
      </c>
      <c r="C8" s="40">
        <v>620</v>
      </c>
      <c r="D8" s="40">
        <v>1680</v>
      </c>
      <c r="E8" s="40">
        <v>2891</v>
      </c>
      <c r="F8" s="40">
        <v>2891</v>
      </c>
      <c r="G8" s="40">
        <v>1893</v>
      </c>
      <c r="H8" s="40">
        <v>810</v>
      </c>
      <c r="I8" s="40">
        <v>1834</v>
      </c>
      <c r="J8" s="40">
        <v>4160</v>
      </c>
      <c r="K8" s="40">
        <v>4868</v>
      </c>
      <c r="L8" s="40">
        <v>1222</v>
      </c>
      <c r="M8" s="40">
        <v>539</v>
      </c>
      <c r="N8" s="73">
        <f>SUM(B8:M8)</f>
        <v>24787</v>
      </c>
      <c r="O8" s="10"/>
      <c r="P8" s="2"/>
    </row>
    <row r="9" spans="1:17">
      <c r="A9" s="71" t="s">
        <v>208</v>
      </c>
      <c r="B9" s="40">
        <v>1116</v>
      </c>
      <c r="C9" s="40">
        <v>539</v>
      </c>
      <c r="D9" s="40">
        <v>1538</v>
      </c>
      <c r="E9" s="40">
        <v>2521</v>
      </c>
      <c r="F9" s="40">
        <v>2476</v>
      </c>
      <c r="G9" s="40">
        <v>1770</v>
      </c>
      <c r="H9" s="40">
        <v>778</v>
      </c>
      <c r="I9" s="40">
        <v>1426</v>
      </c>
      <c r="J9" s="40">
        <v>3634</v>
      </c>
      <c r="K9" s="40">
        <v>4394</v>
      </c>
      <c r="L9" s="40">
        <v>1058</v>
      </c>
      <c r="M9" s="40">
        <v>560</v>
      </c>
      <c r="N9" s="73">
        <f>SUM(B9:M9)</f>
        <v>21810</v>
      </c>
      <c r="O9" s="74">
        <v>0</v>
      </c>
      <c r="P9" s="75">
        <f>O9/N9</f>
        <v>0</v>
      </c>
    </row>
    <row r="10" spans="1:17">
      <c r="A10" s="2"/>
      <c r="B10" s="88"/>
      <c r="C10" s="94"/>
      <c r="D10" s="94"/>
      <c r="E10" s="94"/>
      <c r="F10" s="94"/>
      <c r="G10" s="94"/>
      <c r="H10" s="124"/>
      <c r="I10" s="124"/>
      <c r="J10" s="124"/>
      <c r="K10" s="124"/>
      <c r="L10" s="124"/>
      <c r="M10" s="124"/>
      <c r="N10" s="43"/>
      <c r="O10" s="75"/>
      <c r="P10" s="75"/>
    </row>
    <row r="11" spans="1:17">
      <c r="A11" s="5"/>
      <c r="B11" s="90"/>
      <c r="C11" s="98"/>
      <c r="D11" s="98"/>
      <c r="E11" s="98"/>
      <c r="F11" s="98"/>
      <c r="G11" s="98"/>
      <c r="H11" s="122"/>
      <c r="I11" s="122"/>
      <c r="J11" s="122"/>
      <c r="K11" s="122"/>
      <c r="L11" s="122"/>
      <c r="M11" s="122"/>
      <c r="N11" s="6"/>
      <c r="O11" s="91"/>
      <c r="P11" s="91"/>
    </row>
    <row r="12" spans="1:17" ht="25.5">
      <c r="A12" s="58"/>
      <c r="B12" s="59">
        <v>40360</v>
      </c>
      <c r="C12" s="59">
        <v>40391</v>
      </c>
      <c r="D12" s="59">
        <v>6614787</v>
      </c>
      <c r="E12" s="59">
        <v>40452</v>
      </c>
      <c r="F12" s="59">
        <v>40483</v>
      </c>
      <c r="G12" s="59">
        <v>40513</v>
      </c>
      <c r="H12" s="59">
        <v>40544</v>
      </c>
      <c r="I12" s="59">
        <v>40575</v>
      </c>
      <c r="J12" s="59">
        <v>40603</v>
      </c>
      <c r="K12" s="59">
        <v>40634</v>
      </c>
      <c r="L12" s="59">
        <v>40664</v>
      </c>
      <c r="M12" s="59">
        <v>40695</v>
      </c>
      <c r="N12" s="60" t="s">
        <v>371</v>
      </c>
      <c r="O12" s="61" t="s">
        <v>27</v>
      </c>
      <c r="P12" s="61" t="s">
        <v>175</v>
      </c>
    </row>
    <row r="13" spans="1:17">
      <c r="A13" s="67" t="s">
        <v>212</v>
      </c>
      <c r="B13" s="106"/>
      <c r="C13" s="53"/>
      <c r="D13" s="53"/>
      <c r="E13" s="53"/>
      <c r="F13" s="53"/>
      <c r="G13" s="53"/>
      <c r="H13" s="53"/>
      <c r="I13" s="53"/>
      <c r="J13" s="53"/>
      <c r="K13" s="53"/>
      <c r="L13" s="53"/>
      <c r="M13" s="53"/>
      <c r="N13" s="53"/>
      <c r="O13" s="70"/>
      <c r="P13" s="70"/>
    </row>
    <row r="14" spans="1:17">
      <c r="A14" s="71" t="s">
        <v>257</v>
      </c>
      <c r="B14" s="40">
        <v>6</v>
      </c>
      <c r="C14" s="40">
        <v>5</v>
      </c>
      <c r="D14" s="40">
        <v>13</v>
      </c>
      <c r="E14" s="40">
        <v>16</v>
      </c>
      <c r="F14" s="40">
        <v>35</v>
      </c>
      <c r="G14" s="40">
        <v>19</v>
      </c>
      <c r="H14" s="40">
        <v>4</v>
      </c>
      <c r="I14" s="40">
        <v>17</v>
      </c>
      <c r="J14" s="40">
        <v>48</v>
      </c>
      <c r="K14" s="40">
        <v>36</v>
      </c>
      <c r="L14" s="40">
        <v>21</v>
      </c>
      <c r="M14" s="40">
        <v>2</v>
      </c>
      <c r="N14" s="73">
        <f>SUM(B14:M14)</f>
        <v>222</v>
      </c>
      <c r="O14" s="74"/>
      <c r="P14" s="75"/>
    </row>
    <row r="15" spans="1:17">
      <c r="A15" s="71" t="s">
        <v>208</v>
      </c>
      <c r="B15" s="40">
        <v>13</v>
      </c>
      <c r="C15" s="40">
        <v>6</v>
      </c>
      <c r="D15" s="40">
        <v>18</v>
      </c>
      <c r="E15" s="40">
        <v>33</v>
      </c>
      <c r="F15" s="40">
        <v>57</v>
      </c>
      <c r="G15" s="40">
        <v>43</v>
      </c>
      <c r="H15" s="40">
        <v>7</v>
      </c>
      <c r="I15" s="40">
        <v>41</v>
      </c>
      <c r="J15" s="40">
        <v>165</v>
      </c>
      <c r="K15" s="40">
        <v>87</v>
      </c>
      <c r="L15" s="40">
        <v>74</v>
      </c>
      <c r="M15" s="40">
        <v>2</v>
      </c>
      <c r="N15" s="73">
        <f>SUM(B15:M15)</f>
        <v>546</v>
      </c>
      <c r="O15" s="140">
        <v>0</v>
      </c>
      <c r="P15" s="75">
        <f>O15/N15</f>
        <v>0</v>
      </c>
    </row>
    <row r="16" spans="1:17">
      <c r="A16" s="2"/>
      <c r="B16" s="130"/>
      <c r="C16" s="43"/>
      <c r="D16" s="43"/>
      <c r="E16" s="43"/>
      <c r="F16" s="43"/>
      <c r="G16" s="43"/>
      <c r="H16" s="43"/>
      <c r="I16" s="43"/>
      <c r="J16" s="43"/>
      <c r="K16" s="43"/>
      <c r="L16" s="43"/>
      <c r="M16" s="43"/>
      <c r="N16" s="43"/>
      <c r="O16" s="2"/>
    </row>
    <row r="17" spans="1:15">
      <c r="A17" s="2"/>
      <c r="B17" s="141"/>
      <c r="O17" s="2"/>
    </row>
    <row r="18" spans="1:15">
      <c r="A18" s="2"/>
      <c r="O18" s="2"/>
    </row>
  </sheetData>
  <pageMargins left="0.75" right="0.75" top="1" bottom="1" header="0.5" footer="0.5"/>
  <pageSetup paperSize="9"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dimension ref="A1:Q39"/>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1.7109375" customWidth="1"/>
    <col min="2" max="14" width="8.5703125" customWidth="1"/>
    <col min="15" max="15" width="10.5703125" customWidth="1"/>
    <col min="16" max="16" width="8.5703125" customWidth="1"/>
    <col min="17" max="17" width="9.140625" customWidth="1"/>
  </cols>
  <sheetData>
    <row r="1" spans="1:17" ht="20.25">
      <c r="A1" s="1" t="s">
        <v>317</v>
      </c>
      <c r="B1" s="2"/>
      <c r="C1" s="2"/>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row>
    <row r="4" spans="1:17">
      <c r="A4" s="2" t="s">
        <v>17</v>
      </c>
      <c r="B4" s="2" t="s">
        <v>151</v>
      </c>
    </row>
    <row r="5" spans="1:17">
      <c r="A5" s="5"/>
      <c r="B5" s="6"/>
      <c r="C5" s="6"/>
      <c r="D5" s="6"/>
      <c r="E5" s="6"/>
      <c r="F5" s="6"/>
      <c r="G5" s="6"/>
      <c r="H5" s="6"/>
      <c r="I5" s="6"/>
      <c r="J5" s="6"/>
      <c r="K5" s="6"/>
      <c r="L5" s="6"/>
      <c r="M5" s="6"/>
      <c r="N5" s="6"/>
      <c r="O5" s="6"/>
      <c r="P5" s="6"/>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67" t="s">
        <v>317</v>
      </c>
      <c r="B7" s="68"/>
      <c r="C7" s="68"/>
      <c r="D7" s="68"/>
      <c r="E7" s="68"/>
      <c r="F7" s="68"/>
      <c r="G7" s="68"/>
      <c r="H7" s="68"/>
      <c r="I7" s="68"/>
      <c r="J7" s="68"/>
      <c r="K7" s="68"/>
      <c r="L7" s="68"/>
      <c r="M7" s="68"/>
      <c r="N7" s="68"/>
      <c r="O7" s="43"/>
      <c r="P7" s="43"/>
    </row>
    <row r="8" spans="1:17">
      <c r="A8" s="71" t="s">
        <v>257</v>
      </c>
      <c r="B8" s="24">
        <v>269</v>
      </c>
      <c r="C8" s="24">
        <v>202</v>
      </c>
      <c r="D8" s="24">
        <v>513</v>
      </c>
      <c r="E8" s="24">
        <v>509</v>
      </c>
      <c r="F8" s="24">
        <v>692</v>
      </c>
      <c r="G8" s="24">
        <v>697</v>
      </c>
      <c r="H8" s="24">
        <v>814</v>
      </c>
      <c r="I8" s="24">
        <v>482</v>
      </c>
      <c r="J8" s="24">
        <v>729</v>
      </c>
      <c r="K8" s="24">
        <v>484</v>
      </c>
      <c r="L8" s="24">
        <v>547</v>
      </c>
      <c r="M8" s="24">
        <v>446</v>
      </c>
      <c r="N8" s="73">
        <f>SUM(B8:M8)</f>
        <v>6384</v>
      </c>
      <c r="O8" s="74"/>
      <c r="P8" s="75"/>
    </row>
    <row r="9" spans="1:17">
      <c r="A9" s="71" t="s">
        <v>222</v>
      </c>
      <c r="B9" s="24">
        <v>533</v>
      </c>
      <c r="C9" s="24">
        <v>534</v>
      </c>
      <c r="D9" s="24">
        <v>901</v>
      </c>
      <c r="E9" s="24">
        <v>1024</v>
      </c>
      <c r="F9" s="24">
        <v>1325</v>
      </c>
      <c r="G9" s="24">
        <v>1304</v>
      </c>
      <c r="H9" s="24">
        <v>1496</v>
      </c>
      <c r="I9" s="24">
        <v>814</v>
      </c>
      <c r="J9" s="24">
        <v>1196</v>
      </c>
      <c r="K9" s="24">
        <v>1079</v>
      </c>
      <c r="L9" s="24">
        <v>984</v>
      </c>
      <c r="M9" s="24">
        <v>1004</v>
      </c>
      <c r="N9" s="73">
        <f>SUM(B9:M9)</f>
        <v>12194</v>
      </c>
      <c r="O9" s="140">
        <v>7906.3</v>
      </c>
      <c r="P9" s="75">
        <f>O9/N9</f>
        <v>0.64837625061505655</v>
      </c>
    </row>
    <row r="10" spans="1:17">
      <c r="A10" s="2"/>
      <c r="B10" s="43"/>
      <c r="C10" s="43"/>
      <c r="D10" s="43"/>
      <c r="E10" s="43"/>
      <c r="F10" s="43"/>
      <c r="G10" s="43"/>
      <c r="H10" s="43"/>
      <c r="I10" s="43"/>
      <c r="J10" s="43"/>
      <c r="K10" s="43"/>
      <c r="L10" s="43"/>
      <c r="M10" s="43"/>
      <c r="N10" s="43"/>
    </row>
    <row r="11" spans="1:17">
      <c r="A11" s="2"/>
    </row>
    <row r="13" spans="1:17">
      <c r="A13" s="2"/>
    </row>
    <row r="14" spans="1:17">
      <c r="A14" s="2"/>
    </row>
    <row r="15" spans="1:17">
      <c r="A15" s="2"/>
    </row>
    <row r="16" spans="1:17">
      <c r="A16" s="2"/>
    </row>
    <row r="17" spans="1:1">
      <c r="A17" s="2"/>
    </row>
    <row r="18" spans="1:1">
      <c r="A18" s="2"/>
    </row>
    <row r="19" spans="1:1">
      <c r="A19" s="2"/>
    </row>
    <row r="20" spans="1:1">
      <c r="A20" s="2"/>
    </row>
    <row r="21" spans="1:1">
      <c r="A21" s="2"/>
    </row>
    <row r="22" spans="1:1">
      <c r="A22" s="2"/>
    </row>
    <row r="23" spans="1:1">
      <c r="A23" s="2"/>
    </row>
    <row r="24" spans="1:1">
      <c r="A24" s="2"/>
    </row>
    <row r="25" spans="1:1">
      <c r="A25" s="2"/>
    </row>
    <row r="26" spans="1:1">
      <c r="A26" s="2"/>
    </row>
    <row r="27" spans="1:1">
      <c r="A27" s="2"/>
    </row>
    <row r="28" spans="1:1">
      <c r="A28" s="2"/>
    </row>
    <row r="29" spans="1:1">
      <c r="A29" s="2"/>
    </row>
    <row r="30" spans="1:1">
      <c r="A30" s="2"/>
    </row>
    <row r="31" spans="1:1">
      <c r="A31" s="2"/>
    </row>
    <row r="32" spans="1:1">
      <c r="A32" s="2"/>
    </row>
    <row r="33" spans="1:9">
      <c r="A33" s="2"/>
    </row>
    <row r="34" spans="1:9">
      <c r="A34" s="2"/>
    </row>
    <row r="35" spans="1:9">
      <c r="A35" s="2"/>
    </row>
    <row r="36" spans="1:9">
      <c r="A36" s="2"/>
    </row>
    <row r="37" spans="1:9">
      <c r="A37" s="2"/>
    </row>
    <row r="38" spans="1:9">
      <c r="A38" s="2"/>
      <c r="I38" s="75"/>
    </row>
    <row r="39" spans="1:9">
      <c r="A39" s="2"/>
    </row>
  </sheetData>
  <pageMargins left="0.75" right="0.75" top="1" bottom="1" header="0.5" footer="0.5"/>
  <pageSetup paperSize="9"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dimension ref="A1:Q22"/>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2.7109375" customWidth="1"/>
    <col min="2" max="14" width="8.5703125" customWidth="1"/>
    <col min="15" max="15" width="10.85546875" customWidth="1"/>
    <col min="16" max="16" width="8.5703125" customWidth="1"/>
    <col min="17" max="17" width="9.140625" customWidth="1"/>
  </cols>
  <sheetData>
    <row r="1" spans="1:17" ht="20.25">
      <c r="A1" s="1" t="s">
        <v>160</v>
      </c>
      <c r="B1" s="2"/>
      <c r="C1" s="2"/>
      <c r="D1" s="2"/>
      <c r="E1" s="2"/>
      <c r="F1" s="2"/>
      <c r="G1" s="2"/>
      <c r="H1" s="2"/>
      <c r="I1" s="2"/>
      <c r="J1" s="2"/>
      <c r="K1" s="2"/>
      <c r="L1" s="2"/>
      <c r="M1" s="2"/>
      <c r="N1" s="2"/>
      <c r="O1" s="2"/>
      <c r="P1" s="2"/>
      <c r="Q1" s="2"/>
    </row>
    <row r="2" spans="1:17" ht="18">
      <c r="A2" s="48" t="s">
        <v>141</v>
      </c>
      <c r="B2" s="2"/>
      <c r="C2" s="2"/>
      <c r="D2" s="2"/>
      <c r="E2" s="2"/>
      <c r="F2" s="2"/>
      <c r="G2" s="2"/>
      <c r="H2" s="2"/>
      <c r="I2" s="2"/>
      <c r="J2" s="2"/>
      <c r="K2" s="2"/>
      <c r="L2" s="2"/>
      <c r="M2" s="2"/>
      <c r="N2" s="2"/>
      <c r="O2" s="2"/>
      <c r="P2" s="2"/>
      <c r="Q2" s="2"/>
    </row>
    <row r="3" spans="1:17">
      <c r="A3" s="2"/>
      <c r="O3" s="2"/>
    </row>
    <row r="4" spans="1:17">
      <c r="A4" s="2" t="s">
        <v>17</v>
      </c>
      <c r="B4" s="2" t="s">
        <v>151</v>
      </c>
      <c r="O4" s="2"/>
    </row>
    <row r="5" spans="1:17">
      <c r="A5" s="5"/>
      <c r="B5" s="6"/>
      <c r="C5" s="6"/>
      <c r="D5" s="6"/>
      <c r="E5" s="6"/>
      <c r="F5" s="6"/>
      <c r="G5" s="6"/>
      <c r="H5" s="6"/>
      <c r="I5" s="6"/>
      <c r="J5" s="6"/>
      <c r="K5" s="6"/>
      <c r="L5" s="6"/>
      <c r="M5" s="6"/>
      <c r="N5" s="6"/>
      <c r="O5" s="5"/>
      <c r="P5" s="6"/>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67" t="s">
        <v>219</v>
      </c>
      <c r="B7" s="68"/>
      <c r="C7" s="68"/>
      <c r="D7" s="68"/>
      <c r="E7" s="68"/>
      <c r="F7" s="68"/>
      <c r="G7" s="68"/>
      <c r="H7" s="68"/>
      <c r="I7" s="68"/>
      <c r="J7" s="68"/>
      <c r="K7" s="68"/>
      <c r="L7" s="68"/>
      <c r="M7" s="68"/>
      <c r="N7" s="68"/>
      <c r="O7" s="82"/>
      <c r="P7" s="43"/>
    </row>
    <row r="8" spans="1:17">
      <c r="A8" s="71" t="s">
        <v>118</v>
      </c>
      <c r="B8" s="72">
        <v>11</v>
      </c>
      <c r="C8" s="72">
        <v>17</v>
      </c>
      <c r="D8" s="72">
        <v>25</v>
      </c>
      <c r="E8" s="72">
        <v>27</v>
      </c>
      <c r="F8" s="72">
        <v>69</v>
      </c>
      <c r="G8" s="72">
        <v>58</v>
      </c>
      <c r="H8" s="72">
        <v>14</v>
      </c>
      <c r="I8" s="72">
        <v>31</v>
      </c>
      <c r="J8" s="72">
        <v>73</v>
      </c>
      <c r="K8" s="72">
        <v>84</v>
      </c>
      <c r="L8" s="72">
        <v>46</v>
      </c>
      <c r="M8" s="72">
        <v>17</v>
      </c>
      <c r="N8" s="73">
        <f>SUM(B8:M8)</f>
        <v>472</v>
      </c>
      <c r="O8" s="10"/>
    </row>
    <row r="9" spans="1:17">
      <c r="A9" s="71" t="s">
        <v>200</v>
      </c>
      <c r="B9" s="72">
        <v>42</v>
      </c>
      <c r="C9" s="72">
        <v>38</v>
      </c>
      <c r="D9" s="72">
        <v>48</v>
      </c>
      <c r="E9" s="72">
        <v>47</v>
      </c>
      <c r="F9" s="72">
        <v>163</v>
      </c>
      <c r="G9" s="72">
        <v>90</v>
      </c>
      <c r="H9" s="72">
        <v>38</v>
      </c>
      <c r="I9" s="72">
        <v>128</v>
      </c>
      <c r="J9" s="72">
        <v>393</v>
      </c>
      <c r="K9" s="72">
        <v>249</v>
      </c>
      <c r="L9" s="72">
        <v>139</v>
      </c>
      <c r="M9" s="72">
        <v>87</v>
      </c>
      <c r="N9" s="73">
        <f>SUM(B9:M9)</f>
        <v>1462</v>
      </c>
      <c r="O9" s="74">
        <v>0</v>
      </c>
      <c r="P9" s="75">
        <f>O9/N9</f>
        <v>0</v>
      </c>
    </row>
    <row r="10" spans="1:17">
      <c r="A10" s="71" t="s">
        <v>133</v>
      </c>
      <c r="B10" s="72">
        <v>21</v>
      </c>
      <c r="C10" s="72">
        <v>7</v>
      </c>
      <c r="D10" s="72">
        <v>21</v>
      </c>
      <c r="E10" s="72">
        <v>28</v>
      </c>
      <c r="F10" s="72">
        <v>95</v>
      </c>
      <c r="G10" s="72">
        <v>69</v>
      </c>
      <c r="H10" s="72">
        <v>6</v>
      </c>
      <c r="I10" s="72">
        <v>34</v>
      </c>
      <c r="J10" s="72">
        <v>186</v>
      </c>
      <c r="K10" s="72">
        <v>1624</v>
      </c>
      <c r="L10" s="72">
        <v>124</v>
      </c>
      <c r="M10" s="72">
        <v>39</v>
      </c>
      <c r="N10" s="73">
        <f>SUM(B10:M10)</f>
        <v>2254</v>
      </c>
      <c r="O10" s="74">
        <v>0</v>
      </c>
      <c r="P10" s="75">
        <f>O10/N10</f>
        <v>0</v>
      </c>
    </row>
    <row r="11" spans="1:17">
      <c r="A11" s="2"/>
      <c r="B11" s="43"/>
      <c r="C11" s="43"/>
      <c r="D11" s="43"/>
      <c r="E11" s="43"/>
      <c r="F11" s="43"/>
      <c r="G11" s="43"/>
      <c r="H11" s="43"/>
      <c r="I11" s="43"/>
      <c r="J11" s="43"/>
      <c r="K11" s="43"/>
      <c r="L11" s="43"/>
      <c r="M11" s="43"/>
      <c r="N11" s="43"/>
      <c r="O11" s="2"/>
    </row>
    <row r="12" spans="1:17">
      <c r="A12" s="5"/>
      <c r="B12" s="6"/>
      <c r="C12" s="6"/>
      <c r="D12" s="6"/>
      <c r="E12" s="6"/>
      <c r="F12" s="6"/>
      <c r="G12" s="6"/>
      <c r="H12" s="6"/>
      <c r="I12" s="6"/>
      <c r="J12" s="6"/>
      <c r="K12" s="6"/>
      <c r="L12" s="6"/>
      <c r="M12" s="6"/>
      <c r="N12" s="6"/>
      <c r="O12" s="5"/>
      <c r="P12" s="6"/>
    </row>
    <row r="13" spans="1:17" ht="25.5">
      <c r="A13" s="58"/>
      <c r="B13" s="59">
        <v>40360</v>
      </c>
      <c r="C13" s="59">
        <v>40391</v>
      </c>
      <c r="D13" s="59">
        <v>6614787</v>
      </c>
      <c r="E13" s="59">
        <v>40452</v>
      </c>
      <c r="F13" s="59">
        <v>40483</v>
      </c>
      <c r="G13" s="59">
        <v>40513</v>
      </c>
      <c r="H13" s="59">
        <v>40544</v>
      </c>
      <c r="I13" s="59">
        <v>40575</v>
      </c>
      <c r="J13" s="59">
        <v>40603</v>
      </c>
      <c r="K13" s="59">
        <v>40634</v>
      </c>
      <c r="L13" s="59">
        <v>40664</v>
      </c>
      <c r="M13" s="59">
        <v>40695</v>
      </c>
      <c r="N13" s="60" t="s">
        <v>371</v>
      </c>
      <c r="O13" s="61" t="s">
        <v>27</v>
      </c>
      <c r="P13" s="61" t="s">
        <v>175</v>
      </c>
    </row>
    <row r="14" spans="1:17">
      <c r="A14" s="67" t="s">
        <v>295</v>
      </c>
      <c r="B14" s="68"/>
      <c r="C14" s="68"/>
      <c r="D14" s="68"/>
      <c r="E14" s="68"/>
      <c r="F14" s="68"/>
      <c r="G14" s="68"/>
      <c r="H14" s="68"/>
      <c r="I14" s="68"/>
      <c r="J14" s="68"/>
      <c r="K14" s="68"/>
      <c r="L14" s="68"/>
      <c r="M14" s="68"/>
      <c r="N14" s="68"/>
      <c r="O14" s="82"/>
      <c r="P14" s="43"/>
    </row>
    <row r="15" spans="1:17">
      <c r="A15" s="71" t="s">
        <v>118</v>
      </c>
      <c r="B15" s="24" t="s">
        <v>231</v>
      </c>
      <c r="C15" s="24" t="s">
        <v>231</v>
      </c>
      <c r="D15" s="24" t="s">
        <v>231</v>
      </c>
      <c r="E15" s="24" t="s">
        <v>231</v>
      </c>
      <c r="F15" s="24" t="s">
        <v>231</v>
      </c>
      <c r="G15" s="24" t="s">
        <v>231</v>
      </c>
      <c r="H15" s="24" t="s">
        <v>231</v>
      </c>
      <c r="I15" s="24" t="s">
        <v>231</v>
      </c>
      <c r="J15" s="24" t="s">
        <v>231</v>
      </c>
      <c r="K15" s="24" t="s">
        <v>231</v>
      </c>
      <c r="L15" s="20" t="s">
        <v>231</v>
      </c>
      <c r="M15" s="20" t="s">
        <v>231</v>
      </c>
      <c r="N15" s="73">
        <f>SUM(B15:M15)</f>
        <v>0</v>
      </c>
      <c r="O15" s="10"/>
    </row>
    <row r="16" spans="1:17">
      <c r="A16" s="71" t="s">
        <v>200</v>
      </c>
      <c r="B16" s="24" t="s">
        <v>231</v>
      </c>
      <c r="C16" s="24" t="s">
        <v>231</v>
      </c>
      <c r="D16" s="24" t="s">
        <v>231</v>
      </c>
      <c r="E16" s="24" t="s">
        <v>231</v>
      </c>
      <c r="F16" s="24" t="s">
        <v>231</v>
      </c>
      <c r="G16" s="24" t="s">
        <v>231</v>
      </c>
      <c r="H16" s="24" t="s">
        <v>231</v>
      </c>
      <c r="I16" s="24" t="s">
        <v>231</v>
      </c>
      <c r="J16" s="24" t="s">
        <v>231</v>
      </c>
      <c r="K16" s="24" t="s">
        <v>231</v>
      </c>
      <c r="L16" s="20" t="s">
        <v>231</v>
      </c>
      <c r="M16" s="20" t="s">
        <v>231</v>
      </c>
      <c r="N16" s="73">
        <f>SUM(B16:M16)</f>
        <v>0</v>
      </c>
      <c r="O16" s="74">
        <v>1000</v>
      </c>
      <c r="P16" s="75" t="s">
        <v>231</v>
      </c>
    </row>
    <row r="17" spans="1:16">
      <c r="A17" s="71" t="s">
        <v>133</v>
      </c>
      <c r="B17" s="24" t="s">
        <v>231</v>
      </c>
      <c r="C17" s="24" t="s">
        <v>231</v>
      </c>
      <c r="D17" s="24" t="s">
        <v>231</v>
      </c>
      <c r="E17" s="24" t="s">
        <v>231</v>
      </c>
      <c r="F17" s="24" t="s">
        <v>231</v>
      </c>
      <c r="G17" s="24" t="s">
        <v>231</v>
      </c>
      <c r="H17" s="24" t="s">
        <v>231</v>
      </c>
      <c r="I17" s="24" t="s">
        <v>231</v>
      </c>
      <c r="J17" s="24" t="s">
        <v>231</v>
      </c>
      <c r="K17" s="20" t="s">
        <v>231</v>
      </c>
      <c r="L17" s="20" t="s">
        <v>231</v>
      </c>
      <c r="M17" s="20" t="s">
        <v>231</v>
      </c>
      <c r="N17" s="73">
        <f>SUM(B17:M17)</f>
        <v>0</v>
      </c>
      <c r="O17" s="74" t="s">
        <v>15</v>
      </c>
      <c r="P17" s="75" t="s">
        <v>231</v>
      </c>
    </row>
    <row r="18" spans="1:16">
      <c r="A18" s="71" t="s">
        <v>402</v>
      </c>
      <c r="B18" s="24" t="s">
        <v>231</v>
      </c>
      <c r="C18" s="24" t="s">
        <v>231</v>
      </c>
      <c r="D18" s="24" t="s">
        <v>231</v>
      </c>
      <c r="E18" s="24" t="s">
        <v>231</v>
      </c>
      <c r="F18" s="24" t="s">
        <v>231</v>
      </c>
      <c r="G18" s="24" t="s">
        <v>231</v>
      </c>
      <c r="H18" s="24" t="s">
        <v>231</v>
      </c>
      <c r="I18" s="24" t="s">
        <v>231</v>
      </c>
      <c r="J18" s="24" t="s">
        <v>231</v>
      </c>
      <c r="K18" s="41" t="s">
        <v>231</v>
      </c>
      <c r="L18" s="20" t="s">
        <v>231</v>
      </c>
      <c r="M18" s="20" t="s">
        <v>231</v>
      </c>
      <c r="N18" s="73" t="s">
        <v>247</v>
      </c>
      <c r="O18" s="10"/>
    </row>
    <row r="19" spans="1:16">
      <c r="A19" s="2"/>
      <c r="B19" s="43"/>
      <c r="C19" s="43"/>
      <c r="D19" s="43"/>
      <c r="E19" s="43"/>
      <c r="F19" s="43"/>
      <c r="G19" s="43"/>
      <c r="H19" s="43"/>
      <c r="I19" s="43"/>
      <c r="J19" s="43"/>
      <c r="K19" s="43"/>
      <c r="L19" s="43"/>
      <c r="M19" s="43"/>
      <c r="N19" s="88"/>
      <c r="O19" s="2"/>
    </row>
    <row r="20" spans="1:16">
      <c r="A20" s="2"/>
      <c r="B20" s="49"/>
      <c r="C20" s="49"/>
      <c r="D20" s="49"/>
      <c r="E20" s="49"/>
      <c r="F20" s="49"/>
      <c r="G20" s="49"/>
      <c r="H20" s="49"/>
      <c r="I20" s="49"/>
      <c r="J20" s="49"/>
      <c r="K20" s="49"/>
      <c r="L20" s="49"/>
      <c r="M20" s="49"/>
      <c r="N20" s="142"/>
      <c r="O20" s="2"/>
    </row>
    <row r="21" spans="1:16">
      <c r="A21" s="176" t="s">
        <v>285</v>
      </c>
      <c r="B21" s="181"/>
      <c r="C21" s="181"/>
      <c r="D21" s="181"/>
      <c r="E21" s="49"/>
      <c r="F21" s="49"/>
      <c r="G21" s="49"/>
      <c r="H21" s="49"/>
      <c r="I21" s="49"/>
      <c r="J21" s="49"/>
      <c r="K21" s="49"/>
      <c r="L21" s="49"/>
      <c r="M21" s="49"/>
      <c r="N21" s="142"/>
      <c r="O21" s="2"/>
    </row>
    <row r="22" spans="1:16">
      <c r="A22" s="2"/>
      <c r="B22" s="49"/>
      <c r="C22" s="49"/>
      <c r="D22" s="49"/>
      <c r="E22" s="49"/>
      <c r="F22" s="49"/>
      <c r="G22" s="49"/>
      <c r="H22" s="49"/>
      <c r="I22" s="49"/>
      <c r="J22" s="49"/>
      <c r="K22" s="49"/>
      <c r="L22" s="49"/>
      <c r="M22" s="49"/>
      <c r="N22" s="142"/>
      <c r="O22" s="2"/>
    </row>
  </sheetData>
  <mergeCells count="1">
    <mergeCell ref="A21:D21"/>
  </mergeCells>
  <pageMargins left="0.75" right="0.75" top="1" bottom="1" header="0.5" footer="0.5"/>
  <pageSetup paperSize="9" orientation="portrait" horizontalDpi="300" verticalDpi="300"/>
  <headerFooter alignWithMargins="0"/>
</worksheet>
</file>

<file path=xl/worksheets/sheet23.xml><?xml version="1.0" encoding="utf-8"?>
<worksheet xmlns="http://schemas.openxmlformats.org/spreadsheetml/2006/main" xmlns:r="http://schemas.openxmlformats.org/officeDocument/2006/relationships">
  <dimension ref="A1:Q21"/>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2.7109375" customWidth="1"/>
    <col min="2" max="14" width="8.5703125" customWidth="1"/>
    <col min="15" max="15" width="10.5703125" customWidth="1"/>
    <col min="16" max="16" width="8.5703125" customWidth="1"/>
    <col min="17" max="17" width="9.140625" customWidth="1"/>
  </cols>
  <sheetData>
    <row r="1" spans="1:17" ht="20.25">
      <c r="A1" s="1" t="s">
        <v>73</v>
      </c>
      <c r="B1" s="2"/>
      <c r="C1" s="2"/>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row>
    <row r="4" spans="1:17">
      <c r="A4" s="2" t="s">
        <v>17</v>
      </c>
      <c r="B4" s="49" t="s">
        <v>151</v>
      </c>
    </row>
    <row r="5" spans="1:17">
      <c r="A5" s="5"/>
      <c r="B5" s="6"/>
      <c r="C5" s="6"/>
      <c r="D5" s="6"/>
      <c r="E5" s="6"/>
      <c r="F5" s="6"/>
      <c r="G5" s="6"/>
      <c r="H5" s="6"/>
      <c r="I5" s="6"/>
      <c r="J5" s="6"/>
      <c r="K5" s="6"/>
      <c r="L5" s="6"/>
      <c r="M5" s="6"/>
      <c r="N5" s="6"/>
      <c r="O5" s="6"/>
      <c r="P5" s="6"/>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67" t="s">
        <v>73</v>
      </c>
      <c r="B7" s="68"/>
      <c r="C7" s="68"/>
      <c r="D7" s="68"/>
      <c r="E7" s="68"/>
      <c r="F7" s="68"/>
      <c r="G7" s="68"/>
      <c r="H7" s="68"/>
      <c r="I7" s="68"/>
      <c r="J7" s="68"/>
      <c r="K7" s="68"/>
      <c r="L7" s="68"/>
      <c r="M7" s="68"/>
      <c r="N7" s="68"/>
      <c r="O7" s="43"/>
      <c r="P7" s="43"/>
    </row>
    <row r="8" spans="1:17">
      <c r="A8" s="71" t="s">
        <v>258</v>
      </c>
      <c r="B8" s="16">
        <v>31</v>
      </c>
      <c r="C8" s="16">
        <v>6</v>
      </c>
      <c r="D8" s="16">
        <v>36</v>
      </c>
      <c r="E8" s="16">
        <v>77</v>
      </c>
      <c r="F8" s="16">
        <v>67</v>
      </c>
      <c r="G8" s="16">
        <v>21</v>
      </c>
      <c r="H8" s="16">
        <v>21</v>
      </c>
      <c r="I8" s="16">
        <v>33</v>
      </c>
      <c r="J8" s="16">
        <v>26</v>
      </c>
      <c r="K8" s="16">
        <v>32</v>
      </c>
      <c r="L8" s="16">
        <v>24</v>
      </c>
      <c r="M8" s="16">
        <v>48</v>
      </c>
      <c r="N8" s="73">
        <f>SUM(B8:M8)</f>
        <v>422</v>
      </c>
      <c r="O8" s="74">
        <v>0</v>
      </c>
      <c r="P8" s="76" t="s">
        <v>231</v>
      </c>
    </row>
    <row r="9" spans="1:17">
      <c r="A9" s="71" t="s">
        <v>228</v>
      </c>
      <c r="B9" s="16">
        <v>37</v>
      </c>
      <c r="C9" s="16">
        <v>0</v>
      </c>
      <c r="D9" s="16">
        <v>12</v>
      </c>
      <c r="E9" s="16">
        <v>3</v>
      </c>
      <c r="F9" s="16">
        <v>7</v>
      </c>
      <c r="G9" s="16">
        <v>0</v>
      </c>
      <c r="H9" s="16">
        <v>5</v>
      </c>
      <c r="I9" s="16">
        <v>1</v>
      </c>
      <c r="J9" s="16">
        <v>0</v>
      </c>
      <c r="K9" s="16">
        <v>17</v>
      </c>
      <c r="L9" s="16">
        <v>10</v>
      </c>
      <c r="M9" s="16">
        <v>22</v>
      </c>
      <c r="N9" s="143">
        <f>SUM(B9:M9)</f>
        <v>114</v>
      </c>
      <c r="O9" s="74"/>
      <c r="P9" s="75"/>
    </row>
    <row r="10" spans="1:17">
      <c r="A10" s="2"/>
      <c r="B10" s="43"/>
      <c r="C10" s="43"/>
      <c r="D10" s="43"/>
      <c r="E10" s="43"/>
      <c r="F10" s="43"/>
      <c r="G10" s="43"/>
      <c r="H10" s="43"/>
      <c r="I10" s="43"/>
      <c r="J10" s="43"/>
      <c r="K10" s="43"/>
      <c r="L10" s="43"/>
      <c r="M10" s="43"/>
      <c r="N10" s="43"/>
    </row>
    <row r="11" spans="1:17">
      <c r="A11" s="2"/>
    </row>
    <row r="12" spans="1:17">
      <c r="A12" s="176" t="s">
        <v>72</v>
      </c>
      <c r="B12" s="178"/>
    </row>
    <row r="13" spans="1:17">
      <c r="A13" s="2"/>
      <c r="B13" s="2"/>
    </row>
    <row r="14" spans="1:17">
      <c r="A14" s="2"/>
    </row>
    <row r="15" spans="1:17">
      <c r="A15" s="2"/>
    </row>
    <row r="16" spans="1:17">
      <c r="A16" s="2"/>
      <c r="I16" s="135"/>
    </row>
    <row r="17" spans="1:9">
      <c r="A17" s="2"/>
      <c r="I17" s="136"/>
    </row>
    <row r="18" spans="1:9">
      <c r="A18" s="2"/>
      <c r="I18" s="136"/>
    </row>
    <row r="19" spans="1:9">
      <c r="A19" s="2"/>
      <c r="I19" s="136"/>
    </row>
    <row r="20" spans="1:9">
      <c r="A20" s="2"/>
      <c r="I20" s="136"/>
    </row>
    <row r="21" spans="1:9">
      <c r="A21" s="2"/>
    </row>
  </sheetData>
  <mergeCells count="1">
    <mergeCell ref="A12:B12"/>
  </mergeCells>
  <pageMargins left="0.75" right="0.75" top="1" bottom="1" header="0.5" footer="0.5"/>
  <pageSetup paperSize="9" orientation="portrait" horizontalDpi="300" verticalDpi="300"/>
  <headerFooter alignWithMargins="0"/>
</worksheet>
</file>

<file path=xl/worksheets/sheet24.xml><?xml version="1.0" encoding="utf-8"?>
<worksheet xmlns="http://schemas.openxmlformats.org/spreadsheetml/2006/main" xmlns:r="http://schemas.openxmlformats.org/officeDocument/2006/relationships">
  <dimension ref="A1:P28"/>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23.7109375" customWidth="1"/>
    <col min="2" max="2" width="8.28515625" customWidth="1"/>
    <col min="3" max="3" width="7.5703125" customWidth="1"/>
    <col min="4" max="4" width="7.85546875" customWidth="1"/>
    <col min="5" max="5" width="7" customWidth="1"/>
    <col min="6" max="9" width="7.140625" customWidth="1"/>
    <col min="10" max="10" width="7.5703125" customWidth="1"/>
    <col min="11" max="11" width="7.140625" customWidth="1"/>
    <col min="12" max="12" width="7.7109375" customWidth="1"/>
    <col min="13" max="13" width="7" customWidth="1"/>
    <col min="14" max="14" width="6.85546875" customWidth="1"/>
    <col min="15" max="15" width="11.28515625" customWidth="1"/>
    <col min="16" max="16" width="10.42578125" customWidth="1"/>
    <col min="17" max="20" width="17.140625" customWidth="1"/>
  </cols>
  <sheetData>
    <row r="1" spans="1:16" ht="18">
      <c r="A1" s="182" t="s">
        <v>178</v>
      </c>
      <c r="B1" s="192"/>
      <c r="C1" s="192"/>
    </row>
    <row r="2" spans="1:16" ht="18">
      <c r="A2" s="48" t="s">
        <v>279</v>
      </c>
      <c r="B2" s="139"/>
      <c r="C2" s="139"/>
    </row>
    <row r="4" spans="1:16">
      <c r="A4" s="2" t="s">
        <v>17</v>
      </c>
      <c r="B4" s="49" t="s">
        <v>252</v>
      </c>
    </row>
    <row r="5" spans="1:16">
      <c r="A5" s="6"/>
      <c r="B5" s="6"/>
      <c r="C5" s="6"/>
      <c r="D5" s="6"/>
      <c r="E5" s="6"/>
      <c r="F5" s="6"/>
      <c r="G5" s="6"/>
      <c r="H5" s="6"/>
      <c r="I5" s="6"/>
      <c r="J5" s="6"/>
      <c r="K5" s="6"/>
      <c r="L5" s="6"/>
      <c r="M5" s="6"/>
      <c r="N5" s="6"/>
      <c r="O5" s="6"/>
      <c r="P5" s="6"/>
    </row>
    <row r="6" spans="1:16"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170</v>
      </c>
      <c r="P6" s="61" t="s">
        <v>175</v>
      </c>
    </row>
    <row r="7" spans="1:16" ht="25.5">
      <c r="A7" s="52" t="s">
        <v>143</v>
      </c>
      <c r="B7" s="53"/>
      <c r="C7" s="53"/>
      <c r="D7" s="53"/>
      <c r="E7" s="53"/>
      <c r="F7" s="53"/>
      <c r="G7" s="53"/>
      <c r="H7" s="53"/>
      <c r="I7" s="53"/>
      <c r="J7" s="53"/>
      <c r="K7" s="53"/>
      <c r="L7" s="53"/>
      <c r="M7" s="53"/>
      <c r="N7" s="53"/>
      <c r="O7" s="193" t="s">
        <v>345</v>
      </c>
      <c r="P7" s="193"/>
    </row>
    <row r="8" spans="1:16">
      <c r="A8" s="54" t="s">
        <v>19</v>
      </c>
      <c r="B8" s="40">
        <v>3</v>
      </c>
      <c r="C8" s="40">
        <v>0</v>
      </c>
      <c r="D8" s="40">
        <v>2</v>
      </c>
      <c r="E8" s="40">
        <v>0</v>
      </c>
      <c r="F8" s="40">
        <v>1</v>
      </c>
      <c r="G8" s="40">
        <v>0</v>
      </c>
      <c r="H8" s="40">
        <v>0</v>
      </c>
      <c r="I8" s="40">
        <v>0</v>
      </c>
      <c r="J8" s="40">
        <v>0</v>
      </c>
      <c r="K8" s="40">
        <v>0</v>
      </c>
      <c r="L8" s="40">
        <v>6</v>
      </c>
      <c r="M8" s="40">
        <v>0</v>
      </c>
      <c r="N8" s="55">
        <f>SUM(B8:M8)</f>
        <v>12</v>
      </c>
      <c r="O8" s="144"/>
    </row>
    <row r="9" spans="1:16">
      <c r="A9" s="54" t="s">
        <v>257</v>
      </c>
      <c r="B9" s="40" t="s">
        <v>231</v>
      </c>
      <c r="C9" s="40" t="s">
        <v>231</v>
      </c>
      <c r="D9" s="40" t="s">
        <v>231</v>
      </c>
      <c r="E9" s="40" t="s">
        <v>231</v>
      </c>
      <c r="F9" s="40" t="s">
        <v>231</v>
      </c>
      <c r="G9" s="40" t="s">
        <v>231</v>
      </c>
      <c r="H9" s="40" t="s">
        <v>231</v>
      </c>
      <c r="I9" s="40" t="s">
        <v>231</v>
      </c>
      <c r="J9" s="40" t="s">
        <v>231</v>
      </c>
      <c r="K9" s="40" t="s">
        <v>231</v>
      </c>
      <c r="L9" s="40" t="s">
        <v>231</v>
      </c>
      <c r="M9" s="40" t="s">
        <v>231</v>
      </c>
      <c r="N9" s="55" t="s">
        <v>231</v>
      </c>
      <c r="O9" s="18"/>
    </row>
    <row r="10" spans="1:16">
      <c r="B10" s="43"/>
      <c r="C10" s="43"/>
      <c r="D10" s="43"/>
      <c r="E10" s="43"/>
      <c r="F10" s="43"/>
      <c r="G10" s="43"/>
      <c r="H10" s="43"/>
      <c r="I10" s="43"/>
      <c r="J10" s="43"/>
      <c r="K10" s="43"/>
      <c r="L10" s="43"/>
      <c r="M10" s="43"/>
      <c r="N10" s="43"/>
    </row>
    <row r="11" spans="1:16">
      <c r="A11" s="6"/>
      <c r="B11" s="6"/>
      <c r="C11" s="6"/>
      <c r="D11" s="6"/>
      <c r="E11" s="6"/>
      <c r="F11" s="6"/>
      <c r="G11" s="6"/>
      <c r="H11" s="6"/>
      <c r="I11" s="6"/>
      <c r="J11" s="6"/>
      <c r="K11" s="6"/>
      <c r="L11" s="6"/>
      <c r="M11" s="6"/>
      <c r="N11" s="6"/>
      <c r="O11" s="6"/>
      <c r="P11" s="6"/>
    </row>
    <row r="12" spans="1:16" ht="25.5">
      <c r="A12" s="58"/>
      <c r="B12" s="59">
        <v>40360</v>
      </c>
      <c r="C12" s="59">
        <v>40391</v>
      </c>
      <c r="D12" s="59">
        <v>6614787</v>
      </c>
      <c r="E12" s="59">
        <v>40452</v>
      </c>
      <c r="F12" s="59">
        <v>40483</v>
      </c>
      <c r="G12" s="59">
        <v>40513</v>
      </c>
      <c r="H12" s="59">
        <v>40544</v>
      </c>
      <c r="I12" s="59">
        <v>40575</v>
      </c>
      <c r="J12" s="59">
        <v>40603</v>
      </c>
      <c r="K12" s="59">
        <v>40634</v>
      </c>
      <c r="L12" s="59">
        <v>40664</v>
      </c>
      <c r="M12" s="59">
        <v>40695</v>
      </c>
      <c r="N12" s="60" t="s">
        <v>371</v>
      </c>
      <c r="O12" s="61" t="s">
        <v>170</v>
      </c>
      <c r="P12" s="61" t="s">
        <v>175</v>
      </c>
    </row>
    <row r="13" spans="1:16">
      <c r="A13" s="52" t="s">
        <v>225</v>
      </c>
      <c r="B13" s="53"/>
      <c r="C13" s="53"/>
      <c r="D13" s="53"/>
      <c r="E13" s="53"/>
      <c r="F13" s="53"/>
      <c r="G13" s="53"/>
      <c r="H13" s="53"/>
      <c r="I13" s="53"/>
      <c r="J13" s="53"/>
      <c r="K13" s="53"/>
      <c r="L13" s="53"/>
      <c r="M13" s="53"/>
      <c r="N13" s="53"/>
      <c r="O13" s="193" t="s">
        <v>345</v>
      </c>
      <c r="P13" s="193"/>
    </row>
    <row r="14" spans="1:16">
      <c r="A14" s="54" t="s">
        <v>19</v>
      </c>
      <c r="B14" s="40">
        <v>0</v>
      </c>
      <c r="C14" s="40">
        <v>12</v>
      </c>
      <c r="D14" s="40">
        <v>0</v>
      </c>
      <c r="E14" s="40">
        <v>0</v>
      </c>
      <c r="F14" s="40">
        <v>0</v>
      </c>
      <c r="G14" s="40">
        <v>1</v>
      </c>
      <c r="H14" s="40">
        <v>0</v>
      </c>
      <c r="I14" s="40">
        <v>15</v>
      </c>
      <c r="J14" s="40">
        <v>0</v>
      </c>
      <c r="K14" s="40">
        <v>0</v>
      </c>
      <c r="L14" s="40">
        <v>2</v>
      </c>
      <c r="M14" s="40">
        <v>0</v>
      </c>
      <c r="N14" s="55">
        <f>SUM(B14:M14)</f>
        <v>30</v>
      </c>
      <c r="O14" s="144"/>
    </row>
    <row r="15" spans="1:16">
      <c r="A15" s="54" t="s">
        <v>257</v>
      </c>
      <c r="B15" s="40" t="s">
        <v>231</v>
      </c>
      <c r="C15" s="40" t="s">
        <v>231</v>
      </c>
      <c r="D15" s="40" t="s">
        <v>231</v>
      </c>
      <c r="E15" s="40" t="s">
        <v>231</v>
      </c>
      <c r="F15" s="40" t="s">
        <v>231</v>
      </c>
      <c r="G15" s="40" t="s">
        <v>231</v>
      </c>
      <c r="H15" s="40" t="s">
        <v>231</v>
      </c>
      <c r="I15" s="40" t="s">
        <v>231</v>
      </c>
      <c r="J15" s="40" t="s">
        <v>231</v>
      </c>
      <c r="K15" s="40" t="s">
        <v>231</v>
      </c>
      <c r="L15" s="40" t="s">
        <v>231</v>
      </c>
      <c r="M15" s="40" t="s">
        <v>231</v>
      </c>
      <c r="N15" s="145" t="s">
        <v>231</v>
      </c>
      <c r="O15" s="18"/>
    </row>
    <row r="16" spans="1:16">
      <c r="B16" s="43"/>
      <c r="C16" s="43"/>
      <c r="D16" s="43"/>
      <c r="E16" s="43"/>
      <c r="F16" s="43"/>
      <c r="G16" s="43"/>
      <c r="H16" s="43"/>
      <c r="I16" s="43"/>
      <c r="J16" s="43"/>
      <c r="K16" s="43"/>
      <c r="L16" s="43"/>
      <c r="M16" s="43"/>
      <c r="N16" s="43"/>
    </row>
    <row r="17" spans="1:16">
      <c r="A17" s="6"/>
      <c r="B17" s="6"/>
      <c r="C17" s="6"/>
      <c r="D17" s="6"/>
      <c r="E17" s="6"/>
      <c r="F17" s="6"/>
      <c r="G17" s="6"/>
      <c r="H17" s="6"/>
      <c r="I17" s="6"/>
      <c r="J17" s="6"/>
      <c r="K17" s="6"/>
      <c r="L17" s="6"/>
      <c r="M17" s="6"/>
      <c r="N17" s="6"/>
      <c r="O17" s="6"/>
      <c r="P17" s="6"/>
    </row>
    <row r="18" spans="1:16" ht="25.5">
      <c r="A18" s="58"/>
      <c r="B18" s="59">
        <v>40360</v>
      </c>
      <c r="C18" s="59">
        <v>40391</v>
      </c>
      <c r="D18" s="59">
        <v>6614787</v>
      </c>
      <c r="E18" s="59">
        <v>40452</v>
      </c>
      <c r="F18" s="59">
        <v>40483</v>
      </c>
      <c r="G18" s="59">
        <v>40513</v>
      </c>
      <c r="H18" s="59">
        <v>40544</v>
      </c>
      <c r="I18" s="59">
        <v>40575</v>
      </c>
      <c r="J18" s="59">
        <v>40603</v>
      </c>
      <c r="K18" s="59">
        <v>40634</v>
      </c>
      <c r="L18" s="59">
        <v>40664</v>
      </c>
      <c r="M18" s="59">
        <v>40695</v>
      </c>
      <c r="N18" s="60" t="s">
        <v>371</v>
      </c>
      <c r="O18" s="61" t="s">
        <v>27</v>
      </c>
      <c r="P18" s="61" t="s">
        <v>175</v>
      </c>
    </row>
    <row r="19" spans="1:16" ht="25.5">
      <c r="A19" s="52" t="s">
        <v>20</v>
      </c>
      <c r="B19" s="53"/>
      <c r="C19" s="53"/>
      <c r="D19" s="53"/>
      <c r="E19" s="53"/>
      <c r="F19" s="53"/>
      <c r="G19" s="53"/>
      <c r="H19" s="53"/>
      <c r="I19" s="53"/>
      <c r="J19" s="53"/>
      <c r="K19" s="53"/>
      <c r="L19" s="53"/>
      <c r="M19" s="53"/>
      <c r="N19" s="53"/>
      <c r="O19" s="193" t="s">
        <v>345</v>
      </c>
      <c r="P19" s="193"/>
    </row>
    <row r="20" spans="1:16">
      <c r="A20" s="54" t="s">
        <v>19</v>
      </c>
      <c r="B20" s="40">
        <v>1</v>
      </c>
      <c r="C20" s="40">
        <v>0</v>
      </c>
      <c r="D20" s="40">
        <v>32</v>
      </c>
      <c r="E20" s="40">
        <v>6</v>
      </c>
      <c r="F20" s="40">
        <v>0</v>
      </c>
      <c r="G20" s="40">
        <v>0</v>
      </c>
      <c r="H20" s="40">
        <v>0</v>
      </c>
      <c r="I20" s="40">
        <v>29</v>
      </c>
      <c r="J20" s="40">
        <v>11</v>
      </c>
      <c r="K20" s="40">
        <v>9</v>
      </c>
      <c r="L20" s="40">
        <v>3</v>
      </c>
      <c r="M20" s="40">
        <v>14</v>
      </c>
      <c r="N20" s="55">
        <f>SUM(B20:M20)</f>
        <v>105</v>
      </c>
      <c r="O20" s="146"/>
    </row>
    <row r="21" spans="1:16">
      <c r="A21" s="54" t="s">
        <v>257</v>
      </c>
      <c r="B21" s="40" t="s">
        <v>231</v>
      </c>
      <c r="C21" s="40" t="s">
        <v>231</v>
      </c>
      <c r="D21" s="40" t="s">
        <v>231</v>
      </c>
      <c r="E21" s="40" t="s">
        <v>231</v>
      </c>
      <c r="F21" s="40" t="s">
        <v>231</v>
      </c>
      <c r="G21" s="40" t="s">
        <v>231</v>
      </c>
      <c r="H21" s="40" t="s">
        <v>231</v>
      </c>
      <c r="I21" s="40" t="s">
        <v>231</v>
      </c>
      <c r="J21" s="40" t="s">
        <v>231</v>
      </c>
      <c r="K21" s="40" t="s">
        <v>231</v>
      </c>
      <c r="L21" s="40" t="s">
        <v>231</v>
      </c>
      <c r="M21" s="40" t="s">
        <v>231</v>
      </c>
      <c r="N21" s="145" t="s">
        <v>231</v>
      </c>
      <c r="O21" s="56"/>
    </row>
    <row r="22" spans="1:16">
      <c r="B22" s="43"/>
      <c r="C22" s="43"/>
      <c r="D22" s="43"/>
      <c r="E22" s="43"/>
      <c r="F22" s="43"/>
      <c r="G22" s="43"/>
      <c r="H22" s="43"/>
      <c r="I22" s="43"/>
      <c r="J22" s="43"/>
      <c r="K22" s="43"/>
      <c r="L22" s="43"/>
      <c r="M22" s="43"/>
      <c r="N22" s="43"/>
    </row>
    <row r="23" spans="1:16">
      <c r="A23" s="6"/>
      <c r="B23" s="6"/>
      <c r="C23" s="6"/>
      <c r="D23" s="6"/>
      <c r="E23" s="6"/>
      <c r="F23" s="6"/>
      <c r="G23" s="6"/>
      <c r="H23" s="6"/>
      <c r="I23" s="6"/>
      <c r="J23" s="6"/>
      <c r="K23" s="6"/>
      <c r="L23" s="6"/>
      <c r="M23" s="6"/>
      <c r="N23" s="6"/>
      <c r="O23" s="6"/>
      <c r="P23" s="6"/>
    </row>
    <row r="24" spans="1:16" ht="25.5">
      <c r="A24" s="58"/>
      <c r="B24" s="59">
        <v>40360</v>
      </c>
      <c r="C24" s="59">
        <v>40391</v>
      </c>
      <c r="D24" s="59">
        <v>6614787</v>
      </c>
      <c r="E24" s="59">
        <v>40452</v>
      </c>
      <c r="F24" s="59">
        <v>40483</v>
      </c>
      <c r="G24" s="59">
        <v>40513</v>
      </c>
      <c r="H24" s="59">
        <v>40544</v>
      </c>
      <c r="I24" s="59">
        <v>40575</v>
      </c>
      <c r="J24" s="59">
        <v>40603</v>
      </c>
      <c r="K24" s="59">
        <v>40634</v>
      </c>
      <c r="L24" s="59">
        <v>40664</v>
      </c>
      <c r="M24" s="59">
        <v>40695</v>
      </c>
      <c r="N24" s="60" t="s">
        <v>371</v>
      </c>
      <c r="O24" s="61" t="s">
        <v>27</v>
      </c>
      <c r="P24" s="61" t="s">
        <v>175</v>
      </c>
    </row>
    <row r="25" spans="1:16" ht="25.5">
      <c r="A25" s="52" t="s">
        <v>282</v>
      </c>
      <c r="B25" s="53"/>
      <c r="C25" s="53"/>
      <c r="D25" s="53"/>
      <c r="E25" s="53"/>
      <c r="F25" s="53"/>
      <c r="G25" s="53"/>
      <c r="H25" s="53"/>
      <c r="I25" s="53"/>
      <c r="J25" s="53"/>
      <c r="K25" s="53"/>
      <c r="L25" s="53"/>
      <c r="M25" s="53"/>
      <c r="N25" s="53"/>
      <c r="O25" s="193" t="s">
        <v>345</v>
      </c>
      <c r="P25" s="193"/>
    </row>
    <row r="26" spans="1:16">
      <c r="A26" s="54" t="s">
        <v>19</v>
      </c>
      <c r="B26" s="40">
        <v>4</v>
      </c>
      <c r="C26" s="40">
        <v>12</v>
      </c>
      <c r="D26" s="40">
        <v>34</v>
      </c>
      <c r="E26" s="40">
        <v>6</v>
      </c>
      <c r="F26" s="40">
        <v>1</v>
      </c>
      <c r="G26" s="40">
        <v>6</v>
      </c>
      <c r="H26" s="40">
        <v>0</v>
      </c>
      <c r="I26" s="40">
        <v>239</v>
      </c>
      <c r="J26" s="40">
        <v>253</v>
      </c>
      <c r="K26" s="40">
        <v>14</v>
      </c>
      <c r="L26" s="40">
        <v>11</v>
      </c>
      <c r="M26" s="40">
        <v>19</v>
      </c>
      <c r="N26" s="55">
        <f>SUM(B26:M26)</f>
        <v>599</v>
      </c>
      <c r="O26" s="146"/>
    </row>
    <row r="27" spans="1:16">
      <c r="A27" s="54" t="s">
        <v>257</v>
      </c>
      <c r="B27" s="40">
        <v>20</v>
      </c>
      <c r="C27" s="40">
        <v>13</v>
      </c>
      <c r="D27" s="40">
        <v>45</v>
      </c>
      <c r="E27" s="40">
        <v>9</v>
      </c>
      <c r="F27" s="40">
        <v>42</v>
      </c>
      <c r="G27" s="40">
        <v>22</v>
      </c>
      <c r="H27" s="40">
        <v>6</v>
      </c>
      <c r="I27" s="40">
        <v>127</v>
      </c>
      <c r="J27" s="40">
        <v>247</v>
      </c>
      <c r="K27" s="40">
        <v>33</v>
      </c>
      <c r="L27" s="40">
        <v>18</v>
      </c>
      <c r="M27" s="40">
        <v>21</v>
      </c>
      <c r="N27" s="55">
        <f>SUM(B27:M27)</f>
        <v>603</v>
      </c>
      <c r="O27" s="56"/>
    </row>
    <row r="28" spans="1:16">
      <c r="B28" s="43"/>
      <c r="C28" s="43"/>
      <c r="D28" s="43"/>
      <c r="E28" s="43"/>
      <c r="F28" s="43"/>
      <c r="G28" s="43"/>
      <c r="H28" s="43"/>
      <c r="I28" s="43"/>
      <c r="J28" s="43"/>
      <c r="K28" s="43"/>
      <c r="L28" s="43"/>
      <c r="M28" s="43"/>
      <c r="N28" s="43"/>
    </row>
  </sheetData>
  <mergeCells count="5">
    <mergeCell ref="A1:C1"/>
    <mergeCell ref="O7:P7"/>
    <mergeCell ref="O13:P13"/>
    <mergeCell ref="O19:P19"/>
    <mergeCell ref="O25:P25"/>
  </mergeCells>
  <pageMargins left="0.75" right="0.75" top="1" bottom="1" header="0.5" footer="0.5"/>
  <pageSetup paperSize="9"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dimension ref="A1:Q47"/>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4.85546875" customWidth="1"/>
    <col min="2" max="14" width="8.5703125" customWidth="1"/>
    <col min="15" max="15" width="14.42578125" customWidth="1"/>
    <col min="16" max="16" width="11.85546875" customWidth="1"/>
    <col min="17" max="17" width="9.140625" customWidth="1"/>
  </cols>
  <sheetData>
    <row r="1" spans="1:17" ht="20.25">
      <c r="A1" s="1" t="s">
        <v>344</v>
      </c>
      <c r="B1" s="2"/>
      <c r="C1" s="2"/>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84"/>
      <c r="B3" s="2"/>
      <c r="C3" s="2"/>
      <c r="D3" s="2"/>
      <c r="E3" s="2"/>
      <c r="F3" s="2"/>
      <c r="G3" s="2"/>
      <c r="H3" s="2"/>
      <c r="I3" s="2"/>
      <c r="J3" s="2"/>
      <c r="K3" s="2"/>
      <c r="L3" s="2"/>
      <c r="M3" s="2"/>
      <c r="N3" s="2"/>
      <c r="O3" s="2"/>
      <c r="P3" s="2"/>
    </row>
    <row r="4" spans="1:17">
      <c r="A4" s="2" t="s">
        <v>17</v>
      </c>
      <c r="B4" s="2" t="s">
        <v>242</v>
      </c>
      <c r="C4" s="2"/>
      <c r="D4" s="2"/>
      <c r="E4" s="2"/>
      <c r="F4" s="2"/>
      <c r="G4" s="2"/>
      <c r="H4" s="2"/>
      <c r="I4" s="2"/>
      <c r="J4" s="2"/>
      <c r="K4" s="2"/>
      <c r="L4" s="2"/>
      <c r="M4" s="2"/>
      <c r="N4" s="2"/>
      <c r="O4" s="2"/>
      <c r="P4" s="2"/>
    </row>
    <row r="5" spans="1:17">
      <c r="A5" s="5"/>
      <c r="B5" s="6"/>
      <c r="C5" s="6"/>
      <c r="D5" s="6"/>
      <c r="E5" s="6"/>
      <c r="F5" s="6"/>
      <c r="G5" s="6"/>
      <c r="H5" s="6"/>
      <c r="I5" s="6"/>
      <c r="J5" s="6"/>
      <c r="K5" s="6"/>
      <c r="L5" s="6"/>
      <c r="M5" s="6"/>
      <c r="N5" s="6"/>
      <c r="O5" s="91"/>
      <c r="P5" s="5"/>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row>
    <row r="7" spans="1:17">
      <c r="A7" s="67" t="s">
        <v>217</v>
      </c>
      <c r="B7" s="68"/>
      <c r="C7" s="68"/>
      <c r="D7" s="68"/>
      <c r="E7" s="68"/>
      <c r="F7" s="68"/>
      <c r="G7" s="68"/>
      <c r="H7" s="68"/>
      <c r="I7" s="68"/>
      <c r="J7" s="68"/>
      <c r="K7" s="68"/>
      <c r="L7" s="68"/>
      <c r="M7" s="68"/>
      <c r="N7" s="68"/>
      <c r="O7" s="82"/>
      <c r="P7" s="82"/>
    </row>
    <row r="8" spans="1:17">
      <c r="A8" s="71" t="s">
        <v>354</v>
      </c>
      <c r="B8" s="16">
        <v>0</v>
      </c>
      <c r="C8" s="16">
        <v>0</v>
      </c>
      <c r="D8" s="16">
        <v>1</v>
      </c>
      <c r="E8" s="16">
        <v>0</v>
      </c>
      <c r="F8" s="16">
        <v>0</v>
      </c>
      <c r="G8" s="16">
        <v>12</v>
      </c>
      <c r="H8" s="16" t="s">
        <v>231</v>
      </c>
      <c r="I8" s="16" t="s">
        <v>231</v>
      </c>
      <c r="J8" s="16">
        <v>4</v>
      </c>
      <c r="K8" s="16">
        <v>0</v>
      </c>
      <c r="L8" s="16">
        <v>0</v>
      </c>
      <c r="M8" s="16">
        <v>0</v>
      </c>
      <c r="N8" s="129">
        <f>SUM(B8:M8)</f>
        <v>17</v>
      </c>
      <c r="O8" s="74" t="s">
        <v>231</v>
      </c>
      <c r="P8" s="2" t="s">
        <v>231</v>
      </c>
    </row>
    <row r="9" spans="1:17">
      <c r="A9" s="71" t="s">
        <v>21</v>
      </c>
      <c r="B9" s="16">
        <v>0</v>
      </c>
      <c r="C9" s="16">
        <v>0</v>
      </c>
      <c r="D9" s="16">
        <v>1</v>
      </c>
      <c r="E9" s="16">
        <v>0</v>
      </c>
      <c r="F9" s="16">
        <v>1</v>
      </c>
      <c r="G9" s="16">
        <v>3</v>
      </c>
      <c r="H9" s="19" t="s">
        <v>231</v>
      </c>
      <c r="I9" s="19" t="s">
        <v>231</v>
      </c>
      <c r="J9" s="39">
        <v>2</v>
      </c>
      <c r="K9" s="39">
        <v>0</v>
      </c>
      <c r="L9" s="39">
        <v>0</v>
      </c>
      <c r="M9" s="39">
        <v>0</v>
      </c>
      <c r="N9" s="129">
        <f>SUM(B9:M9)</f>
        <v>7</v>
      </c>
      <c r="O9" s="74"/>
      <c r="P9" s="3"/>
    </row>
    <row r="10" spans="1:17">
      <c r="A10" s="71" t="s">
        <v>228</v>
      </c>
      <c r="B10" s="39">
        <v>0</v>
      </c>
      <c r="C10" s="39">
        <v>0</v>
      </c>
      <c r="D10" s="39">
        <v>0</v>
      </c>
      <c r="E10" s="39">
        <v>0</v>
      </c>
      <c r="F10" s="39">
        <v>0</v>
      </c>
      <c r="G10" s="39">
        <v>0</v>
      </c>
      <c r="H10" s="39">
        <v>0</v>
      </c>
      <c r="I10" s="39">
        <v>0</v>
      </c>
      <c r="J10" s="39">
        <v>0</v>
      </c>
      <c r="K10" s="39">
        <v>0</v>
      </c>
      <c r="L10" s="39">
        <v>0</v>
      </c>
      <c r="M10" s="39">
        <v>0</v>
      </c>
      <c r="N10" s="129">
        <f>SUM(B10:M10)</f>
        <v>0</v>
      </c>
      <c r="O10" s="74"/>
      <c r="P10" s="2"/>
    </row>
    <row r="11" spans="1:17">
      <c r="A11" s="2"/>
      <c r="B11" s="43"/>
      <c r="C11" s="43"/>
      <c r="D11" s="43"/>
      <c r="E11" s="43"/>
      <c r="F11" s="43"/>
      <c r="G11" s="43"/>
      <c r="H11" s="43"/>
      <c r="I11" s="43"/>
      <c r="J11" s="43"/>
      <c r="K11" s="43"/>
      <c r="L11" s="43"/>
      <c r="M11" s="43"/>
      <c r="N11" s="43"/>
      <c r="O11" s="75"/>
      <c r="P11" s="2"/>
    </row>
    <row r="12" spans="1:17">
      <c r="A12" s="5"/>
      <c r="B12" s="6"/>
      <c r="C12" s="6"/>
      <c r="D12" s="6"/>
      <c r="E12" s="6"/>
      <c r="F12" s="6"/>
      <c r="G12" s="6"/>
      <c r="H12" s="6"/>
      <c r="I12" s="6"/>
      <c r="J12" s="6"/>
      <c r="K12" s="6"/>
      <c r="L12" s="6"/>
      <c r="M12" s="6"/>
      <c r="N12" s="6"/>
      <c r="O12" s="91"/>
      <c r="P12" s="5"/>
    </row>
    <row r="13" spans="1:17" ht="25.5">
      <c r="A13" s="58"/>
      <c r="B13" s="59">
        <v>40360</v>
      </c>
      <c r="C13" s="59">
        <v>40391</v>
      </c>
      <c r="D13" s="59">
        <v>6614787</v>
      </c>
      <c r="E13" s="59">
        <v>40452</v>
      </c>
      <c r="F13" s="59">
        <v>40483</v>
      </c>
      <c r="G13" s="59">
        <v>40513</v>
      </c>
      <c r="H13" s="59">
        <v>40544</v>
      </c>
      <c r="I13" s="59">
        <v>40575</v>
      </c>
      <c r="J13" s="59">
        <v>40603</v>
      </c>
      <c r="K13" s="59">
        <v>40634</v>
      </c>
      <c r="L13" s="59">
        <v>40664</v>
      </c>
      <c r="M13" s="59">
        <v>40695</v>
      </c>
      <c r="N13" s="60" t="s">
        <v>371</v>
      </c>
      <c r="O13" s="61" t="s">
        <v>27</v>
      </c>
      <c r="P13" s="61" t="s">
        <v>175</v>
      </c>
    </row>
    <row r="14" spans="1:17">
      <c r="A14" s="67" t="s">
        <v>115</v>
      </c>
      <c r="B14" s="68"/>
      <c r="C14" s="68"/>
      <c r="D14" s="68"/>
      <c r="E14" s="68"/>
      <c r="F14" s="68"/>
      <c r="G14" s="68"/>
      <c r="H14" s="68"/>
      <c r="I14" s="68"/>
      <c r="J14" s="68"/>
      <c r="K14" s="68"/>
      <c r="L14" s="68"/>
      <c r="M14" s="68"/>
      <c r="N14" s="68"/>
      <c r="O14" s="82"/>
      <c r="P14" s="82"/>
    </row>
    <row r="15" spans="1:17">
      <c r="A15" s="71" t="s">
        <v>354</v>
      </c>
      <c r="B15" s="20" t="s">
        <v>231</v>
      </c>
      <c r="C15" s="16" t="s">
        <v>231</v>
      </c>
      <c r="D15" s="16" t="s">
        <v>231</v>
      </c>
      <c r="E15" s="16" t="s">
        <v>231</v>
      </c>
      <c r="F15" s="16" t="s">
        <v>231</v>
      </c>
      <c r="G15" s="16" t="s">
        <v>231</v>
      </c>
      <c r="H15" s="16" t="s">
        <v>231</v>
      </c>
      <c r="I15" s="16" t="s">
        <v>231</v>
      </c>
      <c r="J15" s="16" t="s">
        <v>231</v>
      </c>
      <c r="K15" s="16" t="s">
        <v>231</v>
      </c>
      <c r="L15" s="16" t="s">
        <v>231</v>
      </c>
      <c r="M15" s="16" t="s">
        <v>231</v>
      </c>
      <c r="N15" s="129">
        <f>SUM(B15:M15)</f>
        <v>0</v>
      </c>
      <c r="O15" s="74" t="s">
        <v>231</v>
      </c>
      <c r="P15" s="2" t="s">
        <v>231</v>
      </c>
    </row>
    <row r="16" spans="1:17">
      <c r="A16" s="71" t="s">
        <v>21</v>
      </c>
      <c r="B16" s="20" t="s">
        <v>231</v>
      </c>
      <c r="C16" s="16" t="s">
        <v>231</v>
      </c>
      <c r="D16" s="16" t="s">
        <v>231</v>
      </c>
      <c r="E16" s="16" t="s">
        <v>231</v>
      </c>
      <c r="F16" s="16" t="s">
        <v>231</v>
      </c>
      <c r="G16" s="16" t="s">
        <v>231</v>
      </c>
      <c r="H16" s="19" t="s">
        <v>231</v>
      </c>
      <c r="I16" s="19" t="s">
        <v>231</v>
      </c>
      <c r="J16" s="19" t="s">
        <v>231</v>
      </c>
      <c r="K16" s="19" t="s">
        <v>231</v>
      </c>
      <c r="L16" s="19" t="s">
        <v>231</v>
      </c>
      <c r="M16" s="19" t="s">
        <v>231</v>
      </c>
      <c r="N16" s="129">
        <f>SUM(B16:M16)</f>
        <v>0</v>
      </c>
      <c r="O16" s="74"/>
      <c r="P16" s="3"/>
    </row>
    <row r="17" spans="1:17">
      <c r="A17" s="71" t="s">
        <v>228</v>
      </c>
      <c r="B17" s="19" t="s">
        <v>231</v>
      </c>
      <c r="C17" s="19" t="s">
        <v>231</v>
      </c>
      <c r="D17" s="19" t="s">
        <v>231</v>
      </c>
      <c r="E17" s="19" t="s">
        <v>231</v>
      </c>
      <c r="F17" s="19" t="s">
        <v>231</v>
      </c>
      <c r="G17" s="19" t="s">
        <v>231</v>
      </c>
      <c r="H17" s="19" t="s">
        <v>231</v>
      </c>
      <c r="I17" s="19" t="s">
        <v>231</v>
      </c>
      <c r="J17" s="19" t="s">
        <v>231</v>
      </c>
      <c r="K17" s="19" t="s">
        <v>231</v>
      </c>
      <c r="L17" s="19" t="s">
        <v>231</v>
      </c>
      <c r="M17" s="19" t="s">
        <v>231</v>
      </c>
      <c r="N17" s="129">
        <f>SUM(B17:M17)</f>
        <v>0</v>
      </c>
      <c r="O17" s="74"/>
      <c r="P17" s="2"/>
    </row>
    <row r="18" spans="1:17">
      <c r="A18" s="2"/>
      <c r="B18" s="43"/>
      <c r="C18" s="43"/>
      <c r="D18" s="43"/>
      <c r="E18" s="43"/>
      <c r="F18" s="43"/>
      <c r="G18" s="43"/>
      <c r="H18" s="43"/>
      <c r="I18" s="43"/>
      <c r="J18" s="43"/>
      <c r="K18" s="43"/>
      <c r="L18" s="43"/>
      <c r="M18" s="43"/>
      <c r="N18" s="43"/>
      <c r="O18" s="75"/>
      <c r="P18" s="2"/>
    </row>
    <row r="19" spans="1:17">
      <c r="A19" s="5"/>
      <c r="B19" s="6"/>
      <c r="C19" s="6"/>
      <c r="D19" s="6"/>
      <c r="E19" s="6"/>
      <c r="F19" s="6"/>
      <c r="G19" s="6"/>
      <c r="H19" s="6"/>
      <c r="I19" s="6"/>
      <c r="J19" s="6"/>
      <c r="K19" s="6"/>
      <c r="L19" s="6"/>
      <c r="M19" s="6"/>
      <c r="N19" s="6"/>
      <c r="O19" s="91"/>
      <c r="P19" s="5"/>
    </row>
    <row r="20" spans="1:17" ht="25.5">
      <c r="A20" s="58"/>
      <c r="B20" s="59">
        <v>40360</v>
      </c>
      <c r="C20" s="59">
        <v>40391</v>
      </c>
      <c r="D20" s="59">
        <v>6614787</v>
      </c>
      <c r="E20" s="59">
        <v>40452</v>
      </c>
      <c r="F20" s="59">
        <v>40483</v>
      </c>
      <c r="G20" s="59">
        <v>40513</v>
      </c>
      <c r="H20" s="59">
        <v>40544</v>
      </c>
      <c r="I20" s="59">
        <v>40575</v>
      </c>
      <c r="J20" s="59">
        <v>40603</v>
      </c>
      <c r="K20" s="59">
        <v>40634</v>
      </c>
      <c r="L20" s="59">
        <v>40664</v>
      </c>
      <c r="M20" s="59">
        <v>40695</v>
      </c>
      <c r="N20" s="60" t="s">
        <v>371</v>
      </c>
      <c r="O20" s="61" t="s">
        <v>27</v>
      </c>
      <c r="P20" s="61" t="s">
        <v>175</v>
      </c>
      <c r="Q20" s="2"/>
    </row>
    <row r="21" spans="1:17">
      <c r="A21" s="67" t="s">
        <v>389</v>
      </c>
      <c r="B21" s="68"/>
      <c r="C21" s="68"/>
      <c r="D21" s="68"/>
      <c r="E21" s="68"/>
      <c r="F21" s="68"/>
      <c r="G21" s="68"/>
      <c r="H21" s="68"/>
      <c r="I21" s="68"/>
      <c r="J21" s="68"/>
      <c r="K21" s="68"/>
      <c r="L21" s="68"/>
      <c r="M21" s="68"/>
      <c r="N21" s="68"/>
      <c r="O21" s="70" t="s">
        <v>327</v>
      </c>
      <c r="P21" s="82"/>
    </row>
    <row r="22" spans="1:17">
      <c r="A22" s="71" t="s">
        <v>354</v>
      </c>
      <c r="B22" s="72">
        <v>0</v>
      </c>
      <c r="C22" s="72">
        <v>0</v>
      </c>
      <c r="D22" s="72">
        <v>0</v>
      </c>
      <c r="E22" s="72">
        <v>0</v>
      </c>
      <c r="F22" s="72">
        <v>1</v>
      </c>
      <c r="G22" s="72">
        <v>12</v>
      </c>
      <c r="H22" s="72">
        <v>0</v>
      </c>
      <c r="I22" s="72">
        <v>0</v>
      </c>
      <c r="J22" s="72">
        <v>4</v>
      </c>
      <c r="K22" s="72">
        <v>0</v>
      </c>
      <c r="L22" s="72">
        <v>0</v>
      </c>
      <c r="M22" s="72">
        <v>0</v>
      </c>
      <c r="N22" s="73">
        <f>SUM(B22:M22)</f>
        <v>17</v>
      </c>
      <c r="O22" s="74" t="s">
        <v>231</v>
      </c>
      <c r="P22" s="2" t="s">
        <v>231</v>
      </c>
    </row>
    <row r="23" spans="1:17">
      <c r="A23" s="71" t="s">
        <v>21</v>
      </c>
      <c r="B23" s="72">
        <v>0</v>
      </c>
      <c r="C23" s="72">
        <v>0</v>
      </c>
      <c r="D23" s="72">
        <v>1</v>
      </c>
      <c r="E23" s="72">
        <v>0</v>
      </c>
      <c r="F23" s="72">
        <v>2</v>
      </c>
      <c r="G23" s="72">
        <v>3</v>
      </c>
      <c r="H23" s="72">
        <v>0</v>
      </c>
      <c r="I23" s="72">
        <v>1</v>
      </c>
      <c r="J23" s="72">
        <v>3</v>
      </c>
      <c r="K23" s="72">
        <v>0</v>
      </c>
      <c r="L23" s="72">
        <v>0</v>
      </c>
      <c r="M23" s="72">
        <v>0</v>
      </c>
      <c r="N23" s="73">
        <f>SUM(B23:M23)</f>
        <v>10</v>
      </c>
      <c r="O23" s="74"/>
      <c r="P23" s="3"/>
    </row>
    <row r="24" spans="1:17">
      <c r="A24" s="71" t="s">
        <v>228</v>
      </c>
      <c r="B24" s="39">
        <v>0</v>
      </c>
      <c r="C24" s="39">
        <v>0</v>
      </c>
      <c r="D24" s="39">
        <v>0</v>
      </c>
      <c r="E24" s="72">
        <v>0</v>
      </c>
      <c r="F24" s="72">
        <v>0</v>
      </c>
      <c r="G24" s="72">
        <v>0</v>
      </c>
      <c r="H24" s="72">
        <v>0</v>
      </c>
      <c r="I24" s="72">
        <v>0</v>
      </c>
      <c r="J24" s="72">
        <v>0</v>
      </c>
      <c r="K24" s="72">
        <v>0</v>
      </c>
      <c r="L24" s="72">
        <v>0</v>
      </c>
      <c r="M24" s="72">
        <v>0</v>
      </c>
      <c r="N24" s="73">
        <f>SUM(B24:M24)</f>
        <v>0</v>
      </c>
      <c r="O24" s="74"/>
      <c r="P24" s="2"/>
    </row>
    <row r="25" spans="1:17">
      <c r="A25" s="2"/>
      <c r="B25" s="43"/>
      <c r="C25" s="43"/>
      <c r="D25" s="43"/>
      <c r="E25" s="43"/>
      <c r="F25" s="43"/>
      <c r="G25" s="43"/>
      <c r="H25" s="43"/>
      <c r="I25" s="43"/>
      <c r="J25" s="43"/>
      <c r="K25" s="43"/>
      <c r="L25" s="43"/>
      <c r="M25" s="43"/>
      <c r="N25" s="43"/>
      <c r="O25" s="75"/>
      <c r="P25" s="2"/>
    </row>
    <row r="26" spans="1:17">
      <c r="A26" s="5"/>
      <c r="B26" s="5"/>
      <c r="C26" s="5"/>
      <c r="D26" s="5"/>
      <c r="E26" s="5"/>
      <c r="F26" s="5"/>
      <c r="G26" s="5"/>
      <c r="H26" s="5"/>
      <c r="I26" s="5"/>
      <c r="J26" s="5"/>
      <c r="K26" s="5"/>
      <c r="L26" s="5"/>
      <c r="M26" s="5"/>
      <c r="N26" s="127"/>
      <c r="O26" s="91"/>
      <c r="P26" s="5"/>
    </row>
    <row r="27" spans="1:17" ht="25.5">
      <c r="A27" s="58"/>
      <c r="B27" s="59">
        <v>40360</v>
      </c>
      <c r="C27" s="59">
        <v>40391</v>
      </c>
      <c r="D27" s="59">
        <v>6614787</v>
      </c>
      <c r="E27" s="59">
        <v>40452</v>
      </c>
      <c r="F27" s="59">
        <v>40483</v>
      </c>
      <c r="G27" s="59">
        <v>40513</v>
      </c>
      <c r="H27" s="59">
        <v>40544</v>
      </c>
      <c r="I27" s="59">
        <v>40575</v>
      </c>
      <c r="J27" s="59">
        <v>40603</v>
      </c>
      <c r="K27" s="59">
        <v>40634</v>
      </c>
      <c r="L27" s="59">
        <v>40664</v>
      </c>
      <c r="M27" s="59">
        <v>40695</v>
      </c>
      <c r="N27" s="60" t="s">
        <v>371</v>
      </c>
      <c r="O27" s="61" t="s">
        <v>27</v>
      </c>
      <c r="P27" s="61" t="s">
        <v>175</v>
      </c>
      <c r="Q27" s="2"/>
    </row>
    <row r="28" spans="1:17">
      <c r="A28" s="67" t="s">
        <v>128</v>
      </c>
      <c r="B28" s="68"/>
      <c r="C28" s="68"/>
      <c r="D28" s="68"/>
      <c r="E28" s="68"/>
      <c r="F28" s="68"/>
      <c r="G28" s="68"/>
      <c r="H28" s="68"/>
      <c r="I28" s="68"/>
      <c r="J28" s="68"/>
      <c r="K28" s="68"/>
      <c r="L28" s="68"/>
      <c r="M28" s="68"/>
      <c r="N28" s="68"/>
      <c r="O28" s="70"/>
      <c r="P28" s="82"/>
    </row>
    <row r="29" spans="1:17">
      <c r="A29" s="71" t="s">
        <v>354</v>
      </c>
      <c r="B29" s="72">
        <v>389</v>
      </c>
      <c r="C29" s="72">
        <v>131</v>
      </c>
      <c r="D29" s="72">
        <v>450</v>
      </c>
      <c r="E29" s="72">
        <v>633</v>
      </c>
      <c r="F29" s="72">
        <v>676</v>
      </c>
      <c r="G29" s="72">
        <v>348</v>
      </c>
      <c r="H29" s="72">
        <v>402</v>
      </c>
      <c r="I29" s="72">
        <v>485</v>
      </c>
      <c r="J29" s="72">
        <v>718</v>
      </c>
      <c r="K29" s="72">
        <v>813</v>
      </c>
      <c r="L29" s="72">
        <v>201</v>
      </c>
      <c r="M29" s="72">
        <v>217</v>
      </c>
      <c r="N29" s="73">
        <f>SUM(B29:M29)</f>
        <v>5463</v>
      </c>
      <c r="O29" s="140"/>
      <c r="P29" s="2"/>
    </row>
    <row r="30" spans="1:17">
      <c r="A30" s="71" t="s">
        <v>21</v>
      </c>
      <c r="B30" s="72">
        <v>335</v>
      </c>
      <c r="C30" s="72">
        <v>120</v>
      </c>
      <c r="D30" s="72">
        <v>362</v>
      </c>
      <c r="E30" s="72">
        <v>545</v>
      </c>
      <c r="F30" s="72">
        <v>596</v>
      </c>
      <c r="G30" s="72">
        <v>277</v>
      </c>
      <c r="H30" s="72">
        <v>297</v>
      </c>
      <c r="I30" s="72">
        <v>439</v>
      </c>
      <c r="J30" s="72">
        <v>655</v>
      </c>
      <c r="K30" s="72">
        <v>735</v>
      </c>
      <c r="L30" s="72">
        <v>180</v>
      </c>
      <c r="M30" s="72">
        <v>225</v>
      </c>
      <c r="N30" s="73">
        <f>SUM(B30:M30)</f>
        <v>4766</v>
      </c>
      <c r="O30" s="74"/>
      <c r="P30" s="75"/>
    </row>
    <row r="31" spans="1:17">
      <c r="A31" s="71" t="s">
        <v>228</v>
      </c>
      <c r="B31" s="39">
        <v>0</v>
      </c>
      <c r="C31" s="39">
        <v>0</v>
      </c>
      <c r="D31" s="39">
        <v>0</v>
      </c>
      <c r="E31" s="39">
        <v>0</v>
      </c>
      <c r="F31" s="39">
        <v>0</v>
      </c>
      <c r="G31" s="39">
        <v>0</v>
      </c>
      <c r="H31" s="72">
        <v>0</v>
      </c>
      <c r="I31" s="72">
        <v>0</v>
      </c>
      <c r="J31" s="72">
        <v>0</v>
      </c>
      <c r="K31" s="72">
        <v>0</v>
      </c>
      <c r="L31" s="72">
        <v>0</v>
      </c>
      <c r="M31" s="72">
        <v>0</v>
      </c>
      <c r="N31" s="73">
        <f>SUM(B31:M31)</f>
        <v>0</v>
      </c>
      <c r="O31" s="74"/>
      <c r="P31" s="2"/>
    </row>
    <row r="32" spans="1:17">
      <c r="A32" s="2"/>
      <c r="B32" s="82"/>
      <c r="C32" s="82"/>
      <c r="D32" s="82"/>
      <c r="E32" s="82"/>
      <c r="F32" s="82"/>
      <c r="G32" s="82"/>
      <c r="H32" s="82"/>
      <c r="I32" s="82"/>
      <c r="J32" s="82"/>
      <c r="K32" s="82"/>
      <c r="L32" s="82"/>
      <c r="M32" s="82"/>
      <c r="N32" s="128"/>
      <c r="O32" s="75"/>
      <c r="P32" s="2"/>
    </row>
    <row r="33" spans="1:17">
      <c r="A33" s="2"/>
      <c r="B33" s="2"/>
      <c r="C33" s="2"/>
      <c r="D33" s="2"/>
      <c r="E33" s="2"/>
      <c r="F33" s="2"/>
      <c r="G33" s="2"/>
      <c r="H33" s="2"/>
      <c r="I33" s="2"/>
      <c r="J33" s="2"/>
      <c r="K33" s="2"/>
      <c r="L33" s="2"/>
      <c r="M33" s="2"/>
      <c r="N33" s="132"/>
      <c r="O33" s="75"/>
      <c r="P33" s="2"/>
    </row>
    <row r="34" spans="1:17">
      <c r="A34" s="85"/>
      <c r="B34" s="108"/>
      <c r="C34" s="108"/>
      <c r="D34" s="108"/>
      <c r="E34" s="108"/>
      <c r="F34" s="108"/>
      <c r="G34" s="108"/>
      <c r="H34" s="108"/>
      <c r="I34" s="108"/>
      <c r="J34" s="108"/>
      <c r="K34" s="108"/>
      <c r="L34" s="108"/>
      <c r="M34" s="108"/>
      <c r="N34" s="127"/>
      <c r="O34" s="91"/>
      <c r="P34" s="5"/>
    </row>
    <row r="35" spans="1:17" ht="25.5">
      <c r="A35" s="147"/>
      <c r="B35" s="59">
        <v>40360</v>
      </c>
      <c r="C35" s="59">
        <v>40391</v>
      </c>
      <c r="D35" s="59">
        <v>6614787</v>
      </c>
      <c r="E35" s="59">
        <v>40452</v>
      </c>
      <c r="F35" s="59">
        <v>40483</v>
      </c>
      <c r="G35" s="59">
        <v>40513</v>
      </c>
      <c r="H35" s="59">
        <v>40544</v>
      </c>
      <c r="I35" s="59">
        <v>40575</v>
      </c>
      <c r="J35" s="59">
        <v>40603</v>
      </c>
      <c r="K35" s="59">
        <v>40634</v>
      </c>
      <c r="L35" s="59">
        <v>40664</v>
      </c>
      <c r="M35" s="59">
        <v>40695</v>
      </c>
      <c r="N35" s="60" t="s">
        <v>371</v>
      </c>
      <c r="O35" s="61" t="s">
        <v>27</v>
      </c>
      <c r="P35" s="61" t="s">
        <v>175</v>
      </c>
      <c r="Q35" s="2"/>
    </row>
    <row r="36" spans="1:17">
      <c r="A36" s="67" t="s">
        <v>105</v>
      </c>
      <c r="B36" s="68"/>
      <c r="C36" s="68"/>
      <c r="D36" s="68"/>
      <c r="E36" s="68"/>
      <c r="F36" s="68"/>
      <c r="G36" s="68"/>
      <c r="H36" s="68"/>
      <c r="I36" s="68"/>
      <c r="J36" s="68"/>
      <c r="K36" s="68"/>
      <c r="L36" s="68"/>
      <c r="M36" s="68"/>
      <c r="N36" s="68"/>
      <c r="O36" s="70"/>
      <c r="P36" s="82"/>
    </row>
    <row r="37" spans="1:17">
      <c r="A37" s="71" t="s">
        <v>354</v>
      </c>
      <c r="B37" s="72">
        <v>0</v>
      </c>
      <c r="C37" s="72">
        <v>0</v>
      </c>
      <c r="D37" s="72">
        <v>2</v>
      </c>
      <c r="E37" s="72">
        <v>28</v>
      </c>
      <c r="F37" s="72">
        <v>110</v>
      </c>
      <c r="G37" s="72">
        <v>46</v>
      </c>
      <c r="H37" s="72">
        <v>35</v>
      </c>
      <c r="I37" s="72">
        <v>22</v>
      </c>
      <c r="J37" s="72">
        <v>54</v>
      </c>
      <c r="K37" s="72">
        <v>79</v>
      </c>
      <c r="L37" s="72">
        <v>8</v>
      </c>
      <c r="M37" s="72">
        <v>39</v>
      </c>
      <c r="N37" s="73">
        <f>SUM(B37:M37)</f>
        <v>423</v>
      </c>
      <c r="O37" s="140"/>
      <c r="P37" s="2"/>
    </row>
    <row r="38" spans="1:17">
      <c r="A38" s="71" t="s">
        <v>21</v>
      </c>
      <c r="B38" s="72">
        <v>0</v>
      </c>
      <c r="C38" s="72">
        <v>1</v>
      </c>
      <c r="D38" s="72">
        <v>3</v>
      </c>
      <c r="E38" s="72">
        <v>28</v>
      </c>
      <c r="F38" s="72">
        <v>105</v>
      </c>
      <c r="G38" s="72">
        <v>37</v>
      </c>
      <c r="H38" s="72">
        <v>28</v>
      </c>
      <c r="I38" s="72">
        <v>47</v>
      </c>
      <c r="J38" s="72">
        <v>59</v>
      </c>
      <c r="K38" s="72">
        <v>55</v>
      </c>
      <c r="L38" s="72">
        <v>7</v>
      </c>
      <c r="M38" s="72">
        <v>31</v>
      </c>
      <c r="N38" s="73">
        <f>SUM(B38:M38)</f>
        <v>401</v>
      </c>
      <c r="O38" s="74"/>
      <c r="P38" s="75"/>
    </row>
    <row r="39" spans="1:17">
      <c r="A39" s="71" t="s">
        <v>228</v>
      </c>
      <c r="B39" s="39">
        <v>0</v>
      </c>
      <c r="C39" s="39">
        <v>0</v>
      </c>
      <c r="D39" s="39">
        <v>0</v>
      </c>
      <c r="E39" s="72">
        <v>0</v>
      </c>
      <c r="F39" s="72">
        <v>0</v>
      </c>
      <c r="G39" s="72">
        <v>0</v>
      </c>
      <c r="H39" s="72">
        <v>0</v>
      </c>
      <c r="I39" s="72">
        <v>0</v>
      </c>
      <c r="J39" s="72">
        <v>0</v>
      </c>
      <c r="K39" s="72">
        <v>0</v>
      </c>
      <c r="L39" s="72">
        <v>0</v>
      </c>
      <c r="M39" s="72">
        <v>0</v>
      </c>
      <c r="N39" s="73">
        <f>SUM(B39:M39)</f>
        <v>0</v>
      </c>
      <c r="O39" s="74"/>
      <c r="P39" s="2"/>
    </row>
    <row r="40" spans="1:17">
      <c r="A40" s="2"/>
      <c r="B40" s="43"/>
      <c r="C40" s="43"/>
      <c r="D40" s="43"/>
      <c r="E40" s="43"/>
      <c r="F40" s="43"/>
      <c r="G40" s="43"/>
      <c r="H40" s="43"/>
      <c r="I40" s="43"/>
      <c r="J40" s="43"/>
      <c r="K40" s="43"/>
      <c r="L40" s="43"/>
      <c r="M40" s="43"/>
      <c r="N40" s="43"/>
      <c r="O40" s="2"/>
      <c r="P40" s="2"/>
    </row>
    <row r="41" spans="1:17">
      <c r="A41" s="5"/>
      <c r="B41" s="6"/>
      <c r="C41" s="6"/>
      <c r="D41" s="6"/>
      <c r="E41" s="6"/>
      <c r="F41" s="6"/>
      <c r="G41" s="6"/>
      <c r="H41" s="6"/>
      <c r="I41" s="6"/>
      <c r="J41" s="6"/>
      <c r="K41" s="6"/>
      <c r="L41" s="6"/>
      <c r="M41" s="6"/>
      <c r="N41" s="6"/>
      <c r="O41" s="5"/>
      <c r="P41" s="5"/>
    </row>
    <row r="42" spans="1:17" ht="25.5">
      <c r="A42" s="147"/>
      <c r="B42" s="59">
        <v>40360</v>
      </c>
      <c r="C42" s="59">
        <v>40391</v>
      </c>
      <c r="D42" s="59">
        <v>6614787</v>
      </c>
      <c r="E42" s="59">
        <v>40452</v>
      </c>
      <c r="F42" s="59">
        <v>40483</v>
      </c>
      <c r="G42" s="59">
        <v>40513</v>
      </c>
      <c r="H42" s="59">
        <v>40544</v>
      </c>
      <c r="I42" s="59">
        <v>40575</v>
      </c>
      <c r="J42" s="59">
        <v>40603</v>
      </c>
      <c r="K42" s="59">
        <v>40634</v>
      </c>
      <c r="L42" s="59">
        <v>40664</v>
      </c>
      <c r="M42" s="59">
        <v>40695</v>
      </c>
      <c r="N42" s="60" t="s">
        <v>371</v>
      </c>
      <c r="O42" s="61" t="s">
        <v>27</v>
      </c>
      <c r="P42" s="61" t="s">
        <v>175</v>
      </c>
    </row>
    <row r="43" spans="1:17">
      <c r="A43" s="67" t="s">
        <v>328</v>
      </c>
      <c r="B43" s="68"/>
      <c r="C43" s="68"/>
      <c r="D43" s="68"/>
      <c r="E43" s="68"/>
      <c r="F43" s="68"/>
      <c r="G43" s="68"/>
      <c r="H43" s="68"/>
      <c r="I43" s="68"/>
      <c r="J43" s="68"/>
      <c r="K43" s="68"/>
      <c r="L43" s="68"/>
      <c r="M43" s="68"/>
      <c r="N43" s="68"/>
      <c r="O43" s="70"/>
      <c r="P43" s="82"/>
    </row>
    <row r="44" spans="1:17">
      <c r="A44" s="71" t="s">
        <v>354</v>
      </c>
      <c r="B44" s="72">
        <v>389</v>
      </c>
      <c r="C44" s="72">
        <v>131</v>
      </c>
      <c r="D44" s="72">
        <v>453</v>
      </c>
      <c r="E44" s="72">
        <v>661</v>
      </c>
      <c r="F44" s="72">
        <v>787</v>
      </c>
      <c r="G44" s="72">
        <v>380</v>
      </c>
      <c r="H44" s="72">
        <v>437</v>
      </c>
      <c r="I44" s="72">
        <v>507</v>
      </c>
      <c r="J44" s="72">
        <v>768</v>
      </c>
      <c r="K44" s="72">
        <v>892</v>
      </c>
      <c r="L44" s="72">
        <v>209</v>
      </c>
      <c r="M44" s="72">
        <v>256</v>
      </c>
      <c r="N44" s="73">
        <f>SUM(B44:M44)</f>
        <v>5870</v>
      </c>
      <c r="O44" s="74" t="s">
        <v>231</v>
      </c>
      <c r="P44" s="2" t="s">
        <v>231</v>
      </c>
    </row>
    <row r="45" spans="1:17">
      <c r="A45" s="71" t="s">
        <v>21</v>
      </c>
      <c r="B45" s="72">
        <v>335</v>
      </c>
      <c r="C45" s="72">
        <v>121</v>
      </c>
      <c r="D45" s="72">
        <v>363</v>
      </c>
      <c r="E45" s="72">
        <v>557</v>
      </c>
      <c r="F45" s="72">
        <v>641</v>
      </c>
      <c r="G45" s="72">
        <v>296</v>
      </c>
      <c r="H45" s="72">
        <v>314</v>
      </c>
      <c r="I45" s="72">
        <v>487</v>
      </c>
      <c r="J45" s="72">
        <v>687</v>
      </c>
      <c r="K45" s="72">
        <v>761</v>
      </c>
      <c r="L45" s="72">
        <v>184</v>
      </c>
      <c r="M45" s="72">
        <v>234</v>
      </c>
      <c r="N45" s="73">
        <f>SUM(B45:M45)</f>
        <v>4980</v>
      </c>
      <c r="O45" s="74"/>
      <c r="P45" s="75"/>
    </row>
    <row r="46" spans="1:17">
      <c r="A46" s="71" t="s">
        <v>228</v>
      </c>
      <c r="B46" s="39">
        <v>0</v>
      </c>
      <c r="C46" s="39">
        <v>0</v>
      </c>
      <c r="D46" s="39">
        <v>0</v>
      </c>
      <c r="E46" s="72">
        <v>0</v>
      </c>
      <c r="F46" s="72">
        <v>0</v>
      </c>
      <c r="G46" s="72">
        <v>0</v>
      </c>
      <c r="H46" s="72">
        <v>0</v>
      </c>
      <c r="I46" s="72">
        <v>0</v>
      </c>
      <c r="J46" s="72">
        <v>0</v>
      </c>
      <c r="K46" s="72">
        <v>0</v>
      </c>
      <c r="L46" s="72">
        <v>0</v>
      </c>
      <c r="M46" s="72">
        <v>0</v>
      </c>
      <c r="N46" s="73">
        <f>SUM(B46:M46)</f>
        <v>0</v>
      </c>
      <c r="O46" s="74"/>
      <c r="P46" s="2"/>
    </row>
    <row r="47" spans="1:17">
      <c r="A47" s="2"/>
      <c r="B47" s="43"/>
      <c r="C47" s="43"/>
      <c r="D47" s="43"/>
      <c r="E47" s="43"/>
      <c r="F47" s="43"/>
      <c r="G47" s="43"/>
      <c r="H47" s="43"/>
      <c r="I47" s="43"/>
      <c r="J47" s="43"/>
      <c r="K47" s="43"/>
      <c r="L47" s="43"/>
      <c r="M47" s="43"/>
      <c r="N47" s="43"/>
      <c r="O47" s="2"/>
      <c r="P47" s="2"/>
    </row>
  </sheetData>
  <pageMargins left="0.75" right="0.75" top="1" bottom="1" header="0.5" footer="0.5"/>
  <pageSetup paperSize="9" orientation="portrait" horizontalDpi="300" verticalDpi="300"/>
  <headerFooter alignWithMargins="0"/>
</worksheet>
</file>

<file path=xl/worksheets/sheet26.xml><?xml version="1.0" encoding="utf-8"?>
<worksheet xmlns="http://schemas.openxmlformats.org/spreadsheetml/2006/main" xmlns:r="http://schemas.openxmlformats.org/officeDocument/2006/relationships">
  <dimension ref="A1:Q26"/>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6" customWidth="1"/>
    <col min="2" max="14" width="8.5703125" customWidth="1"/>
    <col min="15" max="15" width="10.7109375" customWidth="1"/>
    <col min="16" max="16" width="8.5703125" customWidth="1"/>
    <col min="17" max="17" width="9.140625" customWidth="1"/>
  </cols>
  <sheetData>
    <row r="1" spans="1:17" ht="20.25">
      <c r="A1" s="1" t="s">
        <v>293</v>
      </c>
      <c r="B1" s="2"/>
      <c r="C1" s="2"/>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row>
    <row r="4" spans="1:17">
      <c r="A4" s="2" t="s">
        <v>17</v>
      </c>
      <c r="B4" s="2" t="s">
        <v>151</v>
      </c>
    </row>
    <row r="5" spans="1:17">
      <c r="A5" s="5"/>
      <c r="B5" s="6"/>
      <c r="C5" s="6"/>
      <c r="D5" s="6"/>
      <c r="E5" s="6"/>
      <c r="F5" s="6"/>
      <c r="G5" s="6"/>
      <c r="H5" s="6"/>
      <c r="I5" s="6"/>
      <c r="J5" s="6"/>
      <c r="K5" s="6"/>
      <c r="L5" s="6"/>
      <c r="M5" s="6"/>
      <c r="N5" s="6"/>
      <c r="O5" s="6"/>
      <c r="P5" s="6"/>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67" t="s">
        <v>262</v>
      </c>
      <c r="B7" s="68"/>
      <c r="C7" s="68"/>
      <c r="D7" s="68"/>
      <c r="E7" s="68"/>
      <c r="F7" s="68"/>
      <c r="G7" s="68"/>
      <c r="H7" s="68"/>
      <c r="I7" s="68"/>
      <c r="J7" s="68"/>
      <c r="K7" s="68"/>
      <c r="L7" s="68"/>
      <c r="M7" s="68"/>
      <c r="N7" s="68"/>
      <c r="O7" s="43"/>
      <c r="P7" s="43"/>
    </row>
    <row r="8" spans="1:17">
      <c r="A8" s="71" t="s">
        <v>265</v>
      </c>
      <c r="B8" s="24">
        <v>13</v>
      </c>
      <c r="C8" s="24">
        <v>13</v>
      </c>
      <c r="D8" s="24">
        <v>18</v>
      </c>
      <c r="E8" s="24">
        <v>26</v>
      </c>
      <c r="F8" s="24">
        <v>28</v>
      </c>
      <c r="G8" s="24">
        <v>16</v>
      </c>
      <c r="H8" s="24">
        <v>12</v>
      </c>
      <c r="I8" s="24">
        <v>49</v>
      </c>
      <c r="J8" s="24">
        <v>188</v>
      </c>
      <c r="K8" s="24">
        <v>78</v>
      </c>
      <c r="L8" s="24">
        <v>15</v>
      </c>
      <c r="M8" s="24">
        <v>4</v>
      </c>
      <c r="N8" s="73">
        <f>SUM(B8:M8)</f>
        <v>460</v>
      </c>
      <c r="O8" s="74"/>
      <c r="P8" s="75"/>
    </row>
    <row r="9" spans="1:17">
      <c r="A9" s="71" t="s">
        <v>342</v>
      </c>
      <c r="B9" s="24">
        <v>8</v>
      </c>
      <c r="C9" s="24">
        <v>6</v>
      </c>
      <c r="D9" s="24">
        <v>37</v>
      </c>
      <c r="E9" s="24">
        <v>59</v>
      </c>
      <c r="F9" s="24">
        <v>82</v>
      </c>
      <c r="G9" s="24">
        <v>18</v>
      </c>
      <c r="H9" s="24">
        <v>9</v>
      </c>
      <c r="I9" s="24">
        <v>93</v>
      </c>
      <c r="J9" s="24">
        <v>124</v>
      </c>
      <c r="K9" s="24">
        <v>72</v>
      </c>
      <c r="L9" s="24">
        <v>23</v>
      </c>
      <c r="M9" s="24">
        <v>5</v>
      </c>
      <c r="N9" s="73">
        <f>SUM(B9:M9)</f>
        <v>536</v>
      </c>
      <c r="O9" s="74"/>
      <c r="P9" s="75"/>
    </row>
    <row r="10" spans="1:17">
      <c r="A10" s="71" t="s">
        <v>370</v>
      </c>
      <c r="B10" s="24">
        <v>4</v>
      </c>
      <c r="C10" s="24">
        <v>13</v>
      </c>
      <c r="D10" s="24">
        <v>31</v>
      </c>
      <c r="E10" s="24">
        <v>61</v>
      </c>
      <c r="F10" s="24">
        <v>72</v>
      </c>
      <c r="G10" s="24">
        <v>36</v>
      </c>
      <c r="H10" s="24">
        <v>20</v>
      </c>
      <c r="I10" s="24">
        <v>71</v>
      </c>
      <c r="J10" s="24">
        <v>77</v>
      </c>
      <c r="K10" s="24">
        <v>35</v>
      </c>
      <c r="L10" s="24">
        <v>23</v>
      </c>
      <c r="M10" s="24">
        <v>4</v>
      </c>
      <c r="N10" s="73">
        <f>SUM(B10:M10)</f>
        <v>447</v>
      </c>
      <c r="O10" s="74">
        <v>0</v>
      </c>
      <c r="P10" s="75">
        <f>O10/N10</f>
        <v>0</v>
      </c>
    </row>
    <row r="11" spans="1:17">
      <c r="A11" s="71" t="s">
        <v>228</v>
      </c>
      <c r="B11" s="24">
        <v>0</v>
      </c>
      <c r="C11" s="24">
        <v>0</v>
      </c>
      <c r="D11" s="24">
        <v>0</v>
      </c>
      <c r="E11" s="24">
        <v>1</v>
      </c>
      <c r="F11" s="24">
        <v>0</v>
      </c>
      <c r="G11" s="24">
        <v>0</v>
      </c>
      <c r="H11" s="24">
        <v>0</v>
      </c>
      <c r="I11" s="24">
        <v>0</v>
      </c>
      <c r="J11" s="24">
        <v>16</v>
      </c>
      <c r="K11" s="24">
        <v>0</v>
      </c>
      <c r="L11" s="24">
        <v>0</v>
      </c>
      <c r="M11" s="24">
        <v>0</v>
      </c>
      <c r="N11" s="73">
        <f>SUM(B11:M11)</f>
        <v>17</v>
      </c>
      <c r="O11" s="74"/>
      <c r="P11" s="75"/>
    </row>
    <row r="12" spans="1:17">
      <c r="A12" s="5"/>
      <c r="B12" s="53"/>
      <c r="C12" s="53"/>
      <c r="D12" s="53"/>
      <c r="E12" s="53"/>
      <c r="F12" s="53"/>
      <c r="G12" s="53"/>
      <c r="H12" s="53"/>
      <c r="I12" s="53"/>
      <c r="J12" s="53"/>
      <c r="K12" s="53"/>
      <c r="L12" s="53"/>
      <c r="M12" s="53"/>
      <c r="N12" s="53"/>
      <c r="O12" s="6"/>
      <c r="P12" s="6"/>
    </row>
    <row r="13" spans="1:17" ht="25.5">
      <c r="A13" s="58"/>
      <c r="B13" s="59">
        <v>40360</v>
      </c>
      <c r="C13" s="59">
        <v>40391</v>
      </c>
      <c r="D13" s="59">
        <v>6614787</v>
      </c>
      <c r="E13" s="59">
        <v>40452</v>
      </c>
      <c r="F13" s="59">
        <v>40483</v>
      </c>
      <c r="G13" s="59">
        <v>40513</v>
      </c>
      <c r="H13" s="59">
        <v>40544</v>
      </c>
      <c r="I13" s="59">
        <v>40575</v>
      </c>
      <c r="J13" s="59">
        <v>40603</v>
      </c>
      <c r="K13" s="59">
        <v>40634</v>
      </c>
      <c r="L13" s="59">
        <v>40664</v>
      </c>
      <c r="M13" s="59">
        <v>40695</v>
      </c>
      <c r="N13" s="60" t="s">
        <v>371</v>
      </c>
      <c r="O13" s="61" t="s">
        <v>27</v>
      </c>
      <c r="P13" s="61" t="s">
        <v>175</v>
      </c>
      <c r="Q13" s="2"/>
    </row>
    <row r="14" spans="1:17">
      <c r="A14" s="67" t="s">
        <v>45</v>
      </c>
      <c r="B14" s="68"/>
      <c r="C14" s="68"/>
      <c r="D14" s="68"/>
      <c r="E14" s="68"/>
      <c r="F14" s="68"/>
      <c r="G14" s="68"/>
      <c r="H14" s="68"/>
      <c r="I14" s="68"/>
      <c r="J14" s="68"/>
      <c r="K14" s="68"/>
      <c r="L14" s="68"/>
      <c r="M14" s="68"/>
      <c r="N14" s="68"/>
      <c r="O14" s="43"/>
      <c r="P14" s="43"/>
    </row>
    <row r="15" spans="1:17">
      <c r="A15" s="71" t="s">
        <v>265</v>
      </c>
      <c r="B15" s="24" t="s">
        <v>231</v>
      </c>
      <c r="C15" s="24" t="s">
        <v>231</v>
      </c>
      <c r="D15" s="24" t="s">
        <v>231</v>
      </c>
      <c r="E15" s="24" t="s">
        <v>231</v>
      </c>
      <c r="F15" s="24" t="s">
        <v>231</v>
      </c>
      <c r="G15" s="24" t="s">
        <v>231</v>
      </c>
      <c r="H15" s="24" t="s">
        <v>231</v>
      </c>
      <c r="I15" s="24" t="s">
        <v>231</v>
      </c>
      <c r="J15" s="24" t="s">
        <v>231</v>
      </c>
      <c r="K15" s="24" t="s">
        <v>231</v>
      </c>
      <c r="L15" s="24" t="s">
        <v>231</v>
      </c>
      <c r="M15" s="24" t="s">
        <v>231</v>
      </c>
      <c r="N15" s="73">
        <f>SUM(B15:M15)</f>
        <v>0</v>
      </c>
      <c r="O15" s="74"/>
      <c r="P15" s="75"/>
    </row>
    <row r="16" spans="1:17">
      <c r="A16" s="71" t="s">
        <v>342</v>
      </c>
      <c r="B16" s="24" t="s">
        <v>231</v>
      </c>
      <c r="C16" s="24" t="s">
        <v>231</v>
      </c>
      <c r="D16" s="24" t="s">
        <v>231</v>
      </c>
      <c r="E16" s="24" t="s">
        <v>231</v>
      </c>
      <c r="F16" s="24" t="s">
        <v>231</v>
      </c>
      <c r="G16" s="24" t="s">
        <v>231</v>
      </c>
      <c r="H16" s="24" t="s">
        <v>231</v>
      </c>
      <c r="I16" s="24" t="s">
        <v>231</v>
      </c>
      <c r="J16" s="24" t="s">
        <v>231</v>
      </c>
      <c r="K16" s="24" t="s">
        <v>231</v>
      </c>
      <c r="L16" s="24" t="s">
        <v>231</v>
      </c>
      <c r="M16" s="24" t="s">
        <v>231</v>
      </c>
      <c r="N16" s="73">
        <f>SUM(B16:M16)</f>
        <v>0</v>
      </c>
      <c r="O16" s="74"/>
      <c r="P16" s="75"/>
    </row>
    <row r="17" spans="1:16">
      <c r="A17" s="71" t="s">
        <v>370</v>
      </c>
      <c r="B17" s="24" t="s">
        <v>231</v>
      </c>
      <c r="C17" s="24" t="s">
        <v>231</v>
      </c>
      <c r="D17" s="24" t="s">
        <v>231</v>
      </c>
      <c r="E17" s="24" t="s">
        <v>231</v>
      </c>
      <c r="F17" s="24" t="s">
        <v>231</v>
      </c>
      <c r="G17" s="24" t="s">
        <v>231</v>
      </c>
      <c r="H17" s="24" t="s">
        <v>231</v>
      </c>
      <c r="I17" s="24" t="s">
        <v>231</v>
      </c>
      <c r="J17" s="24" t="s">
        <v>231</v>
      </c>
      <c r="K17" s="24" t="s">
        <v>231</v>
      </c>
      <c r="L17" s="24" t="s">
        <v>231</v>
      </c>
      <c r="M17" s="24" t="s">
        <v>231</v>
      </c>
      <c r="N17" s="73">
        <f>SUM(B17:M17)</f>
        <v>0</v>
      </c>
      <c r="O17" s="74">
        <v>0</v>
      </c>
      <c r="P17" s="75" t="e">
        <f>O17/N17</f>
        <v>#DIV/0!</v>
      </c>
    </row>
    <row r="18" spans="1:16">
      <c r="A18" s="71" t="s">
        <v>228</v>
      </c>
      <c r="B18" s="24" t="s">
        <v>231</v>
      </c>
      <c r="C18" s="24" t="s">
        <v>231</v>
      </c>
      <c r="D18" s="24" t="s">
        <v>231</v>
      </c>
      <c r="E18" s="24" t="s">
        <v>231</v>
      </c>
      <c r="F18" s="24" t="s">
        <v>231</v>
      </c>
      <c r="G18" s="24" t="s">
        <v>231</v>
      </c>
      <c r="H18" s="24" t="s">
        <v>231</v>
      </c>
      <c r="I18" s="24" t="s">
        <v>231</v>
      </c>
      <c r="J18" s="24" t="s">
        <v>231</v>
      </c>
      <c r="K18" s="24" t="s">
        <v>231</v>
      </c>
      <c r="L18" s="24" t="s">
        <v>231</v>
      </c>
      <c r="M18" s="24" t="s">
        <v>231</v>
      </c>
      <c r="N18" s="73">
        <f>SUM(B18:M18)</f>
        <v>0</v>
      </c>
      <c r="O18" s="74"/>
      <c r="P18" s="75"/>
    </row>
    <row r="19" spans="1:16">
      <c r="A19" s="2"/>
      <c r="B19" s="43"/>
      <c r="C19" s="43"/>
      <c r="D19" s="43"/>
      <c r="E19" s="43"/>
      <c r="F19" s="43"/>
      <c r="G19" s="43"/>
      <c r="H19" s="43"/>
      <c r="I19" s="43"/>
      <c r="J19" s="43"/>
      <c r="K19" s="43"/>
      <c r="L19" s="43"/>
      <c r="M19" s="43"/>
      <c r="N19" s="43"/>
    </row>
    <row r="20" spans="1:16">
      <c r="A20" s="84" t="s">
        <v>205</v>
      </c>
      <c r="B20" s="86"/>
      <c r="C20" s="86"/>
      <c r="D20" s="86"/>
      <c r="E20" s="86"/>
      <c r="F20" s="86"/>
      <c r="G20" s="86"/>
      <c r="H20" s="86"/>
      <c r="I20" s="86"/>
      <c r="J20" s="86"/>
      <c r="K20" s="86"/>
      <c r="L20" s="86"/>
      <c r="M20" s="86"/>
      <c r="N20" s="86"/>
    </row>
    <row r="21" spans="1:16">
      <c r="A21" s="71" t="s">
        <v>265</v>
      </c>
      <c r="B21" s="24">
        <v>68</v>
      </c>
      <c r="C21" s="24">
        <v>43</v>
      </c>
      <c r="D21" s="24">
        <v>254</v>
      </c>
      <c r="E21" s="24">
        <v>252</v>
      </c>
      <c r="F21" s="24">
        <v>195</v>
      </c>
      <c r="G21" s="24">
        <v>238</v>
      </c>
      <c r="H21" s="24">
        <v>133</v>
      </c>
      <c r="I21" s="24">
        <v>717</v>
      </c>
      <c r="J21" s="24">
        <v>405</v>
      </c>
      <c r="K21" s="24">
        <v>347</v>
      </c>
      <c r="L21" s="24">
        <v>215</v>
      </c>
      <c r="M21" s="24">
        <v>65</v>
      </c>
      <c r="N21" s="73">
        <f>SUM(B21:M21)</f>
        <v>2932</v>
      </c>
      <c r="O21" s="74"/>
      <c r="P21" s="75"/>
    </row>
    <row r="22" spans="1:16">
      <c r="A22" s="71" t="s">
        <v>342</v>
      </c>
      <c r="B22" s="24">
        <v>149</v>
      </c>
      <c r="C22" s="24">
        <v>81</v>
      </c>
      <c r="D22" s="24">
        <v>916</v>
      </c>
      <c r="E22" s="24">
        <v>941</v>
      </c>
      <c r="F22" s="24">
        <v>745</v>
      </c>
      <c r="G22" s="24">
        <v>44</v>
      </c>
      <c r="H22" s="24">
        <v>181</v>
      </c>
      <c r="I22" s="24">
        <v>1115</v>
      </c>
      <c r="J22" s="24">
        <v>1146</v>
      </c>
      <c r="K22" s="24">
        <v>952</v>
      </c>
      <c r="L22" s="24">
        <v>583</v>
      </c>
      <c r="M22" s="24">
        <v>185</v>
      </c>
      <c r="N22" s="73">
        <f>SUM(B22:M22)</f>
        <v>7038</v>
      </c>
      <c r="O22" s="74"/>
      <c r="P22" s="75"/>
    </row>
    <row r="23" spans="1:16">
      <c r="A23" s="71" t="s">
        <v>370</v>
      </c>
      <c r="B23" s="24">
        <v>162</v>
      </c>
      <c r="C23" s="24">
        <v>92</v>
      </c>
      <c r="D23" s="24">
        <v>824</v>
      </c>
      <c r="E23" s="24">
        <v>946</v>
      </c>
      <c r="F23" s="24">
        <v>785</v>
      </c>
      <c r="G23" s="24">
        <v>370</v>
      </c>
      <c r="H23" s="24">
        <v>165</v>
      </c>
      <c r="I23" s="24">
        <v>1103</v>
      </c>
      <c r="J23" s="24">
        <v>1050</v>
      </c>
      <c r="K23" s="24">
        <v>664</v>
      </c>
      <c r="L23" s="24">
        <v>584</v>
      </c>
      <c r="M23" s="24">
        <v>153</v>
      </c>
      <c r="N23" s="73">
        <f>SUM(B23:M23)</f>
        <v>6898</v>
      </c>
      <c r="O23" s="74">
        <v>0</v>
      </c>
      <c r="P23" s="75">
        <f>O23/N23</f>
        <v>0</v>
      </c>
    </row>
    <row r="24" spans="1:16">
      <c r="A24" s="71" t="s">
        <v>228</v>
      </c>
      <c r="B24" s="24">
        <v>0</v>
      </c>
      <c r="C24" s="24">
        <v>0</v>
      </c>
      <c r="D24" s="24">
        <v>0</v>
      </c>
      <c r="E24" s="24">
        <v>0</v>
      </c>
      <c r="F24" s="24">
        <v>0</v>
      </c>
      <c r="G24" s="24">
        <v>0</v>
      </c>
      <c r="H24" s="24">
        <v>0</v>
      </c>
      <c r="I24" s="24">
        <v>0</v>
      </c>
      <c r="J24" s="24">
        <v>0</v>
      </c>
      <c r="K24" s="24">
        <v>0</v>
      </c>
      <c r="L24" s="24">
        <v>0</v>
      </c>
      <c r="M24" s="24">
        <v>0</v>
      </c>
      <c r="N24" s="73">
        <f>SUM(B24:M24)</f>
        <v>0</v>
      </c>
      <c r="O24" s="18"/>
    </row>
    <row r="25" spans="1:16">
      <c r="A25" s="2"/>
      <c r="B25" s="43"/>
      <c r="C25" s="43"/>
      <c r="D25" s="43"/>
      <c r="E25" s="43"/>
      <c r="F25" s="43"/>
      <c r="G25" s="43"/>
      <c r="H25" s="43"/>
      <c r="I25" s="43"/>
      <c r="J25" s="43"/>
      <c r="K25" s="43"/>
      <c r="L25" s="43"/>
      <c r="M25" s="43"/>
      <c r="N25" s="43"/>
    </row>
    <row r="26" spans="1:16">
      <c r="A26" s="2"/>
    </row>
  </sheetData>
  <pageMargins left="0.75" right="0.75" top="1" bottom="1" header="0.5" footer="0.5"/>
  <pageSetup paperSize="9" orientation="portrait" horizontalDpi="300" verticalDpi="300"/>
  <headerFooter alignWithMargins="0"/>
</worksheet>
</file>

<file path=xl/worksheets/sheet27.xml><?xml version="1.0" encoding="utf-8"?>
<worksheet xmlns="http://schemas.openxmlformats.org/spreadsheetml/2006/main" xmlns:r="http://schemas.openxmlformats.org/officeDocument/2006/relationships">
  <dimension ref="A1:Q91"/>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4.7109375" customWidth="1"/>
    <col min="2" max="14" width="8.5703125" customWidth="1"/>
    <col min="15" max="15" width="10.85546875" customWidth="1"/>
    <col min="16" max="16" width="9.7109375" customWidth="1"/>
    <col min="17" max="17" width="9.140625" customWidth="1"/>
  </cols>
  <sheetData>
    <row r="1" spans="1:17" ht="20.25">
      <c r="A1" s="1" t="s">
        <v>403</v>
      </c>
      <c r="B1" s="2"/>
      <c r="C1" s="2"/>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c r="O3" s="2"/>
      <c r="P3" s="2"/>
    </row>
    <row r="4" spans="1:17">
      <c r="A4" s="2" t="s">
        <v>17</v>
      </c>
      <c r="B4" s="2" t="s">
        <v>192</v>
      </c>
      <c r="O4" s="2"/>
      <c r="P4" s="2"/>
    </row>
    <row r="5" spans="1:17">
      <c r="A5" s="5"/>
      <c r="B5" s="6"/>
      <c r="C5" s="6"/>
      <c r="D5" s="6"/>
      <c r="E5" s="6"/>
      <c r="F5" s="6"/>
      <c r="G5" s="6"/>
      <c r="H5" s="6"/>
      <c r="I5" s="6"/>
      <c r="J5" s="6"/>
      <c r="K5" s="6"/>
      <c r="L5" s="6"/>
      <c r="M5" s="6"/>
      <c r="N5" s="6"/>
      <c r="O5" s="5"/>
      <c r="P5" s="5"/>
    </row>
    <row r="6" spans="1:17" ht="25.5">
      <c r="A6" s="14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row>
    <row r="7" spans="1:17">
      <c r="A7" s="67" t="s">
        <v>183</v>
      </c>
      <c r="B7" s="59"/>
      <c r="C7" s="59"/>
      <c r="D7" s="59"/>
      <c r="E7" s="59"/>
      <c r="F7" s="59"/>
      <c r="G7" s="59"/>
      <c r="H7" s="59"/>
      <c r="I7" s="59"/>
      <c r="J7" s="59"/>
      <c r="K7" s="59"/>
      <c r="L7" s="59"/>
      <c r="M7" s="59"/>
      <c r="N7" s="61"/>
      <c r="O7" s="115"/>
      <c r="P7" s="115"/>
    </row>
    <row r="8" spans="1:17">
      <c r="A8" s="71" t="s">
        <v>208</v>
      </c>
      <c r="B8" s="24">
        <v>700</v>
      </c>
      <c r="C8" s="24">
        <v>329</v>
      </c>
      <c r="D8" s="24">
        <v>777</v>
      </c>
      <c r="E8" s="24">
        <v>1351</v>
      </c>
      <c r="F8" s="24">
        <v>1660</v>
      </c>
      <c r="G8" s="24">
        <v>879</v>
      </c>
      <c r="H8" s="24">
        <v>426</v>
      </c>
      <c r="I8" s="24">
        <v>1098</v>
      </c>
      <c r="J8" s="24">
        <v>1402</v>
      </c>
      <c r="K8" s="24">
        <v>1876</v>
      </c>
      <c r="L8" s="24">
        <v>970</v>
      </c>
      <c r="M8" s="24">
        <v>166</v>
      </c>
      <c r="N8" s="73">
        <f>SUM(B8:M8)</f>
        <v>11634</v>
      </c>
      <c r="O8" s="74">
        <v>0</v>
      </c>
      <c r="P8" s="76" t="s">
        <v>231</v>
      </c>
    </row>
    <row r="9" spans="1:17">
      <c r="A9" s="71" t="s">
        <v>257</v>
      </c>
      <c r="B9" s="24">
        <v>290</v>
      </c>
      <c r="C9" s="24">
        <v>97</v>
      </c>
      <c r="D9" s="24">
        <v>294</v>
      </c>
      <c r="E9" s="24">
        <v>488</v>
      </c>
      <c r="F9" s="24">
        <v>599</v>
      </c>
      <c r="G9" s="24">
        <v>304</v>
      </c>
      <c r="H9" s="24">
        <v>158</v>
      </c>
      <c r="I9" s="24">
        <v>370</v>
      </c>
      <c r="J9" s="24">
        <v>480</v>
      </c>
      <c r="K9" s="24">
        <v>527</v>
      </c>
      <c r="L9" s="24">
        <v>293</v>
      </c>
      <c r="M9" s="24">
        <v>104</v>
      </c>
      <c r="N9" s="73">
        <f>SUM(B9:M9)</f>
        <v>4004</v>
      </c>
      <c r="O9" s="10"/>
      <c r="P9" s="2"/>
    </row>
    <row r="10" spans="1:17">
      <c r="A10" s="2"/>
      <c r="B10" s="43"/>
      <c r="C10" s="43"/>
      <c r="D10" s="43"/>
      <c r="E10" s="43"/>
      <c r="F10" s="43"/>
      <c r="G10" s="43"/>
      <c r="H10" s="43"/>
      <c r="I10" s="43"/>
      <c r="J10" s="43"/>
      <c r="K10" s="43"/>
      <c r="L10" s="43"/>
      <c r="M10" s="43"/>
      <c r="N10" s="43"/>
      <c r="O10" s="2"/>
      <c r="P10" s="2"/>
    </row>
    <row r="11" spans="1:17">
      <c r="A11" s="5"/>
      <c r="B11" s="6"/>
      <c r="C11" s="6"/>
      <c r="D11" s="6"/>
      <c r="E11" s="6"/>
      <c r="F11" s="6"/>
      <c r="G11" s="6"/>
      <c r="H11" s="6"/>
      <c r="I11" s="6"/>
      <c r="J11" s="6"/>
      <c r="K11" s="6"/>
      <c r="L11" s="6"/>
      <c r="M11" s="6"/>
      <c r="N11" s="6"/>
      <c r="O11" s="5"/>
      <c r="P11" s="5"/>
    </row>
    <row r="12" spans="1:17" ht="25.5">
      <c r="A12" s="148"/>
      <c r="B12" s="59">
        <v>40360</v>
      </c>
      <c r="C12" s="59">
        <v>40391</v>
      </c>
      <c r="D12" s="59">
        <v>6614787</v>
      </c>
      <c r="E12" s="59">
        <v>40452</v>
      </c>
      <c r="F12" s="59">
        <v>40483</v>
      </c>
      <c r="G12" s="59">
        <v>40513</v>
      </c>
      <c r="H12" s="59">
        <v>40544</v>
      </c>
      <c r="I12" s="59">
        <v>40575</v>
      </c>
      <c r="J12" s="59">
        <v>40603</v>
      </c>
      <c r="K12" s="59">
        <v>40634</v>
      </c>
      <c r="L12" s="59">
        <v>40664</v>
      </c>
      <c r="M12" s="59">
        <v>40695</v>
      </c>
      <c r="N12" s="60" t="s">
        <v>371</v>
      </c>
      <c r="O12" s="61" t="s">
        <v>27</v>
      </c>
      <c r="P12" s="61" t="s">
        <v>175</v>
      </c>
      <c r="Q12" s="2"/>
    </row>
    <row r="13" spans="1:17">
      <c r="A13" s="67" t="s">
        <v>43</v>
      </c>
      <c r="B13" s="53"/>
      <c r="C13" s="53"/>
      <c r="D13" s="53"/>
      <c r="E13" s="53"/>
      <c r="F13" s="53"/>
      <c r="G13" s="53"/>
      <c r="H13" s="53"/>
      <c r="I13" s="53"/>
      <c r="J13" s="53"/>
      <c r="K13" s="53"/>
      <c r="L13" s="53"/>
      <c r="M13" s="53"/>
      <c r="N13" s="53"/>
      <c r="O13" s="82"/>
      <c r="P13" s="82"/>
    </row>
    <row r="14" spans="1:17">
      <c r="A14" s="71" t="s">
        <v>208</v>
      </c>
      <c r="B14" s="24">
        <v>939</v>
      </c>
      <c r="C14" s="24">
        <v>505</v>
      </c>
      <c r="D14" s="24">
        <v>1078</v>
      </c>
      <c r="E14" s="24">
        <v>1943</v>
      </c>
      <c r="F14" s="24">
        <v>2644</v>
      </c>
      <c r="G14" s="24">
        <v>1343</v>
      </c>
      <c r="H14" s="24">
        <v>623</v>
      </c>
      <c r="I14" s="24">
        <v>1787</v>
      </c>
      <c r="J14" s="24">
        <v>2411</v>
      </c>
      <c r="K14" s="24">
        <v>2791</v>
      </c>
      <c r="L14" s="24">
        <v>1290</v>
      </c>
      <c r="M14" s="24">
        <v>197</v>
      </c>
      <c r="N14" s="73">
        <f>SUM(B14:M14)</f>
        <v>17551</v>
      </c>
      <c r="O14" s="74">
        <v>0</v>
      </c>
      <c r="P14" s="76">
        <f>O14/N14</f>
        <v>0</v>
      </c>
    </row>
    <row r="15" spans="1:17">
      <c r="A15" s="71" t="s">
        <v>257</v>
      </c>
      <c r="B15" s="24">
        <v>352</v>
      </c>
      <c r="C15" s="24">
        <v>159</v>
      </c>
      <c r="D15" s="24">
        <v>350</v>
      </c>
      <c r="E15" s="24">
        <v>612</v>
      </c>
      <c r="F15" s="24">
        <v>836</v>
      </c>
      <c r="G15" s="24">
        <v>444</v>
      </c>
      <c r="H15" s="24">
        <v>224</v>
      </c>
      <c r="I15" s="24">
        <v>584</v>
      </c>
      <c r="J15" s="24">
        <v>717</v>
      </c>
      <c r="K15" s="24">
        <v>766</v>
      </c>
      <c r="L15" s="24">
        <v>391</v>
      </c>
      <c r="M15" s="24">
        <v>119</v>
      </c>
      <c r="N15" s="73">
        <f>SUM(B15:M15)</f>
        <v>5554</v>
      </c>
      <c r="O15" s="74"/>
      <c r="P15" s="75"/>
    </row>
    <row r="16" spans="1:17">
      <c r="A16" s="2"/>
      <c r="B16" s="87"/>
      <c r="C16" s="87"/>
      <c r="D16" s="87"/>
      <c r="E16" s="87"/>
      <c r="F16" s="87"/>
      <c r="G16" s="87"/>
      <c r="H16" s="87"/>
      <c r="I16" s="87"/>
      <c r="J16" s="87"/>
      <c r="K16" s="87"/>
      <c r="L16" s="87"/>
      <c r="M16" s="87"/>
      <c r="N16" s="88"/>
      <c r="O16" s="75"/>
      <c r="P16" s="75"/>
    </row>
    <row r="17" spans="1:17">
      <c r="A17" s="5"/>
      <c r="B17" s="5"/>
      <c r="C17" s="5"/>
      <c r="D17" s="5"/>
      <c r="E17" s="5"/>
      <c r="F17" s="5"/>
      <c r="G17" s="5"/>
      <c r="H17" s="5"/>
      <c r="I17" s="5"/>
      <c r="J17" s="5"/>
      <c r="K17" s="5"/>
      <c r="L17" s="5"/>
      <c r="M17" s="5"/>
      <c r="N17" s="127"/>
      <c r="O17" s="91"/>
      <c r="P17" s="91"/>
    </row>
    <row r="18" spans="1:17" ht="25.5">
      <c r="A18" s="148"/>
      <c r="B18" s="59">
        <v>40360</v>
      </c>
      <c r="C18" s="59">
        <v>40391</v>
      </c>
      <c r="D18" s="59">
        <v>6614787</v>
      </c>
      <c r="E18" s="59">
        <v>40452</v>
      </c>
      <c r="F18" s="59">
        <v>40483</v>
      </c>
      <c r="G18" s="59">
        <v>40513</v>
      </c>
      <c r="H18" s="59">
        <v>40544</v>
      </c>
      <c r="I18" s="59">
        <v>40575</v>
      </c>
      <c r="J18" s="59">
        <v>40603</v>
      </c>
      <c r="K18" s="59">
        <v>40634</v>
      </c>
      <c r="L18" s="59">
        <v>40664</v>
      </c>
      <c r="M18" s="59">
        <v>40695</v>
      </c>
      <c r="N18" s="60" t="s">
        <v>371</v>
      </c>
      <c r="O18" s="61" t="s">
        <v>27</v>
      </c>
      <c r="P18" s="61" t="s">
        <v>175</v>
      </c>
      <c r="Q18" s="2"/>
    </row>
    <row r="19" spans="1:17">
      <c r="A19" s="67" t="s">
        <v>102</v>
      </c>
      <c r="B19" s="59"/>
      <c r="C19" s="59"/>
      <c r="D19" s="59"/>
      <c r="E19" s="59"/>
      <c r="F19" s="59"/>
      <c r="G19" s="59"/>
      <c r="H19" s="59"/>
      <c r="I19" s="59"/>
      <c r="J19" s="59"/>
      <c r="K19" s="59"/>
      <c r="L19" s="59"/>
      <c r="M19" s="59"/>
      <c r="N19" s="61"/>
      <c r="O19" s="115"/>
      <c r="P19" s="115"/>
    </row>
    <row r="20" spans="1:17">
      <c r="A20" s="71" t="s">
        <v>208</v>
      </c>
      <c r="B20" s="24">
        <v>760</v>
      </c>
      <c r="C20" s="24">
        <v>342</v>
      </c>
      <c r="D20" s="24">
        <v>733</v>
      </c>
      <c r="E20" s="24">
        <v>1296</v>
      </c>
      <c r="F20" s="24">
        <v>1606</v>
      </c>
      <c r="G20" s="24">
        <v>936</v>
      </c>
      <c r="H20" s="24">
        <v>406</v>
      </c>
      <c r="I20" s="24">
        <v>1307</v>
      </c>
      <c r="J20" s="24">
        <v>1550</v>
      </c>
      <c r="K20" s="24">
        <v>1894</v>
      </c>
      <c r="L20" s="24">
        <v>1030</v>
      </c>
      <c r="M20" s="24">
        <v>169</v>
      </c>
      <c r="N20" s="73">
        <f>SUM(B20:M20)</f>
        <v>12029</v>
      </c>
      <c r="O20" s="74">
        <v>0</v>
      </c>
      <c r="P20" s="76" t="s">
        <v>231</v>
      </c>
    </row>
    <row r="21" spans="1:17">
      <c r="A21" s="71" t="s">
        <v>257</v>
      </c>
      <c r="B21" s="24">
        <v>305</v>
      </c>
      <c r="C21" s="24">
        <v>101</v>
      </c>
      <c r="D21" s="24">
        <v>272</v>
      </c>
      <c r="E21" s="24">
        <v>440</v>
      </c>
      <c r="F21" s="24">
        <v>562</v>
      </c>
      <c r="G21" s="24">
        <v>311</v>
      </c>
      <c r="H21" s="24">
        <v>153</v>
      </c>
      <c r="I21" s="24">
        <v>429</v>
      </c>
      <c r="J21" s="24">
        <v>500</v>
      </c>
      <c r="K21" s="24">
        <v>534</v>
      </c>
      <c r="L21" s="24">
        <v>300</v>
      </c>
      <c r="M21" s="24">
        <v>106</v>
      </c>
      <c r="N21" s="73">
        <f>SUM(B21:M21)</f>
        <v>4013</v>
      </c>
      <c r="O21" s="74"/>
      <c r="P21" s="75"/>
    </row>
    <row r="22" spans="1:17">
      <c r="A22" s="2"/>
      <c r="B22" s="128"/>
      <c r="C22" s="128"/>
      <c r="D22" s="128"/>
      <c r="E22" s="128"/>
      <c r="F22" s="128"/>
      <c r="G22" s="128"/>
      <c r="H22" s="128"/>
      <c r="I22" s="128"/>
      <c r="J22" s="128"/>
      <c r="K22" s="128"/>
      <c r="L22" s="128"/>
      <c r="M22" s="128"/>
      <c r="N22" s="128"/>
      <c r="O22" s="75"/>
      <c r="P22" s="75"/>
    </row>
    <row r="23" spans="1:17">
      <c r="A23" s="5"/>
      <c r="B23" s="127"/>
      <c r="C23" s="127"/>
      <c r="D23" s="127"/>
      <c r="E23" s="127"/>
      <c r="F23" s="127"/>
      <c r="G23" s="127"/>
      <c r="H23" s="127"/>
      <c r="I23" s="127"/>
      <c r="J23" s="127"/>
      <c r="K23" s="127"/>
      <c r="L23" s="127"/>
      <c r="M23" s="127"/>
      <c r="N23" s="127"/>
      <c r="O23" s="91"/>
      <c r="P23" s="91"/>
    </row>
    <row r="24" spans="1:17" ht="25.5">
      <c r="A24" s="148"/>
      <c r="B24" s="59">
        <v>40360</v>
      </c>
      <c r="C24" s="59">
        <v>40391</v>
      </c>
      <c r="D24" s="59">
        <v>6614787</v>
      </c>
      <c r="E24" s="59">
        <v>40452</v>
      </c>
      <c r="F24" s="59">
        <v>40483</v>
      </c>
      <c r="G24" s="59">
        <v>40513</v>
      </c>
      <c r="H24" s="59">
        <v>40544</v>
      </c>
      <c r="I24" s="59">
        <v>40575</v>
      </c>
      <c r="J24" s="59">
        <v>40603</v>
      </c>
      <c r="K24" s="59">
        <v>40634</v>
      </c>
      <c r="L24" s="59">
        <v>40664</v>
      </c>
      <c r="M24" s="59">
        <v>40695</v>
      </c>
      <c r="N24" s="60" t="s">
        <v>371</v>
      </c>
      <c r="O24" s="61" t="s">
        <v>27</v>
      </c>
      <c r="P24" s="61" t="s">
        <v>175</v>
      </c>
      <c r="Q24" s="2"/>
    </row>
    <row r="25" spans="1:17">
      <c r="A25" s="67" t="s">
        <v>84</v>
      </c>
      <c r="B25" s="59"/>
      <c r="C25" s="59"/>
      <c r="D25" s="59"/>
      <c r="E25" s="59"/>
      <c r="F25" s="59"/>
      <c r="G25" s="59"/>
      <c r="H25" s="59"/>
      <c r="I25" s="59"/>
      <c r="J25" s="59"/>
      <c r="K25" s="59"/>
      <c r="L25" s="59"/>
      <c r="M25" s="59"/>
      <c r="N25" s="61"/>
      <c r="O25" s="115"/>
      <c r="P25" s="115"/>
    </row>
    <row r="26" spans="1:17">
      <c r="A26" s="71" t="s">
        <v>208</v>
      </c>
      <c r="B26" s="24">
        <v>753</v>
      </c>
      <c r="C26" s="24">
        <v>404</v>
      </c>
      <c r="D26" s="24">
        <v>866</v>
      </c>
      <c r="E26" s="24">
        <v>1590</v>
      </c>
      <c r="F26" s="24">
        <v>1652</v>
      </c>
      <c r="G26" s="24">
        <v>786</v>
      </c>
      <c r="H26" s="24">
        <v>502</v>
      </c>
      <c r="I26" s="24">
        <v>1310</v>
      </c>
      <c r="J26" s="24">
        <v>1576</v>
      </c>
      <c r="K26" s="24">
        <v>1886</v>
      </c>
      <c r="L26" s="24">
        <v>1111</v>
      </c>
      <c r="M26" s="24">
        <v>197</v>
      </c>
      <c r="N26" s="73">
        <f>SUM(B26:M26)</f>
        <v>12633</v>
      </c>
      <c r="O26" s="74">
        <v>0</v>
      </c>
      <c r="P26" s="76" t="s">
        <v>231</v>
      </c>
    </row>
    <row r="27" spans="1:17">
      <c r="A27" s="2"/>
      <c r="B27" s="82"/>
      <c r="C27" s="82"/>
      <c r="D27" s="82"/>
      <c r="E27" s="82" t="s">
        <v>15</v>
      </c>
      <c r="F27" s="82"/>
      <c r="G27" s="82"/>
      <c r="H27" s="82"/>
      <c r="I27" s="82"/>
      <c r="J27" s="82"/>
      <c r="K27" s="82"/>
      <c r="L27" s="82"/>
      <c r="M27" s="82"/>
      <c r="N27" s="128"/>
      <c r="O27" s="75"/>
      <c r="P27" s="75"/>
    </row>
    <row r="28" spans="1:17">
      <c r="A28" s="5"/>
      <c r="B28" s="5"/>
      <c r="C28" s="5"/>
      <c r="D28" s="5"/>
      <c r="E28" s="5" t="s">
        <v>15</v>
      </c>
      <c r="F28" s="5"/>
      <c r="G28" s="5"/>
      <c r="H28" s="5"/>
      <c r="I28" s="5"/>
      <c r="J28" s="5"/>
      <c r="K28" s="5"/>
      <c r="L28" s="5"/>
      <c r="M28" s="5"/>
      <c r="N28" s="127"/>
      <c r="O28" s="91"/>
      <c r="P28" s="91"/>
    </row>
    <row r="29" spans="1:17" ht="25.5">
      <c r="A29" s="148"/>
      <c r="B29" s="59">
        <v>40360</v>
      </c>
      <c r="C29" s="59">
        <v>40391</v>
      </c>
      <c r="D29" s="59">
        <v>6614787</v>
      </c>
      <c r="E29" s="59">
        <v>40452</v>
      </c>
      <c r="F29" s="59">
        <v>40483</v>
      </c>
      <c r="G29" s="59">
        <v>40513</v>
      </c>
      <c r="H29" s="59">
        <v>40544</v>
      </c>
      <c r="I29" s="59">
        <v>40575</v>
      </c>
      <c r="J29" s="59">
        <v>40603</v>
      </c>
      <c r="K29" s="59">
        <v>40634</v>
      </c>
      <c r="L29" s="59">
        <v>40664</v>
      </c>
      <c r="M29" s="59">
        <v>40695</v>
      </c>
      <c r="N29" s="60" t="s">
        <v>371</v>
      </c>
      <c r="O29" s="61" t="s">
        <v>27</v>
      </c>
      <c r="P29" s="61" t="s">
        <v>175</v>
      </c>
    </row>
    <row r="30" spans="1:17">
      <c r="A30" s="67" t="s">
        <v>83</v>
      </c>
      <c r="B30" s="59"/>
      <c r="C30" s="59"/>
      <c r="D30" s="59"/>
      <c r="E30" s="59"/>
      <c r="F30" s="59"/>
      <c r="G30" s="59"/>
      <c r="H30" s="59"/>
      <c r="I30" s="59"/>
      <c r="J30" s="59"/>
      <c r="K30" s="59"/>
      <c r="L30" s="59"/>
      <c r="M30" s="59"/>
      <c r="N30" s="61"/>
      <c r="O30" s="115"/>
      <c r="P30" s="115"/>
    </row>
    <row r="31" spans="1:17">
      <c r="A31" s="71" t="s">
        <v>208</v>
      </c>
      <c r="B31" s="24">
        <v>675</v>
      </c>
      <c r="C31" s="24">
        <v>389</v>
      </c>
      <c r="D31" s="24">
        <v>802</v>
      </c>
      <c r="E31" s="24">
        <v>1460</v>
      </c>
      <c r="F31" s="24">
        <v>1575</v>
      </c>
      <c r="G31" s="24">
        <v>740</v>
      </c>
      <c r="H31" s="24">
        <v>460</v>
      </c>
      <c r="I31" s="24">
        <v>1227</v>
      </c>
      <c r="J31" s="24">
        <v>1468</v>
      </c>
      <c r="K31" s="24">
        <v>1768</v>
      </c>
      <c r="L31" s="24">
        <v>1028</v>
      </c>
      <c r="M31" s="24">
        <v>180</v>
      </c>
      <c r="N31" s="73">
        <f>SUM(B31:M31)</f>
        <v>11772</v>
      </c>
      <c r="O31" s="74">
        <v>0</v>
      </c>
      <c r="P31" s="76">
        <f>O31/N31</f>
        <v>0</v>
      </c>
    </row>
    <row r="32" spans="1:17">
      <c r="A32" s="71" t="s">
        <v>257</v>
      </c>
      <c r="B32" s="24">
        <v>283</v>
      </c>
      <c r="C32" s="24">
        <v>126</v>
      </c>
      <c r="D32" s="24">
        <v>295</v>
      </c>
      <c r="E32" s="24">
        <v>488</v>
      </c>
      <c r="F32" s="24">
        <v>573</v>
      </c>
      <c r="G32" s="24">
        <v>301</v>
      </c>
      <c r="H32" s="24">
        <v>180</v>
      </c>
      <c r="I32" s="24">
        <v>409</v>
      </c>
      <c r="J32" s="24">
        <v>532</v>
      </c>
      <c r="K32" s="24">
        <v>552</v>
      </c>
      <c r="L32" s="24">
        <v>346</v>
      </c>
      <c r="M32" s="24">
        <v>116</v>
      </c>
      <c r="N32" s="73">
        <f>SUM(B32:M32)</f>
        <v>4201</v>
      </c>
      <c r="O32" s="74"/>
      <c r="P32" s="75"/>
    </row>
    <row r="33" spans="1:17">
      <c r="B33" s="43"/>
      <c r="C33" s="43"/>
      <c r="D33" s="43"/>
      <c r="E33" s="43"/>
      <c r="F33" s="43"/>
      <c r="G33" s="43"/>
      <c r="H33" s="43"/>
      <c r="I33" s="43"/>
      <c r="J33" s="43"/>
      <c r="K33" s="43"/>
      <c r="L33" s="43"/>
      <c r="M33" s="43"/>
      <c r="N33" s="43"/>
    </row>
    <row r="34" spans="1:17">
      <c r="A34" s="6"/>
      <c r="B34" s="6"/>
      <c r="C34" s="6"/>
      <c r="D34" s="6"/>
      <c r="E34" s="6"/>
      <c r="F34" s="6"/>
      <c r="G34" s="6"/>
      <c r="H34" s="6"/>
      <c r="I34" s="6"/>
      <c r="J34" s="6"/>
      <c r="K34" s="6"/>
      <c r="L34" s="6"/>
      <c r="M34" s="6"/>
      <c r="N34" s="6"/>
      <c r="O34" s="6"/>
      <c r="P34" s="6"/>
    </row>
    <row r="35" spans="1:17" ht="25.5">
      <c r="A35" s="148"/>
      <c r="B35" s="59">
        <v>40360</v>
      </c>
      <c r="C35" s="59">
        <v>40391</v>
      </c>
      <c r="D35" s="59">
        <v>6614787</v>
      </c>
      <c r="E35" s="59">
        <v>40452</v>
      </c>
      <c r="F35" s="59">
        <v>40483</v>
      </c>
      <c r="G35" s="59">
        <v>40513</v>
      </c>
      <c r="H35" s="59">
        <v>40544</v>
      </c>
      <c r="I35" s="59">
        <v>40575</v>
      </c>
      <c r="J35" s="59">
        <v>40603</v>
      </c>
      <c r="K35" s="59">
        <v>40634</v>
      </c>
      <c r="L35" s="59">
        <v>40664</v>
      </c>
      <c r="M35" s="59">
        <v>40695</v>
      </c>
      <c r="N35" s="60" t="s">
        <v>371</v>
      </c>
      <c r="O35" s="61" t="s">
        <v>27</v>
      </c>
      <c r="P35" s="61" t="s">
        <v>175</v>
      </c>
    </row>
    <row r="36" spans="1:17" ht="38.25">
      <c r="A36" s="115" t="s">
        <v>24</v>
      </c>
      <c r="B36" s="59"/>
      <c r="C36" s="59"/>
      <c r="D36" s="59"/>
      <c r="E36" s="59"/>
      <c r="F36" s="59"/>
      <c r="G36" s="59"/>
      <c r="H36" s="59"/>
      <c r="I36" s="59"/>
      <c r="J36" s="59"/>
      <c r="K36" s="59"/>
      <c r="L36" s="59"/>
      <c r="M36" s="59"/>
      <c r="N36" s="61"/>
      <c r="O36" s="115"/>
      <c r="P36" s="115"/>
    </row>
    <row r="37" spans="1:17">
      <c r="A37" s="71" t="s">
        <v>208</v>
      </c>
      <c r="B37" s="24">
        <v>753</v>
      </c>
      <c r="C37" s="24">
        <v>404</v>
      </c>
      <c r="D37" s="24">
        <v>863</v>
      </c>
      <c r="E37" s="24">
        <v>1589</v>
      </c>
      <c r="F37" s="24">
        <v>1652</v>
      </c>
      <c r="G37" s="24">
        <v>786</v>
      </c>
      <c r="H37" s="24">
        <v>502</v>
      </c>
      <c r="I37" s="24">
        <v>1310</v>
      </c>
      <c r="J37" s="24">
        <v>1571</v>
      </c>
      <c r="K37" s="24">
        <v>1886</v>
      </c>
      <c r="L37" s="24">
        <v>1111</v>
      </c>
      <c r="M37" s="24">
        <v>197</v>
      </c>
      <c r="N37" s="73">
        <f>SUM(B37:M37)</f>
        <v>12624</v>
      </c>
      <c r="O37" s="74">
        <v>0</v>
      </c>
      <c r="P37" s="76" t="s">
        <v>231</v>
      </c>
    </row>
    <row r="38" spans="1:17">
      <c r="A38" s="71" t="s">
        <v>257</v>
      </c>
      <c r="B38" s="24">
        <v>317</v>
      </c>
      <c r="C38" s="24">
        <v>132</v>
      </c>
      <c r="D38" s="24">
        <v>318</v>
      </c>
      <c r="E38" s="24">
        <v>523</v>
      </c>
      <c r="F38" s="24">
        <v>604</v>
      </c>
      <c r="G38" s="24">
        <v>316</v>
      </c>
      <c r="H38" s="24">
        <v>198</v>
      </c>
      <c r="I38" s="24">
        <v>431</v>
      </c>
      <c r="J38" s="24">
        <v>578</v>
      </c>
      <c r="K38" s="24">
        <v>596</v>
      </c>
      <c r="L38" s="24">
        <v>374</v>
      </c>
      <c r="M38" s="24">
        <v>130</v>
      </c>
      <c r="N38" s="73">
        <f>SUM(B38:M38)</f>
        <v>4517</v>
      </c>
      <c r="O38" s="74"/>
      <c r="P38" s="75"/>
    </row>
    <row r="39" spans="1:17">
      <c r="B39" s="43"/>
      <c r="C39" s="43"/>
      <c r="D39" s="43"/>
      <c r="E39" s="43"/>
      <c r="F39" s="43"/>
      <c r="G39" s="43"/>
      <c r="H39" s="43"/>
      <c r="I39" s="43"/>
      <c r="J39" s="43"/>
      <c r="K39" s="43"/>
      <c r="L39" s="43"/>
      <c r="M39" s="43"/>
      <c r="N39" s="43"/>
    </row>
    <row r="40" spans="1:17">
      <c r="A40" s="6"/>
      <c r="B40" s="6"/>
      <c r="C40" s="6"/>
      <c r="D40" s="6"/>
      <c r="E40" s="6"/>
      <c r="F40" s="6"/>
      <c r="G40" s="6"/>
      <c r="H40" s="6"/>
      <c r="I40" s="6"/>
      <c r="J40" s="6"/>
      <c r="K40" s="6"/>
      <c r="L40" s="6"/>
      <c r="M40" s="6"/>
      <c r="N40" s="6"/>
      <c r="O40" s="6"/>
      <c r="P40" s="6"/>
    </row>
    <row r="41" spans="1:17" ht="25.5">
      <c r="A41" s="148"/>
      <c r="B41" s="59">
        <v>40360</v>
      </c>
      <c r="C41" s="59">
        <v>40391</v>
      </c>
      <c r="D41" s="59">
        <v>6614787</v>
      </c>
      <c r="E41" s="59">
        <v>40452</v>
      </c>
      <c r="F41" s="59">
        <v>40483</v>
      </c>
      <c r="G41" s="59">
        <v>40513</v>
      </c>
      <c r="H41" s="59">
        <v>40544</v>
      </c>
      <c r="I41" s="59">
        <v>40575</v>
      </c>
      <c r="J41" s="59">
        <v>40603</v>
      </c>
      <c r="K41" s="59">
        <v>40634</v>
      </c>
      <c r="L41" s="59">
        <v>40664</v>
      </c>
      <c r="M41" s="59">
        <v>40695</v>
      </c>
      <c r="N41" s="60" t="s">
        <v>371</v>
      </c>
      <c r="O41" s="61" t="s">
        <v>27</v>
      </c>
      <c r="P41" s="61" t="s">
        <v>175</v>
      </c>
      <c r="Q41" s="2"/>
    </row>
    <row r="42" spans="1:17">
      <c r="A42" s="67" t="s">
        <v>377</v>
      </c>
      <c r="B42" s="59"/>
      <c r="C42" s="59"/>
      <c r="D42" s="59"/>
      <c r="E42" s="53"/>
      <c r="F42" s="53"/>
      <c r="G42" s="59"/>
      <c r="H42" s="59"/>
      <c r="I42" s="59"/>
      <c r="J42" s="59"/>
      <c r="K42" s="59"/>
      <c r="L42" s="59"/>
      <c r="M42" s="59"/>
      <c r="N42" s="61"/>
      <c r="O42" s="115"/>
      <c r="P42" s="115"/>
    </row>
    <row r="43" spans="1:17">
      <c r="A43" s="71" t="s">
        <v>208</v>
      </c>
      <c r="B43" s="24">
        <v>446</v>
      </c>
      <c r="C43" s="24">
        <v>287</v>
      </c>
      <c r="D43" s="24">
        <v>683</v>
      </c>
      <c r="E43" s="24">
        <v>1154</v>
      </c>
      <c r="F43" s="24">
        <v>1470</v>
      </c>
      <c r="G43" s="24">
        <v>751</v>
      </c>
      <c r="H43" s="24">
        <v>356</v>
      </c>
      <c r="I43" s="24">
        <v>145</v>
      </c>
      <c r="J43" s="24">
        <v>1317</v>
      </c>
      <c r="K43" s="24">
        <v>1769</v>
      </c>
      <c r="L43" s="24">
        <v>911</v>
      </c>
      <c r="M43" s="24">
        <v>162</v>
      </c>
      <c r="N43" s="73">
        <f>SUM(B43:M43)</f>
        <v>9451</v>
      </c>
      <c r="O43" s="74">
        <v>0</v>
      </c>
      <c r="P43" s="76" t="s">
        <v>231</v>
      </c>
    </row>
    <row r="44" spans="1:17">
      <c r="A44" s="71" t="s">
        <v>257</v>
      </c>
      <c r="B44" s="24">
        <v>207</v>
      </c>
      <c r="C44" s="24">
        <v>91</v>
      </c>
      <c r="D44" s="24">
        <v>249</v>
      </c>
      <c r="E44" s="24">
        <v>415</v>
      </c>
      <c r="F44" s="24">
        <v>527</v>
      </c>
      <c r="G44" s="24">
        <v>280</v>
      </c>
      <c r="H44" s="24">
        <v>147</v>
      </c>
      <c r="I44" s="24">
        <v>364</v>
      </c>
      <c r="J44" s="24">
        <v>441</v>
      </c>
      <c r="K44" s="24">
        <v>508</v>
      </c>
      <c r="L44" s="24">
        <v>283</v>
      </c>
      <c r="M44" s="24">
        <v>103</v>
      </c>
      <c r="N44" s="73">
        <f>SUM(B44:M44)</f>
        <v>3615</v>
      </c>
      <c r="O44" s="74"/>
      <c r="P44" s="76"/>
    </row>
    <row r="45" spans="1:17">
      <c r="B45" s="43"/>
      <c r="C45" s="43"/>
      <c r="D45" s="43"/>
      <c r="E45" s="43"/>
      <c r="F45" s="43"/>
      <c r="G45" s="43"/>
      <c r="H45" s="43"/>
      <c r="I45" s="43"/>
      <c r="J45" s="43"/>
      <c r="K45" s="43"/>
      <c r="L45" s="43"/>
      <c r="M45" s="43"/>
      <c r="N45" s="43"/>
    </row>
    <row r="46" spans="1:17">
      <c r="A46" s="5"/>
      <c r="B46" s="5"/>
      <c r="C46" s="5"/>
      <c r="D46" s="5"/>
      <c r="E46" s="5"/>
      <c r="F46" s="5"/>
      <c r="G46" s="5"/>
      <c r="H46" s="5"/>
      <c r="I46" s="5"/>
      <c r="J46" s="5"/>
      <c r="K46" s="5"/>
      <c r="L46" s="5"/>
      <c r="M46" s="5"/>
      <c r="N46" s="127"/>
      <c r="O46" s="91"/>
      <c r="P46" s="91"/>
    </row>
    <row r="47" spans="1:17" ht="25.5">
      <c r="A47" s="148"/>
      <c r="B47" s="59">
        <v>40360</v>
      </c>
      <c r="C47" s="59">
        <v>40391</v>
      </c>
      <c r="D47" s="59">
        <v>6614787</v>
      </c>
      <c r="E47" s="59">
        <v>40452</v>
      </c>
      <c r="F47" s="59">
        <v>40483</v>
      </c>
      <c r="G47" s="59">
        <v>40513</v>
      </c>
      <c r="H47" s="59">
        <v>40544</v>
      </c>
      <c r="I47" s="59">
        <v>40575</v>
      </c>
      <c r="J47" s="59">
        <v>40603</v>
      </c>
      <c r="K47" s="59">
        <v>40634</v>
      </c>
      <c r="L47" s="59">
        <v>40664</v>
      </c>
      <c r="M47" s="59">
        <v>40695</v>
      </c>
      <c r="N47" s="60" t="s">
        <v>371</v>
      </c>
      <c r="O47" s="61" t="s">
        <v>27</v>
      </c>
      <c r="P47" s="61" t="s">
        <v>175</v>
      </c>
      <c r="Q47" s="2"/>
    </row>
    <row r="48" spans="1:17">
      <c r="A48" s="67" t="s">
        <v>395</v>
      </c>
      <c r="B48" s="59"/>
      <c r="C48" s="59"/>
      <c r="D48" s="59"/>
      <c r="E48" s="53"/>
      <c r="F48" s="53"/>
      <c r="G48" s="59"/>
      <c r="H48" s="59"/>
      <c r="I48" s="59"/>
      <c r="J48" s="59"/>
      <c r="K48" s="59"/>
      <c r="L48" s="59"/>
      <c r="M48" s="59"/>
      <c r="N48" s="61"/>
      <c r="O48" s="115"/>
      <c r="P48" s="115"/>
    </row>
    <row r="49" spans="1:16">
      <c r="A49" s="71" t="s">
        <v>208</v>
      </c>
      <c r="B49" s="24" t="s">
        <v>231</v>
      </c>
      <c r="C49" s="24" t="s">
        <v>231</v>
      </c>
      <c r="D49" s="24" t="s">
        <v>231</v>
      </c>
      <c r="E49" s="24" t="s">
        <v>231</v>
      </c>
      <c r="F49" s="24" t="s">
        <v>231</v>
      </c>
      <c r="G49" s="24" t="s">
        <v>231</v>
      </c>
      <c r="H49" s="149" t="s">
        <v>231</v>
      </c>
      <c r="I49" s="149" t="s">
        <v>231</v>
      </c>
      <c r="J49" s="149" t="s">
        <v>231</v>
      </c>
      <c r="K49" s="149" t="s">
        <v>231</v>
      </c>
      <c r="L49" s="149" t="s">
        <v>231</v>
      </c>
      <c r="M49" s="149" t="s">
        <v>231</v>
      </c>
      <c r="N49" s="73">
        <f>SUM(B49:M49)</f>
        <v>0</v>
      </c>
      <c r="O49" s="74">
        <v>0</v>
      </c>
      <c r="P49" s="76" t="s">
        <v>231</v>
      </c>
    </row>
    <row r="50" spans="1:16">
      <c r="A50" s="71" t="s">
        <v>257</v>
      </c>
      <c r="B50" s="24" t="s">
        <v>231</v>
      </c>
      <c r="C50" s="24" t="s">
        <v>231</v>
      </c>
      <c r="D50" s="24" t="s">
        <v>231</v>
      </c>
      <c r="E50" s="24" t="s">
        <v>231</v>
      </c>
      <c r="F50" s="24" t="s">
        <v>231</v>
      </c>
      <c r="G50" s="24" t="s">
        <v>231</v>
      </c>
      <c r="H50" s="33" t="s">
        <v>231</v>
      </c>
      <c r="I50" s="33" t="s">
        <v>231</v>
      </c>
      <c r="J50" s="33" t="s">
        <v>231</v>
      </c>
      <c r="K50" s="33" t="s">
        <v>231</v>
      </c>
      <c r="L50" s="33" t="s">
        <v>231</v>
      </c>
      <c r="M50" s="33" t="s">
        <v>231</v>
      </c>
      <c r="N50" s="73">
        <f>SUM(B50:M50)</f>
        <v>0</v>
      </c>
      <c r="O50" s="74"/>
      <c r="P50" s="76"/>
    </row>
    <row r="51" spans="1:16">
      <c r="A51" s="2"/>
      <c r="B51" s="87"/>
      <c r="C51" s="87"/>
      <c r="D51" s="87"/>
      <c r="E51" s="87"/>
      <c r="F51" s="87"/>
      <c r="G51" s="87"/>
      <c r="H51" s="87"/>
      <c r="I51" s="87"/>
      <c r="J51" s="87"/>
      <c r="K51" s="87"/>
      <c r="L51" s="87"/>
      <c r="M51" s="87"/>
      <c r="N51" s="88"/>
      <c r="O51" s="75"/>
      <c r="P51" s="76"/>
    </row>
    <row r="52" spans="1:16">
      <c r="A52" s="5"/>
      <c r="B52" s="89"/>
      <c r="C52" s="89"/>
      <c r="D52" s="89"/>
      <c r="E52" s="89"/>
      <c r="F52" s="89"/>
      <c r="G52" s="89"/>
      <c r="H52" s="89"/>
      <c r="I52" s="89"/>
      <c r="J52" s="89"/>
      <c r="K52" s="89"/>
      <c r="L52" s="89"/>
      <c r="M52" s="89"/>
      <c r="N52" s="90"/>
      <c r="O52" s="91"/>
      <c r="P52" s="103"/>
    </row>
    <row r="53" spans="1:16" ht="25.5">
      <c r="A53" s="148"/>
      <c r="B53" s="59">
        <v>40360</v>
      </c>
      <c r="C53" s="59">
        <v>40391</v>
      </c>
      <c r="D53" s="59">
        <v>6614787</v>
      </c>
      <c r="E53" s="59">
        <v>40452</v>
      </c>
      <c r="F53" s="59">
        <v>40483</v>
      </c>
      <c r="G53" s="59">
        <v>40513</v>
      </c>
      <c r="H53" s="59">
        <v>40544</v>
      </c>
      <c r="I53" s="59">
        <v>40575</v>
      </c>
      <c r="J53" s="59">
        <v>40603</v>
      </c>
      <c r="K53" s="59">
        <v>40634</v>
      </c>
      <c r="L53" s="59">
        <v>40664</v>
      </c>
      <c r="M53" s="59">
        <v>40695</v>
      </c>
      <c r="N53" s="60" t="s">
        <v>371</v>
      </c>
      <c r="O53" s="61" t="s">
        <v>27</v>
      </c>
      <c r="P53" s="61" t="s">
        <v>175</v>
      </c>
    </row>
    <row r="54" spans="1:16" ht="25.5">
      <c r="A54" s="115" t="s">
        <v>74</v>
      </c>
      <c r="B54" s="59"/>
      <c r="C54" s="59"/>
      <c r="D54" s="59"/>
      <c r="E54" s="59"/>
      <c r="F54" s="59"/>
      <c r="G54" s="59"/>
      <c r="H54" s="59"/>
      <c r="I54" s="59"/>
      <c r="J54" s="59"/>
      <c r="K54" s="59"/>
      <c r="L54" s="59"/>
      <c r="M54" s="59"/>
      <c r="N54" s="61"/>
      <c r="O54" s="115"/>
      <c r="P54" s="115"/>
    </row>
    <row r="55" spans="1:16">
      <c r="A55" s="71" t="s">
        <v>208</v>
      </c>
      <c r="B55" s="24" t="s">
        <v>231</v>
      </c>
      <c r="C55" s="24" t="s">
        <v>231</v>
      </c>
      <c r="D55" s="24" t="s">
        <v>231</v>
      </c>
      <c r="E55" s="24" t="s">
        <v>231</v>
      </c>
      <c r="F55" s="24" t="s">
        <v>231</v>
      </c>
      <c r="G55" s="24" t="s">
        <v>231</v>
      </c>
      <c r="H55" s="24" t="s">
        <v>231</v>
      </c>
      <c r="I55" s="24" t="s">
        <v>231</v>
      </c>
      <c r="J55" s="24" t="s">
        <v>231</v>
      </c>
      <c r="K55" s="24" t="s">
        <v>231</v>
      </c>
      <c r="L55" s="24" t="s">
        <v>231</v>
      </c>
      <c r="M55" s="24" t="s">
        <v>231</v>
      </c>
      <c r="N55" s="73">
        <f>SUM(B55:M55)</f>
        <v>0</v>
      </c>
      <c r="O55" s="74">
        <v>0</v>
      </c>
      <c r="P55" s="76" t="s">
        <v>231</v>
      </c>
    </row>
    <row r="56" spans="1:16">
      <c r="A56" s="71" t="s">
        <v>257</v>
      </c>
      <c r="B56" s="24" t="s">
        <v>231</v>
      </c>
      <c r="C56" s="24" t="s">
        <v>231</v>
      </c>
      <c r="D56" s="24" t="s">
        <v>231</v>
      </c>
      <c r="E56" s="24" t="s">
        <v>231</v>
      </c>
      <c r="F56" s="24" t="s">
        <v>231</v>
      </c>
      <c r="G56" s="24" t="s">
        <v>231</v>
      </c>
      <c r="H56" s="24" t="s">
        <v>231</v>
      </c>
      <c r="I56" s="24" t="s">
        <v>231</v>
      </c>
      <c r="J56" s="24" t="s">
        <v>231</v>
      </c>
      <c r="K56" s="24" t="s">
        <v>231</v>
      </c>
      <c r="L56" s="24" t="s">
        <v>231</v>
      </c>
      <c r="M56" s="24" t="s">
        <v>231</v>
      </c>
      <c r="N56" s="73">
        <f>SUM(B56:M56)</f>
        <v>0</v>
      </c>
      <c r="O56" s="74"/>
      <c r="P56" s="76"/>
    </row>
    <row r="57" spans="1:16">
      <c r="A57" s="2"/>
      <c r="B57" s="87"/>
      <c r="C57" s="87"/>
      <c r="D57" s="87"/>
      <c r="E57" s="87"/>
      <c r="F57" s="87"/>
      <c r="G57" s="87"/>
      <c r="H57" s="87"/>
      <c r="I57" s="87"/>
      <c r="J57" s="87"/>
      <c r="K57" s="87"/>
      <c r="L57" s="87"/>
      <c r="M57" s="87"/>
      <c r="N57" s="88"/>
      <c r="O57" s="75"/>
      <c r="P57" s="76"/>
    </row>
    <row r="58" spans="1:16">
      <c r="A58" s="5"/>
      <c r="B58" s="89"/>
      <c r="C58" s="89"/>
      <c r="D58" s="89"/>
      <c r="E58" s="89"/>
      <c r="F58" s="89"/>
      <c r="G58" s="89"/>
      <c r="H58" s="89"/>
      <c r="I58" s="89"/>
      <c r="J58" s="89"/>
      <c r="K58" s="89"/>
      <c r="L58" s="89"/>
      <c r="M58" s="89"/>
      <c r="N58" s="90"/>
      <c r="O58" s="91"/>
      <c r="P58" s="103"/>
    </row>
    <row r="59" spans="1:16" ht="25.5">
      <c r="A59" s="148"/>
      <c r="B59" s="59">
        <v>40360</v>
      </c>
      <c r="C59" s="59">
        <v>40391</v>
      </c>
      <c r="D59" s="59">
        <v>6614787</v>
      </c>
      <c r="E59" s="59">
        <v>40452</v>
      </c>
      <c r="F59" s="59">
        <v>40483</v>
      </c>
      <c r="G59" s="59">
        <v>40513</v>
      </c>
      <c r="H59" s="59">
        <v>40544</v>
      </c>
      <c r="I59" s="59">
        <v>40575</v>
      </c>
      <c r="J59" s="59">
        <v>40603</v>
      </c>
      <c r="K59" s="59">
        <v>40634</v>
      </c>
      <c r="L59" s="59">
        <v>40664</v>
      </c>
      <c r="M59" s="59">
        <v>40695</v>
      </c>
      <c r="N59" s="60" t="s">
        <v>371</v>
      </c>
      <c r="O59" s="61" t="s">
        <v>27</v>
      </c>
      <c r="P59" s="61" t="s">
        <v>175</v>
      </c>
    </row>
    <row r="60" spans="1:16">
      <c r="A60" s="67" t="s">
        <v>193</v>
      </c>
      <c r="B60" s="59"/>
      <c r="C60" s="59"/>
      <c r="D60" s="59"/>
      <c r="E60" s="59"/>
      <c r="F60" s="59"/>
      <c r="G60" s="59"/>
      <c r="H60" s="59"/>
      <c r="I60" s="59"/>
      <c r="J60" s="59"/>
      <c r="K60" s="59"/>
      <c r="L60" s="59"/>
      <c r="M60" s="59"/>
      <c r="N60" s="61"/>
      <c r="O60" s="115"/>
      <c r="P60" s="115"/>
    </row>
    <row r="61" spans="1:16">
      <c r="A61" s="71" t="s">
        <v>208</v>
      </c>
      <c r="B61" s="24">
        <v>799</v>
      </c>
      <c r="C61" s="24">
        <v>319</v>
      </c>
      <c r="D61" s="24">
        <v>841</v>
      </c>
      <c r="E61" s="24">
        <v>1635</v>
      </c>
      <c r="F61" s="24">
        <v>1728</v>
      </c>
      <c r="G61" s="24">
        <v>962</v>
      </c>
      <c r="H61" s="24">
        <v>522</v>
      </c>
      <c r="I61" s="24">
        <v>1361</v>
      </c>
      <c r="J61" s="24">
        <v>1546</v>
      </c>
      <c r="K61" s="24">
        <v>1863</v>
      </c>
      <c r="L61" s="24">
        <v>1004</v>
      </c>
      <c r="M61" s="24">
        <v>178</v>
      </c>
      <c r="N61" s="73">
        <f>SUM(B61:M61)</f>
        <v>12758</v>
      </c>
      <c r="O61" s="74">
        <v>0</v>
      </c>
      <c r="P61" s="76">
        <f>O61/N61</f>
        <v>0</v>
      </c>
    </row>
    <row r="62" spans="1:16">
      <c r="A62" s="71" t="s">
        <v>257</v>
      </c>
      <c r="B62" s="12">
        <v>337</v>
      </c>
      <c r="C62" s="12">
        <v>95</v>
      </c>
      <c r="D62" s="12">
        <v>311</v>
      </c>
      <c r="E62" s="12">
        <v>566</v>
      </c>
      <c r="F62" s="12">
        <v>636</v>
      </c>
      <c r="G62" s="12">
        <v>345</v>
      </c>
      <c r="H62" s="12">
        <v>191</v>
      </c>
      <c r="I62" s="12">
        <v>444</v>
      </c>
      <c r="J62" s="12">
        <v>534</v>
      </c>
      <c r="K62" s="12">
        <v>543</v>
      </c>
      <c r="L62" s="12">
        <v>311</v>
      </c>
      <c r="M62" s="12">
        <v>107</v>
      </c>
      <c r="N62" s="73">
        <f>SUM(B62:M62)</f>
        <v>4420</v>
      </c>
      <c r="O62" s="74"/>
      <c r="P62" s="75"/>
    </row>
    <row r="63" spans="1:16">
      <c r="A63" s="2"/>
      <c r="B63" s="87"/>
      <c r="C63" s="87"/>
      <c r="D63" s="87"/>
      <c r="E63" s="87"/>
      <c r="F63" s="87"/>
      <c r="G63" s="87"/>
      <c r="H63" s="87"/>
      <c r="I63" s="87"/>
      <c r="J63" s="87"/>
      <c r="K63" s="87"/>
      <c r="L63" s="87"/>
      <c r="M63" s="87"/>
      <c r="N63" s="88"/>
      <c r="O63" s="75"/>
      <c r="P63" s="76"/>
    </row>
    <row r="64" spans="1:16">
      <c r="A64" s="5"/>
      <c r="B64" s="89"/>
      <c r="C64" s="89"/>
      <c r="D64" s="89"/>
      <c r="E64" s="89"/>
      <c r="F64" s="89"/>
      <c r="G64" s="89"/>
      <c r="H64" s="89"/>
      <c r="I64" s="89"/>
      <c r="J64" s="89"/>
      <c r="K64" s="89"/>
      <c r="L64" s="89"/>
      <c r="M64" s="89"/>
      <c r="N64" s="90"/>
      <c r="O64" s="91"/>
      <c r="P64" s="103"/>
    </row>
    <row r="65" spans="1:17" ht="25.5">
      <c r="A65" s="148"/>
      <c r="B65" s="59">
        <v>40360</v>
      </c>
      <c r="C65" s="59">
        <v>40391</v>
      </c>
      <c r="D65" s="59">
        <v>6614787</v>
      </c>
      <c r="E65" s="59">
        <v>40452</v>
      </c>
      <c r="F65" s="59">
        <v>40483</v>
      </c>
      <c r="G65" s="59">
        <v>40513</v>
      </c>
      <c r="H65" s="59">
        <v>40544</v>
      </c>
      <c r="I65" s="59">
        <v>40575</v>
      </c>
      <c r="J65" s="59">
        <v>40603</v>
      </c>
      <c r="K65" s="59">
        <v>40634</v>
      </c>
      <c r="L65" s="59">
        <v>40664</v>
      </c>
      <c r="M65" s="59">
        <v>40695</v>
      </c>
      <c r="N65" s="60" t="s">
        <v>371</v>
      </c>
      <c r="O65" s="61" t="s">
        <v>27</v>
      </c>
      <c r="P65" s="61" t="s">
        <v>175</v>
      </c>
    </row>
    <row r="66" spans="1:17">
      <c r="A66" s="67" t="s">
        <v>302</v>
      </c>
      <c r="B66" s="59"/>
      <c r="C66" s="59"/>
      <c r="D66" s="59"/>
      <c r="E66" s="59"/>
      <c r="F66" s="59"/>
      <c r="G66" s="59"/>
      <c r="H66" s="59"/>
      <c r="I66" s="59"/>
      <c r="J66" s="59"/>
      <c r="K66" s="59"/>
      <c r="L66" s="59"/>
      <c r="M66" s="59"/>
      <c r="N66" s="61"/>
      <c r="O66" s="115"/>
      <c r="P66" s="115"/>
    </row>
    <row r="67" spans="1:17">
      <c r="A67" s="71" t="s">
        <v>208</v>
      </c>
      <c r="B67" s="24">
        <v>1162</v>
      </c>
      <c r="C67" s="24">
        <v>391</v>
      </c>
      <c r="D67" s="24">
        <v>993</v>
      </c>
      <c r="E67" s="24">
        <v>1885</v>
      </c>
      <c r="F67" s="24">
        <v>2041</v>
      </c>
      <c r="G67" s="24">
        <v>1247</v>
      </c>
      <c r="H67" s="24">
        <v>723</v>
      </c>
      <c r="I67" s="24">
        <v>1497</v>
      </c>
      <c r="J67" s="24">
        <v>1689</v>
      </c>
      <c r="K67" s="24">
        <v>1982</v>
      </c>
      <c r="L67" s="24">
        <v>1093</v>
      </c>
      <c r="M67" s="24">
        <v>195</v>
      </c>
      <c r="N67" s="73">
        <f>SUM(B67:M67)</f>
        <v>14898</v>
      </c>
      <c r="O67" s="74">
        <v>0</v>
      </c>
      <c r="P67" s="76" t="s">
        <v>231</v>
      </c>
    </row>
    <row r="68" spans="1:17">
      <c r="A68" s="2"/>
      <c r="B68" s="87"/>
      <c r="C68" s="87"/>
      <c r="D68" s="87"/>
      <c r="E68" s="87" t="s">
        <v>15</v>
      </c>
      <c r="F68" s="87"/>
      <c r="G68" s="87"/>
      <c r="H68" s="87"/>
      <c r="I68" s="87"/>
      <c r="J68" s="87"/>
      <c r="K68" s="87"/>
      <c r="L68" s="87"/>
      <c r="M68" s="87"/>
      <c r="N68" s="88"/>
      <c r="O68" s="75"/>
      <c r="P68" s="76"/>
    </row>
    <row r="69" spans="1:17">
      <c r="A69" s="5"/>
      <c r="B69" s="89"/>
      <c r="C69" s="89"/>
      <c r="D69" s="89"/>
      <c r="E69" s="89" t="s">
        <v>15</v>
      </c>
      <c r="F69" s="89"/>
      <c r="G69" s="89"/>
      <c r="H69" s="89"/>
      <c r="I69" s="89"/>
      <c r="J69" s="89"/>
      <c r="K69" s="89"/>
      <c r="L69" s="89"/>
      <c r="M69" s="89"/>
      <c r="N69" s="90"/>
      <c r="O69" s="91"/>
      <c r="P69" s="103"/>
    </row>
    <row r="70" spans="1:17" ht="25.5">
      <c r="A70" s="148"/>
      <c r="B70" s="59">
        <v>40360</v>
      </c>
      <c r="C70" s="59">
        <v>40391</v>
      </c>
      <c r="D70" s="59">
        <v>6614787</v>
      </c>
      <c r="E70" s="59">
        <v>40452</v>
      </c>
      <c r="F70" s="59">
        <v>40483</v>
      </c>
      <c r="G70" s="59">
        <v>40513</v>
      </c>
      <c r="H70" s="59">
        <v>40544</v>
      </c>
      <c r="I70" s="59">
        <v>40575</v>
      </c>
      <c r="J70" s="59">
        <v>40603</v>
      </c>
      <c r="K70" s="59">
        <v>40634</v>
      </c>
      <c r="L70" s="59">
        <v>40664</v>
      </c>
      <c r="M70" s="59">
        <v>40695</v>
      </c>
      <c r="N70" s="60" t="s">
        <v>371</v>
      </c>
      <c r="O70" s="61" t="s">
        <v>27</v>
      </c>
      <c r="P70" s="61" t="s">
        <v>175</v>
      </c>
      <c r="Q70" s="2"/>
    </row>
    <row r="71" spans="1:17">
      <c r="A71" s="67" t="s">
        <v>159</v>
      </c>
      <c r="B71" s="59"/>
      <c r="C71" s="59"/>
      <c r="D71" s="59"/>
      <c r="E71" s="59"/>
      <c r="F71" s="59"/>
      <c r="G71" s="59"/>
      <c r="H71" s="59"/>
      <c r="I71" s="59"/>
      <c r="J71" s="59"/>
      <c r="K71" s="59"/>
      <c r="L71" s="59"/>
      <c r="M71" s="59"/>
      <c r="N71" s="61"/>
      <c r="O71" s="115"/>
      <c r="P71" s="115"/>
    </row>
    <row r="72" spans="1:17">
      <c r="A72" s="71" t="s">
        <v>208</v>
      </c>
      <c r="B72" s="24">
        <v>853</v>
      </c>
      <c r="C72" s="24">
        <v>365</v>
      </c>
      <c r="D72" s="24">
        <v>850</v>
      </c>
      <c r="E72" s="24">
        <v>1423</v>
      </c>
      <c r="F72" s="24">
        <v>1719</v>
      </c>
      <c r="G72" s="24">
        <v>1074</v>
      </c>
      <c r="H72" s="24">
        <v>681</v>
      </c>
      <c r="I72" s="24">
        <v>1181</v>
      </c>
      <c r="J72" s="24">
        <v>1415</v>
      </c>
      <c r="K72" s="24">
        <v>1855</v>
      </c>
      <c r="L72" s="24">
        <v>1017</v>
      </c>
      <c r="M72" s="24">
        <v>180</v>
      </c>
      <c r="N72" s="73">
        <f>SUM(B72:M72)</f>
        <v>12613</v>
      </c>
      <c r="O72" s="74">
        <v>0</v>
      </c>
      <c r="P72" s="76">
        <f>O72/N72</f>
        <v>0</v>
      </c>
    </row>
    <row r="73" spans="1:17">
      <c r="A73" s="71" t="s">
        <v>257</v>
      </c>
      <c r="B73" s="24">
        <v>304</v>
      </c>
      <c r="C73" s="24">
        <v>109</v>
      </c>
      <c r="D73" s="24">
        <v>284</v>
      </c>
      <c r="E73" s="24">
        <v>480</v>
      </c>
      <c r="F73" s="24">
        <v>600</v>
      </c>
      <c r="G73" s="24">
        <v>329</v>
      </c>
      <c r="H73" s="24">
        <v>211</v>
      </c>
      <c r="I73" s="24">
        <v>401</v>
      </c>
      <c r="J73" s="24">
        <v>471</v>
      </c>
      <c r="K73" s="24">
        <v>550</v>
      </c>
      <c r="L73" s="24">
        <v>309</v>
      </c>
      <c r="M73" s="24">
        <v>112</v>
      </c>
      <c r="N73" s="73">
        <f>SUM(B73:M73)</f>
        <v>4160</v>
      </c>
      <c r="O73" s="74"/>
      <c r="P73" s="75"/>
    </row>
    <row r="74" spans="1:17">
      <c r="A74" s="2"/>
      <c r="B74" s="87"/>
      <c r="C74" s="87"/>
      <c r="D74" s="87"/>
      <c r="E74" s="87"/>
      <c r="F74" s="87"/>
      <c r="G74" s="87"/>
      <c r="H74" s="87"/>
      <c r="I74" s="87"/>
      <c r="J74" s="87"/>
      <c r="K74" s="87"/>
      <c r="L74" s="87"/>
      <c r="M74" s="87"/>
      <c r="N74" s="88"/>
      <c r="O74" s="91"/>
      <c r="P74" s="91"/>
    </row>
    <row r="75" spans="1:17" ht="25.5">
      <c r="A75" s="5"/>
      <c r="B75" s="108">
        <v>40360</v>
      </c>
      <c r="C75" s="108">
        <v>40391</v>
      </c>
      <c r="D75" s="108">
        <v>6614787</v>
      </c>
      <c r="E75" s="108">
        <v>40452</v>
      </c>
      <c r="F75" s="108">
        <v>40483</v>
      </c>
      <c r="G75" s="108">
        <v>40513</v>
      </c>
      <c r="H75" s="108">
        <v>40544</v>
      </c>
      <c r="I75" s="108">
        <v>40575</v>
      </c>
      <c r="J75" s="108">
        <v>40603</v>
      </c>
      <c r="K75" s="108">
        <v>40634</v>
      </c>
      <c r="L75" s="108">
        <v>40664</v>
      </c>
      <c r="M75" s="108">
        <v>40695</v>
      </c>
      <c r="N75" s="109" t="s">
        <v>371</v>
      </c>
      <c r="O75" s="61" t="s">
        <v>27</v>
      </c>
      <c r="P75" s="61" t="s">
        <v>175</v>
      </c>
      <c r="Q75" s="2"/>
    </row>
    <row r="76" spans="1:17">
      <c r="A76" s="67" t="s">
        <v>319</v>
      </c>
      <c r="B76" s="59"/>
      <c r="C76" s="59"/>
      <c r="D76" s="59"/>
      <c r="E76" s="59"/>
      <c r="F76" s="59"/>
      <c r="G76" s="59"/>
      <c r="H76" s="59"/>
      <c r="I76" s="59"/>
      <c r="J76" s="59"/>
      <c r="K76" s="59"/>
      <c r="L76" s="59"/>
      <c r="M76" s="59"/>
      <c r="N76" s="61"/>
      <c r="O76" s="115"/>
      <c r="P76" s="115"/>
    </row>
    <row r="77" spans="1:17">
      <c r="A77" s="71" t="s">
        <v>208</v>
      </c>
      <c r="B77" s="24" t="s">
        <v>231</v>
      </c>
      <c r="C77" s="24" t="s">
        <v>231</v>
      </c>
      <c r="D77" s="24" t="s">
        <v>231</v>
      </c>
      <c r="E77" s="24" t="s">
        <v>231</v>
      </c>
      <c r="F77" s="24" t="s">
        <v>231</v>
      </c>
      <c r="G77" s="150" t="s">
        <v>231</v>
      </c>
      <c r="H77" s="150" t="s">
        <v>231</v>
      </c>
      <c r="I77" s="24" t="s">
        <v>231</v>
      </c>
      <c r="J77" s="24" t="s">
        <v>231</v>
      </c>
      <c r="K77" s="24" t="s">
        <v>231</v>
      </c>
      <c r="L77" s="24" t="s">
        <v>231</v>
      </c>
      <c r="M77" s="24" t="s">
        <v>231</v>
      </c>
      <c r="N77" s="73">
        <f>SUM(B77:M77)</f>
        <v>0</v>
      </c>
      <c r="O77" s="74">
        <v>0</v>
      </c>
      <c r="P77" s="49" t="s">
        <v>231</v>
      </c>
    </row>
    <row r="78" spans="1:17">
      <c r="A78" s="71" t="s">
        <v>257</v>
      </c>
      <c r="B78" s="24" t="s">
        <v>231</v>
      </c>
      <c r="C78" s="24" t="s">
        <v>231</v>
      </c>
      <c r="D78" s="24" t="s">
        <v>231</v>
      </c>
      <c r="E78" s="24" t="s">
        <v>231</v>
      </c>
      <c r="F78" s="24" t="s">
        <v>231</v>
      </c>
      <c r="G78" s="24" t="s">
        <v>231</v>
      </c>
      <c r="H78" s="24" t="s">
        <v>231</v>
      </c>
      <c r="I78" s="24" t="s">
        <v>231</v>
      </c>
      <c r="J78" s="24" t="s">
        <v>231</v>
      </c>
      <c r="K78" s="24" t="s">
        <v>231</v>
      </c>
      <c r="L78" s="24" t="s">
        <v>231</v>
      </c>
      <c r="M78" s="24" t="s">
        <v>231</v>
      </c>
      <c r="N78" s="73">
        <f>SUM(B78:M78)</f>
        <v>0</v>
      </c>
      <c r="O78" s="74"/>
      <c r="P78" s="76"/>
    </row>
    <row r="79" spans="1:17">
      <c r="A79" s="5"/>
      <c r="B79" s="93"/>
      <c r="C79" s="93"/>
      <c r="D79" s="93"/>
      <c r="E79" s="93"/>
      <c r="F79" s="93"/>
      <c r="G79" s="93"/>
      <c r="H79" s="93"/>
      <c r="I79" s="93"/>
      <c r="J79" s="93"/>
      <c r="K79" s="93"/>
      <c r="L79" s="93"/>
      <c r="M79" s="93"/>
      <c r="N79" s="93"/>
      <c r="O79" s="98"/>
      <c r="P79" s="98"/>
    </row>
    <row r="80" spans="1:17" ht="25.5">
      <c r="A80" s="148"/>
      <c r="B80" s="59">
        <v>40360</v>
      </c>
      <c r="C80" s="59">
        <v>40391</v>
      </c>
      <c r="D80" s="59">
        <v>6614787</v>
      </c>
      <c r="E80" s="59">
        <v>40452</v>
      </c>
      <c r="F80" s="59">
        <v>40483</v>
      </c>
      <c r="G80" s="59">
        <v>40513</v>
      </c>
      <c r="H80" s="59">
        <v>40544</v>
      </c>
      <c r="I80" s="59">
        <v>40575</v>
      </c>
      <c r="J80" s="59">
        <v>40603</v>
      </c>
      <c r="K80" s="59">
        <v>40634</v>
      </c>
      <c r="L80" s="59">
        <v>40664</v>
      </c>
      <c r="M80" s="59">
        <v>40695</v>
      </c>
      <c r="N80" s="60" t="s">
        <v>371</v>
      </c>
      <c r="O80" s="61" t="s">
        <v>27</v>
      </c>
      <c r="P80" s="61" t="s">
        <v>175</v>
      </c>
      <c r="Q80" s="2"/>
    </row>
    <row r="81" spans="1:17">
      <c r="A81" s="67" t="s">
        <v>316</v>
      </c>
      <c r="B81" s="59"/>
      <c r="C81" s="59"/>
      <c r="D81" s="59"/>
      <c r="E81" s="59"/>
      <c r="F81" s="59"/>
      <c r="G81" s="59"/>
      <c r="H81" s="59"/>
      <c r="I81" s="59"/>
      <c r="J81" s="59"/>
      <c r="K81" s="59"/>
      <c r="L81" s="59"/>
      <c r="M81" s="59"/>
      <c r="N81" s="61"/>
      <c r="O81" s="115"/>
      <c r="P81" s="115"/>
    </row>
    <row r="82" spans="1:17">
      <c r="A82" s="71" t="s">
        <v>208</v>
      </c>
      <c r="B82" s="24">
        <v>572</v>
      </c>
      <c r="C82" s="24">
        <v>305</v>
      </c>
      <c r="D82" s="24">
        <v>698</v>
      </c>
      <c r="E82" s="24">
        <v>1175</v>
      </c>
      <c r="F82" s="24">
        <v>1433</v>
      </c>
      <c r="G82" s="24">
        <v>823</v>
      </c>
      <c r="H82" s="24">
        <v>481</v>
      </c>
      <c r="I82" s="24">
        <v>1080</v>
      </c>
      <c r="J82" s="24">
        <v>1295</v>
      </c>
      <c r="K82" s="24">
        <v>1750</v>
      </c>
      <c r="L82" s="24">
        <v>964</v>
      </c>
      <c r="M82" s="24">
        <v>163</v>
      </c>
      <c r="N82" s="73">
        <f>SUM(B82:M82)</f>
        <v>10739</v>
      </c>
      <c r="O82" s="74">
        <v>0</v>
      </c>
      <c r="P82" s="76" t="s">
        <v>231</v>
      </c>
    </row>
    <row r="83" spans="1:17">
      <c r="A83" s="71" t="s">
        <v>257</v>
      </c>
      <c r="B83" s="24">
        <v>254</v>
      </c>
      <c r="C83" s="24">
        <v>93</v>
      </c>
      <c r="D83" s="24">
        <v>250</v>
      </c>
      <c r="E83" s="24">
        <v>406</v>
      </c>
      <c r="F83" s="24">
        <v>516</v>
      </c>
      <c r="G83" s="24">
        <v>270</v>
      </c>
      <c r="H83" s="24">
        <v>179</v>
      </c>
      <c r="I83" s="24">
        <v>373</v>
      </c>
      <c r="J83" s="24">
        <v>447</v>
      </c>
      <c r="K83" s="24">
        <v>514</v>
      </c>
      <c r="L83" s="24">
        <v>296</v>
      </c>
      <c r="M83" s="24">
        <v>104</v>
      </c>
      <c r="N83" s="73">
        <f>SUM(B83:M83)</f>
        <v>3702</v>
      </c>
      <c r="O83" s="74"/>
      <c r="P83" s="76"/>
    </row>
    <row r="84" spans="1:17">
      <c r="A84" s="2"/>
      <c r="B84" s="87"/>
      <c r="C84" s="87"/>
      <c r="D84" s="87"/>
      <c r="E84" s="87"/>
      <c r="F84" s="87"/>
      <c r="G84" s="87"/>
      <c r="H84" s="87"/>
      <c r="I84" s="87"/>
      <c r="J84" s="87"/>
      <c r="K84" s="87"/>
      <c r="L84" s="87"/>
      <c r="M84" s="87"/>
      <c r="N84" s="88"/>
      <c r="O84" s="75"/>
      <c r="P84" s="76"/>
    </row>
    <row r="85" spans="1:17">
      <c r="A85" s="2"/>
      <c r="B85" s="151"/>
      <c r="C85" s="151"/>
      <c r="D85" s="151"/>
      <c r="E85" s="151"/>
      <c r="F85" s="151"/>
      <c r="G85" s="151"/>
      <c r="H85" s="151"/>
      <c r="I85" s="151"/>
      <c r="J85" s="151"/>
      <c r="K85" s="151"/>
      <c r="L85" s="151"/>
      <c r="M85" s="151"/>
      <c r="N85" s="142"/>
      <c r="O85" s="75"/>
      <c r="P85" s="76"/>
    </row>
    <row r="86" spans="1:17">
      <c r="Q86" s="2"/>
    </row>
    <row r="87" spans="1:17">
      <c r="Q87" s="2"/>
    </row>
    <row r="90" spans="1:17">
      <c r="A90" s="2"/>
      <c r="B90" s="132"/>
      <c r="C90" s="132"/>
      <c r="D90" s="132"/>
      <c r="E90" s="132"/>
      <c r="F90" s="132"/>
      <c r="G90" s="132"/>
      <c r="H90" s="132"/>
      <c r="I90" s="132"/>
      <c r="J90" s="132"/>
      <c r="K90" s="132"/>
      <c r="L90" s="132"/>
      <c r="M90" s="132"/>
      <c r="N90" s="132"/>
      <c r="O90" s="75"/>
      <c r="P90" s="75"/>
    </row>
    <row r="91" spans="1:17">
      <c r="A91" s="2"/>
      <c r="O91" s="2"/>
      <c r="P91" s="2"/>
    </row>
  </sheetData>
  <pageMargins left="0.75" right="0.75" top="1" bottom="1" header="0.5" footer="0.5"/>
  <pageSetup paperSize="9" orientation="portrait" horizontalDpi="300" verticalDpi="300"/>
  <headerFooter alignWithMargins="0"/>
</worksheet>
</file>

<file path=xl/worksheets/sheet28.xml><?xml version="1.0" encoding="utf-8"?>
<worksheet xmlns="http://schemas.openxmlformats.org/spreadsheetml/2006/main" xmlns:r="http://schemas.openxmlformats.org/officeDocument/2006/relationships">
  <dimension ref="A1:Q64"/>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9.140625" customWidth="1"/>
    <col min="2" max="14" width="8.5703125" customWidth="1"/>
    <col min="15" max="15" width="15.140625" customWidth="1"/>
    <col min="16" max="16" width="8.5703125" customWidth="1"/>
    <col min="17" max="17" width="9.140625" customWidth="1"/>
  </cols>
  <sheetData>
    <row r="1" spans="1:17" ht="20.25">
      <c r="A1" s="1" t="s">
        <v>60</v>
      </c>
      <c r="B1" s="2"/>
      <c r="C1" s="2"/>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c r="O3" s="2"/>
    </row>
    <row r="4" spans="1:17">
      <c r="A4" s="2" t="s">
        <v>17</v>
      </c>
      <c r="B4" s="2" t="s">
        <v>151</v>
      </c>
      <c r="O4" s="2"/>
    </row>
    <row r="5" spans="1:17">
      <c r="A5" s="5"/>
      <c r="B5" s="6"/>
      <c r="C5" s="6"/>
      <c r="D5" s="6"/>
      <c r="E5" s="6"/>
      <c r="F5" s="6"/>
      <c r="G5" s="6"/>
      <c r="H5" s="6"/>
      <c r="I5" s="6"/>
      <c r="J5" s="6"/>
      <c r="K5" s="6"/>
      <c r="L5" s="6"/>
      <c r="M5" s="6"/>
      <c r="N5" s="6"/>
      <c r="O5" s="2"/>
    </row>
    <row r="6" spans="1:17">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152"/>
      <c r="P6" s="152"/>
      <c r="Q6" s="2"/>
    </row>
    <row r="7" spans="1:17">
      <c r="A7" s="92" t="s">
        <v>195</v>
      </c>
      <c r="B7" s="93"/>
      <c r="C7" s="93"/>
      <c r="D7" s="93"/>
      <c r="E7" s="93"/>
      <c r="F7" s="93"/>
      <c r="G7" s="93"/>
      <c r="H7" s="93"/>
      <c r="I7" s="93"/>
      <c r="J7" s="93"/>
      <c r="K7" s="93"/>
      <c r="L7" s="93"/>
      <c r="M7" s="93"/>
      <c r="N7" s="93"/>
      <c r="O7" s="96"/>
      <c r="P7" s="96"/>
    </row>
    <row r="8" spans="1:17">
      <c r="A8" s="71" t="s">
        <v>118</v>
      </c>
      <c r="B8" s="153">
        <v>55</v>
      </c>
      <c r="C8" s="14" t="s">
        <v>231</v>
      </c>
      <c r="D8" s="14" t="s">
        <v>231</v>
      </c>
      <c r="E8" s="14" t="s">
        <v>231</v>
      </c>
      <c r="F8" s="153">
        <v>17</v>
      </c>
      <c r="G8" s="153">
        <v>19</v>
      </c>
      <c r="H8" s="153">
        <v>8</v>
      </c>
      <c r="I8" s="153">
        <v>47</v>
      </c>
      <c r="J8" s="153">
        <v>19</v>
      </c>
      <c r="K8" s="153">
        <v>11</v>
      </c>
      <c r="L8" s="153">
        <v>8</v>
      </c>
      <c r="M8" s="153">
        <v>15</v>
      </c>
      <c r="N8" s="73">
        <f t="shared" ref="N8:N21" si="0">SUM(B8:M8)</f>
        <v>199</v>
      </c>
      <c r="O8" s="74"/>
      <c r="P8" s="75"/>
    </row>
    <row r="9" spans="1:17">
      <c r="A9" s="154" t="s">
        <v>410</v>
      </c>
      <c r="B9" s="153">
        <v>217</v>
      </c>
      <c r="C9" s="14" t="s">
        <v>231</v>
      </c>
      <c r="D9" s="14" t="s">
        <v>231</v>
      </c>
      <c r="E9" s="14" t="s">
        <v>231</v>
      </c>
      <c r="F9" s="153">
        <v>3</v>
      </c>
      <c r="G9" s="153">
        <v>1</v>
      </c>
      <c r="H9" s="153">
        <v>1</v>
      </c>
      <c r="I9" s="153">
        <v>100</v>
      </c>
      <c r="J9" s="153">
        <v>12</v>
      </c>
      <c r="K9" s="153">
        <v>24</v>
      </c>
      <c r="L9" s="153">
        <v>4</v>
      </c>
      <c r="M9" s="153">
        <v>44</v>
      </c>
      <c r="N9" s="155">
        <f t="shared" si="0"/>
        <v>406</v>
      </c>
      <c r="O9" s="74"/>
      <c r="P9" s="75"/>
    </row>
    <row r="10" spans="1:17">
      <c r="A10" s="71" t="s">
        <v>366</v>
      </c>
      <c r="B10" s="153">
        <v>284</v>
      </c>
      <c r="C10" s="14" t="s">
        <v>231</v>
      </c>
      <c r="D10" s="14" t="s">
        <v>231</v>
      </c>
      <c r="E10" s="14" t="s">
        <v>231</v>
      </c>
      <c r="F10" s="153">
        <v>3</v>
      </c>
      <c r="G10" s="153">
        <v>1</v>
      </c>
      <c r="H10" s="153">
        <v>0</v>
      </c>
      <c r="I10" s="153">
        <v>165</v>
      </c>
      <c r="J10" s="153">
        <v>27</v>
      </c>
      <c r="K10" s="153">
        <v>12</v>
      </c>
      <c r="L10" s="153">
        <v>4</v>
      </c>
      <c r="M10" s="153">
        <v>51</v>
      </c>
      <c r="N10" s="73">
        <f t="shared" si="0"/>
        <v>547</v>
      </c>
      <c r="O10" s="74"/>
      <c r="P10" s="75"/>
    </row>
    <row r="11" spans="1:17">
      <c r="A11" s="71" t="s">
        <v>16</v>
      </c>
      <c r="B11" s="153">
        <v>11365</v>
      </c>
      <c r="C11" s="14" t="s">
        <v>231</v>
      </c>
      <c r="D11" s="14" t="s">
        <v>231</v>
      </c>
      <c r="E11" s="14" t="s">
        <v>231</v>
      </c>
      <c r="F11" s="153">
        <v>51</v>
      </c>
      <c r="G11" s="153">
        <v>1</v>
      </c>
      <c r="H11" s="153">
        <v>0</v>
      </c>
      <c r="I11" s="153">
        <v>10586</v>
      </c>
      <c r="J11" s="153">
        <v>591</v>
      </c>
      <c r="K11" s="153">
        <v>260</v>
      </c>
      <c r="L11" s="153">
        <v>8</v>
      </c>
      <c r="M11" s="153">
        <v>577</v>
      </c>
      <c r="N11" s="73">
        <f t="shared" si="0"/>
        <v>23439</v>
      </c>
      <c r="O11" s="74"/>
      <c r="P11" s="75"/>
    </row>
    <row r="12" spans="1:17">
      <c r="A12" s="71" t="s">
        <v>349</v>
      </c>
      <c r="B12" s="153">
        <v>31</v>
      </c>
      <c r="C12" s="14" t="s">
        <v>231</v>
      </c>
      <c r="D12" s="14" t="s">
        <v>231</v>
      </c>
      <c r="E12" s="14" t="s">
        <v>231</v>
      </c>
      <c r="F12" s="153">
        <v>1</v>
      </c>
      <c r="G12" s="153">
        <v>0</v>
      </c>
      <c r="H12" s="153">
        <v>0</v>
      </c>
      <c r="I12" s="153">
        <v>35</v>
      </c>
      <c r="J12" s="153">
        <v>5</v>
      </c>
      <c r="K12" s="153">
        <v>3</v>
      </c>
      <c r="L12" s="153">
        <v>6</v>
      </c>
      <c r="M12" s="153">
        <v>39</v>
      </c>
      <c r="N12" s="73">
        <f t="shared" si="0"/>
        <v>120</v>
      </c>
      <c r="O12" s="74"/>
      <c r="P12" s="75"/>
    </row>
    <row r="13" spans="1:17">
      <c r="A13" s="71" t="s">
        <v>303</v>
      </c>
      <c r="B13" s="153">
        <v>31</v>
      </c>
      <c r="C13" s="14" t="s">
        <v>231</v>
      </c>
      <c r="D13" s="14" t="s">
        <v>231</v>
      </c>
      <c r="E13" s="14" t="s">
        <v>231</v>
      </c>
      <c r="F13" s="153">
        <v>1</v>
      </c>
      <c r="G13" s="153">
        <v>0</v>
      </c>
      <c r="H13" s="153">
        <v>0</v>
      </c>
      <c r="I13" s="153">
        <v>35</v>
      </c>
      <c r="J13" s="153">
        <v>5</v>
      </c>
      <c r="K13" s="153">
        <v>3</v>
      </c>
      <c r="L13" s="153">
        <v>6</v>
      </c>
      <c r="M13" s="153">
        <v>39</v>
      </c>
      <c r="N13" s="73">
        <f t="shared" si="0"/>
        <v>120</v>
      </c>
      <c r="O13" s="74"/>
      <c r="P13" s="75"/>
    </row>
    <row r="14" spans="1:17">
      <c r="A14" s="71" t="s">
        <v>110</v>
      </c>
      <c r="B14" s="153">
        <v>5</v>
      </c>
      <c r="C14" s="14" t="s">
        <v>231</v>
      </c>
      <c r="D14" s="14" t="s">
        <v>231</v>
      </c>
      <c r="E14" s="14" t="s">
        <v>231</v>
      </c>
      <c r="F14" s="153">
        <v>0</v>
      </c>
      <c r="G14" s="153">
        <v>0</v>
      </c>
      <c r="H14" s="153">
        <v>0</v>
      </c>
      <c r="I14" s="153">
        <v>0</v>
      </c>
      <c r="J14" s="153">
        <v>0</v>
      </c>
      <c r="K14" s="153">
        <v>0</v>
      </c>
      <c r="L14" s="153">
        <v>0</v>
      </c>
      <c r="M14" s="153">
        <v>0</v>
      </c>
      <c r="N14" s="73">
        <f t="shared" si="0"/>
        <v>5</v>
      </c>
      <c r="O14" s="74"/>
      <c r="P14" s="75"/>
    </row>
    <row r="15" spans="1:17">
      <c r="A15" s="71" t="s">
        <v>397</v>
      </c>
      <c r="B15" s="153">
        <v>5</v>
      </c>
      <c r="C15" s="14" t="s">
        <v>231</v>
      </c>
      <c r="D15" s="14" t="s">
        <v>231</v>
      </c>
      <c r="E15" s="14" t="s">
        <v>231</v>
      </c>
      <c r="F15" s="153">
        <v>0</v>
      </c>
      <c r="G15" s="153">
        <v>0</v>
      </c>
      <c r="H15" s="153">
        <v>0</v>
      </c>
      <c r="I15" s="153">
        <v>0</v>
      </c>
      <c r="J15" s="153">
        <v>0</v>
      </c>
      <c r="K15" s="153">
        <v>0</v>
      </c>
      <c r="L15" s="153">
        <v>0</v>
      </c>
      <c r="M15" s="153">
        <v>0</v>
      </c>
      <c r="N15" s="73">
        <f t="shared" si="0"/>
        <v>5</v>
      </c>
      <c r="O15" s="74"/>
      <c r="P15" s="75"/>
    </row>
    <row r="16" spans="1:17">
      <c r="A16" s="71" t="s">
        <v>142</v>
      </c>
      <c r="B16" s="153">
        <v>55</v>
      </c>
      <c r="C16" s="14" t="s">
        <v>231</v>
      </c>
      <c r="D16" s="14" t="s">
        <v>231</v>
      </c>
      <c r="E16" s="14" t="s">
        <v>231</v>
      </c>
      <c r="F16" s="153">
        <v>0</v>
      </c>
      <c r="G16" s="153">
        <v>0</v>
      </c>
      <c r="H16" s="153">
        <v>0</v>
      </c>
      <c r="I16" s="153">
        <v>0</v>
      </c>
      <c r="J16" s="153">
        <v>0</v>
      </c>
      <c r="K16" s="153">
        <v>0</v>
      </c>
      <c r="L16" s="153">
        <v>0</v>
      </c>
      <c r="M16" s="153">
        <v>0</v>
      </c>
      <c r="N16" s="73">
        <f t="shared" si="0"/>
        <v>55</v>
      </c>
      <c r="O16" s="74"/>
      <c r="P16" s="75"/>
    </row>
    <row r="17" spans="1:16">
      <c r="A17" s="71" t="s">
        <v>95</v>
      </c>
      <c r="B17" s="153">
        <v>1802</v>
      </c>
      <c r="C17" s="14" t="s">
        <v>231</v>
      </c>
      <c r="D17" s="14" t="s">
        <v>231</v>
      </c>
      <c r="E17" s="14" t="s">
        <v>231</v>
      </c>
      <c r="F17" s="153">
        <v>0</v>
      </c>
      <c r="G17" s="153">
        <v>0</v>
      </c>
      <c r="H17" s="153">
        <v>0</v>
      </c>
      <c r="I17" s="153">
        <v>0</v>
      </c>
      <c r="J17" s="153">
        <v>0</v>
      </c>
      <c r="K17" s="153">
        <v>0</v>
      </c>
      <c r="L17" s="153">
        <v>0</v>
      </c>
      <c r="M17" s="153">
        <v>0</v>
      </c>
      <c r="N17" s="73">
        <f t="shared" si="0"/>
        <v>1802</v>
      </c>
      <c r="O17" s="74"/>
      <c r="P17" s="75"/>
    </row>
    <row r="18" spans="1:16">
      <c r="A18" s="71" t="s">
        <v>358</v>
      </c>
      <c r="B18" s="153">
        <v>0</v>
      </c>
      <c r="C18" s="14" t="s">
        <v>231</v>
      </c>
      <c r="D18" s="14" t="s">
        <v>231</v>
      </c>
      <c r="E18" s="14" t="s">
        <v>231</v>
      </c>
      <c r="F18" s="153">
        <v>0</v>
      </c>
      <c r="G18" s="153">
        <v>0</v>
      </c>
      <c r="H18" s="153">
        <v>0</v>
      </c>
      <c r="I18" s="153">
        <v>0</v>
      </c>
      <c r="J18" s="153">
        <v>0</v>
      </c>
      <c r="K18" s="153">
        <v>0</v>
      </c>
      <c r="L18" s="153">
        <v>0</v>
      </c>
      <c r="M18" s="153">
        <v>0</v>
      </c>
      <c r="N18" s="73">
        <f t="shared" si="0"/>
        <v>0</v>
      </c>
      <c r="O18" s="74"/>
      <c r="P18" s="75"/>
    </row>
    <row r="19" spans="1:16">
      <c r="A19" s="71" t="s">
        <v>207</v>
      </c>
      <c r="B19" s="153">
        <v>0</v>
      </c>
      <c r="C19" s="14" t="s">
        <v>231</v>
      </c>
      <c r="D19" s="14" t="s">
        <v>231</v>
      </c>
      <c r="E19" s="14" t="s">
        <v>231</v>
      </c>
      <c r="F19" s="153">
        <v>0</v>
      </c>
      <c r="G19" s="153">
        <v>0</v>
      </c>
      <c r="H19" s="153">
        <v>0</v>
      </c>
      <c r="I19" s="153">
        <v>0</v>
      </c>
      <c r="J19" s="153">
        <v>0</v>
      </c>
      <c r="K19" s="153">
        <v>0</v>
      </c>
      <c r="L19" s="153">
        <v>0</v>
      </c>
      <c r="M19" s="153">
        <v>0</v>
      </c>
      <c r="N19" s="73">
        <f t="shared" si="0"/>
        <v>0</v>
      </c>
      <c r="O19" s="74"/>
      <c r="P19" s="75"/>
    </row>
    <row r="20" spans="1:16">
      <c r="A20" s="71" t="s">
        <v>386</v>
      </c>
      <c r="B20" s="153">
        <v>0</v>
      </c>
      <c r="C20" s="14" t="s">
        <v>231</v>
      </c>
      <c r="D20" s="14" t="s">
        <v>231</v>
      </c>
      <c r="E20" s="14" t="s">
        <v>231</v>
      </c>
      <c r="F20" s="153">
        <v>0</v>
      </c>
      <c r="G20" s="153">
        <v>0</v>
      </c>
      <c r="H20" s="153">
        <v>0</v>
      </c>
      <c r="I20" s="153">
        <v>0</v>
      </c>
      <c r="J20" s="153">
        <v>0</v>
      </c>
      <c r="K20" s="153">
        <v>0</v>
      </c>
      <c r="L20" s="153">
        <v>0</v>
      </c>
      <c r="M20" s="153">
        <v>0</v>
      </c>
      <c r="N20" s="73">
        <f t="shared" si="0"/>
        <v>0</v>
      </c>
      <c r="O20" s="74"/>
      <c r="P20" s="75"/>
    </row>
    <row r="21" spans="1:16">
      <c r="A21" s="71" t="s">
        <v>404</v>
      </c>
      <c r="B21" s="24">
        <v>0</v>
      </c>
      <c r="C21" s="24" t="s">
        <v>231</v>
      </c>
      <c r="D21" s="24" t="s">
        <v>231</v>
      </c>
      <c r="E21" s="24" t="s">
        <v>231</v>
      </c>
      <c r="F21" s="24">
        <v>0</v>
      </c>
      <c r="G21" s="24">
        <v>0</v>
      </c>
      <c r="H21" s="24">
        <v>0</v>
      </c>
      <c r="I21" s="24">
        <v>0</v>
      </c>
      <c r="J21" s="24">
        <v>0</v>
      </c>
      <c r="K21" s="24">
        <v>0</v>
      </c>
      <c r="L21" s="24">
        <v>0</v>
      </c>
      <c r="M21" s="24">
        <v>0</v>
      </c>
      <c r="N21" s="73">
        <f t="shared" si="0"/>
        <v>0</v>
      </c>
      <c r="O21" s="74"/>
      <c r="P21" s="75"/>
    </row>
    <row r="22" spans="1:16">
      <c r="A22" s="2"/>
      <c r="B22" s="43"/>
      <c r="C22" s="43"/>
      <c r="D22" s="43"/>
      <c r="E22" s="43"/>
      <c r="F22" s="43"/>
      <c r="G22" s="43"/>
      <c r="H22" s="43"/>
      <c r="I22" s="43"/>
      <c r="J22" s="43"/>
      <c r="K22" s="43"/>
      <c r="L22" s="43"/>
      <c r="M22" s="43"/>
      <c r="N22" s="43"/>
      <c r="O22" s="2"/>
    </row>
    <row r="23" spans="1:16">
      <c r="A23" s="5"/>
      <c r="B23" s="6"/>
      <c r="C23" s="6"/>
      <c r="D23" s="6"/>
      <c r="E23" s="6"/>
      <c r="F23" s="6"/>
      <c r="G23" s="6"/>
      <c r="H23" s="6"/>
      <c r="I23" s="6"/>
      <c r="J23" s="6"/>
      <c r="K23" s="6"/>
      <c r="L23" s="6"/>
      <c r="M23" s="6"/>
      <c r="N23" s="6"/>
      <c r="O23" s="2"/>
    </row>
    <row r="24" spans="1:16">
      <c r="A24" s="58"/>
      <c r="B24" s="59">
        <v>40360</v>
      </c>
      <c r="C24" s="59">
        <v>40391</v>
      </c>
      <c r="D24" s="59">
        <v>40422</v>
      </c>
      <c r="E24" s="59">
        <v>40452</v>
      </c>
      <c r="F24" s="59">
        <v>40483</v>
      </c>
      <c r="G24" s="59">
        <v>40513</v>
      </c>
      <c r="H24" s="59">
        <v>40544</v>
      </c>
      <c r="I24" s="59">
        <v>40575</v>
      </c>
      <c r="J24" s="59">
        <v>40603</v>
      </c>
      <c r="K24" s="59">
        <v>40634</v>
      </c>
      <c r="L24" s="59">
        <v>40664</v>
      </c>
      <c r="M24" s="59">
        <v>40724</v>
      </c>
      <c r="N24" s="60" t="s">
        <v>371</v>
      </c>
      <c r="O24" s="152"/>
      <c r="P24" s="152"/>
    </row>
    <row r="25" spans="1:16">
      <c r="A25" s="92" t="s">
        <v>204</v>
      </c>
      <c r="B25" s="93"/>
      <c r="C25" s="93"/>
      <c r="D25" s="93"/>
      <c r="E25" s="93"/>
      <c r="F25" s="93"/>
      <c r="G25" s="93"/>
      <c r="H25" s="93"/>
      <c r="I25" s="93"/>
      <c r="J25" s="93"/>
      <c r="K25" s="93"/>
      <c r="L25" s="93"/>
      <c r="M25" s="93"/>
      <c r="N25" s="93"/>
      <c r="O25" s="96"/>
      <c r="P25" s="96"/>
    </row>
    <row r="26" spans="1:16">
      <c r="A26" s="71" t="s">
        <v>118</v>
      </c>
      <c r="B26" s="14">
        <v>55</v>
      </c>
      <c r="C26" s="14" t="s">
        <v>231</v>
      </c>
      <c r="D26" s="14" t="s">
        <v>231</v>
      </c>
      <c r="E26" s="14" t="s">
        <v>231</v>
      </c>
      <c r="F26" s="14">
        <v>17</v>
      </c>
      <c r="G26" s="14">
        <v>19</v>
      </c>
      <c r="H26" s="14">
        <v>8</v>
      </c>
      <c r="I26" s="14">
        <v>47</v>
      </c>
      <c r="J26" s="14">
        <v>19</v>
      </c>
      <c r="K26" s="14">
        <v>11</v>
      </c>
      <c r="L26" s="14">
        <v>8</v>
      </c>
      <c r="M26" s="14">
        <v>15</v>
      </c>
      <c r="N26" s="73">
        <f t="shared" ref="N26:N39" si="1">SUM(B26:M26)</f>
        <v>199</v>
      </c>
      <c r="O26" s="74"/>
      <c r="P26" s="75"/>
    </row>
    <row r="27" spans="1:16">
      <c r="A27" s="71" t="s">
        <v>410</v>
      </c>
      <c r="B27" s="14">
        <v>37</v>
      </c>
      <c r="C27" s="14" t="s">
        <v>231</v>
      </c>
      <c r="D27" s="14" t="s">
        <v>231</v>
      </c>
      <c r="E27" s="14" t="s">
        <v>231</v>
      </c>
      <c r="F27" s="14">
        <v>10</v>
      </c>
      <c r="G27" s="14">
        <v>48</v>
      </c>
      <c r="H27" s="14">
        <v>12</v>
      </c>
      <c r="I27" s="14">
        <v>38</v>
      </c>
      <c r="J27" s="14">
        <v>7</v>
      </c>
      <c r="K27" s="14">
        <v>10</v>
      </c>
      <c r="L27" s="14">
        <v>13</v>
      </c>
      <c r="M27" s="14">
        <v>12</v>
      </c>
      <c r="N27" s="73">
        <f t="shared" si="1"/>
        <v>187</v>
      </c>
      <c r="O27" s="74"/>
      <c r="P27" s="75"/>
    </row>
    <row r="28" spans="1:16">
      <c r="A28" s="71" t="s">
        <v>366</v>
      </c>
      <c r="B28" s="153">
        <v>44</v>
      </c>
      <c r="C28" s="14" t="s">
        <v>231</v>
      </c>
      <c r="D28" s="14" t="s">
        <v>231</v>
      </c>
      <c r="E28" s="14" t="s">
        <v>231</v>
      </c>
      <c r="F28" s="153">
        <v>17</v>
      </c>
      <c r="G28" s="153">
        <v>38</v>
      </c>
      <c r="H28" s="153">
        <v>4</v>
      </c>
      <c r="I28" s="153">
        <v>11</v>
      </c>
      <c r="J28" s="153">
        <v>5</v>
      </c>
      <c r="K28" s="153">
        <v>15</v>
      </c>
      <c r="L28" s="153">
        <v>61</v>
      </c>
      <c r="M28" s="153">
        <v>12</v>
      </c>
      <c r="N28" s="73">
        <f t="shared" si="1"/>
        <v>207</v>
      </c>
      <c r="O28" s="74"/>
      <c r="P28" s="75"/>
    </row>
    <row r="29" spans="1:16">
      <c r="A29" s="71" t="s">
        <v>16</v>
      </c>
      <c r="B29" s="153">
        <v>787</v>
      </c>
      <c r="C29" s="14" t="s">
        <v>231</v>
      </c>
      <c r="D29" s="14" t="s">
        <v>231</v>
      </c>
      <c r="E29" s="14" t="s">
        <v>231</v>
      </c>
      <c r="F29" s="153">
        <v>331</v>
      </c>
      <c r="G29" s="153">
        <v>496</v>
      </c>
      <c r="H29" s="153">
        <v>6</v>
      </c>
      <c r="I29" s="153">
        <v>233</v>
      </c>
      <c r="J29" s="153">
        <v>10</v>
      </c>
      <c r="K29" s="153">
        <v>293</v>
      </c>
      <c r="L29" s="153">
        <v>1413</v>
      </c>
      <c r="M29" s="153">
        <v>195</v>
      </c>
      <c r="N29" s="73">
        <f t="shared" si="1"/>
        <v>3764</v>
      </c>
      <c r="O29" s="74"/>
      <c r="P29" s="75"/>
    </row>
    <row r="30" spans="1:16">
      <c r="A30" s="71" t="s">
        <v>349</v>
      </c>
      <c r="B30" s="153">
        <v>8</v>
      </c>
      <c r="C30" s="14" t="s">
        <v>231</v>
      </c>
      <c r="D30" s="14" t="s">
        <v>231</v>
      </c>
      <c r="E30" s="14" t="s">
        <v>231</v>
      </c>
      <c r="F30" s="153">
        <v>7</v>
      </c>
      <c r="G30" s="153">
        <v>2</v>
      </c>
      <c r="H30" s="153">
        <v>0</v>
      </c>
      <c r="I30" s="153">
        <v>1</v>
      </c>
      <c r="J30" s="153">
        <v>1</v>
      </c>
      <c r="K30" s="153">
        <v>0</v>
      </c>
      <c r="L30" s="153">
        <v>6</v>
      </c>
      <c r="M30" s="153">
        <v>0</v>
      </c>
      <c r="N30" s="73">
        <f t="shared" si="1"/>
        <v>25</v>
      </c>
      <c r="O30" s="74"/>
      <c r="P30" s="75"/>
    </row>
    <row r="31" spans="1:16">
      <c r="A31" s="71" t="s">
        <v>303</v>
      </c>
      <c r="B31" s="153">
        <v>8</v>
      </c>
      <c r="C31" s="14" t="s">
        <v>231</v>
      </c>
      <c r="D31" s="14" t="s">
        <v>231</v>
      </c>
      <c r="E31" s="14" t="s">
        <v>231</v>
      </c>
      <c r="F31" s="153">
        <v>7</v>
      </c>
      <c r="G31" s="153">
        <v>2</v>
      </c>
      <c r="H31" s="153">
        <v>0</v>
      </c>
      <c r="I31" s="153">
        <v>1</v>
      </c>
      <c r="J31" s="153">
        <v>1</v>
      </c>
      <c r="K31" s="153">
        <v>0</v>
      </c>
      <c r="L31" s="153">
        <v>6</v>
      </c>
      <c r="M31" s="153">
        <v>0</v>
      </c>
      <c r="N31" s="73">
        <f t="shared" si="1"/>
        <v>25</v>
      </c>
      <c r="O31" s="74"/>
      <c r="P31" s="75"/>
    </row>
    <row r="32" spans="1:16">
      <c r="A32" s="71" t="s">
        <v>110</v>
      </c>
      <c r="B32" s="72">
        <v>0</v>
      </c>
      <c r="C32" s="20" t="s">
        <v>231</v>
      </c>
      <c r="D32" s="20" t="s">
        <v>231</v>
      </c>
      <c r="E32" s="20" t="s">
        <v>231</v>
      </c>
      <c r="F32" s="72">
        <v>0</v>
      </c>
      <c r="G32" s="72">
        <v>0</v>
      </c>
      <c r="H32" s="72">
        <v>0</v>
      </c>
      <c r="I32" s="72">
        <v>0</v>
      </c>
      <c r="J32" s="72">
        <v>0</v>
      </c>
      <c r="K32" s="72">
        <v>0</v>
      </c>
      <c r="L32" s="72">
        <v>0</v>
      </c>
      <c r="M32" s="72">
        <v>0</v>
      </c>
      <c r="N32" s="73">
        <f t="shared" si="1"/>
        <v>0</v>
      </c>
      <c r="O32" s="74"/>
      <c r="P32" s="75"/>
    </row>
    <row r="33" spans="1:16">
      <c r="A33" s="71" t="s">
        <v>397</v>
      </c>
      <c r="B33" s="153">
        <v>0</v>
      </c>
      <c r="C33" s="14" t="s">
        <v>231</v>
      </c>
      <c r="D33" s="14" t="s">
        <v>231</v>
      </c>
      <c r="E33" s="14" t="s">
        <v>231</v>
      </c>
      <c r="F33" s="153">
        <v>0</v>
      </c>
      <c r="G33" s="153">
        <v>0</v>
      </c>
      <c r="H33" s="153">
        <v>0</v>
      </c>
      <c r="I33" s="153">
        <v>0</v>
      </c>
      <c r="J33" s="153">
        <v>0</v>
      </c>
      <c r="K33" s="153">
        <v>0</v>
      </c>
      <c r="L33" s="153">
        <v>0</v>
      </c>
      <c r="M33" s="153">
        <v>0</v>
      </c>
      <c r="N33" s="73">
        <f t="shared" si="1"/>
        <v>0</v>
      </c>
      <c r="O33" s="74"/>
      <c r="P33" s="75"/>
    </row>
    <row r="34" spans="1:16">
      <c r="A34" s="71" t="s">
        <v>142</v>
      </c>
      <c r="B34" s="153">
        <v>0</v>
      </c>
      <c r="C34" s="14" t="s">
        <v>231</v>
      </c>
      <c r="D34" s="14" t="s">
        <v>231</v>
      </c>
      <c r="E34" s="14" t="s">
        <v>231</v>
      </c>
      <c r="F34" s="153">
        <v>0</v>
      </c>
      <c r="G34" s="153">
        <v>0</v>
      </c>
      <c r="H34" s="153">
        <v>0</v>
      </c>
      <c r="I34" s="153">
        <v>0</v>
      </c>
      <c r="J34" s="153">
        <v>0</v>
      </c>
      <c r="K34" s="153">
        <v>0</v>
      </c>
      <c r="L34" s="153">
        <v>0</v>
      </c>
      <c r="M34" s="153">
        <v>0</v>
      </c>
      <c r="N34" s="73">
        <f t="shared" si="1"/>
        <v>0</v>
      </c>
      <c r="O34" s="74"/>
      <c r="P34" s="75"/>
    </row>
    <row r="35" spans="1:16">
      <c r="A35" s="71" t="s">
        <v>95</v>
      </c>
      <c r="B35" s="153">
        <v>0</v>
      </c>
      <c r="C35" s="14" t="s">
        <v>231</v>
      </c>
      <c r="D35" s="14" t="s">
        <v>231</v>
      </c>
      <c r="E35" s="14" t="s">
        <v>231</v>
      </c>
      <c r="F35" s="153">
        <v>0</v>
      </c>
      <c r="G35" s="153">
        <v>0</v>
      </c>
      <c r="H35" s="153">
        <v>0</v>
      </c>
      <c r="I35" s="153">
        <v>0</v>
      </c>
      <c r="J35" s="153">
        <v>0</v>
      </c>
      <c r="K35" s="153">
        <v>0</v>
      </c>
      <c r="L35" s="153">
        <v>0</v>
      </c>
      <c r="M35" s="153">
        <v>0</v>
      </c>
      <c r="N35" s="73">
        <f t="shared" si="1"/>
        <v>0</v>
      </c>
      <c r="O35" s="74"/>
      <c r="P35" s="75"/>
    </row>
    <row r="36" spans="1:16">
      <c r="A36" s="71" t="s">
        <v>358</v>
      </c>
      <c r="B36" s="153">
        <v>0</v>
      </c>
      <c r="C36" s="14" t="s">
        <v>231</v>
      </c>
      <c r="D36" s="14" t="s">
        <v>231</v>
      </c>
      <c r="E36" s="14" t="s">
        <v>231</v>
      </c>
      <c r="F36" s="153">
        <v>0</v>
      </c>
      <c r="G36" s="153">
        <v>0</v>
      </c>
      <c r="H36" s="153">
        <v>0</v>
      </c>
      <c r="I36" s="153">
        <v>0</v>
      </c>
      <c r="J36" s="153">
        <v>0</v>
      </c>
      <c r="K36" s="153">
        <v>0</v>
      </c>
      <c r="L36" s="153">
        <v>0</v>
      </c>
      <c r="M36" s="153">
        <v>0</v>
      </c>
      <c r="N36" s="73">
        <f t="shared" si="1"/>
        <v>0</v>
      </c>
      <c r="O36" s="74"/>
      <c r="P36" s="75"/>
    </row>
    <row r="37" spans="1:16">
      <c r="A37" s="71" t="s">
        <v>207</v>
      </c>
      <c r="B37" s="153">
        <v>0</v>
      </c>
      <c r="C37" s="14" t="s">
        <v>231</v>
      </c>
      <c r="D37" s="14" t="s">
        <v>231</v>
      </c>
      <c r="E37" s="14" t="s">
        <v>231</v>
      </c>
      <c r="F37" s="153">
        <v>0</v>
      </c>
      <c r="G37" s="153">
        <v>0</v>
      </c>
      <c r="H37" s="153">
        <v>0</v>
      </c>
      <c r="I37" s="153">
        <v>0</v>
      </c>
      <c r="J37" s="153">
        <v>0</v>
      </c>
      <c r="K37" s="153">
        <v>0</v>
      </c>
      <c r="L37" s="153">
        <v>0</v>
      </c>
      <c r="M37" s="153">
        <v>0</v>
      </c>
      <c r="N37" s="73">
        <f t="shared" si="1"/>
        <v>0</v>
      </c>
      <c r="O37" s="74"/>
      <c r="P37" s="75"/>
    </row>
    <row r="38" spans="1:16">
      <c r="A38" s="71" t="s">
        <v>386</v>
      </c>
      <c r="B38" s="153">
        <v>0</v>
      </c>
      <c r="C38" s="14" t="s">
        <v>231</v>
      </c>
      <c r="D38" s="14" t="s">
        <v>231</v>
      </c>
      <c r="E38" s="14" t="s">
        <v>231</v>
      </c>
      <c r="F38" s="153">
        <v>0</v>
      </c>
      <c r="G38" s="153">
        <v>0</v>
      </c>
      <c r="H38" s="153">
        <v>0</v>
      </c>
      <c r="I38" s="153">
        <v>0</v>
      </c>
      <c r="J38" s="153">
        <v>0</v>
      </c>
      <c r="K38" s="153">
        <v>0</v>
      </c>
      <c r="L38" s="153">
        <v>0</v>
      </c>
      <c r="M38" s="153">
        <v>0</v>
      </c>
      <c r="N38" s="73">
        <f t="shared" si="1"/>
        <v>0</v>
      </c>
      <c r="O38" s="74"/>
      <c r="P38" s="75"/>
    </row>
    <row r="39" spans="1:16">
      <c r="A39" s="71" t="s">
        <v>404</v>
      </c>
      <c r="B39" s="24">
        <v>0</v>
      </c>
      <c r="C39" s="24" t="s">
        <v>231</v>
      </c>
      <c r="D39" s="24" t="s">
        <v>231</v>
      </c>
      <c r="E39" s="24" t="s">
        <v>231</v>
      </c>
      <c r="F39" s="24">
        <v>0</v>
      </c>
      <c r="G39" s="24">
        <v>0</v>
      </c>
      <c r="H39" s="24">
        <v>0</v>
      </c>
      <c r="I39" s="24">
        <v>0</v>
      </c>
      <c r="J39" s="24">
        <v>0</v>
      </c>
      <c r="K39" s="24">
        <v>0</v>
      </c>
      <c r="L39" s="24">
        <v>0</v>
      </c>
      <c r="M39" s="24">
        <v>0</v>
      </c>
      <c r="N39" s="73">
        <f t="shared" si="1"/>
        <v>0</v>
      </c>
      <c r="O39" s="74"/>
      <c r="P39" s="75"/>
    </row>
    <row r="40" spans="1:16">
      <c r="A40" s="2"/>
      <c r="B40" s="43"/>
      <c r="C40" s="43"/>
      <c r="D40" s="43"/>
      <c r="E40" s="43"/>
      <c r="F40" s="43"/>
      <c r="G40" s="43"/>
      <c r="H40" s="43"/>
      <c r="I40" s="43"/>
      <c r="J40" s="43"/>
      <c r="K40" s="43"/>
      <c r="L40" s="43"/>
      <c r="M40" s="43"/>
      <c r="N40" s="43"/>
      <c r="O40" s="2"/>
    </row>
    <row r="41" spans="1:16">
      <c r="A41" s="5"/>
      <c r="B41" s="6"/>
      <c r="C41" s="6"/>
      <c r="D41" s="6"/>
      <c r="E41" s="6"/>
      <c r="F41" s="6"/>
      <c r="G41" s="6"/>
      <c r="H41" s="6"/>
      <c r="I41" s="6"/>
      <c r="J41" s="6"/>
      <c r="K41" s="6"/>
      <c r="L41" s="6"/>
      <c r="M41" s="6"/>
      <c r="N41" s="6"/>
      <c r="O41" s="5"/>
      <c r="P41" s="6"/>
    </row>
    <row r="42" spans="1:16" ht="25.5">
      <c r="A42" s="58"/>
      <c r="B42" s="59">
        <v>40360</v>
      </c>
      <c r="C42" s="59">
        <v>40391</v>
      </c>
      <c r="D42" s="59">
        <v>40422</v>
      </c>
      <c r="E42" s="59">
        <v>40452</v>
      </c>
      <c r="F42" s="59">
        <v>40483</v>
      </c>
      <c r="G42" s="59">
        <v>40513</v>
      </c>
      <c r="H42" s="59">
        <v>40544</v>
      </c>
      <c r="I42" s="59">
        <v>40575</v>
      </c>
      <c r="J42" s="59">
        <v>40603</v>
      </c>
      <c r="K42" s="59">
        <v>40634</v>
      </c>
      <c r="L42" s="59">
        <v>40664</v>
      </c>
      <c r="M42" s="59">
        <v>40695</v>
      </c>
      <c r="N42" s="60" t="s">
        <v>371</v>
      </c>
      <c r="O42" s="61" t="s">
        <v>170</v>
      </c>
      <c r="P42" s="61" t="s">
        <v>175</v>
      </c>
    </row>
    <row r="43" spans="1:16">
      <c r="A43" s="92" t="s">
        <v>71</v>
      </c>
      <c r="B43" s="93"/>
      <c r="C43" s="93"/>
      <c r="D43" s="93"/>
      <c r="E43" s="93"/>
      <c r="F43" s="93"/>
      <c r="G43" s="93"/>
      <c r="H43" s="93"/>
      <c r="I43" s="93"/>
      <c r="J43" s="93"/>
      <c r="K43" s="93"/>
      <c r="L43" s="93"/>
      <c r="M43" s="93"/>
      <c r="N43" s="93"/>
      <c r="O43" s="94"/>
      <c r="P43" s="94"/>
    </row>
    <row r="44" spans="1:16">
      <c r="A44" s="71" t="s">
        <v>118</v>
      </c>
      <c r="B44" s="156">
        <f t="shared" ref="B44:M44" si="2">B26</f>
        <v>55</v>
      </c>
      <c r="C44" s="156" t="str">
        <f t="shared" si="2"/>
        <v>N/A</v>
      </c>
      <c r="D44" s="156" t="str">
        <f t="shared" si="2"/>
        <v>N/A</v>
      </c>
      <c r="E44" s="156" t="str">
        <f t="shared" si="2"/>
        <v>N/A</v>
      </c>
      <c r="F44" s="156">
        <f t="shared" si="2"/>
        <v>17</v>
      </c>
      <c r="G44" s="156">
        <f t="shared" si="2"/>
        <v>19</v>
      </c>
      <c r="H44" s="156">
        <f t="shared" si="2"/>
        <v>8</v>
      </c>
      <c r="I44" s="156">
        <f t="shared" si="2"/>
        <v>47</v>
      </c>
      <c r="J44" s="156">
        <f t="shared" si="2"/>
        <v>19</v>
      </c>
      <c r="K44" s="156">
        <f t="shared" si="2"/>
        <v>11</v>
      </c>
      <c r="L44" s="156">
        <f t="shared" si="2"/>
        <v>8</v>
      </c>
      <c r="M44" s="156">
        <f t="shared" si="2"/>
        <v>15</v>
      </c>
      <c r="N44" s="73">
        <f t="shared" ref="N44:N57" si="3">SUM(B44:M44)</f>
        <v>199</v>
      </c>
      <c r="O44" s="74"/>
      <c r="P44" s="75"/>
    </row>
    <row r="45" spans="1:16">
      <c r="A45" s="154" t="s">
        <v>410</v>
      </c>
      <c r="B45" s="157">
        <f t="shared" ref="B45:B57" si="4">B9+B27</f>
        <v>254</v>
      </c>
      <c r="C45" s="156" t="str">
        <f t="shared" ref="C45:E57" si="5">C27</f>
        <v>N/A</v>
      </c>
      <c r="D45" s="156" t="str">
        <f t="shared" si="5"/>
        <v>N/A</v>
      </c>
      <c r="E45" s="156" t="str">
        <f t="shared" si="5"/>
        <v>N/A</v>
      </c>
      <c r="F45" s="157">
        <f t="shared" ref="F45:M57" si="6">F9+F27</f>
        <v>13</v>
      </c>
      <c r="G45" s="157">
        <f t="shared" si="6"/>
        <v>49</v>
      </c>
      <c r="H45" s="157">
        <f t="shared" si="6"/>
        <v>13</v>
      </c>
      <c r="I45" s="157">
        <f t="shared" si="6"/>
        <v>138</v>
      </c>
      <c r="J45" s="157">
        <f t="shared" si="6"/>
        <v>19</v>
      </c>
      <c r="K45" s="157">
        <f t="shared" si="6"/>
        <v>34</v>
      </c>
      <c r="L45" s="157">
        <f t="shared" si="6"/>
        <v>17</v>
      </c>
      <c r="M45" s="157">
        <f t="shared" si="6"/>
        <v>56</v>
      </c>
      <c r="N45" s="155">
        <f t="shared" si="3"/>
        <v>593</v>
      </c>
      <c r="O45" s="140"/>
      <c r="P45" s="75">
        <f>O45/N45</f>
        <v>0</v>
      </c>
    </row>
    <row r="46" spans="1:16">
      <c r="A46" s="71" t="s">
        <v>366</v>
      </c>
      <c r="B46" s="158">
        <f t="shared" si="4"/>
        <v>328</v>
      </c>
      <c r="C46" s="156" t="str">
        <f t="shared" si="5"/>
        <v>N/A</v>
      </c>
      <c r="D46" s="156" t="str">
        <f t="shared" si="5"/>
        <v>N/A</v>
      </c>
      <c r="E46" s="156" t="str">
        <f t="shared" si="5"/>
        <v>N/A</v>
      </c>
      <c r="F46" s="158">
        <f t="shared" si="6"/>
        <v>20</v>
      </c>
      <c r="G46" s="158">
        <f t="shared" si="6"/>
        <v>39</v>
      </c>
      <c r="H46" s="158">
        <f t="shared" si="6"/>
        <v>4</v>
      </c>
      <c r="I46" s="158">
        <f t="shared" si="6"/>
        <v>176</v>
      </c>
      <c r="J46" s="158">
        <f t="shared" si="6"/>
        <v>32</v>
      </c>
      <c r="K46" s="158">
        <f t="shared" si="6"/>
        <v>27</v>
      </c>
      <c r="L46" s="158">
        <f t="shared" si="6"/>
        <v>65</v>
      </c>
      <c r="M46" s="158">
        <f t="shared" si="6"/>
        <v>63</v>
      </c>
      <c r="N46" s="73">
        <f t="shared" si="3"/>
        <v>754</v>
      </c>
      <c r="O46" s="74"/>
      <c r="P46" s="75"/>
    </row>
    <row r="47" spans="1:16">
      <c r="A47" s="71" t="s">
        <v>16</v>
      </c>
      <c r="B47" s="158">
        <f t="shared" si="4"/>
        <v>12152</v>
      </c>
      <c r="C47" s="156" t="str">
        <f t="shared" si="5"/>
        <v>N/A</v>
      </c>
      <c r="D47" s="156" t="str">
        <f t="shared" si="5"/>
        <v>N/A</v>
      </c>
      <c r="E47" s="156" t="str">
        <f t="shared" si="5"/>
        <v>N/A</v>
      </c>
      <c r="F47" s="158">
        <f t="shared" si="6"/>
        <v>382</v>
      </c>
      <c r="G47" s="158">
        <f t="shared" si="6"/>
        <v>497</v>
      </c>
      <c r="H47" s="158">
        <f t="shared" si="6"/>
        <v>6</v>
      </c>
      <c r="I47" s="158">
        <f t="shared" si="6"/>
        <v>10819</v>
      </c>
      <c r="J47" s="158">
        <f t="shared" si="6"/>
        <v>601</v>
      </c>
      <c r="K47" s="158">
        <f t="shared" si="6"/>
        <v>553</v>
      </c>
      <c r="L47" s="158">
        <f t="shared" si="6"/>
        <v>1421</v>
      </c>
      <c r="M47" s="158">
        <f t="shared" si="6"/>
        <v>772</v>
      </c>
      <c r="N47" s="73">
        <f t="shared" si="3"/>
        <v>27203</v>
      </c>
      <c r="O47" s="74"/>
      <c r="P47" s="75"/>
    </row>
    <row r="48" spans="1:16">
      <c r="A48" s="71" t="s">
        <v>349</v>
      </c>
      <c r="B48" s="158">
        <f t="shared" si="4"/>
        <v>39</v>
      </c>
      <c r="C48" s="156" t="str">
        <f t="shared" si="5"/>
        <v>N/A</v>
      </c>
      <c r="D48" s="156" t="str">
        <f t="shared" si="5"/>
        <v>N/A</v>
      </c>
      <c r="E48" s="156" t="str">
        <f t="shared" si="5"/>
        <v>N/A</v>
      </c>
      <c r="F48" s="158">
        <f t="shared" si="6"/>
        <v>8</v>
      </c>
      <c r="G48" s="158">
        <f t="shared" si="6"/>
        <v>2</v>
      </c>
      <c r="H48" s="158">
        <f t="shared" si="6"/>
        <v>0</v>
      </c>
      <c r="I48" s="158">
        <f t="shared" si="6"/>
        <v>36</v>
      </c>
      <c r="J48" s="158">
        <f t="shared" si="6"/>
        <v>6</v>
      </c>
      <c r="K48" s="158">
        <f t="shared" si="6"/>
        <v>3</v>
      </c>
      <c r="L48" s="158">
        <f t="shared" si="6"/>
        <v>12</v>
      </c>
      <c r="M48" s="158">
        <f t="shared" si="6"/>
        <v>39</v>
      </c>
      <c r="N48" s="73">
        <f t="shared" si="3"/>
        <v>145</v>
      </c>
      <c r="O48" s="74"/>
      <c r="P48" s="75"/>
    </row>
    <row r="49" spans="1:16">
      <c r="A49" s="71" t="s">
        <v>303</v>
      </c>
      <c r="B49" s="158">
        <f t="shared" si="4"/>
        <v>39</v>
      </c>
      <c r="C49" s="156" t="str">
        <f t="shared" si="5"/>
        <v>N/A</v>
      </c>
      <c r="D49" s="156" t="str">
        <f t="shared" si="5"/>
        <v>N/A</v>
      </c>
      <c r="E49" s="156" t="str">
        <f t="shared" si="5"/>
        <v>N/A</v>
      </c>
      <c r="F49" s="158">
        <f t="shared" si="6"/>
        <v>8</v>
      </c>
      <c r="G49" s="158">
        <f t="shared" si="6"/>
        <v>2</v>
      </c>
      <c r="H49" s="158">
        <f t="shared" si="6"/>
        <v>0</v>
      </c>
      <c r="I49" s="158">
        <f t="shared" si="6"/>
        <v>36</v>
      </c>
      <c r="J49" s="158">
        <f t="shared" si="6"/>
        <v>6</v>
      </c>
      <c r="K49" s="158">
        <f t="shared" si="6"/>
        <v>3</v>
      </c>
      <c r="L49" s="158">
        <f t="shared" si="6"/>
        <v>12</v>
      </c>
      <c r="M49" s="158">
        <f t="shared" si="6"/>
        <v>39</v>
      </c>
      <c r="N49" s="73">
        <f t="shared" si="3"/>
        <v>145</v>
      </c>
      <c r="O49" s="74"/>
      <c r="P49" s="75"/>
    </row>
    <row r="50" spans="1:16">
      <c r="A50" s="71" t="s">
        <v>314</v>
      </c>
      <c r="B50" s="159">
        <f t="shared" si="4"/>
        <v>5</v>
      </c>
      <c r="C50" s="156" t="str">
        <f t="shared" si="5"/>
        <v>N/A</v>
      </c>
      <c r="D50" s="156" t="str">
        <f t="shared" si="5"/>
        <v>N/A</v>
      </c>
      <c r="E50" s="156" t="str">
        <f t="shared" si="5"/>
        <v>N/A</v>
      </c>
      <c r="F50" s="159">
        <f t="shared" si="6"/>
        <v>0</v>
      </c>
      <c r="G50" s="159">
        <f t="shared" si="6"/>
        <v>0</v>
      </c>
      <c r="H50" s="159">
        <f t="shared" si="6"/>
        <v>0</v>
      </c>
      <c r="I50" s="159">
        <f t="shared" si="6"/>
        <v>0</v>
      </c>
      <c r="J50" s="159">
        <f t="shared" si="6"/>
        <v>0</v>
      </c>
      <c r="K50" s="159">
        <f t="shared" si="6"/>
        <v>0</v>
      </c>
      <c r="L50" s="159">
        <f t="shared" si="6"/>
        <v>0</v>
      </c>
      <c r="M50" s="159">
        <f t="shared" si="6"/>
        <v>0</v>
      </c>
      <c r="N50" s="73">
        <f t="shared" si="3"/>
        <v>5</v>
      </c>
      <c r="O50" s="74"/>
      <c r="P50" s="75"/>
    </row>
    <row r="51" spans="1:16">
      <c r="A51" s="71" t="s">
        <v>397</v>
      </c>
      <c r="B51" s="158">
        <f t="shared" si="4"/>
        <v>5</v>
      </c>
      <c r="C51" s="156" t="str">
        <f t="shared" si="5"/>
        <v>N/A</v>
      </c>
      <c r="D51" s="156" t="str">
        <f t="shared" si="5"/>
        <v>N/A</v>
      </c>
      <c r="E51" s="156" t="str">
        <f t="shared" si="5"/>
        <v>N/A</v>
      </c>
      <c r="F51" s="158">
        <f t="shared" si="6"/>
        <v>0</v>
      </c>
      <c r="G51" s="158">
        <f t="shared" si="6"/>
        <v>0</v>
      </c>
      <c r="H51" s="158">
        <f t="shared" si="6"/>
        <v>0</v>
      </c>
      <c r="I51" s="158">
        <f t="shared" si="6"/>
        <v>0</v>
      </c>
      <c r="J51" s="158">
        <f t="shared" si="6"/>
        <v>0</v>
      </c>
      <c r="K51" s="158">
        <f t="shared" si="6"/>
        <v>0</v>
      </c>
      <c r="L51" s="158">
        <f t="shared" si="6"/>
        <v>0</v>
      </c>
      <c r="M51" s="158">
        <f t="shared" si="6"/>
        <v>0</v>
      </c>
      <c r="N51" s="73">
        <f t="shared" si="3"/>
        <v>5</v>
      </c>
      <c r="O51" s="74"/>
      <c r="P51" s="75"/>
    </row>
    <row r="52" spans="1:16">
      <c r="A52" s="71" t="s">
        <v>142</v>
      </c>
      <c r="B52" s="158">
        <f t="shared" si="4"/>
        <v>55</v>
      </c>
      <c r="C52" s="156" t="str">
        <f t="shared" si="5"/>
        <v>N/A</v>
      </c>
      <c r="D52" s="156" t="str">
        <f t="shared" si="5"/>
        <v>N/A</v>
      </c>
      <c r="E52" s="156" t="str">
        <f t="shared" si="5"/>
        <v>N/A</v>
      </c>
      <c r="F52" s="158">
        <f t="shared" si="6"/>
        <v>0</v>
      </c>
      <c r="G52" s="158">
        <f t="shared" si="6"/>
        <v>0</v>
      </c>
      <c r="H52" s="158">
        <f t="shared" si="6"/>
        <v>0</v>
      </c>
      <c r="I52" s="158">
        <f t="shared" si="6"/>
        <v>0</v>
      </c>
      <c r="J52" s="158">
        <f t="shared" si="6"/>
        <v>0</v>
      </c>
      <c r="K52" s="158">
        <f t="shared" si="6"/>
        <v>0</v>
      </c>
      <c r="L52" s="158">
        <f t="shared" si="6"/>
        <v>0</v>
      </c>
      <c r="M52" s="158">
        <f t="shared" si="6"/>
        <v>0</v>
      </c>
      <c r="N52" s="73">
        <f t="shared" si="3"/>
        <v>55</v>
      </c>
      <c r="O52" s="74"/>
      <c r="P52" s="75"/>
    </row>
    <row r="53" spans="1:16">
      <c r="A53" s="71" t="s">
        <v>95</v>
      </c>
      <c r="B53" s="158">
        <f t="shared" si="4"/>
        <v>1802</v>
      </c>
      <c r="C53" s="156" t="str">
        <f t="shared" si="5"/>
        <v>N/A</v>
      </c>
      <c r="D53" s="156" t="str">
        <f t="shared" si="5"/>
        <v>N/A</v>
      </c>
      <c r="E53" s="156" t="str">
        <f t="shared" si="5"/>
        <v>N/A</v>
      </c>
      <c r="F53" s="158">
        <f t="shared" si="6"/>
        <v>0</v>
      </c>
      <c r="G53" s="158">
        <f t="shared" si="6"/>
        <v>0</v>
      </c>
      <c r="H53" s="158">
        <f t="shared" si="6"/>
        <v>0</v>
      </c>
      <c r="I53" s="158">
        <f t="shared" si="6"/>
        <v>0</v>
      </c>
      <c r="J53" s="158">
        <f t="shared" si="6"/>
        <v>0</v>
      </c>
      <c r="K53" s="158">
        <f t="shared" si="6"/>
        <v>0</v>
      </c>
      <c r="L53" s="158">
        <f t="shared" si="6"/>
        <v>0</v>
      </c>
      <c r="M53" s="158">
        <f t="shared" si="6"/>
        <v>0</v>
      </c>
      <c r="N53" s="73">
        <f t="shared" si="3"/>
        <v>1802</v>
      </c>
      <c r="O53" s="74"/>
      <c r="P53" s="75"/>
    </row>
    <row r="54" spans="1:16">
      <c r="A54" s="71" t="s">
        <v>358</v>
      </c>
      <c r="B54" s="158">
        <f t="shared" si="4"/>
        <v>0</v>
      </c>
      <c r="C54" s="156" t="str">
        <f t="shared" si="5"/>
        <v>N/A</v>
      </c>
      <c r="D54" s="156" t="str">
        <f t="shared" si="5"/>
        <v>N/A</v>
      </c>
      <c r="E54" s="156" t="str">
        <f t="shared" si="5"/>
        <v>N/A</v>
      </c>
      <c r="F54" s="158">
        <f t="shared" si="6"/>
        <v>0</v>
      </c>
      <c r="G54" s="158">
        <f t="shared" si="6"/>
        <v>0</v>
      </c>
      <c r="H54" s="158">
        <f t="shared" si="6"/>
        <v>0</v>
      </c>
      <c r="I54" s="158">
        <f t="shared" si="6"/>
        <v>0</v>
      </c>
      <c r="J54" s="158">
        <f t="shared" si="6"/>
        <v>0</v>
      </c>
      <c r="K54" s="158">
        <f t="shared" si="6"/>
        <v>0</v>
      </c>
      <c r="L54" s="158">
        <f t="shared" si="6"/>
        <v>0</v>
      </c>
      <c r="M54" s="158">
        <f t="shared" si="6"/>
        <v>0</v>
      </c>
      <c r="N54" s="73">
        <f t="shared" si="3"/>
        <v>0</v>
      </c>
      <c r="O54" s="74"/>
      <c r="P54" s="75"/>
    </row>
    <row r="55" spans="1:16">
      <c r="A55" s="71" t="s">
        <v>207</v>
      </c>
      <c r="B55" s="158">
        <f t="shared" si="4"/>
        <v>0</v>
      </c>
      <c r="C55" s="156" t="str">
        <f t="shared" si="5"/>
        <v>N/A</v>
      </c>
      <c r="D55" s="156" t="str">
        <f t="shared" si="5"/>
        <v>N/A</v>
      </c>
      <c r="E55" s="156" t="str">
        <f t="shared" si="5"/>
        <v>N/A</v>
      </c>
      <c r="F55" s="158">
        <f t="shared" si="6"/>
        <v>0</v>
      </c>
      <c r="G55" s="158">
        <f t="shared" si="6"/>
        <v>0</v>
      </c>
      <c r="H55" s="158">
        <f t="shared" si="6"/>
        <v>0</v>
      </c>
      <c r="I55" s="158">
        <f t="shared" si="6"/>
        <v>0</v>
      </c>
      <c r="J55" s="158">
        <f t="shared" si="6"/>
        <v>0</v>
      </c>
      <c r="K55" s="158">
        <f t="shared" si="6"/>
        <v>0</v>
      </c>
      <c r="L55" s="158">
        <f t="shared" si="6"/>
        <v>0</v>
      </c>
      <c r="M55" s="158">
        <f t="shared" si="6"/>
        <v>0</v>
      </c>
      <c r="N55" s="73">
        <f t="shared" si="3"/>
        <v>0</v>
      </c>
      <c r="O55" s="74"/>
      <c r="P55" s="75"/>
    </row>
    <row r="56" spans="1:16">
      <c r="A56" s="71" t="s">
        <v>386</v>
      </c>
      <c r="B56" s="158">
        <f t="shared" si="4"/>
        <v>0</v>
      </c>
      <c r="C56" s="156" t="str">
        <f t="shared" si="5"/>
        <v>N/A</v>
      </c>
      <c r="D56" s="156" t="str">
        <f t="shared" si="5"/>
        <v>N/A</v>
      </c>
      <c r="E56" s="156" t="str">
        <f t="shared" si="5"/>
        <v>N/A</v>
      </c>
      <c r="F56" s="158">
        <f t="shared" si="6"/>
        <v>0</v>
      </c>
      <c r="G56" s="158">
        <f t="shared" si="6"/>
        <v>0</v>
      </c>
      <c r="H56" s="158">
        <f t="shared" si="6"/>
        <v>0</v>
      </c>
      <c r="I56" s="158">
        <f t="shared" si="6"/>
        <v>0</v>
      </c>
      <c r="J56" s="158">
        <f t="shared" si="6"/>
        <v>0</v>
      </c>
      <c r="K56" s="158">
        <f t="shared" si="6"/>
        <v>0</v>
      </c>
      <c r="L56" s="158">
        <f t="shared" si="6"/>
        <v>0</v>
      </c>
      <c r="M56" s="158">
        <f t="shared" si="6"/>
        <v>0</v>
      </c>
      <c r="N56" s="73">
        <f t="shared" si="3"/>
        <v>0</v>
      </c>
      <c r="O56" s="74"/>
      <c r="P56" s="75"/>
    </row>
    <row r="57" spans="1:16">
      <c r="A57" s="71" t="s">
        <v>404</v>
      </c>
      <c r="B57" s="36">
        <f t="shared" si="4"/>
        <v>0</v>
      </c>
      <c r="C57" s="156" t="str">
        <f t="shared" si="5"/>
        <v>N/A</v>
      </c>
      <c r="D57" s="156" t="str">
        <f t="shared" si="5"/>
        <v>N/A</v>
      </c>
      <c r="E57" s="156" t="str">
        <f t="shared" si="5"/>
        <v>N/A</v>
      </c>
      <c r="F57" s="36">
        <f t="shared" si="6"/>
        <v>0</v>
      </c>
      <c r="G57" s="36">
        <f t="shared" si="6"/>
        <v>0</v>
      </c>
      <c r="H57" s="36">
        <f t="shared" si="6"/>
        <v>0</v>
      </c>
      <c r="I57" s="36">
        <f t="shared" si="6"/>
        <v>0</v>
      </c>
      <c r="J57" s="36">
        <f t="shared" si="6"/>
        <v>0</v>
      </c>
      <c r="K57" s="36">
        <f t="shared" si="6"/>
        <v>0</v>
      </c>
      <c r="L57" s="36">
        <f t="shared" si="6"/>
        <v>0</v>
      </c>
      <c r="M57" s="36">
        <f t="shared" si="6"/>
        <v>0</v>
      </c>
      <c r="N57" s="73">
        <f t="shared" si="3"/>
        <v>0</v>
      </c>
      <c r="O57" s="74"/>
      <c r="P57" s="75"/>
    </row>
    <row r="58" spans="1:16">
      <c r="A58" s="2"/>
      <c r="B58" s="43"/>
      <c r="C58" s="43"/>
      <c r="D58" s="43"/>
      <c r="E58" s="43"/>
      <c r="F58" s="43"/>
      <c r="G58" s="43"/>
      <c r="H58" s="43"/>
      <c r="I58" s="43"/>
      <c r="J58" s="43"/>
      <c r="K58" s="43"/>
      <c r="L58" s="43"/>
      <c r="M58" s="43"/>
      <c r="N58" s="43"/>
      <c r="O58" s="2"/>
    </row>
    <row r="59" spans="1:16">
      <c r="A59" s="2"/>
      <c r="O59" s="2"/>
    </row>
    <row r="60" spans="1:16">
      <c r="A60" s="2"/>
      <c r="O60" s="2"/>
    </row>
    <row r="61" spans="1:16">
      <c r="A61" s="2"/>
      <c r="O61" s="2"/>
    </row>
    <row r="62" spans="1:16">
      <c r="A62" s="2"/>
      <c r="O62" s="2"/>
    </row>
    <row r="63" spans="1:16">
      <c r="A63" s="2"/>
      <c r="O63" s="2"/>
    </row>
    <row r="64" spans="1:16">
      <c r="A64" s="2"/>
      <c r="O64" s="2"/>
    </row>
  </sheetData>
  <pageMargins left="0.75" right="0.75" top="1" bottom="1" header="0.5" footer="0.5"/>
  <pageSetup paperSize="9"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dimension ref="A1:Q15"/>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6.85546875" customWidth="1"/>
    <col min="2" max="14" width="8.5703125" customWidth="1"/>
    <col min="15" max="15" width="10.85546875" customWidth="1"/>
    <col min="16" max="16" width="8.5703125" customWidth="1"/>
    <col min="17" max="17" width="9.140625" customWidth="1"/>
  </cols>
  <sheetData>
    <row r="1" spans="1:17" ht="20.25">
      <c r="A1" s="1" t="s">
        <v>365</v>
      </c>
      <c r="B1" s="2"/>
      <c r="C1" s="2"/>
      <c r="D1" s="2"/>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c r="O3" s="2"/>
    </row>
    <row r="4" spans="1:17">
      <c r="A4" s="2" t="s">
        <v>17</v>
      </c>
      <c r="B4" s="2" t="s">
        <v>151</v>
      </c>
      <c r="O4" s="2"/>
    </row>
    <row r="5" spans="1:17">
      <c r="A5" s="5"/>
      <c r="B5" s="6"/>
      <c r="C5" s="6"/>
      <c r="D5" s="6"/>
      <c r="E5" s="6"/>
      <c r="F5" s="6"/>
      <c r="G5" s="6"/>
      <c r="H5" s="6"/>
      <c r="I5" s="6"/>
      <c r="J5" s="6"/>
      <c r="K5" s="6"/>
      <c r="L5" s="6"/>
      <c r="M5" s="6"/>
      <c r="N5" s="6"/>
      <c r="O5" s="5"/>
      <c r="P5" s="6"/>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c r="Q6" s="2"/>
    </row>
    <row r="7" spans="1:17">
      <c r="A7" s="160" t="s">
        <v>283</v>
      </c>
      <c r="B7" s="161">
        <v>17</v>
      </c>
      <c r="C7" s="161">
        <v>7</v>
      </c>
      <c r="D7" s="161">
        <v>71</v>
      </c>
      <c r="E7" s="161">
        <v>112</v>
      </c>
      <c r="F7" s="161">
        <v>18</v>
      </c>
      <c r="G7" s="161">
        <v>8</v>
      </c>
      <c r="H7" s="161">
        <v>8</v>
      </c>
      <c r="I7" s="161">
        <v>139</v>
      </c>
      <c r="J7" s="161">
        <v>63</v>
      </c>
      <c r="K7" s="161">
        <v>28</v>
      </c>
      <c r="L7" s="161">
        <v>12</v>
      </c>
      <c r="M7" s="161">
        <v>8</v>
      </c>
      <c r="N7" s="73">
        <f t="shared" ref="N7:N13" si="0">SUM(B7:M7)</f>
        <v>491</v>
      </c>
      <c r="O7" s="162">
        <v>0</v>
      </c>
      <c r="P7" s="163">
        <f t="shared" ref="P7:P13" si="1">O7/N7</f>
        <v>0</v>
      </c>
      <c r="Q7" s="18"/>
    </row>
    <row r="8" spans="1:17">
      <c r="A8" s="71" t="s">
        <v>239</v>
      </c>
      <c r="B8" s="161">
        <v>31</v>
      </c>
      <c r="C8" s="161">
        <v>20</v>
      </c>
      <c r="D8" s="161">
        <v>39</v>
      </c>
      <c r="E8" s="161">
        <v>96</v>
      </c>
      <c r="F8" s="161">
        <v>120</v>
      </c>
      <c r="G8" s="161">
        <v>86</v>
      </c>
      <c r="H8" s="161">
        <v>35</v>
      </c>
      <c r="I8" s="161">
        <v>66</v>
      </c>
      <c r="J8" s="161">
        <v>131</v>
      </c>
      <c r="K8" s="161">
        <v>135</v>
      </c>
      <c r="L8" s="161">
        <v>76</v>
      </c>
      <c r="M8" s="161">
        <v>37</v>
      </c>
      <c r="N8" s="73">
        <f t="shared" si="0"/>
        <v>872</v>
      </c>
      <c r="O8" s="162">
        <v>0</v>
      </c>
      <c r="P8" s="163">
        <f t="shared" si="1"/>
        <v>0</v>
      </c>
      <c r="Q8" s="18"/>
    </row>
    <row r="9" spans="1:17">
      <c r="A9" s="154" t="s">
        <v>14</v>
      </c>
      <c r="B9" s="161">
        <v>48</v>
      </c>
      <c r="C9" s="161">
        <v>27</v>
      </c>
      <c r="D9" s="161">
        <v>110</v>
      </c>
      <c r="E9" s="161">
        <v>208</v>
      </c>
      <c r="F9" s="161">
        <v>138</v>
      </c>
      <c r="G9" s="161">
        <v>94</v>
      </c>
      <c r="H9" s="161">
        <v>43</v>
      </c>
      <c r="I9" s="161">
        <v>205</v>
      </c>
      <c r="J9" s="161">
        <v>194</v>
      </c>
      <c r="K9" s="161">
        <v>163</v>
      </c>
      <c r="L9" s="161">
        <v>88</v>
      </c>
      <c r="M9" s="161">
        <v>45</v>
      </c>
      <c r="N9" s="155">
        <f t="shared" si="0"/>
        <v>1363</v>
      </c>
      <c r="O9" s="162">
        <v>0</v>
      </c>
      <c r="P9" s="164">
        <f t="shared" si="1"/>
        <v>0</v>
      </c>
      <c r="Q9" s="18"/>
    </row>
    <row r="10" spans="1:17">
      <c r="A10" s="154" t="s">
        <v>155</v>
      </c>
      <c r="B10" s="161">
        <v>243</v>
      </c>
      <c r="C10" s="161">
        <v>109</v>
      </c>
      <c r="D10" s="161">
        <v>337</v>
      </c>
      <c r="E10" s="161">
        <v>698</v>
      </c>
      <c r="F10" s="161">
        <v>570</v>
      </c>
      <c r="G10" s="161">
        <v>378</v>
      </c>
      <c r="H10" s="161">
        <v>160</v>
      </c>
      <c r="I10" s="161">
        <v>793</v>
      </c>
      <c r="J10" s="161">
        <v>1161</v>
      </c>
      <c r="K10" s="161">
        <v>763</v>
      </c>
      <c r="L10" s="161">
        <v>335</v>
      </c>
      <c r="M10" s="161">
        <v>227</v>
      </c>
      <c r="N10" s="155">
        <f t="shared" si="0"/>
        <v>5774</v>
      </c>
      <c r="O10" s="162">
        <v>0</v>
      </c>
      <c r="P10" s="164">
        <f t="shared" si="1"/>
        <v>0</v>
      </c>
      <c r="Q10" s="18"/>
    </row>
    <row r="11" spans="1:17">
      <c r="A11" s="71" t="s">
        <v>353</v>
      </c>
      <c r="B11" s="165">
        <v>5.0599999999999996</v>
      </c>
      <c r="C11" s="165">
        <v>4.04</v>
      </c>
      <c r="D11" s="165">
        <v>3.06</v>
      </c>
      <c r="E11" s="165">
        <v>3.36</v>
      </c>
      <c r="F11" s="165">
        <v>4.13</v>
      </c>
      <c r="G11" s="165">
        <v>4.0199999999999996</v>
      </c>
      <c r="H11" s="165">
        <v>3.72</v>
      </c>
      <c r="I11" s="165">
        <v>3.87</v>
      </c>
      <c r="J11" s="165">
        <v>5.98</v>
      </c>
      <c r="K11" s="165">
        <v>4.68</v>
      </c>
      <c r="L11" s="165">
        <v>3.81</v>
      </c>
      <c r="M11" s="165">
        <v>5.04</v>
      </c>
      <c r="N11" s="166">
        <f t="shared" si="0"/>
        <v>50.769999999999996</v>
      </c>
      <c r="O11" s="162">
        <v>0</v>
      </c>
      <c r="P11" s="163">
        <f t="shared" si="1"/>
        <v>0</v>
      </c>
      <c r="Q11" s="18"/>
    </row>
    <row r="12" spans="1:17">
      <c r="A12" s="154" t="s">
        <v>186</v>
      </c>
      <c r="B12" s="161">
        <v>2225</v>
      </c>
      <c r="C12" s="161">
        <v>6.53</v>
      </c>
      <c r="D12" s="161">
        <v>3382</v>
      </c>
      <c r="E12" s="161">
        <v>4553</v>
      </c>
      <c r="F12" s="161">
        <v>2949</v>
      </c>
      <c r="G12" s="161">
        <v>1009</v>
      </c>
      <c r="H12" s="161">
        <v>1610</v>
      </c>
      <c r="I12" s="161">
        <v>1669</v>
      </c>
      <c r="J12" s="161">
        <v>4615</v>
      </c>
      <c r="K12" s="161">
        <v>2762</v>
      </c>
      <c r="L12" s="161">
        <v>767</v>
      </c>
      <c r="M12" s="161">
        <v>1473</v>
      </c>
      <c r="N12" s="155">
        <f t="shared" si="0"/>
        <v>27020.53</v>
      </c>
      <c r="O12" s="162">
        <v>0</v>
      </c>
      <c r="P12" s="164">
        <f t="shared" si="1"/>
        <v>0</v>
      </c>
      <c r="Q12" s="18"/>
    </row>
    <row r="13" spans="1:17">
      <c r="A13" s="71" t="s">
        <v>98</v>
      </c>
      <c r="B13" s="165">
        <v>46.35</v>
      </c>
      <c r="C13" s="165">
        <v>24.19</v>
      </c>
      <c r="D13" s="165">
        <v>30.75</v>
      </c>
      <c r="E13" s="165">
        <v>21.89</v>
      </c>
      <c r="F13" s="165">
        <v>21.37</v>
      </c>
      <c r="G13" s="165">
        <v>10.73</v>
      </c>
      <c r="H13" s="165">
        <v>37.44</v>
      </c>
      <c r="I13" s="165">
        <v>8.14</v>
      </c>
      <c r="J13" s="165">
        <v>23.79</v>
      </c>
      <c r="K13" s="165">
        <v>16.940000000000001</v>
      </c>
      <c r="L13" s="165">
        <v>8.7200000000000006</v>
      </c>
      <c r="M13" s="165">
        <v>32.729999999999997</v>
      </c>
      <c r="N13" s="166">
        <f t="shared" si="0"/>
        <v>283.04000000000002</v>
      </c>
      <c r="O13" s="162">
        <v>0</v>
      </c>
      <c r="P13" s="163">
        <f t="shared" si="1"/>
        <v>0</v>
      </c>
      <c r="Q13" s="18"/>
    </row>
    <row r="14" spans="1:17">
      <c r="A14" s="2"/>
      <c r="B14" s="43"/>
      <c r="C14" s="43"/>
      <c r="D14" s="43"/>
      <c r="E14" s="43"/>
      <c r="F14" s="43"/>
      <c r="G14" s="43"/>
      <c r="H14" s="43"/>
      <c r="I14" s="43"/>
      <c r="J14" s="43"/>
      <c r="K14" s="43"/>
      <c r="L14" s="43"/>
      <c r="M14" s="43"/>
      <c r="N14" s="43"/>
      <c r="O14" s="82" t="s">
        <v>15</v>
      </c>
      <c r="P14" s="43"/>
    </row>
    <row r="15" spans="1:17" ht="13.5">
      <c r="A15" s="167"/>
      <c r="B15" s="2"/>
      <c r="C15" s="2"/>
      <c r="D15" s="2"/>
      <c r="E15" s="2"/>
      <c r="F15" s="2"/>
      <c r="G15" s="2"/>
      <c r="H15" s="2"/>
      <c r="I15" s="2"/>
      <c r="J15" s="2"/>
      <c r="K15" s="2"/>
      <c r="L15" s="2"/>
      <c r="M15" s="2"/>
      <c r="N15" s="2"/>
      <c r="O15" s="2"/>
      <c r="P15" s="2"/>
      <c r="Q15" s="2"/>
    </row>
  </sheetData>
  <pageMargins left="0.75" right="0.75" top="1" bottom="1" header="0.5" footer="0.5"/>
  <pageSetup paperSize="9"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dimension ref="A1:Q12"/>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4.85546875" customWidth="1"/>
    <col min="2" max="2" width="9.7109375" customWidth="1"/>
    <col min="3" max="14" width="8.5703125" customWidth="1"/>
    <col min="15" max="15" width="10.85546875" customWidth="1"/>
    <col min="16" max="16" width="8.5703125" customWidth="1"/>
    <col min="17" max="17" width="9.140625" customWidth="1"/>
  </cols>
  <sheetData>
    <row r="1" spans="1:17" ht="20.25">
      <c r="A1" s="175" t="s">
        <v>0</v>
      </c>
      <c r="B1" s="176"/>
      <c r="C1" s="176"/>
      <c r="D1" s="176"/>
      <c r="E1" s="2"/>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c r="B3" s="2"/>
      <c r="C3" s="2"/>
      <c r="O3" s="2"/>
    </row>
    <row r="4" spans="1:17">
      <c r="A4" s="2" t="s">
        <v>17</v>
      </c>
      <c r="B4" s="2" t="s">
        <v>151</v>
      </c>
      <c r="C4" s="2"/>
      <c r="O4" s="2"/>
    </row>
    <row r="5" spans="1:17">
      <c r="A5" s="5"/>
      <c r="B5" s="5"/>
      <c r="C5" s="5"/>
      <c r="D5" s="6"/>
      <c r="E5" s="6"/>
      <c r="F5" s="6"/>
      <c r="G5" s="6"/>
      <c r="H5" s="6"/>
      <c r="I5" s="6"/>
      <c r="J5" s="6"/>
      <c r="K5" s="6"/>
      <c r="L5" s="6"/>
      <c r="M5" s="6"/>
      <c r="N5" s="6"/>
      <c r="O5" s="5"/>
      <c r="P5" s="6"/>
    </row>
    <row r="6" spans="1:17" ht="25.5">
      <c r="A6" s="168"/>
      <c r="B6" s="59">
        <v>40360</v>
      </c>
      <c r="C6" s="59">
        <v>40391</v>
      </c>
      <c r="D6" s="59">
        <v>6614787</v>
      </c>
      <c r="E6" s="59">
        <v>40452</v>
      </c>
      <c r="F6" s="59">
        <v>40483</v>
      </c>
      <c r="G6" s="59">
        <v>40513</v>
      </c>
      <c r="H6" s="59">
        <v>40544</v>
      </c>
      <c r="I6" s="59">
        <v>40575</v>
      </c>
      <c r="J6" s="59">
        <v>40603</v>
      </c>
      <c r="K6" s="59">
        <v>40634</v>
      </c>
      <c r="L6" s="59">
        <v>40664</v>
      </c>
      <c r="M6" s="59">
        <v>40695</v>
      </c>
      <c r="N6" s="169" t="s">
        <v>371</v>
      </c>
      <c r="O6" s="115" t="s">
        <v>27</v>
      </c>
      <c r="P6" s="115" t="s">
        <v>175</v>
      </c>
      <c r="Q6" s="2"/>
    </row>
    <row r="7" spans="1:17">
      <c r="A7" s="170" t="s">
        <v>0</v>
      </c>
      <c r="B7" s="93"/>
      <c r="C7" s="93"/>
      <c r="D7" s="93"/>
      <c r="E7" s="93"/>
      <c r="F7" s="93"/>
      <c r="G7" s="93"/>
      <c r="H7" s="93"/>
      <c r="I7" s="93"/>
      <c r="J7" s="93"/>
      <c r="K7" s="93"/>
      <c r="L7" s="93"/>
      <c r="M7" s="93"/>
      <c r="N7" s="98"/>
      <c r="O7" s="98"/>
      <c r="P7" s="98"/>
    </row>
    <row r="8" spans="1:17">
      <c r="A8" s="160" t="s">
        <v>227</v>
      </c>
      <c r="B8" s="72">
        <v>241</v>
      </c>
      <c r="C8" s="72">
        <v>201</v>
      </c>
      <c r="D8" s="72">
        <v>205</v>
      </c>
      <c r="E8" s="72">
        <v>278</v>
      </c>
      <c r="F8" s="72">
        <v>316</v>
      </c>
      <c r="G8" s="72">
        <v>323</v>
      </c>
      <c r="H8" s="72">
        <v>284</v>
      </c>
      <c r="I8" s="72">
        <v>369</v>
      </c>
      <c r="J8" s="72">
        <v>440</v>
      </c>
      <c r="K8" s="72">
        <v>411</v>
      </c>
      <c r="L8" s="72">
        <v>427</v>
      </c>
      <c r="M8" s="72">
        <v>474</v>
      </c>
      <c r="N8" s="73">
        <f>SUM(B8:M8)</f>
        <v>3969</v>
      </c>
      <c r="O8" s="171"/>
      <c r="P8" s="70"/>
    </row>
    <row r="9" spans="1:17">
      <c r="A9" s="71" t="s">
        <v>413</v>
      </c>
      <c r="B9" s="72">
        <v>320</v>
      </c>
      <c r="C9" s="72">
        <v>230</v>
      </c>
      <c r="D9" s="72">
        <v>271</v>
      </c>
      <c r="E9" s="72">
        <v>347</v>
      </c>
      <c r="F9" s="72">
        <v>425</v>
      </c>
      <c r="G9" s="72">
        <v>454</v>
      </c>
      <c r="H9" s="72">
        <v>327</v>
      </c>
      <c r="I9" s="72">
        <v>556</v>
      </c>
      <c r="J9" s="72">
        <v>535</v>
      </c>
      <c r="K9" s="72">
        <v>428</v>
      </c>
      <c r="L9" s="72">
        <v>454</v>
      </c>
      <c r="M9" s="72">
        <v>515</v>
      </c>
      <c r="N9" s="73">
        <f>SUM(B9:M9)</f>
        <v>4862</v>
      </c>
      <c r="O9" s="140">
        <v>0</v>
      </c>
      <c r="P9" s="75">
        <f>O9/N9</f>
        <v>0</v>
      </c>
    </row>
    <row r="10" spans="1:17">
      <c r="A10" s="71" t="s">
        <v>6</v>
      </c>
      <c r="B10" s="72">
        <v>79</v>
      </c>
      <c r="C10" s="72">
        <v>29</v>
      </c>
      <c r="D10" s="72">
        <v>66</v>
      </c>
      <c r="E10" s="72">
        <v>69</v>
      </c>
      <c r="F10" s="72">
        <v>109</v>
      </c>
      <c r="G10" s="72">
        <v>131</v>
      </c>
      <c r="H10" s="72">
        <v>43</v>
      </c>
      <c r="I10" s="72">
        <v>187</v>
      </c>
      <c r="J10" s="72">
        <v>95</v>
      </c>
      <c r="K10" s="72">
        <v>17</v>
      </c>
      <c r="L10" s="72">
        <v>27</v>
      </c>
      <c r="M10" s="72">
        <v>41</v>
      </c>
      <c r="N10" s="73">
        <f>SUM(B10:M10)</f>
        <v>893</v>
      </c>
      <c r="O10" s="74"/>
      <c r="P10" s="75"/>
    </row>
    <row r="11" spans="1:17">
      <c r="A11" s="71" t="s">
        <v>272</v>
      </c>
      <c r="B11" s="72">
        <v>1</v>
      </c>
      <c r="C11" s="72">
        <v>1</v>
      </c>
      <c r="D11" s="72">
        <v>1</v>
      </c>
      <c r="E11" s="72">
        <v>1</v>
      </c>
      <c r="F11" s="72">
        <v>1</v>
      </c>
      <c r="G11" s="72">
        <v>1</v>
      </c>
      <c r="H11" s="72">
        <v>1</v>
      </c>
      <c r="I11" s="72">
        <v>1</v>
      </c>
      <c r="J11" s="72">
        <v>1</v>
      </c>
      <c r="K11" s="72">
        <v>1</v>
      </c>
      <c r="L11" s="72">
        <v>1</v>
      </c>
      <c r="M11" s="72">
        <v>1</v>
      </c>
      <c r="N11" s="73"/>
      <c r="O11" s="10"/>
    </row>
    <row r="12" spans="1:17">
      <c r="A12" s="2"/>
      <c r="B12" s="82"/>
      <c r="C12" s="82"/>
      <c r="D12" s="43"/>
      <c r="E12" s="43"/>
      <c r="F12" s="43"/>
      <c r="G12" s="43"/>
      <c r="H12" s="43"/>
      <c r="I12" s="43"/>
      <c r="J12" s="43"/>
      <c r="K12" s="43"/>
      <c r="L12" s="43"/>
      <c r="M12" s="43"/>
      <c r="N12" s="43"/>
      <c r="O12" s="2"/>
    </row>
  </sheetData>
  <mergeCells count="1">
    <mergeCell ref="A1:D1"/>
  </mergeCells>
  <pageMargins left="0.75" right="0.75" top="1" bottom="1" header="0.5" footer="0.5"/>
  <pageSetup paperSize="9"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dimension ref="A1:Q41"/>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7.140625" customWidth="1"/>
    <col min="2" max="2" width="10.85546875" customWidth="1"/>
    <col min="3" max="14" width="8.5703125" customWidth="1"/>
    <col min="15" max="15" width="12.85546875" customWidth="1"/>
    <col min="16" max="16" width="8.5703125" customWidth="1"/>
    <col min="17" max="17" width="9.140625" customWidth="1"/>
  </cols>
  <sheetData>
    <row r="1" spans="1:17" ht="20.25">
      <c r="A1" s="175" t="s">
        <v>234</v>
      </c>
      <c r="B1" s="176"/>
      <c r="C1" s="176"/>
      <c r="D1" s="176"/>
      <c r="E1" s="176"/>
      <c r="F1" s="2"/>
      <c r="G1" s="2"/>
      <c r="H1" s="2"/>
      <c r="I1" s="2"/>
      <c r="J1" s="2"/>
      <c r="K1" s="2"/>
      <c r="L1" s="2"/>
      <c r="M1" s="2"/>
      <c r="N1" s="2"/>
      <c r="O1" s="2"/>
      <c r="P1" s="2"/>
      <c r="Q1" s="2"/>
    </row>
    <row r="2" spans="1:17" ht="18">
      <c r="A2" s="48" t="s">
        <v>279</v>
      </c>
      <c r="B2" s="2"/>
      <c r="C2" s="2"/>
      <c r="D2" s="2"/>
      <c r="E2" s="2"/>
      <c r="F2" s="2"/>
      <c r="G2" s="2"/>
      <c r="H2" s="2"/>
      <c r="I2" s="2"/>
      <c r="J2" s="2"/>
      <c r="K2" s="2"/>
      <c r="L2" s="2"/>
      <c r="M2" s="2"/>
      <c r="N2" s="2"/>
      <c r="O2" s="2"/>
      <c r="P2" s="2"/>
      <c r="Q2" s="2"/>
    </row>
    <row r="3" spans="1:17">
      <c r="A3" s="2"/>
      <c r="B3" s="2"/>
      <c r="O3" s="2"/>
    </row>
    <row r="4" spans="1:17">
      <c r="A4" s="2" t="s">
        <v>17</v>
      </c>
      <c r="B4" s="2" t="s">
        <v>192</v>
      </c>
      <c r="O4" s="2"/>
    </row>
    <row r="5" spans="1:17">
      <c r="A5" s="5"/>
      <c r="B5" s="5"/>
      <c r="C5" s="6"/>
      <c r="D5" s="6"/>
      <c r="E5" s="6"/>
      <c r="F5" s="6"/>
      <c r="G5" s="6"/>
      <c r="H5" s="6"/>
      <c r="I5" s="6"/>
      <c r="J5" s="6"/>
      <c r="K5" s="6"/>
      <c r="L5" s="6"/>
      <c r="M5" s="6"/>
      <c r="N5" s="6"/>
      <c r="O5" s="5"/>
      <c r="P5" s="6"/>
    </row>
    <row r="6" spans="1:17"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row>
    <row r="7" spans="1:17">
      <c r="A7" s="67" t="s">
        <v>115</v>
      </c>
      <c r="B7" s="121"/>
      <c r="C7" s="121"/>
      <c r="D7" s="121"/>
      <c r="E7" s="121"/>
      <c r="F7" s="121"/>
      <c r="G7" s="121"/>
      <c r="H7" s="121"/>
      <c r="I7" s="121"/>
      <c r="J7" s="121"/>
      <c r="K7" s="121"/>
      <c r="L7" s="121"/>
      <c r="M7" s="121"/>
      <c r="N7" s="121"/>
      <c r="O7" s="43"/>
      <c r="P7" s="43"/>
    </row>
    <row r="8" spans="1:17">
      <c r="A8" s="71" t="s">
        <v>257</v>
      </c>
      <c r="B8" s="24">
        <v>14</v>
      </c>
      <c r="C8" s="24">
        <v>17</v>
      </c>
      <c r="D8" s="24">
        <v>93</v>
      </c>
      <c r="E8" s="24">
        <v>266</v>
      </c>
      <c r="F8" s="24">
        <v>60</v>
      </c>
      <c r="G8" s="24">
        <v>38</v>
      </c>
      <c r="H8" s="24">
        <v>20</v>
      </c>
      <c r="I8" s="24">
        <v>43</v>
      </c>
      <c r="J8" s="24">
        <v>90</v>
      </c>
      <c r="K8" s="24">
        <v>45</v>
      </c>
      <c r="L8" s="24">
        <v>30</v>
      </c>
      <c r="M8" s="24">
        <v>29</v>
      </c>
      <c r="N8" s="73">
        <f>SUM(B8:M8)</f>
        <v>745</v>
      </c>
      <c r="O8" s="74"/>
      <c r="P8" s="75"/>
    </row>
    <row r="9" spans="1:17">
      <c r="A9" s="71" t="s">
        <v>222</v>
      </c>
      <c r="B9" s="24">
        <v>28</v>
      </c>
      <c r="C9" s="24">
        <v>66</v>
      </c>
      <c r="D9" s="24">
        <v>410</v>
      </c>
      <c r="E9" s="24">
        <v>1263</v>
      </c>
      <c r="F9" s="24">
        <v>198</v>
      </c>
      <c r="G9" s="24">
        <v>130</v>
      </c>
      <c r="H9" s="24">
        <v>129</v>
      </c>
      <c r="I9" s="24">
        <v>164</v>
      </c>
      <c r="J9" s="24">
        <v>316</v>
      </c>
      <c r="K9" s="24">
        <v>99</v>
      </c>
      <c r="L9" s="24">
        <v>84</v>
      </c>
      <c r="M9" s="24">
        <v>102</v>
      </c>
      <c r="N9" s="117">
        <f>SUM(B9:M9)</f>
        <v>2989</v>
      </c>
      <c r="O9" s="140">
        <v>0</v>
      </c>
      <c r="P9" s="75">
        <f>O9/N9</f>
        <v>0</v>
      </c>
    </row>
    <row r="10" spans="1:17">
      <c r="A10" s="2"/>
      <c r="B10" s="82"/>
      <c r="C10" s="43"/>
      <c r="D10" s="43"/>
      <c r="E10" s="43"/>
      <c r="F10" s="43"/>
      <c r="G10" s="43"/>
      <c r="H10" s="43"/>
      <c r="I10" s="43"/>
      <c r="J10" s="43"/>
      <c r="K10" s="43"/>
      <c r="L10" s="43"/>
      <c r="M10" s="43"/>
      <c r="O10" s="2"/>
    </row>
    <row r="11" spans="1:17">
      <c r="A11" s="5"/>
      <c r="B11" s="5"/>
      <c r="C11" s="6"/>
      <c r="D11" s="6"/>
      <c r="E11" s="6"/>
      <c r="F11" s="6"/>
      <c r="G11" s="6"/>
      <c r="H11" s="6"/>
      <c r="I11" s="6"/>
      <c r="J11" s="6"/>
      <c r="K11" s="6"/>
      <c r="L11" s="6"/>
      <c r="M11" s="6"/>
      <c r="N11" s="6"/>
      <c r="O11" s="5"/>
      <c r="P11" s="6"/>
    </row>
    <row r="12" spans="1:17">
      <c r="A12" s="58"/>
      <c r="B12" s="59">
        <v>40360</v>
      </c>
      <c r="C12" s="59">
        <v>40391</v>
      </c>
      <c r="D12" s="59">
        <v>6614787</v>
      </c>
      <c r="E12" s="59">
        <v>40452</v>
      </c>
      <c r="F12" s="59">
        <v>40483</v>
      </c>
      <c r="G12" s="59">
        <v>40513</v>
      </c>
      <c r="H12" s="59">
        <v>40544</v>
      </c>
      <c r="I12" s="59">
        <v>40575</v>
      </c>
      <c r="J12" s="59">
        <v>40603</v>
      </c>
      <c r="K12" s="59">
        <v>40634</v>
      </c>
      <c r="L12" s="59">
        <v>40664</v>
      </c>
      <c r="M12" s="59">
        <v>40695</v>
      </c>
      <c r="N12" s="60" t="s">
        <v>371</v>
      </c>
      <c r="O12" s="61"/>
      <c r="P12" s="61"/>
    </row>
    <row r="13" spans="1:17">
      <c r="A13" s="67" t="s">
        <v>337</v>
      </c>
      <c r="B13" s="121"/>
      <c r="C13" s="121"/>
      <c r="D13" s="121"/>
      <c r="E13" s="121"/>
      <c r="F13" s="121"/>
      <c r="G13" s="121"/>
      <c r="H13" s="121"/>
      <c r="I13" s="121"/>
      <c r="J13" s="121"/>
      <c r="K13" s="121"/>
      <c r="L13" s="121"/>
      <c r="M13" s="121"/>
      <c r="N13" s="121"/>
      <c r="O13" s="43"/>
      <c r="P13" s="43"/>
    </row>
    <row r="14" spans="1:17">
      <c r="A14" s="71" t="s">
        <v>257</v>
      </c>
      <c r="B14" s="24">
        <v>674</v>
      </c>
      <c r="C14" s="24">
        <v>568</v>
      </c>
      <c r="D14" s="24">
        <v>1004</v>
      </c>
      <c r="E14" s="24">
        <v>1193</v>
      </c>
      <c r="F14" s="24">
        <v>1140</v>
      </c>
      <c r="G14" s="24">
        <v>727</v>
      </c>
      <c r="H14" s="24">
        <v>583</v>
      </c>
      <c r="I14" s="24">
        <v>921</v>
      </c>
      <c r="J14" s="24">
        <v>1105</v>
      </c>
      <c r="K14" s="24">
        <v>996</v>
      </c>
      <c r="L14" s="24">
        <v>761</v>
      </c>
      <c r="M14" s="24">
        <v>869</v>
      </c>
      <c r="N14" s="73">
        <f>SUM(B14:M14)</f>
        <v>10541</v>
      </c>
      <c r="O14" s="74"/>
      <c r="P14" s="75"/>
    </row>
    <row r="15" spans="1:17">
      <c r="A15" s="71" t="s">
        <v>222</v>
      </c>
      <c r="B15" s="24">
        <v>356</v>
      </c>
      <c r="C15" s="24">
        <v>578</v>
      </c>
      <c r="D15" s="24">
        <v>910</v>
      </c>
      <c r="E15" s="24">
        <v>873</v>
      </c>
      <c r="F15" s="24">
        <v>1416</v>
      </c>
      <c r="G15" s="24">
        <v>722</v>
      </c>
      <c r="H15" s="24">
        <v>658</v>
      </c>
      <c r="I15" s="24">
        <v>623</v>
      </c>
      <c r="J15" s="24">
        <v>666</v>
      </c>
      <c r="K15" s="24">
        <v>838</v>
      </c>
      <c r="L15" s="24">
        <v>634</v>
      </c>
      <c r="M15" s="24">
        <v>521</v>
      </c>
      <c r="N15" s="73">
        <f>SUM(B15:M15)</f>
        <v>8795</v>
      </c>
      <c r="O15" s="74"/>
      <c r="P15" s="75"/>
    </row>
    <row r="16" spans="1:17">
      <c r="A16" s="2"/>
      <c r="B16" s="82"/>
      <c r="C16" s="43"/>
      <c r="D16" s="43"/>
      <c r="E16" s="43"/>
      <c r="F16" s="43"/>
      <c r="G16" s="43"/>
      <c r="H16" s="43"/>
      <c r="I16" s="43"/>
      <c r="J16" s="43"/>
      <c r="K16" s="43"/>
      <c r="L16" s="43"/>
      <c r="M16" s="43"/>
      <c r="N16" s="43"/>
      <c r="O16" s="2"/>
    </row>
    <row r="17" spans="1:16">
      <c r="A17" s="5"/>
      <c r="B17" s="5"/>
      <c r="C17" s="6"/>
      <c r="D17" s="6"/>
      <c r="E17" s="6"/>
      <c r="F17" s="6"/>
      <c r="G17" s="6"/>
      <c r="H17" s="6"/>
      <c r="I17" s="6"/>
      <c r="J17" s="6"/>
      <c r="K17" s="6"/>
      <c r="L17" s="6"/>
      <c r="M17" s="6"/>
      <c r="N17" s="6"/>
      <c r="O17" s="5"/>
      <c r="P17" s="6"/>
    </row>
    <row r="18" spans="1:16">
      <c r="A18" s="58"/>
      <c r="B18" s="59">
        <v>40360</v>
      </c>
      <c r="C18" s="59">
        <v>40391</v>
      </c>
      <c r="D18" s="59">
        <v>6614787</v>
      </c>
      <c r="E18" s="59">
        <v>40452</v>
      </c>
      <c r="F18" s="59">
        <v>40483</v>
      </c>
      <c r="G18" s="59">
        <v>40513</v>
      </c>
      <c r="H18" s="59">
        <v>40544</v>
      </c>
      <c r="I18" s="59">
        <v>40575</v>
      </c>
      <c r="J18" s="59">
        <v>40603</v>
      </c>
      <c r="K18" s="59">
        <v>40634</v>
      </c>
      <c r="L18" s="59">
        <v>40664</v>
      </c>
      <c r="M18" s="59">
        <v>40695</v>
      </c>
      <c r="N18" s="60" t="s">
        <v>371</v>
      </c>
      <c r="O18" s="61"/>
      <c r="P18" s="61"/>
    </row>
    <row r="19" spans="1:16">
      <c r="A19" s="67" t="s">
        <v>294</v>
      </c>
      <c r="B19" s="121"/>
      <c r="C19" s="121"/>
      <c r="D19" s="121"/>
      <c r="E19" s="121"/>
      <c r="F19" s="121"/>
      <c r="G19" s="121"/>
      <c r="H19" s="121"/>
      <c r="I19" s="121"/>
      <c r="J19" s="121"/>
      <c r="K19" s="121"/>
      <c r="L19" s="121"/>
      <c r="M19" s="121"/>
      <c r="N19" s="121"/>
      <c r="O19" s="43"/>
      <c r="P19" s="43"/>
    </row>
    <row r="20" spans="1:16">
      <c r="A20" s="71" t="s">
        <v>257</v>
      </c>
      <c r="B20" s="24">
        <v>1358</v>
      </c>
      <c r="C20" s="24">
        <v>1017</v>
      </c>
      <c r="D20" s="24">
        <v>1680</v>
      </c>
      <c r="E20" s="24">
        <v>1756</v>
      </c>
      <c r="F20" s="24">
        <v>1569</v>
      </c>
      <c r="G20" s="24">
        <v>1228</v>
      </c>
      <c r="H20" s="24">
        <v>1280</v>
      </c>
      <c r="I20" s="24">
        <v>1650</v>
      </c>
      <c r="J20" s="24">
        <v>1482</v>
      </c>
      <c r="K20" s="24">
        <v>1608</v>
      </c>
      <c r="L20" s="24">
        <v>1289</v>
      </c>
      <c r="M20" s="24">
        <v>1623</v>
      </c>
      <c r="N20" s="73">
        <f>SUM(B20:M20)</f>
        <v>17540</v>
      </c>
      <c r="O20" s="74"/>
      <c r="P20" s="75"/>
    </row>
    <row r="21" spans="1:16">
      <c r="A21" s="2"/>
      <c r="B21" s="82"/>
      <c r="C21" s="43"/>
      <c r="D21" s="43"/>
      <c r="E21" s="43"/>
      <c r="F21" s="43"/>
      <c r="G21" s="43"/>
      <c r="H21" s="43"/>
      <c r="I21" s="43"/>
      <c r="J21" s="43"/>
      <c r="K21" s="43"/>
      <c r="L21" s="43"/>
      <c r="M21" s="43"/>
      <c r="N21" s="43"/>
      <c r="O21" s="2"/>
    </row>
    <row r="22" spans="1:16">
      <c r="A22" s="5"/>
      <c r="B22" s="5"/>
      <c r="C22" s="6"/>
      <c r="D22" s="6"/>
      <c r="E22" s="6"/>
      <c r="F22" s="6"/>
      <c r="G22" s="6"/>
      <c r="H22" s="6"/>
      <c r="I22" s="6"/>
      <c r="J22" s="6"/>
      <c r="K22" s="6"/>
      <c r="L22" s="6"/>
      <c r="M22" s="6"/>
      <c r="N22" s="6"/>
      <c r="O22" s="5"/>
      <c r="P22" s="6"/>
    </row>
    <row r="23" spans="1:16" ht="25.5">
      <c r="A23" s="58"/>
      <c r="B23" s="59">
        <v>40360</v>
      </c>
      <c r="C23" s="59">
        <v>40391</v>
      </c>
      <c r="D23" s="59">
        <v>6614787</v>
      </c>
      <c r="E23" s="59">
        <v>40452</v>
      </c>
      <c r="F23" s="59">
        <v>40483</v>
      </c>
      <c r="G23" s="59">
        <v>40513</v>
      </c>
      <c r="H23" s="59">
        <v>40544</v>
      </c>
      <c r="I23" s="59">
        <v>40575</v>
      </c>
      <c r="J23" s="59">
        <v>40603</v>
      </c>
      <c r="K23" s="59">
        <v>40634</v>
      </c>
      <c r="L23" s="59">
        <v>40664</v>
      </c>
      <c r="M23" s="59">
        <v>40695</v>
      </c>
      <c r="N23" s="60" t="s">
        <v>371</v>
      </c>
      <c r="O23" s="61" t="s">
        <v>27</v>
      </c>
      <c r="P23" s="61" t="s">
        <v>175</v>
      </c>
    </row>
    <row r="24" spans="1:16">
      <c r="A24" s="67" t="s">
        <v>126</v>
      </c>
      <c r="B24" s="121"/>
      <c r="C24" s="121"/>
      <c r="D24" s="121"/>
      <c r="E24" s="121"/>
      <c r="F24" s="121"/>
      <c r="G24" s="121"/>
      <c r="H24" s="121"/>
      <c r="I24" s="121"/>
      <c r="J24" s="121"/>
      <c r="K24" s="121"/>
      <c r="L24" s="121"/>
      <c r="M24" s="121"/>
      <c r="N24" s="121"/>
      <c r="O24" s="43"/>
      <c r="P24" s="43"/>
    </row>
    <row r="25" spans="1:16">
      <c r="A25" s="71" t="s">
        <v>257</v>
      </c>
      <c r="B25" s="24">
        <v>1105</v>
      </c>
      <c r="C25" s="24">
        <v>803</v>
      </c>
      <c r="D25" s="24">
        <v>1299</v>
      </c>
      <c r="E25" s="24">
        <v>1195</v>
      </c>
      <c r="F25" s="24">
        <v>1194</v>
      </c>
      <c r="G25" s="24">
        <v>950</v>
      </c>
      <c r="H25" s="24">
        <v>1054</v>
      </c>
      <c r="I25" s="24">
        <v>1315</v>
      </c>
      <c r="J25" s="24">
        <v>1116</v>
      </c>
      <c r="K25" s="24">
        <v>1260</v>
      </c>
      <c r="L25" s="24">
        <v>1013</v>
      </c>
      <c r="M25" s="24">
        <v>1302</v>
      </c>
      <c r="N25" s="73">
        <f>SUM(B25:M25)</f>
        <v>13606</v>
      </c>
      <c r="O25" s="74"/>
      <c r="P25" s="75"/>
    </row>
    <row r="26" spans="1:16">
      <c r="A26" s="71" t="s">
        <v>222</v>
      </c>
      <c r="B26" s="24">
        <v>3297</v>
      </c>
      <c r="C26" s="24">
        <v>3348</v>
      </c>
      <c r="D26" s="24">
        <v>3747</v>
      </c>
      <c r="E26" s="24">
        <v>3423</v>
      </c>
      <c r="F26" s="24">
        <v>4674</v>
      </c>
      <c r="G26" s="24">
        <v>2889</v>
      </c>
      <c r="H26" s="24">
        <v>2855</v>
      </c>
      <c r="I26" s="24">
        <v>4062</v>
      </c>
      <c r="J26" s="24">
        <v>3693</v>
      </c>
      <c r="K26" s="24">
        <v>3560</v>
      </c>
      <c r="L26" s="24">
        <v>3208</v>
      </c>
      <c r="M26" s="24">
        <v>4251</v>
      </c>
      <c r="N26" s="73">
        <f>SUM(B26:M26)</f>
        <v>43007</v>
      </c>
      <c r="O26" s="140">
        <v>0</v>
      </c>
      <c r="P26" s="75">
        <f>O26/N26</f>
        <v>0</v>
      </c>
    </row>
    <row r="27" spans="1:16">
      <c r="A27" s="2"/>
      <c r="B27" s="82"/>
      <c r="C27" s="43"/>
      <c r="D27" s="43"/>
      <c r="E27" s="43"/>
      <c r="F27" s="43"/>
      <c r="G27" s="43"/>
      <c r="H27" s="43"/>
      <c r="I27" s="43"/>
      <c r="J27" s="43"/>
      <c r="K27" s="43"/>
      <c r="L27" s="43"/>
      <c r="M27" s="43"/>
      <c r="N27" s="43"/>
      <c r="O27" s="2"/>
    </row>
    <row r="28" spans="1:16">
      <c r="A28" s="5"/>
      <c r="B28" s="5"/>
      <c r="C28" s="6"/>
      <c r="D28" s="6"/>
      <c r="E28" s="6"/>
      <c r="F28" s="6"/>
      <c r="G28" s="6"/>
      <c r="H28" s="6"/>
      <c r="I28" s="6"/>
      <c r="J28" s="6"/>
      <c r="K28" s="6"/>
      <c r="L28" s="6"/>
      <c r="M28" s="6"/>
      <c r="N28" s="6"/>
      <c r="O28" s="5"/>
      <c r="P28" s="6"/>
    </row>
    <row r="29" spans="1:16">
      <c r="A29" s="58"/>
      <c r="B29" s="59">
        <v>40360</v>
      </c>
      <c r="C29" s="59">
        <v>40391</v>
      </c>
      <c r="D29" s="59">
        <v>6614787</v>
      </c>
      <c r="E29" s="59">
        <v>40452</v>
      </c>
      <c r="F29" s="59">
        <v>40483</v>
      </c>
      <c r="G29" s="59">
        <v>40513</v>
      </c>
      <c r="H29" s="59">
        <v>40544</v>
      </c>
      <c r="I29" s="59">
        <v>40575</v>
      </c>
      <c r="J29" s="59">
        <v>40603</v>
      </c>
      <c r="K29" s="59">
        <v>40634</v>
      </c>
      <c r="L29" s="59">
        <v>40664</v>
      </c>
      <c r="M29" s="59">
        <v>40695</v>
      </c>
      <c r="N29" s="60" t="s">
        <v>371</v>
      </c>
      <c r="O29" s="61"/>
      <c r="P29" s="61"/>
    </row>
    <row r="30" spans="1:16">
      <c r="A30" s="67" t="s">
        <v>323</v>
      </c>
      <c r="B30" s="121"/>
      <c r="C30" s="121"/>
      <c r="D30" s="121"/>
      <c r="E30" s="121"/>
      <c r="F30" s="121"/>
      <c r="G30" s="121"/>
      <c r="H30" s="121"/>
      <c r="I30" s="121"/>
      <c r="J30" s="121"/>
      <c r="K30" s="121"/>
      <c r="L30" s="121"/>
      <c r="M30" s="121"/>
      <c r="N30" s="121"/>
      <c r="O30" s="43"/>
      <c r="P30" s="43"/>
    </row>
    <row r="31" spans="1:16">
      <c r="A31" s="71" t="s">
        <v>118</v>
      </c>
      <c r="B31" s="24">
        <v>9</v>
      </c>
      <c r="C31" s="24">
        <v>0</v>
      </c>
      <c r="D31" s="24">
        <v>6</v>
      </c>
      <c r="E31" s="24">
        <v>1</v>
      </c>
      <c r="F31" s="24">
        <v>16</v>
      </c>
      <c r="G31" s="24">
        <v>6</v>
      </c>
      <c r="H31" s="24">
        <v>0</v>
      </c>
      <c r="I31" s="24">
        <v>1</v>
      </c>
      <c r="J31" s="24">
        <v>9</v>
      </c>
      <c r="K31" s="24">
        <v>3</v>
      </c>
      <c r="L31" s="24">
        <v>7</v>
      </c>
      <c r="M31" s="24">
        <v>14</v>
      </c>
      <c r="N31" s="73">
        <f t="shared" ref="N31:N40" si="0">SUM(B31:M31)</f>
        <v>72</v>
      </c>
      <c r="O31" s="74"/>
      <c r="P31" s="75"/>
    </row>
    <row r="32" spans="1:16">
      <c r="A32" s="71" t="s">
        <v>283</v>
      </c>
      <c r="B32" s="24">
        <v>0</v>
      </c>
      <c r="C32" s="24">
        <v>0</v>
      </c>
      <c r="D32" s="24">
        <v>4</v>
      </c>
      <c r="E32" s="24">
        <v>0</v>
      </c>
      <c r="F32" s="24">
        <v>10</v>
      </c>
      <c r="G32" s="24">
        <v>0</v>
      </c>
      <c r="H32" s="24">
        <v>0</v>
      </c>
      <c r="I32" s="24">
        <v>4</v>
      </c>
      <c r="J32" s="24">
        <v>0</v>
      </c>
      <c r="K32" s="24">
        <v>0</v>
      </c>
      <c r="L32" s="24">
        <v>5</v>
      </c>
      <c r="M32" s="24">
        <v>0</v>
      </c>
      <c r="N32" s="73">
        <f t="shared" si="0"/>
        <v>23</v>
      </c>
      <c r="O32" s="10"/>
    </row>
    <row r="33" spans="1:15">
      <c r="A33" s="71" t="s">
        <v>408</v>
      </c>
      <c r="B33" s="24">
        <v>3</v>
      </c>
      <c r="C33" s="24">
        <v>0</v>
      </c>
      <c r="D33" s="24">
        <v>12</v>
      </c>
      <c r="E33" s="24">
        <v>0</v>
      </c>
      <c r="F33" s="24">
        <v>3</v>
      </c>
      <c r="G33" s="24">
        <v>0</v>
      </c>
      <c r="H33" s="24">
        <v>0</v>
      </c>
      <c r="I33" s="24">
        <v>0</v>
      </c>
      <c r="J33" s="24">
        <v>0</v>
      </c>
      <c r="K33" s="24">
        <v>0</v>
      </c>
      <c r="L33" s="24">
        <v>3</v>
      </c>
      <c r="M33" s="24">
        <v>9</v>
      </c>
      <c r="N33" s="73">
        <f t="shared" si="0"/>
        <v>30</v>
      </c>
      <c r="O33" s="10"/>
    </row>
    <row r="34" spans="1:15">
      <c r="A34" s="71" t="s">
        <v>268</v>
      </c>
      <c r="B34" s="24">
        <v>5</v>
      </c>
      <c r="C34" s="24">
        <v>2</v>
      </c>
      <c r="D34" s="24">
        <v>3</v>
      </c>
      <c r="E34" s="24">
        <v>3</v>
      </c>
      <c r="F34" s="24">
        <v>4</v>
      </c>
      <c r="G34" s="24">
        <v>0</v>
      </c>
      <c r="H34" s="24">
        <v>0</v>
      </c>
      <c r="I34" s="24">
        <v>2</v>
      </c>
      <c r="J34" s="24">
        <v>19</v>
      </c>
      <c r="K34" s="24">
        <v>11</v>
      </c>
      <c r="L34" s="24">
        <v>3</v>
      </c>
      <c r="M34" s="24">
        <v>4</v>
      </c>
      <c r="N34" s="73">
        <f t="shared" si="0"/>
        <v>56</v>
      </c>
      <c r="O34" s="10"/>
    </row>
    <row r="35" spans="1:15">
      <c r="A35" s="71" t="s">
        <v>301</v>
      </c>
      <c r="B35" s="24">
        <v>0</v>
      </c>
      <c r="C35" s="24">
        <v>0</v>
      </c>
      <c r="D35" s="24">
        <v>5</v>
      </c>
      <c r="E35" s="24">
        <v>0</v>
      </c>
      <c r="F35" s="24">
        <v>16</v>
      </c>
      <c r="G35" s="24">
        <v>0</v>
      </c>
      <c r="H35" s="24">
        <v>0</v>
      </c>
      <c r="I35" s="24">
        <v>2</v>
      </c>
      <c r="J35" s="24">
        <v>0</v>
      </c>
      <c r="K35" s="24">
        <v>2</v>
      </c>
      <c r="L35" s="24">
        <v>21</v>
      </c>
      <c r="M35" s="24">
        <v>32</v>
      </c>
      <c r="N35" s="73">
        <f t="shared" si="0"/>
        <v>78</v>
      </c>
      <c r="O35" s="10"/>
    </row>
    <row r="36" spans="1:15">
      <c r="A36" s="71" t="s">
        <v>208</v>
      </c>
      <c r="B36" s="24">
        <v>13</v>
      </c>
      <c r="C36" s="24">
        <v>0</v>
      </c>
      <c r="D36" s="24">
        <v>2</v>
      </c>
      <c r="E36" s="24">
        <v>1</v>
      </c>
      <c r="F36" s="24">
        <v>56</v>
      </c>
      <c r="G36" s="24">
        <v>0</v>
      </c>
      <c r="H36" s="24">
        <v>0</v>
      </c>
      <c r="I36" s="24">
        <v>0</v>
      </c>
      <c r="J36" s="24">
        <v>0</v>
      </c>
      <c r="K36" s="24">
        <v>0</v>
      </c>
      <c r="L36" s="24">
        <v>0</v>
      </c>
      <c r="M36" s="24">
        <v>10</v>
      </c>
      <c r="N36" s="73">
        <f t="shared" si="0"/>
        <v>82</v>
      </c>
      <c r="O36" s="10"/>
    </row>
    <row r="37" spans="1:15">
      <c r="A37" s="71" t="s">
        <v>390</v>
      </c>
      <c r="B37" s="24">
        <v>0</v>
      </c>
      <c r="C37" s="24">
        <v>0</v>
      </c>
      <c r="D37" s="24">
        <v>1</v>
      </c>
      <c r="E37" s="24">
        <v>0</v>
      </c>
      <c r="F37" s="24">
        <v>0</v>
      </c>
      <c r="G37" s="24">
        <v>0</v>
      </c>
      <c r="H37" s="24">
        <v>0</v>
      </c>
      <c r="I37" s="24">
        <v>0</v>
      </c>
      <c r="J37" s="24">
        <v>0</v>
      </c>
      <c r="K37" s="24">
        <v>0</v>
      </c>
      <c r="L37" s="24">
        <v>4</v>
      </c>
      <c r="M37" s="24">
        <v>0</v>
      </c>
      <c r="N37" s="73">
        <f t="shared" si="0"/>
        <v>5</v>
      </c>
      <c r="O37" s="10"/>
    </row>
    <row r="38" spans="1:15">
      <c r="A38" s="71" t="s">
        <v>214</v>
      </c>
      <c r="B38" s="24">
        <v>10</v>
      </c>
      <c r="C38" s="24">
        <v>0</v>
      </c>
      <c r="D38" s="24">
        <v>1</v>
      </c>
      <c r="E38" s="24">
        <v>0</v>
      </c>
      <c r="F38" s="24">
        <v>49</v>
      </c>
      <c r="G38" s="24">
        <v>0</v>
      </c>
      <c r="H38" s="24">
        <v>0</v>
      </c>
      <c r="I38" s="24">
        <v>0</v>
      </c>
      <c r="J38" s="24">
        <v>0</v>
      </c>
      <c r="K38" s="24">
        <v>0</v>
      </c>
      <c r="L38" s="24">
        <v>0</v>
      </c>
      <c r="M38" s="24">
        <v>7</v>
      </c>
      <c r="N38" s="73">
        <f t="shared" si="0"/>
        <v>67</v>
      </c>
      <c r="O38" s="10"/>
    </row>
    <row r="39" spans="1:15">
      <c r="A39" s="71" t="s">
        <v>341</v>
      </c>
      <c r="B39" s="24">
        <v>0</v>
      </c>
      <c r="C39" s="24">
        <v>0</v>
      </c>
      <c r="D39" s="24">
        <v>0</v>
      </c>
      <c r="E39" s="24">
        <v>0</v>
      </c>
      <c r="F39" s="24">
        <v>0</v>
      </c>
      <c r="G39" s="24">
        <v>0</v>
      </c>
      <c r="H39" s="24">
        <v>0</v>
      </c>
      <c r="I39" s="24">
        <v>0</v>
      </c>
      <c r="J39" s="24">
        <v>0</v>
      </c>
      <c r="K39" s="24">
        <v>0</v>
      </c>
      <c r="L39" s="24">
        <v>0</v>
      </c>
      <c r="M39" s="24">
        <v>0</v>
      </c>
      <c r="N39" s="73">
        <f t="shared" si="0"/>
        <v>0</v>
      </c>
      <c r="O39" s="10"/>
    </row>
    <row r="40" spans="1:15">
      <c r="A40" s="71" t="s">
        <v>67</v>
      </c>
      <c r="B40" s="24">
        <v>40</v>
      </c>
      <c r="C40" s="24">
        <v>2</v>
      </c>
      <c r="D40" s="24">
        <v>34</v>
      </c>
      <c r="E40" s="24">
        <v>5</v>
      </c>
      <c r="F40" s="24">
        <v>154</v>
      </c>
      <c r="G40" s="24">
        <v>6</v>
      </c>
      <c r="H40" s="24">
        <v>0</v>
      </c>
      <c r="I40" s="24">
        <v>9</v>
      </c>
      <c r="J40" s="24">
        <v>28</v>
      </c>
      <c r="K40" s="24">
        <v>16</v>
      </c>
      <c r="L40" s="24">
        <v>43</v>
      </c>
      <c r="M40" s="24">
        <v>76</v>
      </c>
      <c r="N40" s="73">
        <f t="shared" si="0"/>
        <v>413</v>
      </c>
      <c r="O40" s="10"/>
    </row>
    <row r="41" spans="1:15">
      <c r="A41" s="2"/>
      <c r="B41" s="82"/>
      <c r="C41" s="43"/>
      <c r="D41" s="43"/>
      <c r="E41" s="43"/>
      <c r="F41" s="43"/>
      <c r="G41" s="43"/>
      <c r="H41" s="43"/>
      <c r="I41" s="43"/>
      <c r="J41" s="43"/>
      <c r="K41" s="43"/>
      <c r="L41" s="43"/>
      <c r="M41" s="43"/>
      <c r="N41" s="43"/>
      <c r="O41" s="2"/>
    </row>
  </sheetData>
  <mergeCells count="1">
    <mergeCell ref="A1:E1"/>
  </mergeCells>
  <pageMargins left="0.75" right="0.75" top="1" bottom="1" header="0.5" footer="0.5"/>
  <pageSetup paperSize="9"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dimension ref="A1:P104"/>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3.140625" customWidth="1"/>
    <col min="2" max="14" width="8.5703125" customWidth="1"/>
    <col min="15" max="15" width="11.42578125" customWidth="1"/>
    <col min="16" max="16" width="12.42578125" customWidth="1"/>
  </cols>
  <sheetData>
    <row r="1" spans="1:16" ht="20.25">
      <c r="A1" s="1" t="s">
        <v>232</v>
      </c>
      <c r="B1" s="2"/>
      <c r="C1" s="2"/>
      <c r="D1" s="2"/>
      <c r="E1" s="2"/>
      <c r="F1" s="2"/>
      <c r="G1" s="2"/>
      <c r="H1" s="2"/>
      <c r="I1" s="2"/>
      <c r="J1" s="2"/>
      <c r="K1" s="2"/>
      <c r="L1" s="2"/>
      <c r="M1" s="2"/>
      <c r="N1" s="2"/>
      <c r="O1" s="2"/>
      <c r="P1" s="2"/>
    </row>
    <row r="2" spans="1:16" ht="18">
      <c r="A2" s="48" t="s">
        <v>141</v>
      </c>
      <c r="B2" s="2"/>
      <c r="C2" s="2"/>
      <c r="D2" s="2"/>
      <c r="E2" s="2"/>
      <c r="F2" s="2"/>
      <c r="G2" s="2"/>
      <c r="H2" s="2"/>
      <c r="I2" s="2"/>
      <c r="J2" s="2"/>
      <c r="K2" s="2"/>
      <c r="L2" s="2"/>
      <c r="M2" s="2"/>
      <c r="N2" s="2"/>
      <c r="O2" s="2"/>
      <c r="P2" s="2"/>
    </row>
    <row r="3" spans="1:16">
      <c r="A3" s="2"/>
    </row>
    <row r="4" spans="1:16">
      <c r="A4" s="2" t="s">
        <v>334</v>
      </c>
    </row>
    <row r="5" spans="1:16">
      <c r="A5" s="5"/>
      <c r="B5" s="6"/>
      <c r="C5" s="6"/>
      <c r="D5" s="6"/>
      <c r="E5" s="6"/>
      <c r="F5" s="6"/>
      <c r="G5" s="6"/>
      <c r="H5" s="6"/>
      <c r="I5" s="6"/>
      <c r="J5" s="6"/>
      <c r="K5" s="6"/>
      <c r="L5" s="6"/>
      <c r="M5" s="6"/>
      <c r="N5" s="6"/>
      <c r="O5" s="6"/>
      <c r="P5" s="6"/>
    </row>
    <row r="6" spans="1:16" ht="25.5">
      <c r="A6" s="58"/>
      <c r="B6" s="59">
        <v>40360</v>
      </c>
      <c r="C6" s="59">
        <v>40391</v>
      </c>
      <c r="D6" s="59">
        <v>6614787</v>
      </c>
      <c r="E6" s="59">
        <v>40452</v>
      </c>
      <c r="F6" s="59">
        <v>40483</v>
      </c>
      <c r="G6" s="59">
        <v>40513</v>
      </c>
      <c r="H6" s="59">
        <v>40544</v>
      </c>
      <c r="I6" s="59">
        <v>40575</v>
      </c>
      <c r="J6" s="59">
        <v>40603</v>
      </c>
      <c r="K6" s="59">
        <v>40634</v>
      </c>
      <c r="L6" s="59">
        <v>40664</v>
      </c>
      <c r="M6" s="59">
        <v>40695</v>
      </c>
      <c r="N6" s="60" t="s">
        <v>371</v>
      </c>
      <c r="O6" s="61" t="s">
        <v>27</v>
      </c>
      <c r="P6" s="61" t="s">
        <v>175</v>
      </c>
    </row>
    <row r="7" spans="1:16">
      <c r="A7" s="67" t="s">
        <v>119</v>
      </c>
      <c r="B7" s="121"/>
      <c r="C7" s="121"/>
      <c r="D7" s="121"/>
      <c r="E7" s="121"/>
      <c r="F7" s="121"/>
      <c r="G7" s="121"/>
      <c r="H7" s="121"/>
      <c r="I7" s="121"/>
      <c r="J7" s="121"/>
      <c r="K7" s="121"/>
      <c r="L7" s="121"/>
      <c r="M7" s="121"/>
      <c r="N7" s="121"/>
      <c r="O7" s="43"/>
      <c r="P7" s="43"/>
    </row>
    <row r="8" spans="1:16">
      <c r="A8" s="71" t="s">
        <v>257</v>
      </c>
      <c r="B8" s="24">
        <v>10</v>
      </c>
      <c r="C8" s="24">
        <v>1</v>
      </c>
      <c r="D8" s="24">
        <v>72</v>
      </c>
      <c r="E8" s="24">
        <v>54</v>
      </c>
      <c r="F8" s="24">
        <v>145</v>
      </c>
      <c r="G8" s="24">
        <v>25</v>
      </c>
      <c r="H8" s="24">
        <v>13</v>
      </c>
      <c r="I8" s="24">
        <v>109</v>
      </c>
      <c r="J8" s="24">
        <v>57</v>
      </c>
      <c r="K8" s="24">
        <v>81</v>
      </c>
      <c r="L8" s="24">
        <v>28</v>
      </c>
      <c r="M8" s="24">
        <v>7</v>
      </c>
      <c r="N8" s="73">
        <f>SUM(B8:M8)</f>
        <v>602</v>
      </c>
      <c r="O8" s="74"/>
      <c r="P8" s="75"/>
    </row>
    <row r="9" spans="1:16">
      <c r="A9" s="71" t="s">
        <v>208</v>
      </c>
      <c r="B9" s="24">
        <v>42</v>
      </c>
      <c r="C9" s="24">
        <v>2</v>
      </c>
      <c r="D9" s="24">
        <v>347</v>
      </c>
      <c r="E9" s="24">
        <v>187</v>
      </c>
      <c r="F9" s="24">
        <v>691</v>
      </c>
      <c r="G9" s="24">
        <v>83</v>
      </c>
      <c r="H9" s="24">
        <v>66</v>
      </c>
      <c r="I9" s="24">
        <v>618</v>
      </c>
      <c r="J9" s="24">
        <v>280</v>
      </c>
      <c r="K9" s="24">
        <v>239</v>
      </c>
      <c r="L9" s="24">
        <v>90</v>
      </c>
      <c r="M9" s="24">
        <v>33</v>
      </c>
      <c r="N9" s="73">
        <f>SUM(B9:M9)</f>
        <v>2678</v>
      </c>
      <c r="O9" s="74">
        <v>0</v>
      </c>
      <c r="P9" s="75">
        <f>O9/N9</f>
        <v>0</v>
      </c>
    </row>
    <row r="10" spans="1:16">
      <c r="A10" s="71" t="s">
        <v>228</v>
      </c>
      <c r="B10" s="24" t="s">
        <v>231</v>
      </c>
      <c r="C10" s="24" t="s">
        <v>231</v>
      </c>
      <c r="D10" s="24" t="s">
        <v>231</v>
      </c>
      <c r="E10" s="24" t="s">
        <v>231</v>
      </c>
      <c r="F10" s="24" t="s">
        <v>231</v>
      </c>
      <c r="G10" s="24" t="s">
        <v>231</v>
      </c>
      <c r="H10" s="24" t="s">
        <v>231</v>
      </c>
      <c r="I10" s="24" t="s">
        <v>231</v>
      </c>
      <c r="J10" s="24" t="s">
        <v>231</v>
      </c>
      <c r="K10" s="24" t="s">
        <v>231</v>
      </c>
      <c r="L10" s="24" t="s">
        <v>231</v>
      </c>
      <c r="M10" s="24" t="s">
        <v>231</v>
      </c>
      <c r="N10" s="73">
        <f>SUM(B10:M10)</f>
        <v>0</v>
      </c>
      <c r="O10" s="74"/>
      <c r="P10" s="75"/>
    </row>
    <row r="11" spans="1:16">
      <c r="A11" s="71" t="s">
        <v>351</v>
      </c>
      <c r="B11" s="13" t="s">
        <v>231</v>
      </c>
      <c r="C11" s="13" t="s">
        <v>231</v>
      </c>
      <c r="D11" s="13" t="s">
        <v>231</v>
      </c>
      <c r="E11" s="13" t="s">
        <v>231</v>
      </c>
      <c r="F11" s="13" t="s">
        <v>231</v>
      </c>
      <c r="G11" s="13" t="s">
        <v>231</v>
      </c>
      <c r="H11" s="13" t="s">
        <v>231</v>
      </c>
      <c r="I11" s="13" t="s">
        <v>231</v>
      </c>
      <c r="J11" s="13" t="s">
        <v>231</v>
      </c>
      <c r="K11" s="13" t="s">
        <v>231</v>
      </c>
      <c r="L11" s="13" t="s">
        <v>231</v>
      </c>
      <c r="M11" s="13" t="s">
        <v>231</v>
      </c>
      <c r="N11" s="13" t="s">
        <v>231</v>
      </c>
      <c r="O11" s="74"/>
      <c r="P11" s="75"/>
    </row>
    <row r="12" spans="1:16">
      <c r="A12" s="2"/>
      <c r="B12" s="94"/>
      <c r="C12" s="94"/>
      <c r="D12" s="94"/>
      <c r="E12" s="94"/>
      <c r="F12" s="94"/>
      <c r="G12" s="94"/>
      <c r="H12" s="94"/>
      <c r="I12" s="94"/>
      <c r="J12" s="94"/>
      <c r="K12" s="94"/>
      <c r="L12" s="94"/>
      <c r="M12" s="94"/>
      <c r="N12" s="82"/>
      <c r="O12" s="75"/>
      <c r="P12" s="75"/>
    </row>
    <row r="13" spans="1:16">
      <c r="A13" s="5"/>
      <c r="B13" s="98"/>
      <c r="C13" s="98"/>
      <c r="D13" s="98"/>
      <c r="E13" s="98"/>
      <c r="F13" s="98"/>
      <c r="G13" s="98"/>
      <c r="H13" s="98"/>
      <c r="I13" s="98"/>
      <c r="J13" s="98"/>
      <c r="K13" s="98"/>
      <c r="L13" s="98"/>
      <c r="M13" s="98"/>
      <c r="N13" s="5"/>
      <c r="O13" s="91"/>
      <c r="P13" s="91"/>
    </row>
    <row r="14" spans="1:16" ht="25.5">
      <c r="A14" s="58"/>
      <c r="B14" s="59">
        <v>40360</v>
      </c>
      <c r="C14" s="59">
        <v>40391</v>
      </c>
      <c r="D14" s="59">
        <v>6614787</v>
      </c>
      <c r="E14" s="59">
        <v>40452</v>
      </c>
      <c r="F14" s="59">
        <v>40483</v>
      </c>
      <c r="G14" s="59">
        <v>40513</v>
      </c>
      <c r="H14" s="59">
        <v>40544</v>
      </c>
      <c r="I14" s="59">
        <v>40575</v>
      </c>
      <c r="J14" s="59">
        <v>40603</v>
      </c>
      <c r="K14" s="59">
        <v>40634</v>
      </c>
      <c r="L14" s="59">
        <v>40664</v>
      </c>
      <c r="M14" s="59">
        <v>40695</v>
      </c>
      <c r="N14" s="60" t="s">
        <v>371</v>
      </c>
      <c r="O14" s="61" t="s">
        <v>27</v>
      </c>
      <c r="P14" s="61" t="s">
        <v>175</v>
      </c>
    </row>
    <row r="15" spans="1:16">
      <c r="A15" s="67" t="s">
        <v>136</v>
      </c>
      <c r="B15" s="53"/>
      <c r="C15" s="53"/>
      <c r="D15" s="53"/>
      <c r="E15" s="53"/>
      <c r="F15" s="53"/>
      <c r="G15" s="53"/>
      <c r="H15" s="53"/>
      <c r="I15" s="53"/>
      <c r="J15" s="53"/>
      <c r="K15" s="53"/>
      <c r="L15" s="53"/>
      <c r="M15" s="53"/>
      <c r="N15" s="53"/>
      <c r="O15" s="193" t="s">
        <v>345</v>
      </c>
      <c r="P15" s="193"/>
    </row>
    <row r="16" spans="1:16">
      <c r="A16" s="71" t="s">
        <v>257</v>
      </c>
      <c r="B16" s="24">
        <v>2</v>
      </c>
      <c r="C16" s="24">
        <v>1</v>
      </c>
      <c r="D16" s="24">
        <v>6</v>
      </c>
      <c r="E16" s="24">
        <v>22</v>
      </c>
      <c r="F16" s="24">
        <v>38</v>
      </c>
      <c r="G16" s="24">
        <v>8</v>
      </c>
      <c r="H16" s="24">
        <v>5</v>
      </c>
      <c r="I16" s="24">
        <v>36</v>
      </c>
      <c r="J16" s="24">
        <v>14</v>
      </c>
      <c r="K16" s="24">
        <v>28</v>
      </c>
      <c r="L16" s="24">
        <v>5</v>
      </c>
      <c r="M16" s="24">
        <v>4</v>
      </c>
      <c r="N16" s="73">
        <f>SUM(B16:M16)</f>
        <v>169</v>
      </c>
      <c r="O16" s="74"/>
      <c r="P16" s="75"/>
    </row>
    <row r="17" spans="1:16">
      <c r="A17" s="71" t="s">
        <v>208</v>
      </c>
      <c r="B17" s="24">
        <v>6</v>
      </c>
      <c r="C17" s="24">
        <v>2</v>
      </c>
      <c r="D17" s="24">
        <v>19</v>
      </c>
      <c r="E17" s="24">
        <v>52</v>
      </c>
      <c r="F17" s="24">
        <v>128</v>
      </c>
      <c r="G17" s="24">
        <v>18</v>
      </c>
      <c r="H17" s="24">
        <v>23</v>
      </c>
      <c r="I17" s="24">
        <v>105</v>
      </c>
      <c r="J17" s="24">
        <v>70</v>
      </c>
      <c r="K17" s="24">
        <v>84</v>
      </c>
      <c r="L17" s="24">
        <v>10</v>
      </c>
      <c r="M17" s="24">
        <v>13</v>
      </c>
      <c r="N17" s="73">
        <f>SUM(B17:M17)</f>
        <v>530</v>
      </c>
      <c r="O17" s="140">
        <v>0</v>
      </c>
      <c r="P17" s="75">
        <f>O17/N17</f>
        <v>0</v>
      </c>
    </row>
    <row r="18" spans="1:16">
      <c r="A18" s="71" t="s">
        <v>228</v>
      </c>
      <c r="B18" s="24">
        <v>0</v>
      </c>
      <c r="C18" s="24">
        <v>0</v>
      </c>
      <c r="D18" s="24">
        <v>0</v>
      </c>
      <c r="E18" s="24">
        <v>0</v>
      </c>
      <c r="F18" s="24">
        <v>8</v>
      </c>
      <c r="G18" s="24">
        <v>0</v>
      </c>
      <c r="H18" s="24">
        <v>0</v>
      </c>
      <c r="I18" s="24">
        <v>2</v>
      </c>
      <c r="J18" s="24">
        <v>0</v>
      </c>
      <c r="K18" s="24">
        <v>0</v>
      </c>
      <c r="L18" s="24">
        <v>0</v>
      </c>
      <c r="M18" s="24">
        <v>0</v>
      </c>
      <c r="N18" s="73">
        <f>SUM(B18:M18)</f>
        <v>10</v>
      </c>
      <c r="O18" s="74"/>
      <c r="P18" s="75"/>
    </row>
    <row r="19" spans="1:16">
      <c r="A19" s="71" t="s">
        <v>351</v>
      </c>
      <c r="B19" s="172">
        <v>3</v>
      </c>
      <c r="C19" s="172">
        <v>3</v>
      </c>
      <c r="D19" s="172">
        <v>3</v>
      </c>
      <c r="E19" s="172">
        <v>3</v>
      </c>
      <c r="F19" s="172">
        <v>3</v>
      </c>
      <c r="G19" s="172">
        <v>3</v>
      </c>
      <c r="H19" s="172">
        <v>3</v>
      </c>
      <c r="I19" s="172">
        <v>3</v>
      </c>
      <c r="J19" s="172">
        <v>3</v>
      </c>
      <c r="K19" s="172">
        <v>3</v>
      </c>
      <c r="L19" s="172">
        <v>3</v>
      </c>
      <c r="M19" s="172">
        <v>3</v>
      </c>
      <c r="N19" s="172">
        <v>3</v>
      </c>
      <c r="O19" s="18"/>
    </row>
    <row r="20" spans="1:16">
      <c r="A20" s="2"/>
    </row>
    <row r="21" spans="1:16">
      <c r="A21" s="5"/>
      <c r="B21" s="6"/>
      <c r="C21" s="6"/>
      <c r="D21" s="6"/>
      <c r="E21" s="6"/>
      <c r="F21" s="6"/>
      <c r="G21" s="6"/>
      <c r="H21" s="6"/>
      <c r="I21" s="6"/>
      <c r="J21" s="6"/>
      <c r="K21" s="6"/>
      <c r="L21" s="6"/>
      <c r="M21" s="6"/>
      <c r="N21" s="6"/>
      <c r="O21" s="6"/>
      <c r="P21" s="6"/>
    </row>
    <row r="22" spans="1:16" ht="25.5">
      <c r="A22" s="58"/>
      <c r="B22" s="59">
        <v>40360</v>
      </c>
      <c r="C22" s="59">
        <v>40391</v>
      </c>
      <c r="D22" s="59">
        <v>6614787</v>
      </c>
      <c r="E22" s="59">
        <v>40452</v>
      </c>
      <c r="F22" s="59">
        <v>40483</v>
      </c>
      <c r="G22" s="59">
        <v>40513</v>
      </c>
      <c r="H22" s="59">
        <v>40544</v>
      </c>
      <c r="I22" s="59">
        <v>40575</v>
      </c>
      <c r="J22" s="59">
        <v>40603</v>
      </c>
      <c r="K22" s="59">
        <v>40634</v>
      </c>
      <c r="L22" s="59">
        <v>40664</v>
      </c>
      <c r="M22" s="59">
        <v>40695</v>
      </c>
      <c r="N22" s="60" t="s">
        <v>371</v>
      </c>
      <c r="O22" s="61" t="s">
        <v>27</v>
      </c>
      <c r="P22" s="61" t="s">
        <v>175</v>
      </c>
    </row>
    <row r="23" spans="1:16">
      <c r="A23" s="115" t="s">
        <v>398</v>
      </c>
      <c r="B23" s="53"/>
      <c r="C23" s="53"/>
      <c r="D23" s="53"/>
      <c r="E23" s="53"/>
      <c r="F23" s="53"/>
      <c r="G23" s="53"/>
      <c r="H23" s="53"/>
      <c r="I23" s="53"/>
      <c r="J23" s="53"/>
      <c r="K23" s="53"/>
      <c r="L23" s="53"/>
      <c r="M23" s="53"/>
      <c r="N23" s="53"/>
      <c r="O23" s="193" t="s">
        <v>223</v>
      </c>
      <c r="P23" s="193"/>
    </row>
    <row r="24" spans="1:16">
      <c r="A24" s="71" t="s">
        <v>257</v>
      </c>
      <c r="B24" s="24">
        <v>3</v>
      </c>
      <c r="C24" s="24">
        <v>4</v>
      </c>
      <c r="D24" s="24">
        <v>7</v>
      </c>
      <c r="E24" s="24">
        <v>21</v>
      </c>
      <c r="F24" s="24">
        <v>21</v>
      </c>
      <c r="G24" s="24">
        <v>4</v>
      </c>
      <c r="H24" s="24">
        <v>5</v>
      </c>
      <c r="I24" s="24">
        <v>22</v>
      </c>
      <c r="J24" s="24">
        <v>17</v>
      </c>
      <c r="K24" s="24">
        <v>18</v>
      </c>
      <c r="L24" s="24">
        <v>2</v>
      </c>
      <c r="M24" s="24">
        <v>6</v>
      </c>
      <c r="N24" s="73">
        <f>SUM(B24:M24)</f>
        <v>130</v>
      </c>
      <c r="O24" s="74"/>
      <c r="P24" s="75"/>
    </row>
    <row r="25" spans="1:16">
      <c r="A25" s="71" t="s">
        <v>208</v>
      </c>
      <c r="B25" s="24">
        <v>7</v>
      </c>
      <c r="C25" s="24">
        <v>5</v>
      </c>
      <c r="D25" s="24">
        <v>18</v>
      </c>
      <c r="E25" s="24">
        <v>46</v>
      </c>
      <c r="F25" s="24">
        <v>66</v>
      </c>
      <c r="G25" s="24">
        <v>8</v>
      </c>
      <c r="H25" s="24">
        <v>9</v>
      </c>
      <c r="I25" s="24">
        <v>71</v>
      </c>
      <c r="J25" s="24">
        <v>73</v>
      </c>
      <c r="K25" s="24">
        <v>46</v>
      </c>
      <c r="L25" s="24">
        <v>6</v>
      </c>
      <c r="M25" s="24">
        <v>26</v>
      </c>
      <c r="N25" s="73">
        <f>SUM(B25:M25)</f>
        <v>381</v>
      </c>
      <c r="O25" s="74">
        <v>0</v>
      </c>
      <c r="P25" s="75">
        <f>O25/N25</f>
        <v>0</v>
      </c>
    </row>
    <row r="26" spans="1:16">
      <c r="A26" s="71" t="s">
        <v>228</v>
      </c>
      <c r="B26" s="24" t="s">
        <v>231</v>
      </c>
      <c r="C26" s="24" t="s">
        <v>231</v>
      </c>
      <c r="D26" s="24" t="s">
        <v>231</v>
      </c>
      <c r="E26" s="24" t="s">
        <v>231</v>
      </c>
      <c r="F26" s="24" t="s">
        <v>231</v>
      </c>
      <c r="G26" s="24" t="s">
        <v>231</v>
      </c>
      <c r="H26" s="24" t="s">
        <v>231</v>
      </c>
      <c r="I26" s="24" t="s">
        <v>231</v>
      </c>
      <c r="J26" s="24" t="s">
        <v>231</v>
      </c>
      <c r="K26" s="24" t="s">
        <v>231</v>
      </c>
      <c r="L26" s="24" t="s">
        <v>231</v>
      </c>
      <c r="M26" s="24" t="s">
        <v>231</v>
      </c>
      <c r="N26" s="73">
        <f>SUM(B26:M26)</f>
        <v>0</v>
      </c>
      <c r="O26" s="74"/>
      <c r="P26" s="75"/>
    </row>
    <row r="27" spans="1:16">
      <c r="A27" s="71" t="s">
        <v>351</v>
      </c>
      <c r="B27" s="40">
        <v>3</v>
      </c>
      <c r="C27" s="40">
        <v>3</v>
      </c>
      <c r="D27" s="40">
        <v>3</v>
      </c>
      <c r="E27" s="40">
        <v>3</v>
      </c>
      <c r="F27" s="40">
        <v>3</v>
      </c>
      <c r="G27" s="40">
        <v>3</v>
      </c>
      <c r="H27" s="40">
        <v>3</v>
      </c>
      <c r="I27" s="40">
        <v>3</v>
      </c>
      <c r="J27" s="40">
        <v>3</v>
      </c>
      <c r="K27" s="40">
        <v>3</v>
      </c>
      <c r="L27" s="40">
        <v>3</v>
      </c>
      <c r="M27" s="40">
        <v>3</v>
      </c>
      <c r="N27" s="40">
        <v>3</v>
      </c>
      <c r="O27" s="18"/>
    </row>
    <row r="28" spans="1:16">
      <c r="A28" s="2"/>
      <c r="B28" s="43"/>
      <c r="C28" s="43"/>
      <c r="D28" s="43"/>
      <c r="E28" s="43"/>
      <c r="F28" s="43"/>
      <c r="G28" s="43"/>
      <c r="H28" s="43"/>
      <c r="I28" s="43"/>
      <c r="J28" s="43"/>
      <c r="K28" s="43"/>
      <c r="L28" s="43"/>
      <c r="M28" s="43"/>
      <c r="N28" s="43"/>
    </row>
    <row r="29" spans="1:16">
      <c r="A29" s="5"/>
      <c r="B29" s="98"/>
      <c r="C29" s="98"/>
      <c r="D29" s="98"/>
      <c r="E29" s="98"/>
      <c r="F29" s="98"/>
      <c r="G29" s="98"/>
      <c r="H29" s="98"/>
      <c r="I29" s="98"/>
      <c r="J29" s="98"/>
      <c r="K29" s="98"/>
      <c r="L29" s="98"/>
      <c r="M29" s="98"/>
      <c r="N29" s="5"/>
      <c r="O29" s="91"/>
      <c r="P29" s="91"/>
    </row>
    <row r="30" spans="1:16" ht="25.5">
      <c r="A30" s="58"/>
      <c r="B30" s="59">
        <v>40360</v>
      </c>
      <c r="C30" s="59">
        <v>40391</v>
      </c>
      <c r="D30" s="59">
        <v>6614787</v>
      </c>
      <c r="E30" s="59">
        <v>40452</v>
      </c>
      <c r="F30" s="59">
        <v>40483</v>
      </c>
      <c r="G30" s="59">
        <v>40513</v>
      </c>
      <c r="H30" s="59">
        <v>40544</v>
      </c>
      <c r="I30" s="59">
        <v>40575</v>
      </c>
      <c r="J30" s="59">
        <v>40603</v>
      </c>
      <c r="K30" s="59">
        <v>40634</v>
      </c>
      <c r="L30" s="59">
        <v>40664</v>
      </c>
      <c r="M30" s="59">
        <v>40695</v>
      </c>
      <c r="N30" s="60" t="s">
        <v>371</v>
      </c>
      <c r="O30" s="61" t="s">
        <v>27</v>
      </c>
      <c r="P30" s="61" t="s">
        <v>175</v>
      </c>
    </row>
    <row r="31" spans="1:16">
      <c r="A31" s="67" t="s">
        <v>348</v>
      </c>
      <c r="B31" s="53"/>
      <c r="C31" s="53"/>
      <c r="D31" s="53"/>
      <c r="E31" s="53"/>
      <c r="F31" s="53"/>
      <c r="G31" s="53"/>
      <c r="H31" s="53"/>
      <c r="I31" s="53"/>
      <c r="J31" s="53"/>
      <c r="K31" s="53"/>
      <c r="L31" s="53"/>
      <c r="M31" s="53"/>
      <c r="N31" s="53"/>
      <c r="O31" s="70"/>
      <c r="P31" s="70"/>
    </row>
    <row r="32" spans="1:16">
      <c r="A32" s="71" t="s">
        <v>257</v>
      </c>
      <c r="B32" s="24">
        <v>26</v>
      </c>
      <c r="C32" s="24">
        <v>26</v>
      </c>
      <c r="D32" s="24">
        <v>34</v>
      </c>
      <c r="E32" s="24">
        <v>77</v>
      </c>
      <c r="F32" s="24">
        <v>72</v>
      </c>
      <c r="G32" s="24">
        <v>21</v>
      </c>
      <c r="H32" s="24">
        <v>25</v>
      </c>
      <c r="I32" s="24">
        <v>76</v>
      </c>
      <c r="J32" s="24">
        <v>36</v>
      </c>
      <c r="K32" s="24">
        <v>40</v>
      </c>
      <c r="L32" s="24">
        <v>14</v>
      </c>
      <c r="M32" s="24">
        <v>14</v>
      </c>
      <c r="N32" s="73">
        <f>SUM(B32:M32)</f>
        <v>461</v>
      </c>
      <c r="O32" s="74"/>
      <c r="P32" s="75"/>
    </row>
    <row r="33" spans="1:16">
      <c r="A33" s="71" t="s">
        <v>208</v>
      </c>
      <c r="B33" s="24">
        <v>66</v>
      </c>
      <c r="C33" s="24">
        <v>41</v>
      </c>
      <c r="D33" s="24">
        <v>111</v>
      </c>
      <c r="E33" s="24">
        <v>180</v>
      </c>
      <c r="F33" s="24">
        <v>151</v>
      </c>
      <c r="G33" s="24">
        <v>46</v>
      </c>
      <c r="H33" s="24">
        <v>58</v>
      </c>
      <c r="I33" s="24">
        <v>193</v>
      </c>
      <c r="J33" s="24">
        <v>109</v>
      </c>
      <c r="K33" s="24">
        <v>73</v>
      </c>
      <c r="L33" s="24">
        <v>41</v>
      </c>
      <c r="M33" s="24">
        <v>20</v>
      </c>
      <c r="N33" s="73">
        <f>SUM(B33:M33)</f>
        <v>1089</v>
      </c>
      <c r="O33" s="74">
        <v>0</v>
      </c>
      <c r="P33" s="75">
        <f>O33/N33</f>
        <v>0</v>
      </c>
    </row>
    <row r="34" spans="1:16">
      <c r="A34" s="71" t="s">
        <v>228</v>
      </c>
      <c r="B34" s="24" t="s">
        <v>231</v>
      </c>
      <c r="C34" s="24" t="s">
        <v>231</v>
      </c>
      <c r="D34" s="24" t="s">
        <v>231</v>
      </c>
      <c r="E34" s="24" t="s">
        <v>231</v>
      </c>
      <c r="F34" s="24" t="s">
        <v>231</v>
      </c>
      <c r="G34" s="24" t="s">
        <v>231</v>
      </c>
      <c r="H34" s="24" t="s">
        <v>231</v>
      </c>
      <c r="I34" s="24" t="s">
        <v>231</v>
      </c>
      <c r="J34" s="24" t="s">
        <v>231</v>
      </c>
      <c r="K34" s="24" t="s">
        <v>231</v>
      </c>
      <c r="L34" s="24" t="s">
        <v>231</v>
      </c>
      <c r="M34" s="24" t="s">
        <v>231</v>
      </c>
      <c r="N34" s="73">
        <f>SUM(B34:M34)</f>
        <v>0</v>
      </c>
      <c r="O34" s="74"/>
      <c r="P34" s="75"/>
    </row>
    <row r="35" spans="1:16">
      <c r="A35" s="71" t="s">
        <v>351</v>
      </c>
      <c r="B35" s="173" t="s">
        <v>231</v>
      </c>
      <c r="C35" s="173" t="s">
        <v>231</v>
      </c>
      <c r="D35" s="173" t="s">
        <v>231</v>
      </c>
      <c r="E35" s="173" t="s">
        <v>231</v>
      </c>
      <c r="F35" s="173" t="s">
        <v>231</v>
      </c>
      <c r="G35" s="173" t="s">
        <v>231</v>
      </c>
      <c r="H35" s="173" t="s">
        <v>231</v>
      </c>
      <c r="I35" s="173" t="s">
        <v>231</v>
      </c>
      <c r="J35" s="173" t="s">
        <v>231</v>
      </c>
      <c r="K35" s="173" t="s">
        <v>231</v>
      </c>
      <c r="L35" s="173" t="s">
        <v>231</v>
      </c>
      <c r="M35" s="173" t="s">
        <v>231</v>
      </c>
      <c r="N35" s="173" t="s">
        <v>231</v>
      </c>
      <c r="O35" s="74"/>
      <c r="P35" s="75"/>
    </row>
    <row r="36" spans="1:16">
      <c r="A36" s="2"/>
      <c r="B36" s="96"/>
      <c r="C36" s="96"/>
      <c r="D36" s="96"/>
      <c r="E36" s="96"/>
      <c r="F36" s="96"/>
      <c r="G36" s="96"/>
      <c r="H36" s="96"/>
      <c r="I36" s="96"/>
      <c r="J36" s="96"/>
      <c r="K36" s="96"/>
      <c r="L36" s="96"/>
      <c r="M36" s="96"/>
      <c r="N36" s="96"/>
      <c r="O36" s="75"/>
      <c r="P36" s="75"/>
    </row>
    <row r="37" spans="1:16">
      <c r="A37" s="5"/>
      <c r="B37" s="98"/>
      <c r="C37" s="98"/>
      <c r="D37" s="98"/>
      <c r="E37" s="98"/>
      <c r="F37" s="98"/>
      <c r="G37" s="98"/>
      <c r="H37" s="98"/>
      <c r="I37" s="98"/>
      <c r="J37" s="98"/>
      <c r="K37" s="98"/>
      <c r="L37" s="98"/>
      <c r="M37" s="98"/>
      <c r="N37" s="98"/>
      <c r="O37" s="91"/>
      <c r="P37" s="91"/>
    </row>
    <row r="38" spans="1:16" ht="25.5">
      <c r="A38" s="58"/>
      <c r="B38" s="59">
        <v>40360</v>
      </c>
      <c r="C38" s="59">
        <v>40391</v>
      </c>
      <c r="D38" s="59">
        <v>6614787</v>
      </c>
      <c r="E38" s="59">
        <v>40452</v>
      </c>
      <c r="F38" s="59">
        <v>40483</v>
      </c>
      <c r="G38" s="59">
        <v>40513</v>
      </c>
      <c r="H38" s="59">
        <v>40544</v>
      </c>
      <c r="I38" s="59">
        <v>40575</v>
      </c>
      <c r="J38" s="59">
        <v>40603</v>
      </c>
      <c r="K38" s="59">
        <v>40634</v>
      </c>
      <c r="L38" s="59">
        <v>40664</v>
      </c>
      <c r="M38" s="59">
        <v>40695</v>
      </c>
      <c r="N38" s="60" t="s">
        <v>371</v>
      </c>
      <c r="O38" s="61" t="s">
        <v>27</v>
      </c>
      <c r="P38" s="61" t="s">
        <v>175</v>
      </c>
    </row>
    <row r="39" spans="1:16">
      <c r="A39" s="115" t="s">
        <v>39</v>
      </c>
      <c r="B39" s="53"/>
      <c r="C39" s="53"/>
      <c r="D39" s="53"/>
      <c r="E39" s="53"/>
      <c r="F39" s="53"/>
      <c r="G39" s="53"/>
      <c r="H39" s="53"/>
      <c r="I39" s="53"/>
      <c r="J39" s="53"/>
      <c r="K39" s="53"/>
      <c r="L39" s="53"/>
      <c r="M39" s="53"/>
      <c r="N39" s="53"/>
      <c r="O39" s="193" t="s">
        <v>223</v>
      </c>
      <c r="P39" s="193"/>
    </row>
    <row r="40" spans="1:16">
      <c r="A40" s="71" t="s">
        <v>257</v>
      </c>
      <c r="B40" s="24">
        <v>9</v>
      </c>
      <c r="C40" s="24">
        <v>1</v>
      </c>
      <c r="D40" s="24">
        <v>9</v>
      </c>
      <c r="E40" s="24">
        <v>24</v>
      </c>
      <c r="F40" s="24">
        <v>27</v>
      </c>
      <c r="G40" s="24">
        <v>11</v>
      </c>
      <c r="H40" s="24">
        <v>3</v>
      </c>
      <c r="I40" s="24">
        <v>30</v>
      </c>
      <c r="J40" s="24">
        <v>18</v>
      </c>
      <c r="K40" s="24">
        <v>8</v>
      </c>
      <c r="L40" s="24">
        <v>4</v>
      </c>
      <c r="M40" s="24">
        <v>6</v>
      </c>
      <c r="N40" s="73">
        <f>SUM(B40:M40)</f>
        <v>150</v>
      </c>
      <c r="O40" s="74"/>
      <c r="P40" s="75"/>
    </row>
    <row r="41" spans="1:16">
      <c r="A41" s="71" t="s">
        <v>208</v>
      </c>
      <c r="B41" s="24">
        <v>26</v>
      </c>
      <c r="C41" s="24">
        <v>2</v>
      </c>
      <c r="D41" s="24">
        <v>29</v>
      </c>
      <c r="E41" s="24">
        <v>66</v>
      </c>
      <c r="F41" s="24">
        <v>74</v>
      </c>
      <c r="G41" s="24">
        <v>26</v>
      </c>
      <c r="H41" s="24">
        <v>25</v>
      </c>
      <c r="I41" s="24">
        <v>109</v>
      </c>
      <c r="J41" s="24">
        <v>81</v>
      </c>
      <c r="K41" s="24">
        <v>20</v>
      </c>
      <c r="L41" s="24">
        <v>6</v>
      </c>
      <c r="M41" s="24">
        <v>3</v>
      </c>
      <c r="N41" s="73">
        <f>SUM(B41:M41)</f>
        <v>467</v>
      </c>
      <c r="O41" s="74">
        <v>0</v>
      </c>
      <c r="P41" s="75">
        <f>O41/N41</f>
        <v>0</v>
      </c>
    </row>
    <row r="42" spans="1:16">
      <c r="A42" s="71" t="s">
        <v>228</v>
      </c>
      <c r="B42" s="24" t="s">
        <v>231</v>
      </c>
      <c r="C42" s="24" t="s">
        <v>231</v>
      </c>
      <c r="D42" s="24" t="s">
        <v>231</v>
      </c>
      <c r="E42" s="24" t="s">
        <v>231</v>
      </c>
      <c r="F42" s="24" t="s">
        <v>231</v>
      </c>
      <c r="G42" s="24" t="s">
        <v>231</v>
      </c>
      <c r="H42" s="24" t="s">
        <v>231</v>
      </c>
      <c r="I42" s="24" t="s">
        <v>231</v>
      </c>
      <c r="J42" s="24" t="s">
        <v>231</v>
      </c>
      <c r="K42" s="24" t="s">
        <v>231</v>
      </c>
      <c r="L42" s="24" t="s">
        <v>231</v>
      </c>
      <c r="M42" s="24" t="s">
        <v>231</v>
      </c>
      <c r="N42" s="73">
        <f>SUM(B42:M42)</f>
        <v>0</v>
      </c>
      <c r="O42" s="74"/>
      <c r="P42" s="75"/>
    </row>
    <row r="43" spans="1:16">
      <c r="A43" s="71" t="s">
        <v>351</v>
      </c>
      <c r="B43" s="40">
        <v>3</v>
      </c>
      <c r="C43" s="40">
        <v>3</v>
      </c>
      <c r="D43" s="40">
        <v>3</v>
      </c>
      <c r="E43" s="40">
        <v>3</v>
      </c>
      <c r="F43" s="40">
        <v>3</v>
      </c>
      <c r="G43" s="40">
        <v>3</v>
      </c>
      <c r="H43" s="40">
        <v>3</v>
      </c>
      <c r="I43" s="40">
        <v>3</v>
      </c>
      <c r="J43" s="40">
        <v>3</v>
      </c>
      <c r="K43" s="40">
        <v>3</v>
      </c>
      <c r="L43" s="40">
        <v>3</v>
      </c>
      <c r="M43" s="40">
        <v>3</v>
      </c>
      <c r="N43" s="40">
        <v>3</v>
      </c>
      <c r="O43" s="18"/>
    </row>
    <row r="44" spans="1:16">
      <c r="A44" s="2"/>
      <c r="B44" s="94"/>
      <c r="C44" s="94"/>
      <c r="D44" s="94"/>
      <c r="E44" s="94"/>
      <c r="F44" s="94"/>
      <c r="G44" s="94"/>
      <c r="H44" s="94"/>
      <c r="I44" s="94"/>
      <c r="J44" s="94"/>
      <c r="K44" s="94"/>
      <c r="L44" s="94"/>
      <c r="M44" s="94"/>
      <c r="N44" s="94"/>
      <c r="O44" s="75"/>
      <c r="P44" s="75"/>
    </row>
    <row r="45" spans="1:16">
      <c r="A45" s="5"/>
      <c r="B45" s="98"/>
      <c r="C45" s="98"/>
      <c r="D45" s="98"/>
      <c r="E45" s="98"/>
      <c r="F45" s="98"/>
      <c r="G45" s="98"/>
      <c r="H45" s="98"/>
      <c r="I45" s="98"/>
      <c r="J45" s="98"/>
      <c r="K45" s="98"/>
      <c r="L45" s="98"/>
      <c r="M45" s="98"/>
      <c r="N45" s="5"/>
      <c r="O45" s="91"/>
      <c r="P45" s="91"/>
    </row>
    <row r="46" spans="1:16" ht="25.5">
      <c r="A46" s="58"/>
      <c r="B46" s="59">
        <v>40360</v>
      </c>
      <c r="C46" s="59">
        <v>40391</v>
      </c>
      <c r="D46" s="59">
        <v>6614787</v>
      </c>
      <c r="E46" s="59">
        <v>40452</v>
      </c>
      <c r="F46" s="59">
        <v>40483</v>
      </c>
      <c r="G46" s="59">
        <v>40513</v>
      </c>
      <c r="H46" s="59">
        <v>40544</v>
      </c>
      <c r="I46" s="59">
        <v>40575</v>
      </c>
      <c r="J46" s="59">
        <v>40603</v>
      </c>
      <c r="K46" s="59">
        <v>40634</v>
      </c>
      <c r="L46" s="59">
        <v>40664</v>
      </c>
      <c r="M46" s="59">
        <v>40695</v>
      </c>
      <c r="N46" s="60" t="s">
        <v>371</v>
      </c>
      <c r="O46" s="61" t="s">
        <v>27</v>
      </c>
      <c r="P46" s="61" t="s">
        <v>175</v>
      </c>
    </row>
    <row r="47" spans="1:16">
      <c r="A47" s="67" t="s">
        <v>326</v>
      </c>
      <c r="B47" s="53"/>
      <c r="C47" s="53"/>
      <c r="D47" s="53"/>
      <c r="E47" s="53"/>
      <c r="F47" s="53"/>
      <c r="G47" s="53"/>
      <c r="H47" s="53"/>
      <c r="I47" s="53"/>
      <c r="J47" s="53"/>
      <c r="K47" s="53"/>
      <c r="L47" s="53"/>
      <c r="M47" s="53"/>
      <c r="N47" s="53"/>
      <c r="O47" s="70"/>
      <c r="P47" s="70"/>
    </row>
    <row r="48" spans="1:16">
      <c r="A48" s="71" t="s">
        <v>257</v>
      </c>
      <c r="B48" s="24">
        <v>208</v>
      </c>
      <c r="C48" s="24">
        <v>75</v>
      </c>
      <c r="D48" s="24">
        <v>376</v>
      </c>
      <c r="E48" s="24">
        <v>588</v>
      </c>
      <c r="F48" s="24">
        <v>872</v>
      </c>
      <c r="G48" s="24">
        <v>348</v>
      </c>
      <c r="H48" s="24">
        <v>125</v>
      </c>
      <c r="I48" s="24">
        <v>441</v>
      </c>
      <c r="J48" s="24">
        <v>403</v>
      </c>
      <c r="K48" s="24">
        <v>551</v>
      </c>
      <c r="L48" s="24">
        <v>165</v>
      </c>
      <c r="M48" s="24">
        <v>243</v>
      </c>
      <c r="N48" s="73">
        <f>SUM(B48:M48)</f>
        <v>4395</v>
      </c>
      <c r="O48" s="74"/>
      <c r="P48" s="75"/>
    </row>
    <row r="49" spans="1:16">
      <c r="A49" s="71" t="s">
        <v>208</v>
      </c>
      <c r="B49" s="24">
        <v>987</v>
      </c>
      <c r="C49" s="24">
        <v>232</v>
      </c>
      <c r="D49" s="24">
        <v>1980</v>
      </c>
      <c r="E49" s="24">
        <v>2688</v>
      </c>
      <c r="F49" s="24">
        <v>3509</v>
      </c>
      <c r="G49" s="24">
        <v>1175</v>
      </c>
      <c r="H49" s="24">
        <v>492</v>
      </c>
      <c r="I49" s="24">
        <v>2085</v>
      </c>
      <c r="J49" s="24">
        <v>1816</v>
      </c>
      <c r="K49" s="24">
        <v>2135</v>
      </c>
      <c r="L49" s="24">
        <v>462</v>
      </c>
      <c r="M49" s="24">
        <v>943</v>
      </c>
      <c r="N49" s="73">
        <f>SUM(B49:M49)</f>
        <v>18504</v>
      </c>
      <c r="O49" s="74">
        <v>0</v>
      </c>
      <c r="P49" s="75">
        <f>O49/N49</f>
        <v>0</v>
      </c>
    </row>
    <row r="50" spans="1:16">
      <c r="A50" s="71" t="s">
        <v>228</v>
      </c>
      <c r="B50" s="24" t="s">
        <v>231</v>
      </c>
      <c r="C50" s="24" t="s">
        <v>231</v>
      </c>
      <c r="D50" s="24" t="s">
        <v>231</v>
      </c>
      <c r="E50" s="24" t="s">
        <v>231</v>
      </c>
      <c r="F50" s="24" t="s">
        <v>231</v>
      </c>
      <c r="G50" s="24" t="s">
        <v>231</v>
      </c>
      <c r="H50" s="24" t="s">
        <v>231</v>
      </c>
      <c r="I50" s="24" t="s">
        <v>231</v>
      </c>
      <c r="J50" s="24" t="s">
        <v>231</v>
      </c>
      <c r="K50" s="24" t="s">
        <v>231</v>
      </c>
      <c r="L50" s="24" t="s">
        <v>231</v>
      </c>
      <c r="M50" s="24" t="s">
        <v>231</v>
      </c>
      <c r="N50" s="73">
        <f>SUM(B50:M50)</f>
        <v>0</v>
      </c>
      <c r="O50" s="74"/>
      <c r="P50" s="75"/>
    </row>
    <row r="51" spans="1:16" ht="25.5">
      <c r="A51" s="71" t="s">
        <v>351</v>
      </c>
      <c r="B51" s="41" t="s">
        <v>231</v>
      </c>
      <c r="C51" s="41" t="s">
        <v>231</v>
      </c>
      <c r="D51" s="41" t="s">
        <v>231</v>
      </c>
      <c r="E51" s="41" t="s">
        <v>231</v>
      </c>
      <c r="F51" s="41" t="s">
        <v>231</v>
      </c>
      <c r="G51" s="41" t="s">
        <v>231</v>
      </c>
      <c r="H51" s="41" t="s">
        <v>231</v>
      </c>
      <c r="I51" s="41" t="s">
        <v>231</v>
      </c>
      <c r="J51" s="41" t="s">
        <v>231</v>
      </c>
      <c r="K51" s="41" t="s">
        <v>231</v>
      </c>
      <c r="L51" s="41" t="s">
        <v>231</v>
      </c>
      <c r="M51" s="41" t="s">
        <v>231</v>
      </c>
      <c r="N51" s="41" t="s">
        <v>176</v>
      </c>
      <c r="O51" s="18"/>
    </row>
    <row r="52" spans="1:16">
      <c r="A52" s="2"/>
      <c r="B52" s="94"/>
      <c r="C52" s="94"/>
      <c r="D52" s="94"/>
      <c r="E52" s="94"/>
      <c r="F52" s="94"/>
      <c r="G52" s="94"/>
      <c r="H52" s="94"/>
      <c r="I52" s="94"/>
      <c r="J52" s="94"/>
      <c r="K52" s="94"/>
      <c r="L52" s="94"/>
      <c r="M52" s="94"/>
      <c r="N52" s="82"/>
      <c r="O52" s="75"/>
      <c r="P52" s="75"/>
    </row>
    <row r="53" spans="1:16">
      <c r="A53" s="5"/>
      <c r="B53" s="98"/>
      <c r="C53" s="98"/>
      <c r="D53" s="98"/>
      <c r="E53" s="98"/>
      <c r="F53" s="98"/>
      <c r="G53" s="98"/>
      <c r="H53" s="98"/>
      <c r="I53" s="98"/>
      <c r="J53" s="98"/>
      <c r="K53" s="98"/>
      <c r="L53" s="98"/>
      <c r="M53" s="98"/>
      <c r="N53" s="5"/>
      <c r="O53" s="91"/>
      <c r="P53" s="91"/>
    </row>
    <row r="54" spans="1:16" ht="25.5">
      <c r="A54" s="58"/>
      <c r="B54" s="59">
        <v>40360</v>
      </c>
      <c r="C54" s="59">
        <v>40391</v>
      </c>
      <c r="D54" s="59">
        <v>6614787</v>
      </c>
      <c r="E54" s="59">
        <v>40452</v>
      </c>
      <c r="F54" s="59">
        <v>40483</v>
      </c>
      <c r="G54" s="59">
        <v>40513</v>
      </c>
      <c r="H54" s="59">
        <v>40544</v>
      </c>
      <c r="I54" s="59">
        <v>40575</v>
      </c>
      <c r="J54" s="59">
        <v>40603</v>
      </c>
      <c r="K54" s="59">
        <v>40634</v>
      </c>
      <c r="L54" s="59">
        <v>40664</v>
      </c>
      <c r="M54" s="59">
        <v>40695</v>
      </c>
      <c r="N54" s="60" t="s">
        <v>371</v>
      </c>
      <c r="O54" s="61" t="s">
        <v>27</v>
      </c>
      <c r="P54" s="61" t="s">
        <v>175</v>
      </c>
    </row>
    <row r="55" spans="1:16">
      <c r="A55" s="67" t="s">
        <v>165</v>
      </c>
      <c r="B55" s="53"/>
      <c r="C55" s="53"/>
      <c r="D55" s="53"/>
      <c r="E55" s="53"/>
      <c r="F55" s="53"/>
      <c r="G55" s="53"/>
      <c r="H55" s="53"/>
      <c r="I55" s="53"/>
      <c r="J55" s="53"/>
      <c r="K55" s="53"/>
      <c r="L55" s="53"/>
      <c r="M55" s="53"/>
      <c r="N55" s="53"/>
      <c r="O55" s="193" t="s">
        <v>345</v>
      </c>
      <c r="P55" s="193"/>
    </row>
    <row r="56" spans="1:16">
      <c r="A56" s="71" t="s">
        <v>257</v>
      </c>
      <c r="B56" s="24">
        <v>3</v>
      </c>
      <c r="C56" s="24">
        <v>1</v>
      </c>
      <c r="D56" s="24">
        <v>29</v>
      </c>
      <c r="E56" s="24">
        <v>33</v>
      </c>
      <c r="F56" s="24">
        <v>25</v>
      </c>
      <c r="G56" s="24">
        <v>8</v>
      </c>
      <c r="H56" s="24">
        <v>7</v>
      </c>
      <c r="I56" s="24">
        <v>33</v>
      </c>
      <c r="J56" s="24">
        <v>26</v>
      </c>
      <c r="K56" s="24">
        <v>14</v>
      </c>
      <c r="L56" s="24">
        <v>5</v>
      </c>
      <c r="M56" s="24">
        <v>4</v>
      </c>
      <c r="N56" s="73">
        <f>SUM(B56:M56)</f>
        <v>188</v>
      </c>
      <c r="O56" s="74"/>
      <c r="P56" s="75"/>
    </row>
    <row r="57" spans="1:16">
      <c r="A57" s="71" t="s">
        <v>208</v>
      </c>
      <c r="B57" s="24">
        <v>3</v>
      </c>
      <c r="C57" s="24">
        <v>7</v>
      </c>
      <c r="D57" s="24">
        <v>126</v>
      </c>
      <c r="E57" s="24">
        <v>157</v>
      </c>
      <c r="F57" s="24">
        <v>76</v>
      </c>
      <c r="G57" s="24">
        <v>35</v>
      </c>
      <c r="H57" s="24">
        <v>18</v>
      </c>
      <c r="I57" s="24">
        <v>134</v>
      </c>
      <c r="J57" s="24">
        <v>137</v>
      </c>
      <c r="K57" s="24">
        <v>54</v>
      </c>
      <c r="L57" s="24">
        <v>23</v>
      </c>
      <c r="M57" s="24">
        <v>12</v>
      </c>
      <c r="N57" s="73">
        <f>SUM(B57:M57)</f>
        <v>782</v>
      </c>
      <c r="O57" s="140">
        <v>0</v>
      </c>
      <c r="P57" s="75">
        <f>O57/N57</f>
        <v>0</v>
      </c>
    </row>
    <row r="58" spans="1:16">
      <c r="A58" s="71" t="s">
        <v>228</v>
      </c>
      <c r="B58" s="24">
        <v>0</v>
      </c>
      <c r="C58" s="24">
        <v>0</v>
      </c>
      <c r="D58" s="24">
        <v>195</v>
      </c>
      <c r="E58" s="24">
        <v>78</v>
      </c>
      <c r="F58" s="24">
        <v>0</v>
      </c>
      <c r="G58" s="24">
        <v>0</v>
      </c>
      <c r="H58" s="24">
        <v>0</v>
      </c>
      <c r="I58" s="24">
        <v>80</v>
      </c>
      <c r="J58" s="24">
        <v>0</v>
      </c>
      <c r="K58" s="24">
        <v>0</v>
      </c>
      <c r="L58" s="24">
        <v>0</v>
      </c>
      <c r="M58" s="24">
        <v>0</v>
      </c>
      <c r="N58" s="73">
        <f>SUM(B58:M58)</f>
        <v>353</v>
      </c>
      <c r="O58" s="74"/>
      <c r="P58" s="75"/>
    </row>
    <row r="59" spans="1:16">
      <c r="A59" s="71" t="s">
        <v>351</v>
      </c>
      <c r="B59" s="40">
        <v>3</v>
      </c>
      <c r="C59" s="40">
        <v>3</v>
      </c>
      <c r="D59" s="40">
        <v>3</v>
      </c>
      <c r="E59" s="40">
        <v>3</v>
      </c>
      <c r="F59" s="40">
        <v>3</v>
      </c>
      <c r="G59" s="40">
        <v>3</v>
      </c>
      <c r="H59" s="40">
        <v>3</v>
      </c>
      <c r="I59" s="40">
        <v>3</v>
      </c>
      <c r="J59" s="40">
        <v>3</v>
      </c>
      <c r="K59" s="40">
        <v>3</v>
      </c>
      <c r="L59" s="40">
        <v>3</v>
      </c>
      <c r="M59" s="40">
        <v>3</v>
      </c>
      <c r="N59" s="40">
        <v>3</v>
      </c>
      <c r="O59" s="18"/>
    </row>
    <row r="60" spans="1:16">
      <c r="A60" s="2"/>
      <c r="B60" s="94"/>
      <c r="C60" s="94"/>
      <c r="D60" s="94"/>
      <c r="E60" s="94"/>
      <c r="F60" s="94"/>
      <c r="G60" s="94"/>
      <c r="H60" s="94"/>
      <c r="I60" s="94"/>
      <c r="J60" s="94"/>
      <c r="K60" s="94"/>
      <c r="L60" s="94"/>
      <c r="M60" s="94"/>
      <c r="N60" s="82"/>
      <c r="P60" s="75"/>
    </row>
    <row r="61" spans="1:16">
      <c r="A61" s="5"/>
      <c r="B61" s="98"/>
      <c r="C61" s="98"/>
      <c r="D61" s="98"/>
      <c r="E61" s="98"/>
      <c r="F61" s="98"/>
      <c r="G61" s="98"/>
      <c r="H61" s="98"/>
      <c r="I61" s="98"/>
      <c r="J61" s="98"/>
      <c r="K61" s="98"/>
      <c r="L61" s="98"/>
      <c r="M61" s="98"/>
      <c r="N61" s="5"/>
      <c r="O61" s="91"/>
      <c r="P61" s="91"/>
    </row>
    <row r="62" spans="1:16" ht="25.5">
      <c r="A62" s="58"/>
      <c r="B62" s="59">
        <v>40360</v>
      </c>
      <c r="C62" s="59">
        <v>40391</v>
      </c>
      <c r="D62" s="59">
        <v>6614787</v>
      </c>
      <c r="E62" s="59">
        <v>40452</v>
      </c>
      <c r="F62" s="59">
        <v>40483</v>
      </c>
      <c r="G62" s="59">
        <v>40513</v>
      </c>
      <c r="H62" s="59">
        <v>40544</v>
      </c>
      <c r="I62" s="59">
        <v>40575</v>
      </c>
      <c r="J62" s="59">
        <v>40603</v>
      </c>
      <c r="K62" s="59">
        <v>40634</v>
      </c>
      <c r="L62" s="59">
        <v>40664</v>
      </c>
      <c r="M62" s="59">
        <v>40695</v>
      </c>
      <c r="N62" s="60" t="s">
        <v>371</v>
      </c>
      <c r="O62" s="61" t="s">
        <v>27</v>
      </c>
      <c r="P62" s="61" t="s">
        <v>85</v>
      </c>
    </row>
    <row r="63" spans="1:16">
      <c r="A63" s="67" t="s">
        <v>355</v>
      </c>
      <c r="B63" s="53"/>
      <c r="C63" s="53"/>
      <c r="D63" s="53"/>
      <c r="E63" s="53"/>
      <c r="F63" s="53"/>
      <c r="G63" s="53"/>
      <c r="H63" s="53"/>
      <c r="I63" s="53"/>
      <c r="J63" s="53"/>
      <c r="K63" s="53"/>
      <c r="L63" s="53"/>
      <c r="M63" s="53"/>
      <c r="N63" s="53"/>
      <c r="O63" s="70"/>
      <c r="P63" s="70"/>
    </row>
    <row r="64" spans="1:16">
      <c r="A64" s="71" t="s">
        <v>257</v>
      </c>
      <c r="B64" s="24">
        <v>145</v>
      </c>
      <c r="C64" s="24">
        <v>31</v>
      </c>
      <c r="D64" s="24">
        <v>316</v>
      </c>
      <c r="E64" s="24">
        <v>459</v>
      </c>
      <c r="F64" s="24">
        <v>741</v>
      </c>
      <c r="G64" s="24">
        <v>254</v>
      </c>
      <c r="H64" s="24">
        <v>76</v>
      </c>
      <c r="I64" s="24">
        <v>327</v>
      </c>
      <c r="J64" s="24">
        <v>297</v>
      </c>
      <c r="K64" s="24">
        <v>385</v>
      </c>
      <c r="L64" s="24">
        <v>93</v>
      </c>
      <c r="M64" s="24">
        <v>149</v>
      </c>
      <c r="N64" s="73">
        <f>SUM(B64:M64)</f>
        <v>3273</v>
      </c>
      <c r="O64" s="74"/>
      <c r="P64" s="75"/>
    </row>
    <row r="65" spans="1:16">
      <c r="A65" s="71" t="s">
        <v>208</v>
      </c>
      <c r="B65" s="24">
        <v>737</v>
      </c>
      <c r="C65" s="24">
        <v>97</v>
      </c>
      <c r="D65" s="24">
        <v>1829</v>
      </c>
      <c r="E65" s="24">
        <v>2483</v>
      </c>
      <c r="F65" s="24">
        <v>3358</v>
      </c>
      <c r="G65" s="24">
        <v>991</v>
      </c>
      <c r="H65" s="24">
        <v>354</v>
      </c>
      <c r="I65" s="24">
        <v>1728</v>
      </c>
      <c r="J65" s="24">
        <v>1649</v>
      </c>
      <c r="K65" s="24">
        <v>1730</v>
      </c>
      <c r="L65" s="24">
        <v>324</v>
      </c>
      <c r="M65" s="24">
        <v>674</v>
      </c>
      <c r="N65" s="174">
        <f>SUM(B65:M65)</f>
        <v>15954</v>
      </c>
      <c r="O65" s="75">
        <v>0</v>
      </c>
      <c r="P65" s="75">
        <f>O65/N65</f>
        <v>0</v>
      </c>
    </row>
    <row r="66" spans="1:16">
      <c r="A66" s="71" t="s">
        <v>228</v>
      </c>
      <c r="B66" s="24" t="s">
        <v>231</v>
      </c>
      <c r="C66" s="24" t="s">
        <v>46</v>
      </c>
      <c r="D66" s="24" t="s">
        <v>231</v>
      </c>
      <c r="E66" s="24" t="s">
        <v>231</v>
      </c>
      <c r="F66" s="24" t="s">
        <v>231</v>
      </c>
      <c r="G66" s="24" t="s">
        <v>46</v>
      </c>
      <c r="H66" s="24" t="s">
        <v>231</v>
      </c>
      <c r="I66" s="24" t="s">
        <v>231</v>
      </c>
      <c r="J66" s="24" t="s">
        <v>231</v>
      </c>
      <c r="K66" s="24" t="s">
        <v>231</v>
      </c>
      <c r="L66" s="24" t="s">
        <v>231</v>
      </c>
      <c r="M66" s="24" t="s">
        <v>231</v>
      </c>
      <c r="N66" s="73">
        <f>SUM(B66:M66)</f>
        <v>0</v>
      </c>
      <c r="O66" s="74"/>
      <c r="P66" s="75"/>
    </row>
    <row r="67" spans="1:16">
      <c r="A67" s="71" t="s">
        <v>351</v>
      </c>
      <c r="B67" s="40">
        <v>3</v>
      </c>
      <c r="C67" s="40">
        <v>3</v>
      </c>
      <c r="D67" s="40">
        <v>3</v>
      </c>
      <c r="E67" s="40">
        <v>3</v>
      </c>
      <c r="F67" s="40">
        <v>3</v>
      </c>
      <c r="G67" s="40">
        <v>3</v>
      </c>
      <c r="H67" s="40">
        <v>3</v>
      </c>
      <c r="I67" s="40">
        <v>3</v>
      </c>
      <c r="J67" s="40">
        <v>3</v>
      </c>
      <c r="K67" s="40">
        <v>3</v>
      </c>
      <c r="L67" s="40">
        <v>3</v>
      </c>
      <c r="M67" s="40">
        <v>3</v>
      </c>
      <c r="N67" s="40">
        <v>3</v>
      </c>
      <c r="O67" s="18"/>
    </row>
    <row r="68" spans="1:16">
      <c r="A68" s="2"/>
      <c r="B68" s="94"/>
      <c r="C68" s="94"/>
      <c r="D68" s="94"/>
      <c r="E68" s="94"/>
      <c r="F68" s="94"/>
      <c r="G68" s="94"/>
      <c r="H68" s="94"/>
      <c r="I68" s="94"/>
      <c r="J68" s="94"/>
      <c r="K68" s="94"/>
      <c r="L68" s="94"/>
      <c r="M68" s="94"/>
      <c r="N68" s="82"/>
      <c r="O68" s="75"/>
      <c r="P68" s="75"/>
    </row>
    <row r="69" spans="1:16">
      <c r="A69" s="5"/>
      <c r="B69" s="98"/>
      <c r="C69" s="98"/>
      <c r="D69" s="98"/>
      <c r="E69" s="98"/>
      <c r="F69" s="98"/>
      <c r="G69" s="98"/>
      <c r="H69" s="98"/>
      <c r="I69" s="98"/>
      <c r="J69" s="98"/>
      <c r="K69" s="98"/>
      <c r="L69" s="98"/>
      <c r="M69" s="98"/>
      <c r="N69" s="5"/>
      <c r="O69" s="91"/>
      <c r="P69" s="91"/>
    </row>
    <row r="70" spans="1:16" ht="25.5">
      <c r="A70" s="58"/>
      <c r="B70" s="59">
        <v>40360</v>
      </c>
      <c r="C70" s="59">
        <v>40391</v>
      </c>
      <c r="D70" s="59">
        <v>6614787</v>
      </c>
      <c r="E70" s="59">
        <v>40452</v>
      </c>
      <c r="F70" s="59">
        <v>40483</v>
      </c>
      <c r="G70" s="59">
        <v>40513</v>
      </c>
      <c r="H70" s="59">
        <v>40544</v>
      </c>
      <c r="I70" s="59">
        <v>40575</v>
      </c>
      <c r="J70" s="59">
        <v>40603</v>
      </c>
      <c r="K70" s="59">
        <v>40634</v>
      </c>
      <c r="L70" s="59">
        <v>40664</v>
      </c>
      <c r="M70" s="59">
        <v>40695</v>
      </c>
      <c r="N70" s="60" t="s">
        <v>371</v>
      </c>
      <c r="O70" s="61" t="s">
        <v>27</v>
      </c>
      <c r="P70" s="61" t="s">
        <v>85</v>
      </c>
    </row>
    <row r="71" spans="1:16">
      <c r="A71" s="67" t="s">
        <v>291</v>
      </c>
      <c r="B71" s="53"/>
      <c r="C71" s="53"/>
      <c r="D71" s="53"/>
      <c r="E71" s="53"/>
      <c r="F71" s="53"/>
      <c r="G71" s="53"/>
      <c r="H71" s="53"/>
      <c r="I71" s="53"/>
      <c r="J71" s="53"/>
      <c r="K71" s="53"/>
      <c r="L71" s="53"/>
      <c r="M71" s="53"/>
      <c r="N71" s="53"/>
      <c r="O71" s="193" t="s">
        <v>345</v>
      </c>
      <c r="P71" s="193"/>
    </row>
    <row r="72" spans="1:16">
      <c r="A72" s="71" t="s">
        <v>257</v>
      </c>
      <c r="B72" s="24">
        <v>11</v>
      </c>
      <c r="C72" s="24">
        <v>6</v>
      </c>
      <c r="D72" s="24">
        <v>29</v>
      </c>
      <c r="E72" s="24">
        <v>69</v>
      </c>
      <c r="F72" s="24">
        <v>80</v>
      </c>
      <c r="G72" s="24">
        <v>38</v>
      </c>
      <c r="H72" s="24">
        <v>4</v>
      </c>
      <c r="I72" s="24">
        <v>48</v>
      </c>
      <c r="J72" s="24">
        <v>53</v>
      </c>
      <c r="K72" s="24">
        <v>72</v>
      </c>
      <c r="L72" s="24">
        <v>29</v>
      </c>
      <c r="M72" s="24">
        <v>23</v>
      </c>
      <c r="N72" s="73">
        <f>SUM(B72:M72)</f>
        <v>462</v>
      </c>
      <c r="O72" s="74"/>
      <c r="P72" s="75"/>
    </row>
    <row r="73" spans="1:16">
      <c r="A73" s="71" t="s">
        <v>208</v>
      </c>
      <c r="B73" s="24">
        <v>23</v>
      </c>
      <c r="C73" s="24">
        <v>13</v>
      </c>
      <c r="D73" s="24">
        <v>75</v>
      </c>
      <c r="E73" s="24">
        <v>197</v>
      </c>
      <c r="F73" s="24">
        <v>231</v>
      </c>
      <c r="G73" s="24">
        <v>61</v>
      </c>
      <c r="H73" s="24">
        <v>18</v>
      </c>
      <c r="I73" s="24">
        <v>146</v>
      </c>
      <c r="J73" s="24">
        <v>180</v>
      </c>
      <c r="K73" s="24">
        <v>185</v>
      </c>
      <c r="L73" s="24">
        <v>70</v>
      </c>
      <c r="M73" s="24">
        <v>77</v>
      </c>
      <c r="N73" s="73">
        <f>SUM(B73:M73)</f>
        <v>1276</v>
      </c>
      <c r="O73" s="140">
        <v>0</v>
      </c>
      <c r="P73" s="75">
        <f>O73/N73</f>
        <v>0</v>
      </c>
    </row>
    <row r="74" spans="1:16">
      <c r="A74" s="71" t="s">
        <v>228</v>
      </c>
      <c r="B74" s="24" t="s">
        <v>231</v>
      </c>
      <c r="C74" s="24" t="s">
        <v>231</v>
      </c>
      <c r="D74" s="24" t="s">
        <v>231</v>
      </c>
      <c r="E74" s="24" t="s">
        <v>231</v>
      </c>
      <c r="F74" s="24" t="s">
        <v>231</v>
      </c>
      <c r="G74" s="24" t="s">
        <v>231</v>
      </c>
      <c r="H74" s="24">
        <v>0</v>
      </c>
      <c r="I74" s="24">
        <v>0</v>
      </c>
      <c r="J74" s="24">
        <v>8</v>
      </c>
      <c r="K74" s="24">
        <v>0</v>
      </c>
      <c r="L74" s="24">
        <v>0</v>
      </c>
      <c r="M74" s="24">
        <v>0</v>
      </c>
      <c r="N74" s="73">
        <f>SUM(B74:M74)</f>
        <v>8</v>
      </c>
      <c r="O74" s="74"/>
      <c r="P74" s="75"/>
    </row>
    <row r="75" spans="1:16">
      <c r="A75" s="71" t="s">
        <v>351</v>
      </c>
      <c r="B75" s="40">
        <v>3</v>
      </c>
      <c r="C75" s="40">
        <v>3</v>
      </c>
      <c r="D75" s="40">
        <v>3</v>
      </c>
      <c r="E75" s="40">
        <v>3</v>
      </c>
      <c r="F75" s="40">
        <v>3</v>
      </c>
      <c r="G75" s="40">
        <v>3</v>
      </c>
      <c r="H75" s="40">
        <v>3</v>
      </c>
      <c r="I75" s="40">
        <v>3</v>
      </c>
      <c r="J75" s="40">
        <v>3</v>
      </c>
      <c r="K75" s="40">
        <v>3</v>
      </c>
      <c r="L75" s="40">
        <v>3</v>
      </c>
      <c r="M75" s="40">
        <v>3</v>
      </c>
      <c r="N75" s="40">
        <v>3</v>
      </c>
      <c r="O75" s="18"/>
    </row>
    <row r="76" spans="1:16">
      <c r="A76" s="2"/>
      <c r="B76" s="94"/>
      <c r="C76" s="94"/>
      <c r="D76" s="94"/>
      <c r="E76" s="94"/>
      <c r="F76" s="94"/>
      <c r="G76" s="94"/>
      <c r="H76" s="94"/>
      <c r="I76" s="94"/>
      <c r="J76" s="94"/>
      <c r="K76" s="94"/>
      <c r="L76" s="94"/>
      <c r="M76" s="94"/>
      <c r="N76" s="82"/>
      <c r="O76" s="75"/>
      <c r="P76" s="75"/>
    </row>
    <row r="77" spans="1:16">
      <c r="A77" s="5"/>
      <c r="B77" s="98"/>
      <c r="C77" s="98"/>
      <c r="D77" s="98"/>
      <c r="E77" s="98"/>
      <c r="F77" s="98"/>
      <c r="G77" s="98"/>
      <c r="H77" s="98"/>
      <c r="I77" s="98"/>
      <c r="J77" s="98"/>
      <c r="K77" s="98"/>
      <c r="L77" s="98"/>
      <c r="M77" s="98"/>
      <c r="N77" s="5"/>
      <c r="O77" s="91"/>
      <c r="P77" s="91"/>
    </row>
    <row r="78" spans="1:16" ht="25.5">
      <c r="A78" s="58"/>
      <c r="B78" s="59">
        <v>40360</v>
      </c>
      <c r="C78" s="59">
        <v>40391</v>
      </c>
      <c r="D78" s="59">
        <v>6614787</v>
      </c>
      <c r="E78" s="59">
        <v>40452</v>
      </c>
      <c r="F78" s="59">
        <v>40483</v>
      </c>
      <c r="G78" s="59">
        <v>40513</v>
      </c>
      <c r="H78" s="59">
        <v>40544</v>
      </c>
      <c r="I78" s="59">
        <v>40575</v>
      </c>
      <c r="J78" s="59">
        <v>40603</v>
      </c>
      <c r="K78" s="59">
        <v>40634</v>
      </c>
      <c r="L78" s="59">
        <v>40664</v>
      </c>
      <c r="M78" s="59">
        <v>40695</v>
      </c>
      <c r="N78" s="60" t="s">
        <v>371</v>
      </c>
      <c r="O78" s="61" t="s">
        <v>27</v>
      </c>
      <c r="P78" s="61" t="s">
        <v>175</v>
      </c>
    </row>
    <row r="79" spans="1:16" ht="25.5">
      <c r="A79" s="115" t="s">
        <v>330</v>
      </c>
      <c r="B79" s="53"/>
      <c r="C79" s="53"/>
      <c r="D79" s="53"/>
      <c r="E79" s="53"/>
      <c r="F79" s="53"/>
      <c r="G79" s="53"/>
      <c r="H79" s="53"/>
      <c r="I79" s="53"/>
      <c r="J79" s="53"/>
      <c r="K79" s="53"/>
      <c r="L79" s="53"/>
      <c r="M79" s="53"/>
      <c r="N79" s="53"/>
      <c r="O79" s="193" t="s">
        <v>223</v>
      </c>
      <c r="P79" s="193"/>
    </row>
    <row r="80" spans="1:16">
      <c r="A80" s="71" t="s">
        <v>257</v>
      </c>
      <c r="B80" s="24">
        <v>32</v>
      </c>
      <c r="C80" s="24">
        <v>3</v>
      </c>
      <c r="D80" s="24">
        <v>21</v>
      </c>
      <c r="E80" s="24">
        <v>68</v>
      </c>
      <c r="F80" s="24">
        <v>54</v>
      </c>
      <c r="G80" s="24">
        <v>15</v>
      </c>
      <c r="H80" s="24">
        <v>6</v>
      </c>
      <c r="I80" s="24">
        <v>49</v>
      </c>
      <c r="J80" s="24">
        <v>59</v>
      </c>
      <c r="K80" s="24">
        <v>46</v>
      </c>
      <c r="L80" s="24">
        <v>7</v>
      </c>
      <c r="M80" s="24">
        <v>15</v>
      </c>
      <c r="N80" s="73">
        <f>SUM(B80:M80)</f>
        <v>375</v>
      </c>
      <c r="O80" s="74"/>
      <c r="P80" s="75"/>
    </row>
    <row r="81" spans="1:16">
      <c r="A81" s="71" t="s">
        <v>208</v>
      </c>
      <c r="B81" s="24">
        <v>107</v>
      </c>
      <c r="C81" s="24">
        <v>8</v>
      </c>
      <c r="D81" s="24">
        <v>82</v>
      </c>
      <c r="E81" s="24">
        <v>378</v>
      </c>
      <c r="F81" s="24">
        <v>244</v>
      </c>
      <c r="G81" s="24">
        <v>39</v>
      </c>
      <c r="H81" s="24">
        <v>13</v>
      </c>
      <c r="I81" s="24">
        <v>198</v>
      </c>
      <c r="J81" s="24">
        <v>349</v>
      </c>
      <c r="K81" s="24">
        <v>144</v>
      </c>
      <c r="L81" s="24">
        <v>21</v>
      </c>
      <c r="M81" s="24">
        <v>51</v>
      </c>
      <c r="N81" s="73">
        <f>SUM(B81:M81)</f>
        <v>1634</v>
      </c>
      <c r="O81" s="74">
        <v>0</v>
      </c>
      <c r="P81" s="75">
        <f>O81/N81</f>
        <v>0</v>
      </c>
    </row>
    <row r="82" spans="1:16">
      <c r="A82" s="71" t="s">
        <v>228</v>
      </c>
      <c r="B82" s="24" t="s">
        <v>231</v>
      </c>
      <c r="C82" s="24" t="s">
        <v>231</v>
      </c>
      <c r="D82" s="24" t="s">
        <v>231</v>
      </c>
      <c r="E82" s="24" t="s">
        <v>231</v>
      </c>
      <c r="F82" s="24" t="s">
        <v>231</v>
      </c>
      <c r="G82" s="24" t="s">
        <v>231</v>
      </c>
      <c r="H82" s="24">
        <v>0</v>
      </c>
      <c r="I82" s="24">
        <v>11</v>
      </c>
      <c r="J82" s="24">
        <v>0</v>
      </c>
      <c r="K82" s="24">
        <v>0</v>
      </c>
      <c r="L82" s="24">
        <v>0</v>
      </c>
      <c r="M82" s="24">
        <v>0</v>
      </c>
      <c r="N82" s="73">
        <f>SUM(B82:M82)</f>
        <v>11</v>
      </c>
      <c r="O82" s="74"/>
      <c r="P82" s="75"/>
    </row>
    <row r="83" spans="1:16">
      <c r="A83" s="71" t="s">
        <v>351</v>
      </c>
      <c r="B83" s="40">
        <v>3</v>
      </c>
      <c r="C83" s="40">
        <v>3</v>
      </c>
      <c r="D83" s="40">
        <v>3</v>
      </c>
      <c r="E83" s="40">
        <v>3</v>
      </c>
      <c r="F83" s="40">
        <v>3</v>
      </c>
      <c r="G83" s="40">
        <v>3</v>
      </c>
      <c r="H83" s="40">
        <v>3</v>
      </c>
      <c r="I83" s="40">
        <v>3</v>
      </c>
      <c r="J83" s="40">
        <v>3</v>
      </c>
      <c r="K83" s="40">
        <v>3</v>
      </c>
      <c r="L83" s="40">
        <v>3</v>
      </c>
      <c r="M83" s="40">
        <v>3</v>
      </c>
      <c r="N83" s="40">
        <v>3</v>
      </c>
      <c r="O83" s="18"/>
    </row>
    <row r="84" spans="1:16">
      <c r="A84" s="2"/>
      <c r="B84" s="94"/>
      <c r="C84" s="94"/>
      <c r="D84" s="94"/>
      <c r="E84" s="94"/>
      <c r="F84" s="94"/>
      <c r="G84" s="94"/>
      <c r="H84" s="94"/>
      <c r="I84" s="94"/>
      <c r="J84" s="94"/>
      <c r="K84" s="94"/>
      <c r="L84" s="94"/>
      <c r="M84" s="94"/>
      <c r="N84" s="82"/>
      <c r="O84" s="75"/>
      <c r="P84" s="75"/>
    </row>
    <row r="85" spans="1:16">
      <c r="A85" s="2"/>
      <c r="B85" s="96"/>
      <c r="C85" s="96"/>
      <c r="D85" s="96"/>
      <c r="E85" s="96"/>
      <c r="F85" s="96"/>
      <c r="G85" s="96"/>
      <c r="H85" s="96"/>
      <c r="I85" s="96"/>
      <c r="J85" s="96"/>
      <c r="K85" s="96"/>
      <c r="L85" s="96"/>
      <c r="M85" s="96"/>
      <c r="N85" s="2"/>
      <c r="O85" s="75"/>
      <c r="P85" s="75"/>
    </row>
    <row r="86" spans="1:16">
      <c r="A86" s="5"/>
      <c r="B86" s="98"/>
      <c r="C86" s="98"/>
      <c r="D86" s="98"/>
      <c r="E86" s="98"/>
      <c r="F86" s="98"/>
      <c r="G86" s="98"/>
      <c r="H86" s="98"/>
      <c r="I86" s="98"/>
      <c r="J86" s="98"/>
      <c r="K86" s="98"/>
      <c r="L86" s="98"/>
      <c r="M86" s="98"/>
      <c r="N86" s="5"/>
      <c r="O86" s="91"/>
      <c r="P86" s="91"/>
    </row>
    <row r="87" spans="1:16" ht="25.5">
      <c r="A87" s="58"/>
      <c r="B87" s="59">
        <v>40360</v>
      </c>
      <c r="C87" s="59">
        <v>40391</v>
      </c>
      <c r="D87" s="59">
        <v>6614787</v>
      </c>
      <c r="E87" s="59">
        <v>40452</v>
      </c>
      <c r="F87" s="59">
        <v>40483</v>
      </c>
      <c r="G87" s="59">
        <v>40513</v>
      </c>
      <c r="H87" s="59">
        <v>40544</v>
      </c>
      <c r="I87" s="59">
        <v>40575</v>
      </c>
      <c r="J87" s="59">
        <v>40603</v>
      </c>
      <c r="K87" s="59">
        <v>40634</v>
      </c>
      <c r="L87" s="59">
        <v>40664</v>
      </c>
      <c r="M87" s="59">
        <v>40695</v>
      </c>
      <c r="N87" s="60" t="s">
        <v>371</v>
      </c>
      <c r="O87" s="61" t="s">
        <v>27</v>
      </c>
      <c r="P87" s="61" t="s">
        <v>175</v>
      </c>
    </row>
    <row r="88" spans="1:16">
      <c r="A88" s="67" t="s">
        <v>44</v>
      </c>
      <c r="B88" s="53"/>
      <c r="C88" s="53"/>
      <c r="D88" s="53"/>
      <c r="E88" s="53"/>
      <c r="F88" s="53"/>
      <c r="G88" s="53"/>
      <c r="H88" s="53"/>
      <c r="I88" s="53"/>
      <c r="J88" s="53"/>
      <c r="K88" s="53"/>
      <c r="L88" s="53"/>
      <c r="M88" s="53"/>
      <c r="N88" s="53"/>
      <c r="O88" s="193" t="s">
        <v>345</v>
      </c>
      <c r="P88" s="193"/>
    </row>
    <row r="89" spans="1:16">
      <c r="A89" s="71" t="s">
        <v>257</v>
      </c>
      <c r="B89" s="24">
        <v>7</v>
      </c>
      <c r="C89" s="24">
        <v>1</v>
      </c>
      <c r="D89" s="24">
        <v>14</v>
      </c>
      <c r="E89" s="24">
        <v>58</v>
      </c>
      <c r="F89" s="24">
        <v>26</v>
      </c>
      <c r="G89" s="24">
        <v>12</v>
      </c>
      <c r="H89" s="24">
        <v>7</v>
      </c>
      <c r="I89" s="24">
        <v>40</v>
      </c>
      <c r="J89" s="24">
        <v>43</v>
      </c>
      <c r="K89" s="24">
        <v>19</v>
      </c>
      <c r="L89" s="24">
        <v>7</v>
      </c>
      <c r="M89" s="24">
        <v>4</v>
      </c>
      <c r="N89" s="73">
        <f>SUM(B89:M89)</f>
        <v>238</v>
      </c>
      <c r="O89" s="74"/>
      <c r="P89" s="75"/>
    </row>
    <row r="90" spans="1:16">
      <c r="A90" s="71" t="s">
        <v>208</v>
      </c>
      <c r="B90" s="24">
        <v>19</v>
      </c>
      <c r="C90" s="24">
        <v>2</v>
      </c>
      <c r="D90" s="24">
        <v>42</v>
      </c>
      <c r="E90" s="24">
        <v>155</v>
      </c>
      <c r="F90" s="24">
        <v>81</v>
      </c>
      <c r="G90" s="24">
        <v>22</v>
      </c>
      <c r="H90" s="24">
        <v>30</v>
      </c>
      <c r="I90" s="24">
        <v>187</v>
      </c>
      <c r="J90" s="24">
        <v>179</v>
      </c>
      <c r="K90" s="24">
        <v>49</v>
      </c>
      <c r="L90" s="24">
        <v>20</v>
      </c>
      <c r="M90" s="24">
        <v>10</v>
      </c>
      <c r="N90" s="73">
        <f>SUM(B90:M90)</f>
        <v>796</v>
      </c>
      <c r="O90" s="74">
        <v>0</v>
      </c>
      <c r="P90" s="75">
        <f>O90/N90</f>
        <v>0</v>
      </c>
    </row>
    <row r="91" spans="1:16">
      <c r="A91" s="71" t="s">
        <v>228</v>
      </c>
      <c r="B91" s="24">
        <v>0</v>
      </c>
      <c r="C91" s="24">
        <v>0</v>
      </c>
      <c r="D91" s="24">
        <v>0</v>
      </c>
      <c r="E91" s="24">
        <v>0</v>
      </c>
      <c r="F91" s="24">
        <v>0</v>
      </c>
      <c r="G91" s="24">
        <v>0</v>
      </c>
      <c r="H91" s="24">
        <v>0</v>
      </c>
      <c r="I91" s="24">
        <v>7</v>
      </c>
      <c r="J91" s="24">
        <v>0</v>
      </c>
      <c r="K91" s="24">
        <v>0</v>
      </c>
      <c r="L91" s="24">
        <v>0</v>
      </c>
      <c r="M91" s="24">
        <v>0</v>
      </c>
      <c r="N91" s="73">
        <f>SUM(B91:M91)</f>
        <v>7</v>
      </c>
      <c r="O91" s="74"/>
      <c r="P91" s="75"/>
    </row>
    <row r="92" spans="1:16">
      <c r="A92" s="71" t="s">
        <v>351</v>
      </c>
      <c r="B92" s="40">
        <v>4</v>
      </c>
      <c r="C92" s="40">
        <v>4</v>
      </c>
      <c r="D92" s="40">
        <v>4</v>
      </c>
      <c r="E92" s="40">
        <v>4</v>
      </c>
      <c r="F92" s="40">
        <v>4</v>
      </c>
      <c r="G92" s="40">
        <v>4</v>
      </c>
      <c r="H92" s="40">
        <v>4</v>
      </c>
      <c r="I92" s="40">
        <v>4</v>
      </c>
      <c r="J92" s="40">
        <v>4</v>
      </c>
      <c r="K92" s="40">
        <v>4</v>
      </c>
      <c r="L92" s="40">
        <v>4</v>
      </c>
      <c r="M92" s="40">
        <v>4</v>
      </c>
      <c r="N92" s="40">
        <v>4</v>
      </c>
      <c r="O92" s="18"/>
    </row>
    <row r="93" spans="1:16">
      <c r="A93" s="2"/>
      <c r="B93" s="43"/>
      <c r="C93" s="43"/>
      <c r="D93" s="43"/>
      <c r="E93" s="43"/>
      <c r="F93" s="43"/>
      <c r="G93" s="43"/>
      <c r="H93" s="43"/>
      <c r="I93" s="43"/>
      <c r="J93" s="43"/>
      <c r="K93" s="43"/>
      <c r="L93" s="43"/>
      <c r="M93" s="43"/>
      <c r="N93" s="43"/>
    </row>
    <row r="94" spans="1:16">
      <c r="A94" s="6"/>
      <c r="B94" s="6"/>
      <c r="C94" s="6"/>
      <c r="D94" s="6"/>
      <c r="E94" s="6"/>
      <c r="F94" s="6"/>
      <c r="G94" s="6"/>
      <c r="H94" s="6"/>
      <c r="I94" s="6"/>
      <c r="J94" s="6"/>
      <c r="K94" s="6"/>
      <c r="L94" s="6"/>
      <c r="M94" s="6"/>
      <c r="N94" s="6"/>
      <c r="O94" s="6"/>
      <c r="P94" s="6"/>
    </row>
    <row r="95" spans="1:16" ht="25.5">
      <c r="A95" s="58"/>
      <c r="B95" s="59">
        <v>40360</v>
      </c>
      <c r="C95" s="59">
        <v>40391</v>
      </c>
      <c r="D95" s="59">
        <v>6614787</v>
      </c>
      <c r="E95" s="59">
        <v>40452</v>
      </c>
      <c r="F95" s="59">
        <v>40483</v>
      </c>
      <c r="G95" s="59">
        <v>40513</v>
      </c>
      <c r="H95" s="59">
        <v>40544</v>
      </c>
      <c r="I95" s="59">
        <v>40575</v>
      </c>
      <c r="J95" s="59">
        <v>40603</v>
      </c>
      <c r="K95" s="59">
        <v>40634</v>
      </c>
      <c r="L95" s="59">
        <v>40664</v>
      </c>
      <c r="M95" s="59">
        <v>40695</v>
      </c>
      <c r="N95" s="60" t="s">
        <v>371</v>
      </c>
      <c r="O95" s="61" t="s">
        <v>27</v>
      </c>
      <c r="P95" s="61" t="s">
        <v>175</v>
      </c>
    </row>
    <row r="96" spans="1:16">
      <c r="A96" s="67" t="s">
        <v>298</v>
      </c>
      <c r="B96" s="53"/>
      <c r="C96" s="53"/>
      <c r="D96" s="53"/>
      <c r="E96" s="53"/>
      <c r="F96" s="53"/>
      <c r="G96" s="53"/>
      <c r="H96" s="53"/>
      <c r="I96" s="53"/>
      <c r="J96" s="53"/>
      <c r="K96" s="53"/>
      <c r="L96" s="53"/>
      <c r="M96" s="53"/>
      <c r="N96" s="53"/>
      <c r="O96" s="193" t="s">
        <v>223</v>
      </c>
      <c r="P96" s="193"/>
    </row>
    <row r="97" spans="1:16">
      <c r="A97" s="71" t="s">
        <v>257</v>
      </c>
      <c r="B97" s="24">
        <v>0</v>
      </c>
      <c r="C97" s="24">
        <v>0</v>
      </c>
      <c r="D97" s="24">
        <v>5</v>
      </c>
      <c r="E97" s="24">
        <v>9</v>
      </c>
      <c r="F97" s="24">
        <v>17</v>
      </c>
      <c r="G97" s="24">
        <v>5</v>
      </c>
      <c r="H97" s="24">
        <v>0</v>
      </c>
      <c r="I97" s="24">
        <v>18</v>
      </c>
      <c r="J97" s="24">
        <v>15</v>
      </c>
      <c r="K97" s="24">
        <v>6</v>
      </c>
      <c r="L97" s="24">
        <v>3</v>
      </c>
      <c r="M97" s="24">
        <v>1</v>
      </c>
      <c r="N97" s="73">
        <f>SUM(B97:M97)</f>
        <v>79</v>
      </c>
      <c r="O97" s="74"/>
      <c r="P97" s="75"/>
    </row>
    <row r="98" spans="1:16">
      <c r="A98" s="71" t="s">
        <v>208</v>
      </c>
      <c r="B98" s="24">
        <v>0</v>
      </c>
      <c r="C98" s="24">
        <v>0</v>
      </c>
      <c r="D98" s="24">
        <v>15</v>
      </c>
      <c r="E98" s="24">
        <v>22</v>
      </c>
      <c r="F98" s="24">
        <v>50</v>
      </c>
      <c r="G98" s="24">
        <v>11</v>
      </c>
      <c r="H98" s="24">
        <v>0</v>
      </c>
      <c r="I98" s="24">
        <v>60</v>
      </c>
      <c r="J98" s="24">
        <v>72</v>
      </c>
      <c r="K98" s="24">
        <v>19</v>
      </c>
      <c r="L98" s="24">
        <v>6</v>
      </c>
      <c r="M98" s="24">
        <v>6</v>
      </c>
      <c r="N98" s="73">
        <f>SUM(B98:M98)</f>
        <v>261</v>
      </c>
      <c r="O98" s="74">
        <v>0</v>
      </c>
      <c r="P98" s="75">
        <f>O98/N98</f>
        <v>0</v>
      </c>
    </row>
    <row r="99" spans="1:16">
      <c r="A99" s="71" t="s">
        <v>228</v>
      </c>
      <c r="B99" s="24" t="s">
        <v>231</v>
      </c>
      <c r="C99" s="24" t="s">
        <v>231</v>
      </c>
      <c r="D99" s="24" t="s">
        <v>231</v>
      </c>
      <c r="E99" s="24" t="s">
        <v>231</v>
      </c>
      <c r="F99" s="24" t="s">
        <v>231</v>
      </c>
      <c r="G99" s="24" t="s">
        <v>231</v>
      </c>
      <c r="H99" s="24" t="s">
        <v>231</v>
      </c>
      <c r="I99" s="24" t="s">
        <v>231</v>
      </c>
      <c r="J99" s="24" t="s">
        <v>231</v>
      </c>
      <c r="K99" s="24" t="s">
        <v>231</v>
      </c>
      <c r="L99" s="24" t="s">
        <v>231</v>
      </c>
      <c r="M99" s="24" t="s">
        <v>231</v>
      </c>
      <c r="N99" s="73">
        <f>SUM(B99:M99)</f>
        <v>0</v>
      </c>
      <c r="O99" s="74"/>
      <c r="P99" s="75"/>
    </row>
    <row r="100" spans="1:16">
      <c r="A100" s="71" t="s">
        <v>351</v>
      </c>
      <c r="B100" s="40">
        <v>3</v>
      </c>
      <c r="C100" s="40">
        <v>3</v>
      </c>
      <c r="D100" s="40">
        <v>3</v>
      </c>
      <c r="E100" s="40">
        <v>3</v>
      </c>
      <c r="F100" s="40">
        <v>3</v>
      </c>
      <c r="G100" s="40">
        <v>3</v>
      </c>
      <c r="H100" s="40">
        <v>3</v>
      </c>
      <c r="I100" s="40">
        <v>3</v>
      </c>
      <c r="J100" s="40">
        <v>3</v>
      </c>
      <c r="K100" s="40">
        <v>3</v>
      </c>
      <c r="L100" s="40">
        <v>3</v>
      </c>
      <c r="M100" s="40">
        <v>3</v>
      </c>
      <c r="N100" s="40">
        <v>3</v>
      </c>
      <c r="O100" s="18"/>
    </row>
    <row r="101" spans="1:16">
      <c r="A101" s="2"/>
      <c r="B101" s="43"/>
      <c r="C101" s="43"/>
      <c r="D101" s="43"/>
      <c r="E101" s="43"/>
      <c r="F101" s="43"/>
      <c r="G101" s="43"/>
      <c r="H101" s="43"/>
      <c r="I101" s="43"/>
      <c r="J101" s="43"/>
      <c r="K101" s="43"/>
      <c r="L101" s="43"/>
      <c r="M101" s="43"/>
      <c r="N101" s="43"/>
    </row>
    <row r="102" spans="1:16">
      <c r="A102" s="2"/>
    </row>
    <row r="103" spans="1:16">
      <c r="A103" s="2"/>
    </row>
    <row r="104" spans="1:16">
      <c r="A104" s="2"/>
    </row>
  </sheetData>
  <mergeCells count="8">
    <mergeCell ref="O88:P88"/>
    <mergeCell ref="O96:P96"/>
    <mergeCell ref="O15:P15"/>
    <mergeCell ref="O23:P23"/>
    <mergeCell ref="O39:P39"/>
    <mergeCell ref="O55:P55"/>
    <mergeCell ref="O71:P71"/>
    <mergeCell ref="O79:P79"/>
  </mergeCells>
  <pageMargins left="0.75" right="0.75" top="1" bottom="1" header="0.5" footer="0.5"/>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32</vt:i4>
      </vt:variant>
    </vt:vector>
  </HeadingPairs>
  <TitlesOfParts>
    <vt:vector size="32" baseType="lpstr">
      <vt:lpstr>Summary</vt:lpstr>
      <vt:lpstr>ALA Guide to Reference</vt:lpstr>
      <vt:lpstr>ARTstor</vt:lpstr>
      <vt:lpstr>CIAO</vt:lpstr>
      <vt:lpstr>Cochrane</vt:lpstr>
      <vt:lpstr>Compendex(EI)</vt:lpstr>
      <vt:lpstr>CQ Researcher</vt:lpstr>
      <vt:lpstr>CSA</vt:lpstr>
      <vt:lpstr>EBSCOhost</vt:lpstr>
      <vt:lpstr>Elsevier</vt:lpstr>
      <vt:lpstr>EMBASE</vt:lpstr>
      <vt:lpstr>FirstSearch</vt:lpstr>
      <vt:lpstr>Greenwood</vt:lpstr>
      <vt:lpstr>InfoTrac</vt:lpstr>
      <vt:lpstr>ICPSR</vt:lpstr>
      <vt:lpstr>ITER</vt:lpstr>
      <vt:lpstr>JSTOR</vt:lpstr>
      <vt:lpstr>KCDL</vt:lpstr>
      <vt:lpstr>Lexi-Comp</vt:lpstr>
      <vt:lpstr>LexisNexis</vt:lpstr>
      <vt:lpstr>MathSciNet</vt:lpstr>
      <vt:lpstr>Mergent</vt:lpstr>
      <vt:lpstr>netLibrary</vt:lpstr>
      <vt:lpstr>Newsbank</vt:lpstr>
      <vt:lpstr>OVID</vt:lpstr>
      <vt:lpstr>Oxford</vt:lpstr>
      <vt:lpstr>ProQuest</vt:lpstr>
      <vt:lpstr>ReferenceUSA</vt:lpstr>
      <vt:lpstr>RefWorks</vt:lpstr>
      <vt:lpstr>SciFinderScholar</vt:lpstr>
      <vt:lpstr>WebofScience</vt:lpstr>
      <vt:lpstr>WilsonWeb</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cp:lastModifiedBy>
  <dcterms:created xsi:type="dcterms:W3CDTF">2011-08-03T19:15:02Z</dcterms:created>
  <dcterms:modified xsi:type="dcterms:W3CDTF">2011-08-03T19:15:02Z</dcterms:modified>
</cp:coreProperties>
</file>