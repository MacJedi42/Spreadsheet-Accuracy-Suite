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875" yWindow="15" windowWidth="7500" windowHeight="8145"/>
  </bookViews>
  <sheets>
    <sheet name="2011-12" sheetId="6" r:id="rId1"/>
    <sheet name="2010-11" sheetId="7" r:id="rId2"/>
    <sheet name="2009-10" sheetId="8" r:id="rId3"/>
    <sheet name="2008-09" sheetId="4" r:id="rId4"/>
    <sheet name="2007-08" sheetId="5" r:id="rId5"/>
    <sheet name="2006-07" sheetId="3" r:id="rId6"/>
    <sheet name="2005-06" sheetId="2" r:id="rId7"/>
    <sheet name="2004-05" sheetId="1" r:id="rId8"/>
  </sheets>
  <definedNames>
    <definedName name="_xlnm.Print_Titles" localSheetId="7">'2004-05'!$5:$5</definedName>
    <definedName name="_xlnm.Print_Titles" localSheetId="6">'2005-06'!$5:$5</definedName>
    <definedName name="_xlnm.Print_Titles" localSheetId="5">'2006-07'!$5:$5</definedName>
    <definedName name="_xlnm.Print_Titles" localSheetId="4">'2007-08'!$5:$5</definedName>
    <definedName name="_xlnm.Print_Titles" localSheetId="3">'2008-09'!$5:$5</definedName>
    <definedName name="_xlnm.Print_Titles" localSheetId="2">'2009-10'!$5:$5</definedName>
    <definedName name="_xlnm.Print_Titles" localSheetId="1">'2010-11'!$5:$5</definedName>
    <definedName name="_xlnm.Print_Titles" localSheetId="0">'2011-12'!$5:$5</definedName>
  </definedNames>
  <calcPr calcId="145621"/>
</workbook>
</file>

<file path=xl/calcChain.xml><?xml version="1.0" encoding="utf-8"?>
<calcChain xmlns="http://schemas.openxmlformats.org/spreadsheetml/2006/main">
  <c r="B17" i="2" l="1"/>
  <c r="D26" i="2"/>
  <c r="D15" i="2"/>
  <c r="D9" i="2"/>
  <c r="D35" i="2"/>
  <c r="C38" i="8"/>
  <c r="B38" i="8"/>
  <c r="D37" i="8"/>
  <c r="D36" i="8"/>
  <c r="D35" i="8"/>
  <c r="C32" i="8"/>
  <c r="B32" i="8"/>
  <c r="D31" i="8"/>
  <c r="D32" i="8" s="1"/>
  <c r="C28" i="8"/>
  <c r="B28" i="8"/>
  <c r="D27" i="8"/>
  <c r="D26" i="8"/>
  <c r="D25" i="8"/>
  <c r="D24" i="8"/>
  <c r="C21" i="8"/>
  <c r="B21" i="8"/>
  <c r="D20" i="8"/>
  <c r="C17" i="8"/>
  <c r="B17" i="8"/>
  <c r="D16" i="8"/>
  <c r="D15" i="8"/>
  <c r="D14" i="8"/>
  <c r="C11" i="8"/>
  <c r="B11" i="8"/>
  <c r="D10" i="8"/>
  <c r="D9" i="8"/>
  <c r="D8" i="8"/>
  <c r="D7" i="8"/>
  <c r="A3" i="8"/>
  <c r="C38" i="7"/>
  <c r="B38" i="7"/>
  <c r="D37" i="7"/>
  <c r="D36" i="7"/>
  <c r="D35" i="7"/>
  <c r="C32" i="7"/>
  <c r="B32" i="7"/>
  <c r="D31" i="7"/>
  <c r="D32" i="7" s="1"/>
  <c r="C28" i="7"/>
  <c r="B28" i="7"/>
  <c r="D27" i="7"/>
  <c r="D26" i="7"/>
  <c r="D25" i="7"/>
  <c r="D24" i="7"/>
  <c r="D21" i="7"/>
  <c r="D20" i="7"/>
  <c r="C17" i="7"/>
  <c r="B17" i="7"/>
  <c r="D16" i="7"/>
  <c r="D15" i="7"/>
  <c r="D14" i="7"/>
  <c r="C11" i="7"/>
  <c r="B11" i="7"/>
  <c r="D10" i="7"/>
  <c r="D9" i="7"/>
  <c r="D8" i="7"/>
  <c r="D7" i="7"/>
  <c r="A3" i="7"/>
  <c r="C38" i="6"/>
  <c r="B38" i="6"/>
  <c r="D37" i="6"/>
  <c r="D36" i="6"/>
  <c r="D35" i="6"/>
  <c r="C32" i="6"/>
  <c r="B32" i="6"/>
  <c r="D31" i="6"/>
  <c r="D32" i="6" s="1"/>
  <c r="C28" i="6"/>
  <c r="B28" i="6"/>
  <c r="D27" i="6"/>
  <c r="D26" i="6"/>
  <c r="D25" i="6"/>
  <c r="D24" i="6"/>
  <c r="C21" i="6"/>
  <c r="B21" i="6"/>
  <c r="D21" i="6" s="1"/>
  <c r="D20" i="6"/>
  <c r="C17" i="6"/>
  <c r="B17" i="6"/>
  <c r="D16" i="6"/>
  <c r="D15" i="6"/>
  <c r="D14" i="6"/>
  <c r="C11" i="6"/>
  <c r="B11" i="6"/>
  <c r="D10" i="6"/>
  <c r="D9" i="6"/>
  <c r="D8" i="6"/>
  <c r="D7" i="6"/>
  <c r="A3" i="6"/>
  <c r="C43" i="5"/>
  <c r="C45" i="5" s="1"/>
  <c r="B43" i="5"/>
  <c r="D42" i="5"/>
  <c r="D41" i="5"/>
  <c r="D40" i="5"/>
  <c r="C37" i="5"/>
  <c r="B37" i="5"/>
  <c r="D36" i="5"/>
  <c r="D35" i="5"/>
  <c r="D34" i="5"/>
  <c r="D33" i="5"/>
  <c r="D32" i="5"/>
  <c r="C28" i="5"/>
  <c r="D27" i="5"/>
  <c r="D26" i="5"/>
  <c r="D25" i="5"/>
  <c r="D24" i="5"/>
  <c r="C21" i="5"/>
  <c r="B21" i="5"/>
  <c r="D21" i="5" s="1"/>
  <c r="D20" i="5"/>
  <c r="C17" i="5"/>
  <c r="B17" i="5"/>
  <c r="D16" i="5"/>
  <c r="D15" i="5"/>
  <c r="D14" i="5"/>
  <c r="C11" i="5"/>
  <c r="B11" i="5"/>
  <c r="D10" i="5"/>
  <c r="D9" i="5"/>
  <c r="D8" i="5"/>
  <c r="D7" i="5"/>
  <c r="A3" i="5"/>
  <c r="C38" i="4"/>
  <c r="C40" i="4" s="1"/>
  <c r="B38" i="4"/>
  <c r="D37" i="4"/>
  <c r="D36" i="4"/>
  <c r="D35" i="4"/>
  <c r="C32" i="4"/>
  <c r="B32" i="4"/>
  <c r="D31" i="4"/>
  <c r="D32" i="4" s="1"/>
  <c r="C28" i="4"/>
  <c r="B28" i="4"/>
  <c r="D27" i="4"/>
  <c r="D26" i="4"/>
  <c r="D24" i="4"/>
  <c r="C21" i="4"/>
  <c r="B21" i="4"/>
  <c r="D20" i="4"/>
  <c r="C17" i="4"/>
  <c r="B17" i="4"/>
  <c r="D16" i="4"/>
  <c r="D15" i="4"/>
  <c r="D14" i="4"/>
  <c r="D17" i="4" s="1"/>
  <c r="C11" i="4"/>
  <c r="B11" i="4"/>
  <c r="D10" i="4"/>
  <c r="D9" i="4"/>
  <c r="D8" i="4"/>
  <c r="D7" i="4"/>
  <c r="A3" i="4"/>
  <c r="C43" i="3"/>
  <c r="B43" i="3"/>
  <c r="D42" i="3"/>
  <c r="D41" i="3"/>
  <c r="D40" i="3"/>
  <c r="C37" i="3"/>
  <c r="B37" i="3"/>
  <c r="D36" i="3"/>
  <c r="D35" i="3"/>
  <c r="D34" i="3"/>
  <c r="D33" i="3"/>
  <c r="D32" i="3"/>
  <c r="D31" i="3"/>
  <c r="C28" i="3"/>
  <c r="B28" i="3"/>
  <c r="D27" i="3"/>
  <c r="D26" i="3"/>
  <c r="D25" i="3"/>
  <c r="D24" i="3"/>
  <c r="D28" i="3" s="1"/>
  <c r="C21" i="3"/>
  <c r="B21" i="3"/>
  <c r="D21" i="3" s="1"/>
  <c r="D20" i="3"/>
  <c r="C17" i="3"/>
  <c r="B17" i="3"/>
  <c r="D16" i="3"/>
  <c r="D15" i="3"/>
  <c r="D14" i="3"/>
  <c r="C11" i="3"/>
  <c r="B11" i="3"/>
  <c r="D11" i="3" s="1"/>
  <c r="D10" i="3"/>
  <c r="D9" i="3"/>
  <c r="D8" i="3"/>
  <c r="D7" i="3"/>
  <c r="A3" i="3"/>
  <c r="D38" i="6" l="1"/>
  <c r="D28" i="6"/>
  <c r="D17" i="6"/>
  <c r="C40" i="6"/>
  <c r="D11" i="6"/>
  <c r="D17" i="7"/>
  <c r="D28" i="7"/>
  <c r="B40" i="7"/>
  <c r="C40" i="7"/>
  <c r="D11" i="7"/>
  <c r="D28" i="8"/>
  <c r="D21" i="8"/>
  <c r="D17" i="8"/>
  <c r="D11" i="8"/>
  <c r="C40" i="8"/>
  <c r="B40" i="8"/>
  <c r="B40" i="4"/>
  <c r="D28" i="4"/>
  <c r="D21" i="4"/>
  <c r="D11" i="4"/>
  <c r="D37" i="5"/>
  <c r="D28" i="5"/>
  <c r="D17" i="5"/>
  <c r="D11" i="5"/>
  <c r="B45" i="5"/>
  <c r="C45" i="3"/>
  <c r="D37" i="3"/>
  <c r="D17" i="3"/>
  <c r="B45" i="3"/>
  <c r="D38" i="7"/>
  <c r="B40" i="6"/>
  <c r="D38" i="8"/>
  <c r="D43" i="5"/>
  <c r="D45" i="5" s="1"/>
  <c r="D38" i="4"/>
  <c r="D40" i="4" s="1"/>
  <c r="D43" i="3"/>
  <c r="D45" i="3" s="1"/>
  <c r="C43" i="2"/>
  <c r="B43" i="2"/>
  <c r="D42" i="2"/>
  <c r="D41" i="2"/>
  <c r="D40" i="2"/>
  <c r="C37" i="2"/>
  <c r="B37" i="2"/>
  <c r="D36" i="2"/>
  <c r="D34" i="2"/>
  <c r="D33" i="2"/>
  <c r="D32" i="2"/>
  <c r="D31" i="2"/>
  <c r="C28" i="2"/>
  <c r="B28" i="2"/>
  <c r="D27" i="2"/>
  <c r="D25" i="2"/>
  <c r="D24" i="2"/>
  <c r="C21" i="2"/>
  <c r="B21" i="2"/>
  <c r="D20" i="2"/>
  <c r="C17" i="2"/>
  <c r="D16" i="2"/>
  <c r="D14" i="2"/>
  <c r="C11" i="2"/>
  <c r="B11" i="2"/>
  <c r="D10" i="2"/>
  <c r="D8" i="2"/>
  <c r="D7" i="2"/>
  <c r="A3" i="2"/>
  <c r="A3" i="1"/>
  <c r="D40" i="6" l="1"/>
  <c r="D40" i="7"/>
  <c r="D40" i="8"/>
  <c r="D21" i="2"/>
  <c r="D11" i="2"/>
  <c r="D17" i="2"/>
  <c r="D37" i="2"/>
  <c r="D28" i="2"/>
  <c r="B45" i="2"/>
  <c r="C45" i="2"/>
  <c r="D43" i="2"/>
  <c r="C28" i="1"/>
  <c r="B28" i="1"/>
  <c r="D42" i="1"/>
  <c r="D41" i="1"/>
  <c r="D40" i="1"/>
  <c r="C17" i="1"/>
  <c r="B17" i="1"/>
  <c r="D36" i="1"/>
  <c r="D35" i="1"/>
  <c r="D34" i="1"/>
  <c r="D33" i="1"/>
  <c r="D32" i="1"/>
  <c r="D31" i="1"/>
  <c r="D27" i="1"/>
  <c r="D26" i="1"/>
  <c r="D25" i="1"/>
  <c r="D24" i="1"/>
  <c r="D20" i="1"/>
  <c r="D16" i="1"/>
  <c r="D15" i="1"/>
  <c r="D14" i="1"/>
  <c r="D8" i="1"/>
  <c r="D9" i="1"/>
  <c r="D10" i="1"/>
  <c r="D7" i="1"/>
  <c r="D45" i="2" l="1"/>
  <c r="D28" i="1"/>
  <c r="D17" i="1"/>
  <c r="C37" i="1"/>
  <c r="B37" i="1"/>
  <c r="C21" i="1"/>
  <c r="B21" i="1"/>
  <c r="C43" i="1"/>
  <c r="B43" i="1"/>
  <c r="B45" i="1" s="1"/>
  <c r="B11" i="1"/>
  <c r="C11" i="1"/>
  <c r="C45" i="1" l="1"/>
  <c r="D43" i="1"/>
  <c r="D21" i="1"/>
  <c r="D11" i="1"/>
  <c r="D37" i="1" l="1"/>
  <c r="D45" i="1" s="1"/>
</calcChain>
</file>

<file path=xl/sharedStrings.xml><?xml version="1.0" encoding="utf-8"?>
<sst xmlns="http://schemas.openxmlformats.org/spreadsheetml/2006/main" count="308" uniqueCount="32">
  <si>
    <t>Total</t>
  </si>
  <si>
    <t>Undergraduate</t>
  </si>
  <si>
    <t>Graduate</t>
  </si>
  <si>
    <t>Subtotal</t>
  </si>
  <si>
    <t>Other</t>
  </si>
  <si>
    <t>Ethnic Group</t>
  </si>
  <si>
    <t>Asian or Asian British</t>
  </si>
  <si>
    <t>    - Bangladeshi</t>
  </si>
  <si>
    <t>    - Indian</t>
  </si>
  <si>
    <t>    - Pakistani</t>
  </si>
  <si>
    <t>    - Other</t>
  </si>
  <si>
    <t>Black or Black British</t>
  </si>
  <si>
    <t>    - African</t>
  </si>
  <si>
    <t>    - Caribbean</t>
  </si>
  <si>
    <t>Chinese</t>
  </si>
  <si>
    <t>Mixed</t>
  </si>
  <si>
    <t>    - White and Asian</t>
  </si>
  <si>
    <t>    - White and Black African</t>
  </si>
  <si>
    <t>    - White and Black Caribbean</t>
  </si>
  <si>
    <t>White</t>
  </si>
  <si>
    <t>    - British</t>
  </si>
  <si>
    <t>    - Irish</t>
  </si>
  <si>
    <t>    - Irish Traveller</t>
  </si>
  <si>
    <t>    - Scottish</t>
  </si>
  <si>
    <t>    - White (not used for applicants after 2000)</t>
  </si>
  <si>
    <t>Other Ethnic Background</t>
  </si>
  <si>
    <t>Information Refused</t>
  </si>
  <si>
    <t>Not Known</t>
  </si>
  <si>
    <t>The information in this table is concerned with those students whose domicile at the time of application is within the UK.</t>
  </si>
  <si>
    <t>UK Domiciled Student Numbers by Ethnic Group</t>
  </si>
  <si>
    <t>Table T1</t>
  </si>
  <si>
    <t>    -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</si>
</sst>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.5"/>
      <color theme="1"/>
      <name val="Arial"/>
      <family val="2"/>
    </font>
    <font>
      <b/>
      <sz val="10"/>
      <color theme="1"/>
      <name val="Arial"/>
      <family val="2"/>
    </font>
    <font>
      <b/>
      <sz val="8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4" xfId="0" applyFont="1" applyBorder="1"/>
    <xf numFmtId="0" fontId="6" fillId="0" borderId="2" xfId="0" applyFont="1" applyBorder="1"/>
    <xf numFmtId="0" fontId="8" fillId="0" borderId="6" xfId="0" applyFont="1" applyBorder="1"/>
    <xf numFmtId="0" fontId="4" fillId="0" borderId="7" xfId="0" applyFont="1" applyBorder="1"/>
    <xf numFmtId="0" fontId="4" fillId="0" borderId="5" xfId="0" applyFont="1" applyBorder="1"/>
    <xf numFmtId="0" fontId="8" fillId="3" borderId="6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/>
    <xf numFmtId="0" fontId="0" fillId="0" borderId="0" xfId="0" applyAlignment="1">
      <alignment wrapText="1"/>
    </xf>
    <xf numFmtId="0" fontId="5" fillId="2" borderId="13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7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2"/>
  <sheetViews>
    <sheetView tabSelected="1" view="pageLayout" topLeftCell="A19" zoomScaleNormal="100" workbookViewId="0">
      <selection activeCell="D37" sqref="D37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2011-12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119</v>
      </c>
      <c r="C7" s="4">
        <v>51</v>
      </c>
      <c r="D7" s="5">
        <f>B7+C7</f>
        <v>170</v>
      </c>
    </row>
    <row r="8" spans="1:4" x14ac:dyDescent="0.25">
      <c r="A8" s="6" t="s">
        <v>8</v>
      </c>
      <c r="B8" s="4">
        <v>819</v>
      </c>
      <c r="C8" s="4">
        <v>470</v>
      </c>
      <c r="D8" s="5">
        <f t="shared" ref="D8:D10" si="0">B8+C8</f>
        <v>1289</v>
      </c>
    </row>
    <row r="9" spans="1:4" ht="15.75" customHeight="1" x14ac:dyDescent="0.25">
      <c r="A9" s="6" t="s">
        <v>9</v>
      </c>
      <c r="B9" s="4">
        <v>215</v>
      </c>
      <c r="C9" s="4">
        <v>124</v>
      </c>
      <c r="D9" s="5">
        <f t="shared" si="0"/>
        <v>339</v>
      </c>
    </row>
    <row r="10" spans="1:4" ht="15.75" customHeight="1" thickBot="1" x14ac:dyDescent="0.3">
      <c r="A10" s="6" t="s">
        <v>10</v>
      </c>
      <c r="B10" s="4">
        <v>398</v>
      </c>
      <c r="C10" s="4">
        <v>206</v>
      </c>
      <c r="D10" s="5">
        <f t="shared" si="0"/>
        <v>604</v>
      </c>
    </row>
    <row r="11" spans="1:4" ht="16.5" thickTop="1" thickBot="1" x14ac:dyDescent="0.3">
      <c r="A11" s="7" t="s">
        <v>3</v>
      </c>
      <c r="B11" s="8">
        <f>SUM(B7:B10)</f>
        <v>1551</v>
      </c>
      <c r="C11" s="8">
        <f>SUM(C7:C10)</f>
        <v>851</v>
      </c>
      <c r="D11" s="9">
        <f>B11+C11</f>
        <v>2402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220</v>
      </c>
      <c r="C14" s="4">
        <v>224</v>
      </c>
      <c r="D14" s="5">
        <f t="shared" ref="D14:D16" si="1">B14+C14</f>
        <v>444</v>
      </c>
    </row>
    <row r="15" spans="1:4" x14ac:dyDescent="0.25">
      <c r="A15" s="6" t="s">
        <v>13</v>
      </c>
      <c r="B15" s="4">
        <v>49</v>
      </c>
      <c r="C15" s="4">
        <v>47</v>
      </c>
      <c r="D15" s="5">
        <f t="shared" si="1"/>
        <v>96</v>
      </c>
    </row>
    <row r="16" spans="1:4" ht="15.75" thickBot="1" x14ac:dyDescent="0.3">
      <c r="A16" s="6" t="s">
        <v>10</v>
      </c>
      <c r="B16" s="4">
        <v>11</v>
      </c>
      <c r="C16" s="4">
        <v>15</v>
      </c>
      <c r="D16" s="5">
        <f t="shared" si="1"/>
        <v>26</v>
      </c>
    </row>
    <row r="17" spans="1:4" ht="16.5" thickTop="1" thickBot="1" x14ac:dyDescent="0.3">
      <c r="A17" s="7" t="s">
        <v>3</v>
      </c>
      <c r="B17" s="8">
        <f>SUM(B14:B16)</f>
        <v>280</v>
      </c>
      <c r="C17" s="8">
        <f t="shared" ref="C17:D17" si="2">SUM(C14:C16)</f>
        <v>286</v>
      </c>
      <c r="D17" s="9">
        <f t="shared" si="2"/>
        <v>566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>
        <v>347</v>
      </c>
      <c r="C20" s="4">
        <v>169</v>
      </c>
      <c r="D20" s="5">
        <f t="shared" ref="D20:D21" si="3">B20+C20</f>
        <v>516</v>
      </c>
    </row>
    <row r="21" spans="1:4" ht="16.5" thickTop="1" thickBot="1" x14ac:dyDescent="0.3">
      <c r="A21" s="7" t="s">
        <v>3</v>
      </c>
      <c r="B21" s="8">
        <f>SUM(B20:B20)</f>
        <v>347</v>
      </c>
      <c r="C21" s="8">
        <f>SUM(C20:C20)</f>
        <v>169</v>
      </c>
      <c r="D21" s="8">
        <f t="shared" si="3"/>
        <v>516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232</v>
      </c>
      <c r="C24" s="4">
        <v>94</v>
      </c>
      <c r="D24" s="5">
        <f t="shared" ref="D24:D27" si="4">B24+C24</f>
        <v>326</v>
      </c>
    </row>
    <row r="25" spans="1:4" x14ac:dyDescent="0.25">
      <c r="A25" s="6" t="s">
        <v>17</v>
      </c>
      <c r="B25" s="4">
        <v>37</v>
      </c>
      <c r="C25" s="4">
        <v>21</v>
      </c>
      <c r="D25" s="5">
        <f t="shared" si="4"/>
        <v>58</v>
      </c>
    </row>
    <row r="26" spans="1:4" x14ac:dyDescent="0.25">
      <c r="A26" s="6" t="s">
        <v>18</v>
      </c>
      <c r="B26" s="4">
        <v>48</v>
      </c>
      <c r="C26" s="4">
        <v>19</v>
      </c>
      <c r="D26" s="5">
        <f t="shared" si="4"/>
        <v>67</v>
      </c>
    </row>
    <row r="27" spans="1:4" ht="15.75" thickBot="1" x14ac:dyDescent="0.3">
      <c r="A27" s="6" t="s">
        <v>10</v>
      </c>
      <c r="B27" s="4">
        <v>186</v>
      </c>
      <c r="C27" s="4">
        <v>150</v>
      </c>
      <c r="D27" s="5">
        <f t="shared" si="4"/>
        <v>336</v>
      </c>
    </row>
    <row r="28" spans="1:4" ht="16.5" thickTop="1" thickBot="1" x14ac:dyDescent="0.3">
      <c r="A28" s="7" t="s">
        <v>3</v>
      </c>
      <c r="B28" s="8">
        <f>SUM(B24:B27)</f>
        <v>503</v>
      </c>
      <c r="C28" s="8">
        <f t="shared" ref="C28:D28" si="5">SUM(C24:C27)</f>
        <v>284</v>
      </c>
      <c r="D28" s="8">
        <f t="shared" si="5"/>
        <v>787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6.5" thickTop="1" thickBot="1" x14ac:dyDescent="0.3">
      <c r="A31" s="6" t="s">
        <v>31</v>
      </c>
      <c r="B31" s="4">
        <v>5382</v>
      </c>
      <c r="C31" s="4">
        <v>4375</v>
      </c>
      <c r="D31" s="5">
        <f t="shared" ref="D31" si="6">B31+C31</f>
        <v>9757</v>
      </c>
    </row>
    <row r="32" spans="1:4" ht="16.5" thickTop="1" thickBot="1" x14ac:dyDescent="0.3">
      <c r="A32" s="7" t="s">
        <v>3</v>
      </c>
      <c r="B32" s="8">
        <f>SUM(B31:B31)</f>
        <v>5382</v>
      </c>
      <c r="C32" s="8">
        <f>SUM(C31:C31)</f>
        <v>4375</v>
      </c>
      <c r="D32" s="8">
        <f>SUM(D31:D31)</f>
        <v>9757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7" t="s">
        <v>4</v>
      </c>
      <c r="B34" s="18"/>
      <c r="C34" s="18"/>
      <c r="D34" s="19"/>
    </row>
    <row r="35" spans="1:5" ht="15.75" thickTop="1" x14ac:dyDescent="0.25">
      <c r="A35" s="6" t="s">
        <v>25</v>
      </c>
      <c r="B35" s="4">
        <v>229</v>
      </c>
      <c r="C35" s="4">
        <v>221</v>
      </c>
      <c r="D35" s="5">
        <f t="shared" ref="D35:D38" si="7">B35+C35</f>
        <v>450</v>
      </c>
    </row>
    <row r="36" spans="1:5" x14ac:dyDescent="0.25">
      <c r="A36" s="6" t="s">
        <v>26</v>
      </c>
      <c r="B36" s="4">
        <v>252</v>
      </c>
      <c r="C36" s="4">
        <v>200</v>
      </c>
      <c r="D36" s="5">
        <f t="shared" si="7"/>
        <v>452</v>
      </c>
    </row>
    <row r="37" spans="1:5" ht="15.75" thickBot="1" x14ac:dyDescent="0.3">
      <c r="A37" s="6" t="s">
        <v>27</v>
      </c>
      <c r="B37" s="4">
        <v>18</v>
      </c>
      <c r="C37" s="4">
        <v>3</v>
      </c>
      <c r="D37" s="5">
        <f t="shared" si="7"/>
        <v>21</v>
      </c>
    </row>
    <row r="38" spans="1:5" ht="16.5" thickTop="1" thickBot="1" x14ac:dyDescent="0.3">
      <c r="A38" s="7" t="s">
        <v>3</v>
      </c>
      <c r="B38" s="8">
        <f>SUM(B35:B37)</f>
        <v>499</v>
      </c>
      <c r="C38" s="8">
        <f>SUM(C35:C37)</f>
        <v>424</v>
      </c>
      <c r="D38" s="8">
        <f t="shared" si="7"/>
        <v>923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8562</v>
      </c>
      <c r="C40" s="8">
        <f>SUM(C38+C32+C28+C21+C17+C11)</f>
        <v>6389</v>
      </c>
      <c r="D40" s="9">
        <f>SUM(D38+D32+D28+D21+D17+D11)</f>
        <v>14951</v>
      </c>
    </row>
    <row r="41" spans="1:5" ht="7.5" customHeight="1" thickTop="1" x14ac:dyDescent="0.25"/>
    <row r="42" spans="1:5" ht="34.5" customHeight="1" x14ac:dyDescent="0.25">
      <c r="A42" s="20" t="s">
        <v>28</v>
      </c>
      <c r="B42" s="20"/>
      <c r="C42" s="20"/>
      <c r="D42" s="20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42"/>
  <sheetViews>
    <sheetView view="pageLayout" topLeftCell="B19" zoomScaleNormal="100" workbookViewId="0">
      <selection activeCell="C37" sqref="C37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2010-11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130</v>
      </c>
      <c r="C7" s="4">
        <v>54</v>
      </c>
      <c r="D7" s="5">
        <f>B7+C7</f>
        <v>184</v>
      </c>
    </row>
    <row r="8" spans="1:4" x14ac:dyDescent="0.25">
      <c r="A8" s="6" t="s">
        <v>8</v>
      </c>
      <c r="B8" s="4">
        <v>895</v>
      </c>
      <c r="C8" s="4">
        <v>485</v>
      </c>
      <c r="D8" s="5">
        <f t="shared" ref="D8:D10" si="0">B8+C8</f>
        <v>1380</v>
      </c>
    </row>
    <row r="9" spans="1:4" ht="15.75" customHeight="1" x14ac:dyDescent="0.25">
      <c r="A9" s="6" t="s">
        <v>9</v>
      </c>
      <c r="B9" s="4">
        <v>218</v>
      </c>
      <c r="C9" s="4">
        <v>120</v>
      </c>
      <c r="D9" s="5">
        <f t="shared" si="0"/>
        <v>338</v>
      </c>
    </row>
    <row r="10" spans="1:4" ht="15.75" customHeight="1" thickBot="1" x14ac:dyDescent="0.3">
      <c r="A10" s="6" t="s">
        <v>10</v>
      </c>
      <c r="B10" s="4">
        <v>442</v>
      </c>
      <c r="C10" s="4">
        <v>205</v>
      </c>
      <c r="D10" s="5">
        <f t="shared" si="0"/>
        <v>647</v>
      </c>
    </row>
    <row r="11" spans="1:4" ht="16.5" thickTop="1" thickBot="1" x14ac:dyDescent="0.3">
      <c r="A11" s="7" t="s">
        <v>3</v>
      </c>
      <c r="B11" s="8">
        <f>SUM(B7:B10)</f>
        <v>1685</v>
      </c>
      <c r="C11" s="8">
        <f>SUM(C7:C10)</f>
        <v>864</v>
      </c>
      <c r="D11" s="9">
        <f>B11+C11</f>
        <v>2549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226</v>
      </c>
      <c r="C14" s="4">
        <v>199</v>
      </c>
      <c r="D14" s="5">
        <f t="shared" ref="D14:D16" si="1">B14+C14</f>
        <v>425</v>
      </c>
    </row>
    <row r="15" spans="1:4" x14ac:dyDescent="0.25">
      <c r="A15" s="6" t="s">
        <v>13</v>
      </c>
      <c r="B15" s="4">
        <v>54</v>
      </c>
      <c r="C15" s="4">
        <v>49</v>
      </c>
      <c r="D15" s="5">
        <f t="shared" si="1"/>
        <v>103</v>
      </c>
    </row>
    <row r="16" spans="1:4" ht="15.75" thickBot="1" x14ac:dyDescent="0.3">
      <c r="A16" s="6" t="s">
        <v>10</v>
      </c>
      <c r="B16" s="4">
        <v>11</v>
      </c>
      <c r="C16" s="4">
        <v>12</v>
      </c>
      <c r="D16" s="5">
        <f t="shared" si="1"/>
        <v>23</v>
      </c>
    </row>
    <row r="17" spans="1:4" ht="16.5" thickTop="1" thickBot="1" x14ac:dyDescent="0.3">
      <c r="A17" s="7" t="s">
        <v>3</v>
      </c>
      <c r="B17" s="8">
        <f>SUM(B14:B16)</f>
        <v>291</v>
      </c>
      <c r="C17" s="8">
        <f t="shared" ref="C17:D17" si="2">SUM(C14:C16)</f>
        <v>260</v>
      </c>
      <c r="D17" s="9">
        <f t="shared" si="2"/>
        <v>551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/>
      <c r="C20" s="4"/>
      <c r="D20" s="5">
        <f t="shared" ref="D20:D21" si="3">B20+C20</f>
        <v>0</v>
      </c>
    </row>
    <row r="21" spans="1:4" ht="16.5" thickTop="1" thickBot="1" x14ac:dyDescent="0.3">
      <c r="A21" s="7" t="s">
        <v>3</v>
      </c>
      <c r="B21" s="8">
        <v>356</v>
      </c>
      <c r="C21" s="8">
        <v>149</v>
      </c>
      <c r="D21" s="8">
        <f t="shared" si="3"/>
        <v>505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232</v>
      </c>
      <c r="C24" s="4">
        <v>91</v>
      </c>
      <c r="D24" s="5">
        <f t="shared" ref="D24:D27" si="4">B24+C24</f>
        <v>323</v>
      </c>
    </row>
    <row r="25" spans="1:4" x14ac:dyDescent="0.25">
      <c r="A25" s="6" t="s">
        <v>17</v>
      </c>
      <c r="B25" s="4">
        <v>42</v>
      </c>
      <c r="C25" s="4">
        <v>21</v>
      </c>
      <c r="D25" s="5">
        <f t="shared" si="4"/>
        <v>63</v>
      </c>
    </row>
    <row r="26" spans="1:4" x14ac:dyDescent="0.25">
      <c r="A26" s="6" t="s">
        <v>18</v>
      </c>
      <c r="B26" s="4">
        <v>42</v>
      </c>
      <c r="C26" s="4">
        <v>20</v>
      </c>
      <c r="D26" s="5">
        <f t="shared" si="4"/>
        <v>62</v>
      </c>
    </row>
    <row r="27" spans="1:4" ht="15.75" thickBot="1" x14ac:dyDescent="0.3">
      <c r="A27" s="6" t="s">
        <v>10</v>
      </c>
      <c r="B27" s="4">
        <v>184</v>
      </c>
      <c r="C27" s="4">
        <v>134</v>
      </c>
      <c r="D27" s="5">
        <f t="shared" si="4"/>
        <v>318</v>
      </c>
    </row>
    <row r="28" spans="1:4" ht="16.5" thickTop="1" thickBot="1" x14ac:dyDescent="0.3">
      <c r="A28" s="7" t="s">
        <v>3</v>
      </c>
      <c r="B28" s="8">
        <f>SUM(B24:B27)</f>
        <v>500</v>
      </c>
      <c r="C28" s="8">
        <f t="shared" ref="C28:D28" si="5">SUM(C24:C27)</f>
        <v>266</v>
      </c>
      <c r="D28" s="8">
        <f t="shared" si="5"/>
        <v>766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6.5" thickTop="1" thickBot="1" x14ac:dyDescent="0.3">
      <c r="A31" s="6" t="s">
        <v>31</v>
      </c>
      <c r="B31" s="4">
        <v>5359</v>
      </c>
      <c r="C31" s="4">
        <v>4124</v>
      </c>
      <c r="D31" s="5">
        <f t="shared" ref="D31" si="6">B31+C31</f>
        <v>9483</v>
      </c>
    </row>
    <row r="32" spans="1:4" ht="16.5" thickTop="1" thickBot="1" x14ac:dyDescent="0.3">
      <c r="A32" s="7" t="s">
        <v>3</v>
      </c>
      <c r="B32" s="8">
        <f>SUM(B31:B31)</f>
        <v>5359</v>
      </c>
      <c r="C32" s="8">
        <f>SUM(C31:C31)</f>
        <v>4124</v>
      </c>
      <c r="D32" s="8">
        <f>SUM(D31:D31)</f>
        <v>9483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7" t="s">
        <v>4</v>
      </c>
      <c r="B34" s="18"/>
      <c r="C34" s="18"/>
      <c r="D34" s="19"/>
    </row>
    <row r="35" spans="1:5" ht="15.75" thickTop="1" x14ac:dyDescent="0.25">
      <c r="A35" s="6" t="s">
        <v>25</v>
      </c>
      <c r="B35" s="4">
        <v>240</v>
      </c>
      <c r="C35" s="4">
        <v>194</v>
      </c>
      <c r="D35" s="5">
        <f t="shared" ref="D35:D38" si="7">B35+C35</f>
        <v>434</v>
      </c>
    </row>
    <row r="36" spans="1:5" x14ac:dyDescent="0.25">
      <c r="A36" s="6" t="s">
        <v>26</v>
      </c>
      <c r="B36" s="4">
        <v>298</v>
      </c>
      <c r="C36" s="4">
        <v>246</v>
      </c>
      <c r="D36" s="5">
        <f t="shared" si="7"/>
        <v>544</v>
      </c>
    </row>
    <row r="37" spans="1:5" ht="15.75" thickBot="1" x14ac:dyDescent="0.3">
      <c r="A37" s="6" t="s">
        <v>27</v>
      </c>
      <c r="B37" s="4">
        <v>12</v>
      </c>
      <c r="C37" s="4">
        <v>16</v>
      </c>
      <c r="D37" s="5">
        <f t="shared" si="7"/>
        <v>28</v>
      </c>
    </row>
    <row r="38" spans="1:5" ht="16.5" thickTop="1" thickBot="1" x14ac:dyDescent="0.3">
      <c r="A38" s="7" t="s">
        <v>3</v>
      </c>
      <c r="B38" s="8">
        <f>SUM(B35:B37)</f>
        <v>550</v>
      </c>
      <c r="C38" s="8">
        <f>SUM(C35:C37)</f>
        <v>456</v>
      </c>
      <c r="D38" s="8">
        <f t="shared" si="7"/>
        <v>1006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8741</v>
      </c>
      <c r="C40" s="8">
        <f>SUM(C38+C32+C28+C21+C17+C11)</f>
        <v>6119</v>
      </c>
      <c r="D40" s="9">
        <f>SUM(D38+D32+D28+D21+D17+D11)</f>
        <v>14860</v>
      </c>
    </row>
    <row r="41" spans="1:5" ht="7.5" customHeight="1" thickTop="1" x14ac:dyDescent="0.25"/>
    <row r="42" spans="1:5" ht="34.5" customHeight="1" x14ac:dyDescent="0.25">
      <c r="A42" s="20" t="s">
        <v>28</v>
      </c>
      <c r="B42" s="20"/>
      <c r="C42" s="20"/>
      <c r="D42" s="20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42"/>
  <sheetViews>
    <sheetView view="pageLayout" topLeftCell="B20" zoomScaleNormal="100" workbookViewId="0">
      <selection activeCell="C38" sqref="C38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2009-10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136</v>
      </c>
      <c r="C7" s="4">
        <v>53</v>
      </c>
      <c r="D7" s="5">
        <f>B7+C7</f>
        <v>189</v>
      </c>
    </row>
    <row r="8" spans="1:4" x14ac:dyDescent="0.25">
      <c r="A8" s="6" t="s">
        <v>8</v>
      </c>
      <c r="B8" s="4">
        <v>937</v>
      </c>
      <c r="C8" s="4">
        <v>420</v>
      </c>
      <c r="D8" s="5">
        <f t="shared" ref="D8:D10" si="0">B8+C8</f>
        <v>1357</v>
      </c>
    </row>
    <row r="9" spans="1:4" ht="15.75" customHeight="1" x14ac:dyDescent="0.25">
      <c r="A9" s="6" t="s">
        <v>9</v>
      </c>
      <c r="B9" s="4">
        <v>219</v>
      </c>
      <c r="C9" s="4">
        <v>120</v>
      </c>
      <c r="D9" s="5">
        <f t="shared" si="0"/>
        <v>339</v>
      </c>
    </row>
    <row r="10" spans="1:4" ht="15.75" customHeight="1" thickBot="1" x14ac:dyDescent="0.3">
      <c r="A10" s="6" t="s">
        <v>10</v>
      </c>
      <c r="B10" s="4">
        <v>437</v>
      </c>
      <c r="C10" s="4">
        <v>204</v>
      </c>
      <c r="D10" s="5">
        <f t="shared" si="0"/>
        <v>641</v>
      </c>
    </row>
    <row r="11" spans="1:4" ht="16.5" thickTop="1" thickBot="1" x14ac:dyDescent="0.3">
      <c r="A11" s="7" t="s">
        <v>3</v>
      </c>
      <c r="B11" s="8">
        <f>SUM(B7:B10)</f>
        <v>1729</v>
      </c>
      <c r="C11" s="8">
        <f>SUM(C7:C10)</f>
        <v>797</v>
      </c>
      <c r="D11" s="9">
        <f>B11+C11</f>
        <v>2526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245</v>
      </c>
      <c r="C14" s="4">
        <v>169</v>
      </c>
      <c r="D14" s="5">
        <f t="shared" ref="D14:D16" si="1">B14+C14</f>
        <v>414</v>
      </c>
    </row>
    <row r="15" spans="1:4" x14ac:dyDescent="0.25">
      <c r="A15" s="6" t="s">
        <v>13</v>
      </c>
      <c r="B15" s="4">
        <v>52</v>
      </c>
      <c r="C15" s="4">
        <v>43</v>
      </c>
      <c r="D15" s="5">
        <f t="shared" si="1"/>
        <v>95</v>
      </c>
    </row>
    <row r="16" spans="1:4" ht="15.75" thickBot="1" x14ac:dyDescent="0.3">
      <c r="A16" s="6" t="s">
        <v>10</v>
      </c>
      <c r="B16" s="4">
        <v>9</v>
      </c>
      <c r="C16" s="4">
        <v>7</v>
      </c>
      <c r="D16" s="5">
        <f t="shared" si="1"/>
        <v>16</v>
      </c>
    </row>
    <row r="17" spans="1:4" ht="16.5" thickTop="1" thickBot="1" x14ac:dyDescent="0.3">
      <c r="A17" s="7" t="s">
        <v>3</v>
      </c>
      <c r="B17" s="8">
        <f>SUM(B14:B16)</f>
        <v>306</v>
      </c>
      <c r="C17" s="8">
        <f t="shared" ref="C17:D17" si="2">SUM(C14:C16)</f>
        <v>219</v>
      </c>
      <c r="D17" s="9">
        <f t="shared" si="2"/>
        <v>525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>
        <v>356</v>
      </c>
      <c r="C20" s="4">
        <v>131</v>
      </c>
      <c r="D20" s="5">
        <f t="shared" ref="D20:D21" si="3">B20+C20</f>
        <v>487</v>
      </c>
    </row>
    <row r="21" spans="1:4" ht="16.5" thickTop="1" thickBot="1" x14ac:dyDescent="0.3">
      <c r="A21" s="7" t="s">
        <v>3</v>
      </c>
      <c r="B21" s="8">
        <f>SUM(B20:B20)</f>
        <v>356</v>
      </c>
      <c r="C21" s="8">
        <f>SUM(C20:C20)</f>
        <v>131</v>
      </c>
      <c r="D21" s="8">
        <f t="shared" si="3"/>
        <v>487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213</v>
      </c>
      <c r="C24" s="4">
        <v>104</v>
      </c>
      <c r="D24" s="5">
        <f t="shared" ref="D24:D27" si="4">B24+C24</f>
        <v>317</v>
      </c>
    </row>
    <row r="25" spans="1:4" x14ac:dyDescent="0.25">
      <c r="A25" s="6" t="s">
        <v>17</v>
      </c>
      <c r="B25" s="4">
        <v>44</v>
      </c>
      <c r="C25" s="4">
        <v>19</v>
      </c>
      <c r="D25" s="5">
        <f t="shared" si="4"/>
        <v>63</v>
      </c>
    </row>
    <row r="26" spans="1:4" x14ac:dyDescent="0.25">
      <c r="A26" s="6" t="s">
        <v>18</v>
      </c>
      <c r="B26" s="4">
        <v>45</v>
      </c>
      <c r="C26" s="4">
        <v>25</v>
      </c>
      <c r="D26" s="5">
        <f t="shared" si="4"/>
        <v>70</v>
      </c>
    </row>
    <row r="27" spans="1:4" ht="15.75" thickBot="1" x14ac:dyDescent="0.3">
      <c r="A27" s="6" t="s">
        <v>10</v>
      </c>
      <c r="B27" s="4">
        <v>189</v>
      </c>
      <c r="C27" s="4">
        <v>132</v>
      </c>
      <c r="D27" s="5">
        <f t="shared" si="4"/>
        <v>321</v>
      </c>
    </row>
    <row r="28" spans="1:4" ht="16.5" thickTop="1" thickBot="1" x14ac:dyDescent="0.3">
      <c r="A28" s="7" t="s">
        <v>3</v>
      </c>
      <c r="B28" s="8">
        <f>SUM(B24:B27)</f>
        <v>491</v>
      </c>
      <c r="C28" s="8">
        <f t="shared" ref="C28:D28" si="5">SUM(C24:C27)</f>
        <v>280</v>
      </c>
      <c r="D28" s="8">
        <f t="shared" si="5"/>
        <v>771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6.5" thickTop="1" thickBot="1" x14ac:dyDescent="0.3">
      <c r="A31" s="6" t="s">
        <v>24</v>
      </c>
      <c r="B31" s="4">
        <v>5210</v>
      </c>
      <c r="C31" s="4">
        <v>3834</v>
      </c>
      <c r="D31" s="5">
        <f t="shared" ref="D31" si="6">B31+C31</f>
        <v>9044</v>
      </c>
    </row>
    <row r="32" spans="1:4" ht="16.5" thickTop="1" thickBot="1" x14ac:dyDescent="0.3">
      <c r="A32" s="7" t="s">
        <v>3</v>
      </c>
      <c r="B32" s="8">
        <f>SUM(B31:B31)</f>
        <v>5210</v>
      </c>
      <c r="C32" s="8">
        <f>SUM(C31:C31)</f>
        <v>3834</v>
      </c>
      <c r="D32" s="8">
        <f>SUM(D31:D31)</f>
        <v>9044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7" t="s">
        <v>4</v>
      </c>
      <c r="B34" s="18"/>
      <c r="C34" s="18"/>
      <c r="D34" s="19"/>
    </row>
    <row r="35" spans="1:5" ht="15.75" thickTop="1" x14ac:dyDescent="0.25">
      <c r="A35" s="6" t="s">
        <v>25</v>
      </c>
      <c r="B35" s="4">
        <v>248</v>
      </c>
      <c r="C35" s="4">
        <v>185</v>
      </c>
      <c r="D35" s="5">
        <f t="shared" ref="D35:D38" si="7">B35+C35</f>
        <v>433</v>
      </c>
    </row>
    <row r="36" spans="1:5" x14ac:dyDescent="0.25">
      <c r="A36" s="6" t="s">
        <v>26</v>
      </c>
      <c r="B36" s="4">
        <v>334</v>
      </c>
      <c r="C36" s="4">
        <v>265</v>
      </c>
      <c r="D36" s="5">
        <f t="shared" si="7"/>
        <v>599</v>
      </c>
    </row>
    <row r="37" spans="1:5" ht="15.75" thickBot="1" x14ac:dyDescent="0.3">
      <c r="A37" s="6" t="s">
        <v>27</v>
      </c>
      <c r="B37" s="4">
        <v>16</v>
      </c>
      <c r="C37" s="4">
        <v>84</v>
      </c>
      <c r="D37" s="5">
        <f t="shared" si="7"/>
        <v>100</v>
      </c>
    </row>
    <row r="38" spans="1:5" ht="16.5" thickTop="1" thickBot="1" x14ac:dyDescent="0.3">
      <c r="A38" s="7" t="s">
        <v>3</v>
      </c>
      <c r="B38" s="8">
        <f>SUM(B35:B37)</f>
        <v>598</v>
      </c>
      <c r="C38" s="8">
        <f>SUM(C35:C37)</f>
        <v>534</v>
      </c>
      <c r="D38" s="8">
        <f t="shared" si="7"/>
        <v>1132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8690</v>
      </c>
      <c r="C40" s="8">
        <f>SUM(C38+C32+C28+C21+C17+C11)</f>
        <v>5795</v>
      </c>
      <c r="D40" s="9">
        <f>SUM(D38+D32+D28+D21+D17+D11)</f>
        <v>14485</v>
      </c>
    </row>
    <row r="41" spans="1:5" ht="7.5" customHeight="1" thickTop="1" x14ac:dyDescent="0.25"/>
    <row r="42" spans="1:5" ht="34.5" customHeight="1" x14ac:dyDescent="0.25">
      <c r="A42" s="20" t="s">
        <v>28</v>
      </c>
      <c r="B42" s="20"/>
      <c r="C42" s="20"/>
      <c r="D42" s="20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42"/>
  <sheetViews>
    <sheetView view="pageLayout" topLeftCell="B20" zoomScaleNormal="100" workbookViewId="0">
      <selection activeCell="D26" sqref="D26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2008-09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138</v>
      </c>
      <c r="C7" s="4">
        <v>49</v>
      </c>
      <c r="D7" s="5">
        <f>B7+C7</f>
        <v>187</v>
      </c>
    </row>
    <row r="8" spans="1:4" x14ac:dyDescent="0.25">
      <c r="A8" s="6" t="s">
        <v>8</v>
      </c>
      <c r="B8" s="4">
        <v>951</v>
      </c>
      <c r="C8" s="4">
        <v>318</v>
      </c>
      <c r="D8" s="5">
        <f t="shared" ref="D8:D10" si="0">B8+C8</f>
        <v>1269</v>
      </c>
    </row>
    <row r="9" spans="1:4" ht="15.75" customHeight="1" x14ac:dyDescent="0.25">
      <c r="A9" s="6" t="s">
        <v>9</v>
      </c>
      <c r="B9" s="4">
        <v>231</v>
      </c>
      <c r="C9" s="4">
        <v>96</v>
      </c>
      <c r="D9" s="5">
        <f t="shared" si="0"/>
        <v>327</v>
      </c>
    </row>
    <row r="10" spans="1:4" ht="15.75" customHeight="1" thickBot="1" x14ac:dyDescent="0.3">
      <c r="A10" s="6" t="s">
        <v>10</v>
      </c>
      <c r="B10" s="4">
        <v>443</v>
      </c>
      <c r="C10" s="4">
        <v>177</v>
      </c>
      <c r="D10" s="5">
        <f t="shared" si="0"/>
        <v>620</v>
      </c>
    </row>
    <row r="11" spans="1:4" ht="16.5" thickTop="1" thickBot="1" x14ac:dyDescent="0.3">
      <c r="A11" s="7" t="s">
        <v>3</v>
      </c>
      <c r="B11" s="8">
        <f>SUM(B7:B10)</f>
        <v>1763</v>
      </c>
      <c r="C11" s="8">
        <f>SUM(C7:C10)</f>
        <v>640</v>
      </c>
      <c r="D11" s="9">
        <f>B11+C11</f>
        <v>2403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273</v>
      </c>
      <c r="C14" s="4">
        <v>157</v>
      </c>
      <c r="D14" s="5">
        <f t="shared" ref="D14:D16" si="1">B14+C14</f>
        <v>430</v>
      </c>
    </row>
    <row r="15" spans="1:4" x14ac:dyDescent="0.25">
      <c r="A15" s="6" t="s">
        <v>13</v>
      </c>
      <c r="B15" s="4">
        <v>50</v>
      </c>
      <c r="C15" s="4">
        <v>41</v>
      </c>
      <c r="D15" s="5">
        <f t="shared" si="1"/>
        <v>91</v>
      </c>
    </row>
    <row r="16" spans="1:4" ht="15.75" thickBot="1" x14ac:dyDescent="0.3">
      <c r="A16" s="6" t="s">
        <v>10</v>
      </c>
      <c r="B16" s="4">
        <v>14</v>
      </c>
      <c r="C16" s="4">
        <v>13</v>
      </c>
      <c r="D16" s="5">
        <f t="shared" si="1"/>
        <v>27</v>
      </c>
    </row>
    <row r="17" spans="1:4" ht="16.5" thickTop="1" thickBot="1" x14ac:dyDescent="0.3">
      <c r="A17" s="7" t="s">
        <v>3</v>
      </c>
      <c r="B17" s="8">
        <f>SUM(B14:B16)</f>
        <v>337</v>
      </c>
      <c r="C17" s="8">
        <f t="shared" ref="C17:D17" si="2">SUM(C14:C16)</f>
        <v>211</v>
      </c>
      <c r="D17" s="9">
        <f t="shared" si="2"/>
        <v>548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>
        <v>354</v>
      </c>
      <c r="C20" s="4">
        <v>117</v>
      </c>
      <c r="D20" s="5">
        <f t="shared" ref="D20:D21" si="3">B20+C20</f>
        <v>471</v>
      </c>
    </row>
    <row r="21" spans="1:4" ht="16.5" thickTop="1" thickBot="1" x14ac:dyDescent="0.3">
      <c r="A21" s="7" t="s">
        <v>3</v>
      </c>
      <c r="B21" s="8">
        <f>SUM(B20:B20)</f>
        <v>354</v>
      </c>
      <c r="C21" s="8">
        <f>SUM(C20:C20)</f>
        <v>117</v>
      </c>
      <c r="D21" s="8">
        <f t="shared" si="3"/>
        <v>471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202</v>
      </c>
      <c r="C24" s="4">
        <v>64</v>
      </c>
      <c r="D24" s="5">
        <f t="shared" ref="D24:D27" si="4">B24+C24</f>
        <v>266</v>
      </c>
    </row>
    <row r="25" spans="1:4" x14ac:dyDescent="0.25">
      <c r="A25" s="6" t="s">
        <v>17</v>
      </c>
      <c r="B25" s="4">
        <v>47</v>
      </c>
      <c r="C25" s="4">
        <v>19</v>
      </c>
      <c r="D25" s="5">
        <v>52</v>
      </c>
    </row>
    <row r="26" spans="1:4" x14ac:dyDescent="0.25">
      <c r="A26" s="6" t="s">
        <v>18</v>
      </c>
      <c r="B26" s="4">
        <v>47</v>
      </c>
      <c r="C26" s="4">
        <v>19</v>
      </c>
      <c r="D26" s="5">
        <f t="shared" si="4"/>
        <v>66</v>
      </c>
    </row>
    <row r="27" spans="1:4" ht="15.75" thickBot="1" x14ac:dyDescent="0.3">
      <c r="A27" s="6" t="s">
        <v>10</v>
      </c>
      <c r="B27" s="4">
        <v>181</v>
      </c>
      <c r="C27" s="4">
        <v>78</v>
      </c>
      <c r="D27" s="5">
        <f t="shared" si="4"/>
        <v>259</v>
      </c>
    </row>
    <row r="28" spans="1:4" ht="16.5" thickTop="1" thickBot="1" x14ac:dyDescent="0.3">
      <c r="A28" s="7" t="s">
        <v>3</v>
      </c>
      <c r="B28" s="8">
        <f>SUM(B24:B27)</f>
        <v>477</v>
      </c>
      <c r="C28" s="8">
        <f t="shared" ref="C28:D28" si="5">SUM(C24:C27)</f>
        <v>180</v>
      </c>
      <c r="D28" s="8">
        <f t="shared" si="5"/>
        <v>643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6.5" thickTop="1" thickBot="1" x14ac:dyDescent="0.3">
      <c r="A31" s="6" t="s">
        <v>19</v>
      </c>
      <c r="B31" s="4">
        <v>5250</v>
      </c>
      <c r="C31" s="4">
        <v>3451</v>
      </c>
      <c r="D31" s="5">
        <f t="shared" ref="D31" si="6">B31+C31</f>
        <v>8701</v>
      </c>
    </row>
    <row r="32" spans="1:4" ht="16.5" thickTop="1" thickBot="1" x14ac:dyDescent="0.3">
      <c r="A32" s="7" t="s">
        <v>3</v>
      </c>
      <c r="B32" s="8">
        <f>SUM(B31:B31)</f>
        <v>5250</v>
      </c>
      <c r="C32" s="8">
        <f>SUM(C31:C31)</f>
        <v>3451</v>
      </c>
      <c r="D32" s="8">
        <f>SUM(D31:D31)</f>
        <v>8701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7" t="s">
        <v>4</v>
      </c>
      <c r="B34" s="18"/>
      <c r="C34" s="18"/>
      <c r="D34" s="19"/>
    </row>
    <row r="35" spans="1:5" ht="15.75" thickTop="1" x14ac:dyDescent="0.25">
      <c r="A35" s="6" t="s">
        <v>25</v>
      </c>
      <c r="B35" s="4">
        <v>238</v>
      </c>
      <c r="C35" s="4">
        <v>116</v>
      </c>
      <c r="D35" s="5">
        <f t="shared" ref="D35:D38" si="7">B35+C35</f>
        <v>354</v>
      </c>
    </row>
    <row r="36" spans="1:5" x14ac:dyDescent="0.25">
      <c r="A36" s="6" t="s">
        <v>26</v>
      </c>
      <c r="B36" s="4">
        <v>171</v>
      </c>
      <c r="C36" s="4">
        <v>272</v>
      </c>
      <c r="D36" s="5">
        <f t="shared" si="7"/>
        <v>443</v>
      </c>
    </row>
    <row r="37" spans="1:5" ht="15.75" thickBot="1" x14ac:dyDescent="0.3">
      <c r="A37" s="6" t="s">
        <v>27</v>
      </c>
      <c r="B37" s="4">
        <v>95</v>
      </c>
      <c r="C37" s="4">
        <v>323</v>
      </c>
      <c r="D37" s="5">
        <f t="shared" si="7"/>
        <v>418</v>
      </c>
    </row>
    <row r="38" spans="1:5" ht="16.5" thickTop="1" thickBot="1" x14ac:dyDescent="0.3">
      <c r="A38" s="7" t="s">
        <v>3</v>
      </c>
      <c r="B38" s="8">
        <f>SUM(B35:B37)</f>
        <v>504</v>
      </c>
      <c r="C38" s="8">
        <f>SUM(C35:C37)</f>
        <v>711</v>
      </c>
      <c r="D38" s="8">
        <f t="shared" si="7"/>
        <v>1215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8685</v>
      </c>
      <c r="C40" s="8">
        <f>SUM(C38+C32+C28+C21+C17+C11)</f>
        <v>5310</v>
      </c>
      <c r="D40" s="9">
        <f>SUM(D38+D32+D28+D21+D17+D11)</f>
        <v>13981</v>
      </c>
    </row>
    <row r="41" spans="1:5" ht="7.5" customHeight="1" thickTop="1" x14ac:dyDescent="0.25"/>
    <row r="42" spans="1:5" ht="34.5" customHeight="1" x14ac:dyDescent="0.25">
      <c r="A42" s="20" t="s">
        <v>28</v>
      </c>
      <c r="B42" s="20"/>
      <c r="C42" s="20"/>
      <c r="D42" s="20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7"/>
  <sheetViews>
    <sheetView view="pageLayout" topLeftCell="B22" zoomScaleNormal="100" workbookViewId="0">
      <selection activeCell="D37" sqref="D37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2007-08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140</v>
      </c>
      <c r="C7" s="4">
        <v>35</v>
      </c>
      <c r="D7" s="5">
        <f>B7+C7</f>
        <v>175</v>
      </c>
    </row>
    <row r="8" spans="1:4" x14ac:dyDescent="0.25">
      <c r="A8" s="6" t="s">
        <v>8</v>
      </c>
      <c r="B8" s="4">
        <v>983</v>
      </c>
      <c r="C8" s="4">
        <v>323</v>
      </c>
      <c r="D8" s="5">
        <f t="shared" ref="D8:D10" si="0">B8+C8</f>
        <v>1306</v>
      </c>
    </row>
    <row r="9" spans="1:4" ht="15.75" customHeight="1" x14ac:dyDescent="0.25">
      <c r="A9" s="6" t="s">
        <v>9</v>
      </c>
      <c r="B9" s="4">
        <v>213</v>
      </c>
      <c r="C9" s="4">
        <v>77</v>
      </c>
      <c r="D9" s="5">
        <f t="shared" si="0"/>
        <v>290</v>
      </c>
    </row>
    <row r="10" spans="1:4" ht="15.75" customHeight="1" thickBot="1" x14ac:dyDescent="0.3">
      <c r="A10" s="6" t="s">
        <v>10</v>
      </c>
      <c r="B10" s="4">
        <v>452</v>
      </c>
      <c r="C10" s="4">
        <v>150</v>
      </c>
      <c r="D10" s="5">
        <f t="shared" si="0"/>
        <v>602</v>
      </c>
    </row>
    <row r="11" spans="1:4" ht="16.5" thickTop="1" thickBot="1" x14ac:dyDescent="0.3">
      <c r="A11" s="7" t="s">
        <v>3</v>
      </c>
      <c r="B11" s="8">
        <f>SUM(B7:B10)</f>
        <v>1788</v>
      </c>
      <c r="C11" s="8">
        <f>SUM(C7:C10)</f>
        <v>585</v>
      </c>
      <c r="D11" s="9">
        <f>B11+C11</f>
        <v>2373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259</v>
      </c>
      <c r="C14" s="4">
        <v>127</v>
      </c>
      <c r="D14" s="5">
        <f t="shared" ref="D14:D16" si="1">B14+C14</f>
        <v>386</v>
      </c>
    </row>
    <row r="15" spans="1:4" x14ac:dyDescent="0.25">
      <c r="A15" s="6" t="s">
        <v>13</v>
      </c>
      <c r="B15" s="4">
        <v>50</v>
      </c>
      <c r="C15" s="4">
        <v>36</v>
      </c>
      <c r="D15" s="5">
        <f t="shared" si="1"/>
        <v>86</v>
      </c>
    </row>
    <row r="16" spans="1:4" ht="15.75" thickBot="1" x14ac:dyDescent="0.3">
      <c r="A16" s="6" t="s">
        <v>10</v>
      </c>
      <c r="B16" s="4">
        <v>12</v>
      </c>
      <c r="C16" s="4">
        <v>10</v>
      </c>
      <c r="D16" s="5">
        <f t="shared" si="1"/>
        <v>22</v>
      </c>
    </row>
    <row r="17" spans="1:4" ht="16.5" thickTop="1" thickBot="1" x14ac:dyDescent="0.3">
      <c r="A17" s="7" t="s">
        <v>3</v>
      </c>
      <c r="B17" s="8">
        <f>SUM(B14:B16)</f>
        <v>321</v>
      </c>
      <c r="C17" s="8">
        <f t="shared" ref="C17:D17" si="2">SUM(C14:C16)</f>
        <v>173</v>
      </c>
      <c r="D17" s="9">
        <f t="shared" si="2"/>
        <v>494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>
        <v>346</v>
      </c>
      <c r="C20" s="4">
        <v>124</v>
      </c>
      <c r="D20" s="5">
        <f t="shared" ref="D20:D21" si="3">B20+C20</f>
        <v>470</v>
      </c>
    </row>
    <row r="21" spans="1:4" ht="16.5" thickTop="1" thickBot="1" x14ac:dyDescent="0.3">
      <c r="A21" s="7" t="s">
        <v>3</v>
      </c>
      <c r="B21" s="8">
        <f>SUM(B20:B20)</f>
        <v>346</v>
      </c>
      <c r="C21" s="8">
        <f>SUM(C20:C20)</f>
        <v>124</v>
      </c>
      <c r="D21" s="8">
        <f t="shared" si="3"/>
        <v>470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200</v>
      </c>
      <c r="C24" s="4">
        <v>47</v>
      </c>
      <c r="D24" s="5">
        <f t="shared" ref="D24:D27" si="4">B24+C24</f>
        <v>247</v>
      </c>
    </row>
    <row r="25" spans="1:4" x14ac:dyDescent="0.25">
      <c r="A25" s="6" t="s">
        <v>17</v>
      </c>
      <c r="B25" s="4">
        <v>27</v>
      </c>
      <c r="C25" s="4">
        <v>11</v>
      </c>
      <c r="D25" s="5">
        <f t="shared" si="4"/>
        <v>38</v>
      </c>
    </row>
    <row r="26" spans="1:4" x14ac:dyDescent="0.25">
      <c r="A26" s="6" t="s">
        <v>18</v>
      </c>
      <c r="B26" s="4">
        <v>39</v>
      </c>
      <c r="C26" s="4">
        <v>14</v>
      </c>
      <c r="D26" s="5">
        <f t="shared" si="4"/>
        <v>53</v>
      </c>
    </row>
    <row r="27" spans="1:4" ht="15.75" thickBot="1" x14ac:dyDescent="0.3">
      <c r="A27" s="6" t="s">
        <v>10</v>
      </c>
      <c r="B27" s="4">
        <v>178</v>
      </c>
      <c r="C27" s="4">
        <v>65</v>
      </c>
      <c r="D27" s="5">
        <f t="shared" si="4"/>
        <v>243</v>
      </c>
    </row>
    <row r="28" spans="1:4" ht="16.5" thickTop="1" thickBot="1" x14ac:dyDescent="0.3">
      <c r="A28" s="7" t="s">
        <v>3</v>
      </c>
      <c r="B28" s="8">
        <v>79</v>
      </c>
      <c r="C28" s="8">
        <f t="shared" ref="C28:D28" si="5">SUM(C24:C27)</f>
        <v>137</v>
      </c>
      <c r="D28" s="8">
        <f t="shared" si="5"/>
        <v>581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5.75" thickTop="1" x14ac:dyDescent="0.25">
      <c r="A31" s="6" t="s">
        <v>20</v>
      </c>
      <c r="B31" s="4">
        <v>4731</v>
      </c>
      <c r="C31" s="4">
        <v>2369</v>
      </c>
      <c r="D31" s="5">
        <v>7094</v>
      </c>
    </row>
    <row r="32" spans="1:4" x14ac:dyDescent="0.25">
      <c r="A32" s="6" t="s">
        <v>21</v>
      </c>
      <c r="B32" s="4">
        <v>43</v>
      </c>
      <c r="C32" s="4">
        <v>82</v>
      </c>
      <c r="D32" s="5">
        <f t="shared" ref="D32:D36" si="6">B32+C32</f>
        <v>125</v>
      </c>
    </row>
    <row r="33" spans="1:5" x14ac:dyDescent="0.25">
      <c r="A33" s="6" t="s">
        <v>22</v>
      </c>
      <c r="B33" s="4">
        <v>1</v>
      </c>
      <c r="C33" s="4">
        <v>0</v>
      </c>
      <c r="D33" s="5">
        <f t="shared" si="6"/>
        <v>1</v>
      </c>
    </row>
    <row r="34" spans="1:5" x14ac:dyDescent="0.25">
      <c r="A34" s="6" t="s">
        <v>23</v>
      </c>
      <c r="B34" s="4">
        <v>18</v>
      </c>
      <c r="C34" s="4">
        <v>46</v>
      </c>
      <c r="D34" s="5">
        <f t="shared" si="6"/>
        <v>64</v>
      </c>
    </row>
    <row r="35" spans="1:5" x14ac:dyDescent="0.25">
      <c r="A35" s="6" t="s">
        <v>24</v>
      </c>
      <c r="B35" s="4">
        <v>79</v>
      </c>
      <c r="C35" s="4">
        <v>112</v>
      </c>
      <c r="D35" s="5">
        <f t="shared" si="6"/>
        <v>191</v>
      </c>
    </row>
    <row r="36" spans="1:5" ht="15.75" thickBot="1" x14ac:dyDescent="0.3">
      <c r="A36" s="6" t="s">
        <v>10</v>
      </c>
      <c r="B36" s="4">
        <v>235</v>
      </c>
      <c r="C36" s="4">
        <v>615</v>
      </c>
      <c r="D36" s="5">
        <f t="shared" si="6"/>
        <v>850</v>
      </c>
    </row>
    <row r="37" spans="1:5" ht="16.5" thickTop="1" thickBot="1" x14ac:dyDescent="0.3">
      <c r="A37" s="7" t="s">
        <v>3</v>
      </c>
      <c r="B37" s="8">
        <f>SUM(B31:B36)</f>
        <v>5107</v>
      </c>
      <c r="C37" s="8">
        <f>SUM(C31:C36)</f>
        <v>3224</v>
      </c>
      <c r="D37" s="8">
        <f>SUM(D31:D36)</f>
        <v>8325</v>
      </c>
    </row>
    <row r="38" spans="1:5" ht="6.95" customHeight="1" thickTop="1" thickBot="1" x14ac:dyDescent="0.3">
      <c r="A38" s="10"/>
      <c r="B38" s="11"/>
      <c r="C38" s="11"/>
      <c r="D38" s="12"/>
    </row>
    <row r="39" spans="1:5" ht="16.5" thickTop="1" thickBot="1" x14ac:dyDescent="0.3">
      <c r="A39" s="17" t="s">
        <v>4</v>
      </c>
      <c r="B39" s="18"/>
      <c r="C39" s="18"/>
      <c r="D39" s="19"/>
    </row>
    <row r="40" spans="1:5" ht="15.75" thickTop="1" x14ac:dyDescent="0.25">
      <c r="A40" s="6" t="s">
        <v>25</v>
      </c>
      <c r="B40" s="4">
        <v>239</v>
      </c>
      <c r="C40" s="4">
        <v>100</v>
      </c>
      <c r="D40" s="5">
        <f t="shared" ref="D40:D43" si="7">B40+C40</f>
        <v>339</v>
      </c>
    </row>
    <row r="41" spans="1:5" x14ac:dyDescent="0.25">
      <c r="A41" s="6" t="s">
        <v>26</v>
      </c>
      <c r="B41" s="4">
        <v>152</v>
      </c>
      <c r="C41" s="4">
        <v>146</v>
      </c>
      <c r="D41" s="5">
        <f t="shared" si="7"/>
        <v>298</v>
      </c>
    </row>
    <row r="42" spans="1:5" ht="15.75" thickBot="1" x14ac:dyDescent="0.3">
      <c r="A42" s="6" t="s">
        <v>27</v>
      </c>
      <c r="B42" s="4">
        <v>181</v>
      </c>
      <c r="C42" s="4">
        <v>502</v>
      </c>
      <c r="D42" s="5">
        <f t="shared" si="7"/>
        <v>683</v>
      </c>
    </row>
    <row r="43" spans="1:5" ht="16.5" thickTop="1" thickBot="1" x14ac:dyDescent="0.3">
      <c r="A43" s="7" t="s">
        <v>3</v>
      </c>
      <c r="B43" s="8">
        <f>SUM(B40:B42)</f>
        <v>572</v>
      </c>
      <c r="C43" s="8">
        <f>SUM(C40:C42)</f>
        <v>748</v>
      </c>
      <c r="D43" s="8">
        <f t="shared" si="7"/>
        <v>1320</v>
      </c>
    </row>
    <row r="44" spans="1:5" ht="6.95" customHeight="1" thickTop="1" thickBot="1" x14ac:dyDescent="0.3">
      <c r="A44" s="10"/>
      <c r="B44" s="11"/>
      <c r="C44" s="11"/>
      <c r="D44" s="12"/>
    </row>
    <row r="45" spans="1:5" ht="16.5" thickTop="1" thickBot="1" x14ac:dyDescent="0.3">
      <c r="A45" s="7" t="s">
        <v>0</v>
      </c>
      <c r="B45" s="8">
        <f>SUM(B43+B37+B28+B21+B17+B11)</f>
        <v>8213</v>
      </c>
      <c r="C45" s="8">
        <f t="shared" ref="C45:D45" si="8">SUM(C43+C37+C28+C21+C17+C11)</f>
        <v>4991</v>
      </c>
      <c r="D45" s="9">
        <f t="shared" si="8"/>
        <v>13563</v>
      </c>
    </row>
    <row r="46" spans="1:5" ht="7.5" customHeight="1" thickTop="1" x14ac:dyDescent="0.25"/>
    <row r="47" spans="1:5" ht="34.5" customHeight="1" x14ac:dyDescent="0.25">
      <c r="A47" s="20" t="s">
        <v>28</v>
      </c>
      <c r="B47" s="20"/>
      <c r="C47" s="20"/>
      <c r="D47" s="20"/>
      <c r="E47" s="15"/>
    </row>
  </sheetData>
  <mergeCells count="8">
    <mergeCell ref="A39:D39"/>
    <mergeCell ref="A47:D47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47"/>
  <sheetViews>
    <sheetView view="pageLayout" topLeftCell="A20" zoomScale="85" zoomScaleNormal="100" zoomScalePageLayoutView="85" workbookViewId="0">
      <selection activeCell="C48" sqref="C48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2006-07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138</v>
      </c>
      <c r="C7" s="4">
        <v>24</v>
      </c>
      <c r="D7" s="5">
        <f>B7+C7</f>
        <v>162</v>
      </c>
    </row>
    <row r="8" spans="1:4" x14ac:dyDescent="0.25">
      <c r="A8" s="6" t="s">
        <v>8</v>
      </c>
      <c r="B8" s="4">
        <v>1033</v>
      </c>
      <c r="C8" s="4">
        <v>278</v>
      </c>
      <c r="D8" s="5">
        <f t="shared" ref="D8:D10" si="0">B8+C8</f>
        <v>1311</v>
      </c>
    </row>
    <row r="9" spans="1:4" ht="15.75" customHeight="1" x14ac:dyDescent="0.25">
      <c r="A9" s="6" t="s">
        <v>9</v>
      </c>
      <c r="B9" s="4">
        <v>257</v>
      </c>
      <c r="C9" s="4">
        <v>64</v>
      </c>
      <c r="D9" s="5">
        <f t="shared" si="0"/>
        <v>321</v>
      </c>
    </row>
    <row r="10" spans="1:4" ht="15.75" customHeight="1" thickBot="1" x14ac:dyDescent="0.3">
      <c r="A10" s="6" t="s">
        <v>10</v>
      </c>
      <c r="B10" s="4">
        <v>470</v>
      </c>
      <c r="C10" s="4">
        <v>112</v>
      </c>
      <c r="D10" s="5">
        <f t="shared" si="0"/>
        <v>582</v>
      </c>
    </row>
    <row r="11" spans="1:4" ht="16.5" thickTop="1" thickBot="1" x14ac:dyDescent="0.3">
      <c r="A11" s="7" t="s">
        <v>3</v>
      </c>
      <c r="B11" s="8">
        <f>SUM(B7:B10)</f>
        <v>1898</v>
      </c>
      <c r="C11" s="8">
        <f>SUM(C7:C10)</f>
        <v>478</v>
      </c>
      <c r="D11" s="9">
        <f>B11+C11</f>
        <v>2376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249</v>
      </c>
      <c r="C14" s="4">
        <v>106</v>
      </c>
      <c r="D14" s="5">
        <f t="shared" ref="D14:D16" si="1">B14+C14</f>
        <v>355</v>
      </c>
    </row>
    <row r="15" spans="1:4" x14ac:dyDescent="0.25">
      <c r="A15" s="6" t="s">
        <v>13</v>
      </c>
      <c r="B15" s="4">
        <v>50</v>
      </c>
      <c r="C15" s="4">
        <v>34</v>
      </c>
      <c r="D15" s="5">
        <f t="shared" si="1"/>
        <v>84</v>
      </c>
    </row>
    <row r="16" spans="1:4" ht="15.75" thickBot="1" x14ac:dyDescent="0.3">
      <c r="A16" s="6" t="s">
        <v>10</v>
      </c>
      <c r="B16" s="4">
        <v>18</v>
      </c>
      <c r="C16" s="4">
        <v>8</v>
      </c>
      <c r="D16" s="5">
        <f t="shared" si="1"/>
        <v>26</v>
      </c>
    </row>
    <row r="17" spans="1:4" ht="16.5" thickTop="1" thickBot="1" x14ac:dyDescent="0.3">
      <c r="A17" s="7" t="s">
        <v>3</v>
      </c>
      <c r="B17" s="8">
        <f>SUM(B14:B16)</f>
        <v>317</v>
      </c>
      <c r="C17" s="8">
        <f t="shared" ref="C17:D17" si="2">SUM(C14:C16)</f>
        <v>148</v>
      </c>
      <c r="D17" s="9">
        <f t="shared" si="2"/>
        <v>465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>
        <v>357</v>
      </c>
      <c r="C20" s="4">
        <v>107</v>
      </c>
      <c r="D20" s="5">
        <f t="shared" ref="D20:D21" si="3">B20+C20</f>
        <v>464</v>
      </c>
    </row>
    <row r="21" spans="1:4" ht="16.5" thickTop="1" thickBot="1" x14ac:dyDescent="0.3">
      <c r="A21" s="7" t="s">
        <v>3</v>
      </c>
      <c r="B21" s="8">
        <f>SUM(B20:B20)</f>
        <v>357</v>
      </c>
      <c r="C21" s="8">
        <f>SUM(C20:C20)</f>
        <v>107</v>
      </c>
      <c r="D21" s="8">
        <f t="shared" si="3"/>
        <v>464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182</v>
      </c>
      <c r="C24" s="4">
        <v>40</v>
      </c>
      <c r="D24" s="5">
        <f t="shared" ref="D24:D27" si="4">B24+C24</f>
        <v>222</v>
      </c>
    </row>
    <row r="25" spans="1:4" x14ac:dyDescent="0.25">
      <c r="A25" s="6" t="s">
        <v>17</v>
      </c>
      <c r="B25" s="4">
        <v>29</v>
      </c>
      <c r="C25" s="4">
        <v>12</v>
      </c>
      <c r="D25" s="5">
        <f t="shared" si="4"/>
        <v>41</v>
      </c>
    </row>
    <row r="26" spans="1:4" x14ac:dyDescent="0.25">
      <c r="A26" s="6" t="s">
        <v>18</v>
      </c>
      <c r="B26" s="4">
        <v>38</v>
      </c>
      <c r="C26" s="4">
        <v>12</v>
      </c>
      <c r="D26" s="5">
        <f t="shared" si="4"/>
        <v>50</v>
      </c>
    </row>
    <row r="27" spans="1:4" ht="15.75" thickBot="1" x14ac:dyDescent="0.3">
      <c r="A27" s="6" t="s">
        <v>10</v>
      </c>
      <c r="B27" s="4">
        <v>159</v>
      </c>
      <c r="C27" s="4">
        <v>43</v>
      </c>
      <c r="D27" s="5">
        <f t="shared" si="4"/>
        <v>202</v>
      </c>
    </row>
    <row r="28" spans="1:4" ht="16.5" thickTop="1" thickBot="1" x14ac:dyDescent="0.3">
      <c r="A28" s="7" t="s">
        <v>3</v>
      </c>
      <c r="B28" s="8">
        <f>SUM(B24:B27)</f>
        <v>408</v>
      </c>
      <c r="C28" s="8">
        <f t="shared" ref="C28:D28" si="5">SUM(C24:C27)</f>
        <v>107</v>
      </c>
      <c r="D28" s="8">
        <f t="shared" si="5"/>
        <v>515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5.75" thickTop="1" x14ac:dyDescent="0.25">
      <c r="A31" s="6" t="s">
        <v>20</v>
      </c>
      <c r="B31" s="4">
        <v>4605</v>
      </c>
      <c r="C31" s="4">
        <v>2174</v>
      </c>
      <c r="D31" s="5">
        <f t="shared" ref="D31:D36" si="6">B31+C31</f>
        <v>6779</v>
      </c>
    </row>
    <row r="32" spans="1:4" x14ac:dyDescent="0.25">
      <c r="A32" s="6" t="s">
        <v>21</v>
      </c>
      <c r="B32" s="4">
        <v>62</v>
      </c>
      <c r="C32" s="4">
        <v>86</v>
      </c>
      <c r="D32" s="5">
        <f t="shared" si="6"/>
        <v>148</v>
      </c>
    </row>
    <row r="33" spans="1:5" x14ac:dyDescent="0.25">
      <c r="A33" s="6" t="s">
        <v>22</v>
      </c>
      <c r="B33" s="4">
        <v>0</v>
      </c>
      <c r="C33" s="4">
        <v>0</v>
      </c>
      <c r="D33" s="5">
        <f t="shared" si="6"/>
        <v>0</v>
      </c>
    </row>
    <row r="34" spans="1:5" x14ac:dyDescent="0.25">
      <c r="A34" s="6" t="s">
        <v>23</v>
      </c>
      <c r="B34" s="4">
        <v>27</v>
      </c>
      <c r="C34" s="4">
        <v>38</v>
      </c>
      <c r="D34" s="5">
        <f t="shared" si="6"/>
        <v>65</v>
      </c>
    </row>
    <row r="35" spans="1:5" x14ac:dyDescent="0.25">
      <c r="A35" s="6" t="s">
        <v>24</v>
      </c>
      <c r="B35" s="4">
        <v>130</v>
      </c>
      <c r="C35" s="4">
        <v>190</v>
      </c>
      <c r="D35" s="5">
        <f t="shared" si="6"/>
        <v>320</v>
      </c>
    </row>
    <row r="36" spans="1:5" ht="15.75" thickBot="1" x14ac:dyDescent="0.3">
      <c r="A36" s="6" t="s">
        <v>10</v>
      </c>
      <c r="B36" s="4">
        <v>344</v>
      </c>
      <c r="C36" s="4">
        <v>471</v>
      </c>
      <c r="D36" s="5">
        <f t="shared" si="6"/>
        <v>815</v>
      </c>
    </row>
    <row r="37" spans="1:5" ht="16.5" thickTop="1" thickBot="1" x14ac:dyDescent="0.3">
      <c r="A37" s="7" t="s">
        <v>3</v>
      </c>
      <c r="B37" s="8">
        <f>SUM(B31:B36)</f>
        <v>5168</v>
      </c>
      <c r="C37" s="8">
        <f>SUM(C31:C36)</f>
        <v>2959</v>
      </c>
      <c r="D37" s="8">
        <f>SUM(D31:D36)</f>
        <v>8127</v>
      </c>
    </row>
    <row r="38" spans="1:5" ht="6.95" customHeight="1" thickTop="1" thickBot="1" x14ac:dyDescent="0.3">
      <c r="A38" s="10"/>
      <c r="B38" s="11"/>
      <c r="C38" s="11"/>
      <c r="D38" s="12"/>
    </row>
    <row r="39" spans="1:5" ht="16.5" thickTop="1" thickBot="1" x14ac:dyDescent="0.3">
      <c r="A39" s="17" t="s">
        <v>4</v>
      </c>
      <c r="B39" s="18"/>
      <c r="C39" s="18"/>
      <c r="D39" s="19"/>
    </row>
    <row r="40" spans="1:5" ht="15.75" thickTop="1" x14ac:dyDescent="0.25">
      <c r="A40" s="6" t="s">
        <v>25</v>
      </c>
      <c r="B40" s="4">
        <v>225</v>
      </c>
      <c r="C40" s="4">
        <v>82</v>
      </c>
      <c r="D40" s="5">
        <f t="shared" ref="D40:D43" si="7">B40+C40</f>
        <v>307</v>
      </c>
    </row>
    <row r="41" spans="1:5" x14ac:dyDescent="0.25">
      <c r="A41" s="6" t="s">
        <v>26</v>
      </c>
      <c r="B41" s="4">
        <v>62</v>
      </c>
      <c r="C41" s="4">
        <v>39</v>
      </c>
      <c r="D41" s="5">
        <f t="shared" si="7"/>
        <v>101</v>
      </c>
    </row>
    <row r="42" spans="1:5" ht="15.75" thickBot="1" x14ac:dyDescent="0.3">
      <c r="A42" s="6" t="s">
        <v>27</v>
      </c>
      <c r="B42" s="4">
        <v>227</v>
      </c>
      <c r="C42" s="4">
        <v>676</v>
      </c>
      <c r="D42" s="5">
        <f t="shared" si="7"/>
        <v>903</v>
      </c>
    </row>
    <row r="43" spans="1:5" ht="16.5" thickTop="1" thickBot="1" x14ac:dyDescent="0.3">
      <c r="A43" s="7" t="s">
        <v>3</v>
      </c>
      <c r="B43" s="8">
        <f>SUM(B40:B42)</f>
        <v>514</v>
      </c>
      <c r="C43" s="8">
        <f>SUM(C40:C42)</f>
        <v>797</v>
      </c>
      <c r="D43" s="8">
        <f t="shared" si="7"/>
        <v>1311</v>
      </c>
    </row>
    <row r="44" spans="1:5" ht="6.95" customHeight="1" thickTop="1" thickBot="1" x14ac:dyDescent="0.3">
      <c r="A44" s="10"/>
      <c r="B44" s="11"/>
      <c r="C44" s="11"/>
      <c r="D44" s="12"/>
    </row>
    <row r="45" spans="1:5" ht="16.5" thickTop="1" thickBot="1" x14ac:dyDescent="0.3">
      <c r="A45" s="7" t="s">
        <v>0</v>
      </c>
      <c r="B45" s="8">
        <f>SUM(B43+B37+B28+B21+B17+B11)</f>
        <v>8662</v>
      </c>
      <c r="C45" s="8">
        <f t="shared" ref="C45:D45" si="8">SUM(C43+C37+C28+C21+C17+C11)</f>
        <v>4596</v>
      </c>
      <c r="D45" s="9">
        <f t="shared" si="8"/>
        <v>13258</v>
      </c>
    </row>
    <row r="46" spans="1:5" ht="7.5" customHeight="1" thickTop="1" x14ac:dyDescent="0.25"/>
    <row r="47" spans="1:5" ht="34.5" customHeight="1" x14ac:dyDescent="0.25">
      <c r="A47" s="20" t="s">
        <v>28</v>
      </c>
      <c r="B47" s="20"/>
      <c r="C47" s="20"/>
      <c r="D47" s="20"/>
      <c r="E47" s="15"/>
    </row>
  </sheetData>
  <mergeCells count="8">
    <mergeCell ref="A39:D39"/>
    <mergeCell ref="A47:D47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47"/>
  <sheetViews>
    <sheetView view="pageLayout" zoomScale="70" zoomScaleNormal="100" zoomScalePageLayoutView="70" workbookViewId="0">
      <selection activeCell="C43" sqref="C43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2005-06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145</v>
      </c>
      <c r="C7" s="4">
        <v>24</v>
      </c>
      <c r="D7" s="5">
        <f>B7+C7</f>
        <v>169</v>
      </c>
    </row>
    <row r="8" spans="1:4" x14ac:dyDescent="0.25">
      <c r="A8" s="6" t="s">
        <v>8</v>
      </c>
      <c r="B8" s="4">
        <v>1121</v>
      </c>
      <c r="C8" s="4">
        <v>257</v>
      </c>
      <c r="D8" s="5">
        <f t="shared" ref="D8:D10" si="0">B8+C8</f>
        <v>1378</v>
      </c>
    </row>
    <row r="9" spans="1:4" ht="15.75" customHeight="1" x14ac:dyDescent="0.25">
      <c r="A9" s="6" t="s">
        <v>9</v>
      </c>
      <c r="B9" s="4">
        <v>303</v>
      </c>
      <c r="C9" s="4">
        <v>77</v>
      </c>
      <c r="D9" s="5">
        <f t="shared" si="0"/>
        <v>380</v>
      </c>
    </row>
    <row r="10" spans="1:4" ht="15.75" customHeight="1" thickBot="1" x14ac:dyDescent="0.3">
      <c r="A10" s="6" t="s">
        <v>10</v>
      </c>
      <c r="B10" s="4">
        <v>486</v>
      </c>
      <c r="C10" s="4">
        <v>98</v>
      </c>
      <c r="D10" s="5">
        <f t="shared" si="0"/>
        <v>584</v>
      </c>
    </row>
    <row r="11" spans="1:4" ht="16.5" thickTop="1" thickBot="1" x14ac:dyDescent="0.3">
      <c r="A11" s="7" t="s">
        <v>3</v>
      </c>
      <c r="B11" s="8">
        <f>SUM(B7:B10)</f>
        <v>2055</v>
      </c>
      <c r="C11" s="8">
        <f>SUM(C7:C10)</f>
        <v>456</v>
      </c>
      <c r="D11" s="9">
        <f>B11+C11</f>
        <v>2511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246</v>
      </c>
      <c r="C14" s="4">
        <v>93</v>
      </c>
      <c r="D14" s="5">
        <f t="shared" ref="D14:D16" si="1">B14+C14</f>
        <v>339</v>
      </c>
    </row>
    <row r="15" spans="1:4" x14ac:dyDescent="0.25">
      <c r="A15" s="6" t="s">
        <v>13</v>
      </c>
      <c r="B15" s="4">
        <v>50</v>
      </c>
      <c r="C15" s="4">
        <v>36</v>
      </c>
      <c r="D15" s="5">
        <f t="shared" si="1"/>
        <v>86</v>
      </c>
    </row>
    <row r="16" spans="1:4" ht="15.75" thickBot="1" x14ac:dyDescent="0.3">
      <c r="A16" s="6" t="s">
        <v>10</v>
      </c>
      <c r="B16" s="4">
        <v>26</v>
      </c>
      <c r="C16" s="4">
        <v>8</v>
      </c>
      <c r="D16" s="5">
        <f t="shared" si="1"/>
        <v>34</v>
      </c>
    </row>
    <row r="17" spans="1:4" ht="16.5" thickTop="1" thickBot="1" x14ac:dyDescent="0.3">
      <c r="A17" s="7" t="s">
        <v>3</v>
      </c>
      <c r="B17" s="8">
        <f>SUM(B14:B16)</f>
        <v>322</v>
      </c>
      <c r="C17" s="8">
        <f>SUM(C14:C16)</f>
        <v>137</v>
      </c>
      <c r="D17" s="9">
        <f>SUM(D14:D16)</f>
        <v>459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>
        <v>348</v>
      </c>
      <c r="C20" s="4">
        <v>105</v>
      </c>
      <c r="D20" s="5">
        <f t="shared" ref="D20:D21" si="2">B20+C20</f>
        <v>453</v>
      </c>
    </row>
    <row r="21" spans="1:4" ht="16.5" thickTop="1" thickBot="1" x14ac:dyDescent="0.3">
      <c r="A21" s="7" t="s">
        <v>3</v>
      </c>
      <c r="B21" s="8">
        <f>SUM(B20:B20)</f>
        <v>348</v>
      </c>
      <c r="C21" s="8">
        <f>SUM(C20:C20)</f>
        <v>105</v>
      </c>
      <c r="D21" s="8">
        <f t="shared" si="2"/>
        <v>453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173</v>
      </c>
      <c r="C24" s="4">
        <v>27</v>
      </c>
      <c r="D24" s="5">
        <f t="shared" ref="D24:D27" si="3">B24+C24</f>
        <v>200</v>
      </c>
    </row>
    <row r="25" spans="1:4" x14ac:dyDescent="0.25">
      <c r="A25" s="6" t="s">
        <v>17</v>
      </c>
      <c r="B25" s="4">
        <v>27</v>
      </c>
      <c r="C25" s="4">
        <v>5</v>
      </c>
      <c r="D25" s="5">
        <f t="shared" si="3"/>
        <v>32</v>
      </c>
    </row>
    <row r="26" spans="1:4" x14ac:dyDescent="0.25">
      <c r="A26" s="6" t="s">
        <v>18</v>
      </c>
      <c r="B26" s="4">
        <v>37</v>
      </c>
      <c r="C26" s="4">
        <v>10</v>
      </c>
      <c r="D26" s="5">
        <f t="shared" si="3"/>
        <v>47</v>
      </c>
    </row>
    <row r="27" spans="1:4" ht="15.75" thickBot="1" x14ac:dyDescent="0.3">
      <c r="A27" s="6" t="s">
        <v>10</v>
      </c>
      <c r="B27" s="4">
        <v>166</v>
      </c>
      <c r="C27" s="4">
        <v>42</v>
      </c>
      <c r="D27" s="5">
        <f t="shared" si="3"/>
        <v>208</v>
      </c>
    </row>
    <row r="28" spans="1:4" ht="16.5" thickTop="1" thickBot="1" x14ac:dyDescent="0.3">
      <c r="A28" s="7" t="s">
        <v>3</v>
      </c>
      <c r="B28" s="8">
        <f>SUM(B24:B27)</f>
        <v>403</v>
      </c>
      <c r="C28" s="8">
        <f>SUM(C24:C27)</f>
        <v>84</v>
      </c>
      <c r="D28" s="8">
        <f>SUM(D24:D27)</f>
        <v>487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5.75" thickTop="1" x14ac:dyDescent="0.25">
      <c r="A31" s="6" t="s">
        <v>20</v>
      </c>
      <c r="B31" s="4">
        <v>4619</v>
      </c>
      <c r="C31" s="4">
        <v>2028</v>
      </c>
      <c r="D31" s="5">
        <f t="shared" ref="D31:D36" si="4">B31+C31</f>
        <v>6647</v>
      </c>
    </row>
    <row r="32" spans="1:4" x14ac:dyDescent="0.25">
      <c r="A32" s="6" t="s">
        <v>21</v>
      </c>
      <c r="B32" s="4">
        <v>76</v>
      </c>
      <c r="C32" s="4">
        <v>58</v>
      </c>
      <c r="D32" s="5">
        <f t="shared" si="4"/>
        <v>134</v>
      </c>
    </row>
    <row r="33" spans="1:5" x14ac:dyDescent="0.25">
      <c r="A33" s="6" t="s">
        <v>22</v>
      </c>
      <c r="B33" s="4">
        <v>1</v>
      </c>
      <c r="C33" s="4">
        <v>0</v>
      </c>
      <c r="D33" s="5">
        <f t="shared" si="4"/>
        <v>1</v>
      </c>
    </row>
    <row r="34" spans="1:5" x14ac:dyDescent="0.25">
      <c r="A34" s="6" t="s">
        <v>23</v>
      </c>
      <c r="B34" s="4">
        <v>23</v>
      </c>
      <c r="C34" s="4">
        <v>16</v>
      </c>
      <c r="D34" s="5">
        <f t="shared" si="4"/>
        <v>39</v>
      </c>
    </row>
    <row r="35" spans="1:5" x14ac:dyDescent="0.25">
      <c r="A35" s="6" t="s">
        <v>24</v>
      </c>
      <c r="B35" s="4">
        <v>205</v>
      </c>
      <c r="C35" s="4">
        <v>307</v>
      </c>
      <c r="D35" s="5">
        <f t="shared" si="4"/>
        <v>512</v>
      </c>
    </row>
    <row r="36" spans="1:5" ht="15.75" thickBot="1" x14ac:dyDescent="0.3">
      <c r="A36" s="6" t="s">
        <v>10</v>
      </c>
      <c r="B36" s="4">
        <v>454</v>
      </c>
      <c r="C36" s="4">
        <v>390</v>
      </c>
      <c r="D36" s="5">
        <f t="shared" si="4"/>
        <v>844</v>
      </c>
    </row>
    <row r="37" spans="1:5" ht="16.5" thickTop="1" thickBot="1" x14ac:dyDescent="0.3">
      <c r="A37" s="7" t="s">
        <v>3</v>
      </c>
      <c r="B37" s="8">
        <f>SUM(B31:B36)</f>
        <v>5378</v>
      </c>
      <c r="C37" s="8">
        <f>SUM(C31:C36)</f>
        <v>2799</v>
      </c>
      <c r="D37" s="8">
        <f>SUM(D31:D36)</f>
        <v>8177</v>
      </c>
    </row>
    <row r="38" spans="1:5" ht="6.95" customHeight="1" thickTop="1" thickBot="1" x14ac:dyDescent="0.3">
      <c r="A38" s="10"/>
      <c r="B38" s="11"/>
      <c r="C38" s="11"/>
      <c r="D38" s="12"/>
    </row>
    <row r="39" spans="1:5" ht="16.5" thickTop="1" thickBot="1" x14ac:dyDescent="0.3">
      <c r="A39" s="17" t="s">
        <v>4</v>
      </c>
      <c r="B39" s="18"/>
      <c r="C39" s="18"/>
      <c r="D39" s="19"/>
    </row>
    <row r="40" spans="1:5" ht="15.75" thickTop="1" x14ac:dyDescent="0.25">
      <c r="A40" s="6" t="s">
        <v>25</v>
      </c>
      <c r="B40" s="4">
        <v>228</v>
      </c>
      <c r="C40" s="4">
        <v>63</v>
      </c>
      <c r="D40" s="5">
        <f t="shared" ref="D40:D43" si="5">B40+C40</f>
        <v>291</v>
      </c>
    </row>
    <row r="41" spans="1:5" x14ac:dyDescent="0.25">
      <c r="A41" s="6" t="s">
        <v>26</v>
      </c>
      <c r="B41" s="4">
        <v>13</v>
      </c>
      <c r="C41" s="4">
        <v>28</v>
      </c>
      <c r="D41" s="5">
        <f t="shared" si="5"/>
        <v>41</v>
      </c>
    </row>
    <row r="42" spans="1:5" ht="15.75" thickBot="1" x14ac:dyDescent="0.3">
      <c r="A42" s="6" t="s">
        <v>27</v>
      </c>
      <c r="B42" s="4">
        <v>344</v>
      </c>
      <c r="C42" s="4">
        <v>864</v>
      </c>
      <c r="D42" s="5">
        <f t="shared" si="5"/>
        <v>1208</v>
      </c>
    </row>
    <row r="43" spans="1:5" ht="16.5" thickTop="1" thickBot="1" x14ac:dyDescent="0.3">
      <c r="A43" s="7" t="s">
        <v>3</v>
      </c>
      <c r="B43" s="8">
        <f>SUM(B40:B42)</f>
        <v>585</v>
      </c>
      <c r="C43" s="8">
        <f>SUM(C40:C42)</f>
        <v>955</v>
      </c>
      <c r="D43" s="8">
        <f t="shared" si="5"/>
        <v>1540</v>
      </c>
    </row>
    <row r="44" spans="1:5" ht="6.95" customHeight="1" thickTop="1" thickBot="1" x14ac:dyDescent="0.3">
      <c r="A44" s="10"/>
      <c r="B44" s="11"/>
      <c r="C44" s="11"/>
      <c r="D44" s="12"/>
    </row>
    <row r="45" spans="1:5" ht="16.5" thickTop="1" thickBot="1" x14ac:dyDescent="0.3">
      <c r="A45" s="7" t="s">
        <v>0</v>
      </c>
      <c r="B45" s="8">
        <f>SUM(B43+B37+B28+B21+B17+B11)</f>
        <v>9091</v>
      </c>
      <c r="C45" s="8">
        <f>SUM(C43+C37+C28+C21+C17+C11)</f>
        <v>4536</v>
      </c>
      <c r="D45" s="9">
        <f>SUM(D43+D37+D28+D21+D17+D11)</f>
        <v>13627</v>
      </c>
    </row>
    <row r="46" spans="1:5" ht="7.5" customHeight="1" thickTop="1" x14ac:dyDescent="0.25"/>
    <row r="47" spans="1:5" ht="34.5" customHeight="1" x14ac:dyDescent="0.25">
      <c r="A47" s="20" t="s">
        <v>28</v>
      </c>
      <c r="B47" s="20"/>
      <c r="C47" s="20"/>
      <c r="D47" s="20"/>
      <c r="E47" s="15"/>
    </row>
  </sheetData>
  <mergeCells count="8">
    <mergeCell ref="A39:D39"/>
    <mergeCell ref="A47:D47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47"/>
  <sheetViews>
    <sheetView view="pageLayout" topLeftCell="A43" zoomScaleNormal="100" workbookViewId="0">
      <selection activeCell="A51" sqref="A51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30</v>
      </c>
      <c r="B1" s="3"/>
    </row>
    <row r="2" spans="1:4" x14ac:dyDescent="0.25">
      <c r="A2" s="21" t="s">
        <v>29</v>
      </c>
      <c r="B2" s="21"/>
      <c r="C2" s="21"/>
      <c r="D2" s="21"/>
    </row>
    <row r="3" spans="1:4" x14ac:dyDescent="0.25">
      <c r="A3" s="2" t="str">
        <f ca="1">RIGHT(CELL("filename",A1),LEN(CELL("filename",A1))-FIND("]",CELL("filename",A1)))</f>
        <v>2004-05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5</v>
      </c>
      <c r="B5" s="16" t="s">
        <v>1</v>
      </c>
      <c r="C5" s="16" t="s">
        <v>2</v>
      </c>
      <c r="D5" s="13" t="s">
        <v>0</v>
      </c>
    </row>
    <row r="6" spans="1:4" ht="15.75" thickBot="1" x14ac:dyDescent="0.3">
      <c r="A6" s="22" t="s">
        <v>6</v>
      </c>
      <c r="B6" s="23"/>
      <c r="C6" s="23"/>
      <c r="D6" s="24"/>
    </row>
    <row r="7" spans="1:4" ht="15.75" thickTop="1" x14ac:dyDescent="0.25">
      <c r="A7" s="6" t="s">
        <v>7</v>
      </c>
      <c r="B7" s="4">
        <v>158</v>
      </c>
      <c r="C7" s="4">
        <v>25</v>
      </c>
      <c r="D7" s="5">
        <f>B7+C7</f>
        <v>183</v>
      </c>
    </row>
    <row r="8" spans="1:4" x14ac:dyDescent="0.25">
      <c r="A8" s="6" t="s">
        <v>8</v>
      </c>
      <c r="B8" s="4">
        <v>1212</v>
      </c>
      <c r="C8" s="4">
        <v>250</v>
      </c>
      <c r="D8" s="5">
        <f t="shared" ref="D8:D10" si="0">B8+C8</f>
        <v>1462</v>
      </c>
    </row>
    <row r="9" spans="1:4" ht="15.75" customHeight="1" x14ac:dyDescent="0.25">
      <c r="A9" s="6" t="s">
        <v>9</v>
      </c>
      <c r="B9" s="4">
        <v>334</v>
      </c>
      <c r="C9" s="4">
        <v>74</v>
      </c>
      <c r="D9" s="5">
        <f t="shared" si="0"/>
        <v>408</v>
      </c>
    </row>
    <row r="10" spans="1:4" ht="15.75" customHeight="1" thickBot="1" x14ac:dyDescent="0.3">
      <c r="A10" s="6" t="s">
        <v>10</v>
      </c>
      <c r="B10" s="4">
        <v>501</v>
      </c>
      <c r="C10" s="4">
        <v>91</v>
      </c>
      <c r="D10" s="5">
        <f t="shared" si="0"/>
        <v>592</v>
      </c>
    </row>
    <row r="11" spans="1:4" ht="16.5" thickTop="1" thickBot="1" x14ac:dyDescent="0.3">
      <c r="A11" s="7" t="s">
        <v>3</v>
      </c>
      <c r="B11" s="8">
        <f>SUM(B7:B10)</f>
        <v>2205</v>
      </c>
      <c r="C11" s="8">
        <f>SUM(C7:C10)</f>
        <v>440</v>
      </c>
      <c r="D11" s="9">
        <f>B11+C11</f>
        <v>2645</v>
      </c>
    </row>
    <row r="12" spans="1:4" ht="6.95" customHeight="1" thickTop="1" thickBot="1" x14ac:dyDescent="0.3">
      <c r="A12" s="10"/>
      <c r="B12" s="11"/>
      <c r="C12" s="11"/>
      <c r="D12" s="12"/>
    </row>
    <row r="13" spans="1:4" ht="16.5" thickTop="1" thickBot="1" x14ac:dyDescent="0.3">
      <c r="A13" s="17" t="s">
        <v>11</v>
      </c>
      <c r="B13" s="18"/>
      <c r="C13" s="18"/>
      <c r="D13" s="19"/>
    </row>
    <row r="14" spans="1:4" ht="15.75" thickTop="1" x14ac:dyDescent="0.25">
      <c r="A14" s="6" t="s">
        <v>12</v>
      </c>
      <c r="B14" s="4">
        <v>259</v>
      </c>
      <c r="C14" s="4">
        <v>105</v>
      </c>
      <c r="D14" s="5">
        <f t="shared" ref="D14:D16" si="1">B14+C14</f>
        <v>364</v>
      </c>
    </row>
    <row r="15" spans="1:4" x14ac:dyDescent="0.25">
      <c r="A15" s="6" t="s">
        <v>13</v>
      </c>
      <c r="B15" s="4">
        <v>58</v>
      </c>
      <c r="C15" s="4">
        <v>26</v>
      </c>
      <c r="D15" s="5">
        <f t="shared" si="1"/>
        <v>84</v>
      </c>
    </row>
    <row r="16" spans="1:4" ht="15.75" thickBot="1" x14ac:dyDescent="0.3">
      <c r="A16" s="6" t="s">
        <v>10</v>
      </c>
      <c r="B16" s="4">
        <v>23</v>
      </c>
      <c r="C16" s="4">
        <v>15</v>
      </c>
      <c r="D16" s="5">
        <f t="shared" si="1"/>
        <v>38</v>
      </c>
    </row>
    <row r="17" spans="1:4" ht="16.5" thickTop="1" thickBot="1" x14ac:dyDescent="0.3">
      <c r="A17" s="7" t="s">
        <v>3</v>
      </c>
      <c r="B17" s="8">
        <f>SUM(B14:B16)</f>
        <v>340</v>
      </c>
      <c r="C17" s="8">
        <f t="shared" ref="C17:D17" si="2">SUM(C14:C16)</f>
        <v>146</v>
      </c>
      <c r="D17" s="9">
        <f t="shared" si="2"/>
        <v>486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7" t="s">
        <v>14</v>
      </c>
      <c r="B19" s="18"/>
      <c r="C19" s="18"/>
      <c r="D19" s="19"/>
    </row>
    <row r="20" spans="1:4" ht="16.5" thickTop="1" thickBot="1" x14ac:dyDescent="0.3">
      <c r="A20" s="6" t="s">
        <v>14</v>
      </c>
      <c r="B20" s="4">
        <v>340</v>
      </c>
      <c r="C20" s="4">
        <v>115</v>
      </c>
      <c r="D20" s="5">
        <f t="shared" ref="D20:D21" si="3">B20+C20</f>
        <v>455</v>
      </c>
    </row>
    <row r="21" spans="1:4" ht="16.5" thickTop="1" thickBot="1" x14ac:dyDescent="0.3">
      <c r="A21" s="7" t="s">
        <v>3</v>
      </c>
      <c r="B21" s="8">
        <f>SUM(B20:B20)</f>
        <v>340</v>
      </c>
      <c r="C21" s="8">
        <f>SUM(C20:C20)</f>
        <v>115</v>
      </c>
      <c r="D21" s="8">
        <f t="shared" si="3"/>
        <v>455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7" t="s">
        <v>15</v>
      </c>
      <c r="B23" s="18"/>
      <c r="C23" s="18"/>
      <c r="D23" s="19"/>
    </row>
    <row r="24" spans="1:4" ht="15.75" thickTop="1" x14ac:dyDescent="0.25">
      <c r="A24" s="6" t="s">
        <v>16</v>
      </c>
      <c r="B24" s="4">
        <v>165</v>
      </c>
      <c r="C24" s="4">
        <v>27</v>
      </c>
      <c r="D24" s="5">
        <f t="shared" ref="D24:D27" si="4">B24+C24</f>
        <v>192</v>
      </c>
    </row>
    <row r="25" spans="1:4" x14ac:dyDescent="0.25">
      <c r="A25" s="6" t="s">
        <v>17</v>
      </c>
      <c r="B25" s="4">
        <v>26</v>
      </c>
      <c r="C25" s="4">
        <v>11</v>
      </c>
      <c r="D25" s="5">
        <f t="shared" si="4"/>
        <v>37</v>
      </c>
    </row>
    <row r="26" spans="1:4" x14ac:dyDescent="0.25">
      <c r="A26" s="6" t="s">
        <v>18</v>
      </c>
      <c r="B26" s="4">
        <v>39</v>
      </c>
      <c r="C26" s="4">
        <v>4</v>
      </c>
      <c r="D26" s="5">
        <f t="shared" si="4"/>
        <v>43</v>
      </c>
    </row>
    <row r="27" spans="1:4" ht="15.75" thickBot="1" x14ac:dyDescent="0.3">
      <c r="A27" s="6" t="s">
        <v>10</v>
      </c>
      <c r="B27" s="4">
        <v>131</v>
      </c>
      <c r="C27" s="4">
        <v>49</v>
      </c>
      <c r="D27" s="5">
        <f t="shared" si="4"/>
        <v>180</v>
      </c>
    </row>
    <row r="28" spans="1:4" ht="16.5" thickTop="1" thickBot="1" x14ac:dyDescent="0.3">
      <c r="A28" s="7" t="s">
        <v>3</v>
      </c>
      <c r="B28" s="8">
        <f>SUM(B24:B27)</f>
        <v>361</v>
      </c>
      <c r="C28" s="8">
        <f t="shared" ref="C28:D28" si="5">SUM(C24:C27)</f>
        <v>91</v>
      </c>
      <c r="D28" s="8">
        <f t="shared" si="5"/>
        <v>452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7" t="s">
        <v>19</v>
      </c>
      <c r="B30" s="18"/>
      <c r="C30" s="18"/>
      <c r="D30" s="19"/>
    </row>
    <row r="31" spans="1:4" ht="15.75" thickTop="1" x14ac:dyDescent="0.25">
      <c r="A31" s="6" t="s">
        <v>20</v>
      </c>
      <c r="B31" s="4">
        <v>4323</v>
      </c>
      <c r="C31" s="4">
        <v>1900</v>
      </c>
      <c r="D31" s="5">
        <f t="shared" ref="D31:D36" si="6">B31+C31</f>
        <v>6223</v>
      </c>
    </row>
    <row r="32" spans="1:4" x14ac:dyDescent="0.25">
      <c r="A32" s="6" t="s">
        <v>21</v>
      </c>
      <c r="B32" s="4">
        <v>85</v>
      </c>
      <c r="C32" s="4">
        <v>75</v>
      </c>
      <c r="D32" s="5">
        <f t="shared" si="6"/>
        <v>160</v>
      </c>
    </row>
    <row r="33" spans="1:5" x14ac:dyDescent="0.25">
      <c r="A33" s="6" t="s">
        <v>22</v>
      </c>
      <c r="B33" s="4">
        <v>1</v>
      </c>
      <c r="C33" s="4">
        <v>0</v>
      </c>
      <c r="D33" s="5">
        <f t="shared" si="6"/>
        <v>1</v>
      </c>
    </row>
    <row r="34" spans="1:5" x14ac:dyDescent="0.25">
      <c r="A34" s="6" t="s">
        <v>23</v>
      </c>
      <c r="B34" s="4">
        <v>21</v>
      </c>
      <c r="C34" s="4">
        <v>0</v>
      </c>
      <c r="D34" s="5">
        <f t="shared" si="6"/>
        <v>21</v>
      </c>
    </row>
    <row r="35" spans="1:5" x14ac:dyDescent="0.25">
      <c r="A35" s="6" t="s">
        <v>24</v>
      </c>
      <c r="B35" s="4">
        <v>367</v>
      </c>
      <c r="C35" s="4">
        <v>457</v>
      </c>
      <c r="D35" s="5">
        <f t="shared" si="6"/>
        <v>824</v>
      </c>
    </row>
    <row r="36" spans="1:5" ht="15.75" thickBot="1" x14ac:dyDescent="0.3">
      <c r="A36" s="6" t="s">
        <v>10</v>
      </c>
      <c r="B36" s="4">
        <v>591</v>
      </c>
      <c r="C36" s="4">
        <v>362</v>
      </c>
      <c r="D36" s="5">
        <f t="shared" si="6"/>
        <v>953</v>
      </c>
    </row>
    <row r="37" spans="1:5" ht="16.5" thickTop="1" thickBot="1" x14ac:dyDescent="0.3">
      <c r="A37" s="7" t="s">
        <v>3</v>
      </c>
      <c r="B37" s="8">
        <f>SUM(B31:B36)</f>
        <v>5388</v>
      </c>
      <c r="C37" s="8">
        <f>SUM(C31:C36)</f>
        <v>2794</v>
      </c>
      <c r="D37" s="8">
        <f>SUM(D31:D36)</f>
        <v>8182</v>
      </c>
    </row>
    <row r="38" spans="1:5" ht="6.95" customHeight="1" thickTop="1" thickBot="1" x14ac:dyDescent="0.3">
      <c r="A38" s="10"/>
      <c r="B38" s="11"/>
      <c r="C38" s="11"/>
      <c r="D38" s="12"/>
    </row>
    <row r="39" spans="1:5" ht="16.5" thickTop="1" thickBot="1" x14ac:dyDescent="0.3">
      <c r="A39" s="17" t="s">
        <v>4</v>
      </c>
      <c r="B39" s="18"/>
      <c r="C39" s="18"/>
      <c r="D39" s="19"/>
    </row>
    <row r="40" spans="1:5" ht="15.75" thickTop="1" x14ac:dyDescent="0.25">
      <c r="A40" s="6" t="s">
        <v>25</v>
      </c>
      <c r="B40" s="4">
        <v>226</v>
      </c>
      <c r="C40" s="4">
        <v>71</v>
      </c>
      <c r="D40" s="5">
        <f t="shared" ref="D40:D43" si="7">B40+C40</f>
        <v>297</v>
      </c>
    </row>
    <row r="41" spans="1:5" x14ac:dyDescent="0.25">
      <c r="A41" s="6" t="s">
        <v>26</v>
      </c>
      <c r="B41" s="4">
        <v>1</v>
      </c>
      <c r="C41" s="4">
        <v>24</v>
      </c>
      <c r="D41" s="5">
        <f t="shared" si="7"/>
        <v>25</v>
      </c>
    </row>
    <row r="42" spans="1:5" ht="15.75" thickBot="1" x14ac:dyDescent="0.3">
      <c r="A42" s="6" t="s">
        <v>27</v>
      </c>
      <c r="B42" s="4">
        <v>480</v>
      </c>
      <c r="C42" s="4">
        <v>936</v>
      </c>
      <c r="D42" s="5">
        <f t="shared" si="7"/>
        <v>1416</v>
      </c>
    </row>
    <row r="43" spans="1:5" ht="16.5" thickTop="1" thickBot="1" x14ac:dyDescent="0.3">
      <c r="A43" s="7" t="s">
        <v>3</v>
      </c>
      <c r="B43" s="8">
        <f>SUM(B40:B42)</f>
        <v>707</v>
      </c>
      <c r="C43" s="8">
        <f>SUM(C40:C42)</f>
        <v>1031</v>
      </c>
      <c r="D43" s="8">
        <f t="shared" si="7"/>
        <v>1738</v>
      </c>
    </row>
    <row r="44" spans="1:5" ht="6.95" customHeight="1" thickTop="1" thickBot="1" x14ac:dyDescent="0.3">
      <c r="A44" s="10"/>
      <c r="B44" s="11"/>
      <c r="C44" s="11"/>
      <c r="D44" s="12"/>
    </row>
    <row r="45" spans="1:5" ht="16.5" thickTop="1" thickBot="1" x14ac:dyDescent="0.3">
      <c r="A45" s="7" t="s">
        <v>0</v>
      </c>
      <c r="B45" s="8">
        <f>SUM(B43+B37+B28+B21+B17+B11)</f>
        <v>9341</v>
      </c>
      <c r="C45" s="8">
        <f t="shared" ref="C45:D45" si="8">SUM(C43+C37+C28+C21+C17+C11)</f>
        <v>4617</v>
      </c>
      <c r="D45" s="9">
        <f t="shared" si="8"/>
        <v>13958</v>
      </c>
    </row>
    <row r="46" spans="1:5" ht="7.5" customHeight="1" thickTop="1" x14ac:dyDescent="0.25"/>
    <row r="47" spans="1:5" ht="34.5" customHeight="1" x14ac:dyDescent="0.25">
      <c r="A47" s="20" t="s">
        <v>28</v>
      </c>
      <c r="B47" s="20"/>
      <c r="C47" s="20"/>
      <c r="D47" s="20"/>
      <c r="E47" s="15"/>
    </row>
  </sheetData>
  <mergeCells count="8">
    <mergeCell ref="A2:D2"/>
    <mergeCell ref="A47:D47"/>
    <mergeCell ref="A19:D19"/>
    <mergeCell ref="A30:D30"/>
    <mergeCell ref="A39:D39"/>
    <mergeCell ref="A6:D6"/>
    <mergeCell ref="A13:D13"/>
    <mergeCell ref="A23:D2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'2004-05'!Print_Titles</vt:lpstr>
      <vt:lpstr>'2005-06'!Print_Titles</vt:lpstr>
      <vt:lpstr>'2006-07'!Print_Titles</vt:lpstr>
      <vt:lpstr>'2007-08'!Print_Titles</vt:lpstr>
      <vt:lpstr>'2008-09'!Print_Titles</vt:lpstr>
      <vt:lpstr>'2009-10'!Print_Titles</vt:lpstr>
      <vt:lpstr>'2010-11'!Print_Titles</vt:lpstr>
      <vt:lpstr>'2011-12'!Print_Titles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2013-06-18T15:17:26Z</cp:lastPrinted>
  <dcterms:created xsi:type="dcterms:W3CDTF">2013-05-17T14:02:41Z</dcterms:created>
  <dcterms:modified xsi:type="dcterms:W3CDTF">2013-06-18T15:17:31Z</dcterms:modified>
</cp:coreProperties>
</file>