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45" windowWidth="19170" windowHeight="6120"/>
  </bookViews>
  <sheets>
    <sheet name="Purchase Order" sheetId="1" r:id="rId1"/>
  </sheets>
  <definedNames>
    <definedName name="_xlnm.Print_Area" localSheetId="0">'Purchase Order'!$A$1:$K$31</definedName>
  </definedNames>
  <calcPr calcId="145621"/>
</workbook>
</file>

<file path=xl/calcChain.xml><?xml version="1.0" encoding="utf-8"?>
<calcChain xmlns="http://schemas.openxmlformats.org/spreadsheetml/2006/main">
  <c r="K17" i="1" l="1"/>
  <c r="K18" i="1"/>
  <c r="K11" i="1"/>
  <c r="K12" i="1"/>
  <c r="K13" i="1"/>
  <c r="K14" i="1"/>
  <c r="K15" i="1"/>
  <c r="K16" i="1" l="1"/>
  <c r="E11" i="1"/>
  <c r="E19" i="1"/>
  <c r="E13" i="1"/>
  <c r="E12" i="1"/>
  <c r="E14" i="1"/>
  <c r="E15" i="1"/>
  <c r="E16" i="1"/>
  <c r="E17" i="1"/>
  <c r="E18" i="1"/>
  <c r="E20" i="1"/>
  <c r="E21" i="1"/>
  <c r="E22" i="1"/>
  <c r="E23" i="1"/>
  <c r="E24" i="1"/>
  <c r="E25" i="1"/>
  <c r="A31" i="1"/>
  <c r="K28" i="1" l="1"/>
  <c r="K27" i="1"/>
  <c r="K30" i="1" l="1"/>
</calcChain>
</file>

<file path=xl/sharedStrings.xml><?xml version="1.0" encoding="utf-8"?>
<sst xmlns="http://schemas.openxmlformats.org/spreadsheetml/2006/main" count="34" uniqueCount="30">
  <si>
    <t>TOTAL</t>
  </si>
  <si>
    <t>Polo</t>
  </si>
  <si>
    <t>Ringer tee</t>
  </si>
  <si>
    <t>Classroom Guide to MT/MC</t>
  </si>
  <si>
    <t>Juvenile Justice Programs</t>
  </si>
  <si>
    <t>Parents and the Law</t>
  </si>
  <si>
    <t>Parents and the Law (CD-ROM)</t>
  </si>
  <si>
    <t>School Resource Officers</t>
  </si>
  <si>
    <t>qty</t>
  </si>
  <si>
    <t>total</t>
  </si>
  <si>
    <t>5% sales tax for MD residents</t>
  </si>
  <si>
    <t>publications sub total</t>
  </si>
  <si>
    <t>gift shop sub total</t>
  </si>
  <si>
    <r>
      <t>price</t>
    </r>
    <r>
      <rPr>
        <b/>
        <sz val="8"/>
        <color indexed="23"/>
        <rFont val="Verdana"/>
        <family val="2"/>
      </rPr>
      <t>**</t>
    </r>
  </si>
  <si>
    <t>s&amp;h**</t>
  </si>
  <si>
    <t>publications</t>
  </si>
  <si>
    <t>gift shop items</t>
  </si>
  <si>
    <t>Lanyards: qty 10</t>
  </si>
  <si>
    <t>Lanyards: qty 25</t>
  </si>
  <si>
    <t>Lanyards: qty 50</t>
  </si>
  <si>
    <t>Lanyards: qty. 100</t>
  </si>
  <si>
    <t>Lawyers &amp; Law Students (CD-ROM)</t>
  </si>
  <si>
    <t>Save Our Streets (CD-ROM)</t>
  </si>
  <si>
    <t>Let's Say: "We Can Work it Out!" (CD-ROM)</t>
  </si>
  <si>
    <t>We Can Work it Out! (CD-ROM)</t>
  </si>
  <si>
    <t>Books Not Bars (DVD)</t>
  </si>
  <si>
    <t xml:space="preserve">The Response DVD + teaching materials </t>
  </si>
  <si>
    <t>Travel mug</t>
  </si>
  <si>
    <t>Sports bottle</t>
  </si>
  <si>
    <t>Youth in Transition (CD-ROM)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</si>
</sst>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</numFmts>
  <fonts count="21" x14ac:knownFonts="1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sz val="9"/>
      <name val="Garamond"/>
      <family val="1"/>
    </font>
    <font>
      <sz val="7"/>
      <name val="Garamond"/>
      <family val="1"/>
    </font>
    <font>
      <b/>
      <sz val="10"/>
      <name val="Garamond"/>
      <family val="1"/>
    </font>
    <font>
      <b/>
      <sz val="7"/>
      <name val="Garamond"/>
      <family val="1"/>
    </font>
    <font>
      <i/>
      <sz val="6"/>
      <name val="Garamond"/>
      <family val="1"/>
    </font>
    <font>
      <b/>
      <sz val="10"/>
      <color indexed="41"/>
      <name val="Garamond"/>
      <family val="1"/>
    </font>
    <font>
      <i/>
      <sz val="9"/>
      <name val="Garamond"/>
      <family val="1"/>
    </font>
    <font>
      <sz val="12"/>
      <name val="Garamond"/>
      <family val="1"/>
    </font>
    <font>
      <sz val="30"/>
      <color indexed="22"/>
      <name val="Garamond"/>
      <family val="1"/>
    </font>
    <font>
      <sz val="8"/>
      <name val="Verdana"/>
      <family val="2"/>
    </font>
    <font>
      <sz val="10"/>
      <name val="Verdana"/>
      <family val="2"/>
    </font>
    <font>
      <b/>
      <sz val="8"/>
      <name val="Verdana"/>
      <family val="2"/>
    </font>
    <font>
      <b/>
      <sz val="10"/>
      <color indexed="23"/>
      <name val="Verdana"/>
      <family val="2"/>
    </font>
    <font>
      <b/>
      <sz val="8"/>
      <color indexed="23"/>
      <name val="Verdana"/>
      <family val="2"/>
    </font>
    <font>
      <sz val="10"/>
      <color indexed="2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4" fillId="0" borderId="0" xfId="0" applyNumberFormat="1" applyFont="1" applyBorder="1" applyAlignment="1"/>
    <xf numFmtId="44" fontId="5" fillId="2" borderId="0" xfId="0" applyNumberFormat="1" applyFont="1" applyFill="1" applyBorder="1" applyAlignment="1"/>
    <xf numFmtId="44" fontId="10" fillId="2" borderId="0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2" fillId="0" borderId="0" xfId="0" applyFont="1" applyAlignment="1"/>
    <xf numFmtId="0" fontId="14" fillId="0" borderId="1" xfId="0" applyFont="1" applyBorder="1" applyAlignment="1">
      <alignment horizontal="right"/>
    </xf>
    <xf numFmtId="0" fontId="16" fillId="0" borderId="0" xfId="0" applyFont="1" applyFill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44" fontId="5" fillId="2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5" fillId="0" borderId="2" xfId="0" applyNumberFormat="1" applyFont="1" applyFill="1" applyBorder="1" applyAlignment="1">
      <alignment horizontal="center"/>
    </xf>
    <xf numFmtId="43" fontId="15" fillId="0" borderId="2" xfId="0" applyNumberFormat="1" applyFont="1" applyFill="1" applyBorder="1" applyAlignment="1"/>
    <xf numFmtId="0" fontId="15" fillId="0" borderId="2" xfId="0" applyFont="1" applyFill="1" applyBorder="1"/>
    <xf numFmtId="43" fontId="15" fillId="0" borderId="2" xfId="0" applyNumberFormat="1" applyFont="1" applyFill="1" applyBorder="1"/>
    <xf numFmtId="0" fontId="17" fillId="0" borderId="0" xfId="0" applyFont="1" applyFill="1" applyBorder="1" applyAlignment="1">
      <alignment horizontal="right"/>
    </xf>
    <xf numFmtId="43" fontId="6" fillId="0" borderId="2" xfId="0" applyNumberFormat="1" applyFont="1" applyFill="1" applyBorder="1" applyAlignment="1"/>
    <xf numFmtId="43" fontId="15" fillId="0" borderId="3" xfId="0" applyNumberFormat="1" applyFont="1" applyFill="1" applyBorder="1" applyAlignment="1"/>
    <xf numFmtId="0" fontId="2" fillId="0" borderId="0" xfId="0" applyFont="1" applyBorder="1"/>
    <xf numFmtId="43" fontId="15" fillId="0" borderId="5" xfId="0" applyNumberFormat="1" applyFont="1" applyFill="1" applyBorder="1" applyAlignment="1"/>
    <xf numFmtId="43" fontId="15" fillId="0" borderId="6" xfId="0" applyNumberFormat="1" applyFont="1" applyFill="1" applyBorder="1" applyAlignment="1"/>
    <xf numFmtId="0" fontId="2" fillId="0" borderId="7" xfId="0" applyFont="1" applyBorder="1"/>
    <xf numFmtId="0" fontId="4" fillId="0" borderId="7" xfId="0" applyNumberFormat="1" applyFont="1" applyBorder="1" applyAlignment="1">
      <alignment horizontal="center"/>
    </xf>
    <xf numFmtId="0" fontId="2" fillId="0" borderId="1" xfId="0" applyFont="1" applyBorder="1"/>
    <xf numFmtId="164" fontId="18" fillId="0" borderId="2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164" fontId="18" fillId="0" borderId="4" xfId="0" applyNumberFormat="1" applyFont="1" applyFill="1" applyBorder="1" applyAlignment="1">
      <alignment horizontal="center" vertical="center"/>
    </xf>
    <xf numFmtId="0" fontId="20" fillId="0" borderId="0" xfId="0" applyFont="1" applyFill="1" applyBorder="1"/>
    <xf numFmtId="0" fontId="18" fillId="0" borderId="2" xfId="0" applyFont="1" applyFill="1" applyBorder="1" applyAlignment="1">
      <alignment horizontal="center" vertical="center" wrapText="1"/>
    </xf>
    <xf numFmtId="44" fontId="17" fillId="0" borderId="2" xfId="0" applyNumberFormat="1" applyFont="1" applyFill="1" applyBorder="1" applyAlignment="1"/>
    <xf numFmtId="0" fontId="16" fillId="0" borderId="2" xfId="0" applyFont="1" applyFill="1" applyBorder="1"/>
    <xf numFmtId="0" fontId="15" fillId="0" borderId="2" xfId="0" applyFont="1" applyFill="1" applyBorder="1" applyAlignment="1">
      <alignment wrapText="1"/>
    </xf>
    <xf numFmtId="43" fontId="15" fillId="0" borderId="9" xfId="0" applyNumberFormat="1" applyFont="1" applyFill="1" applyBorder="1" applyAlignment="1"/>
    <xf numFmtId="0" fontId="15" fillId="0" borderId="10" xfId="0" applyNumberFormat="1" applyFont="1" applyFill="1" applyBorder="1" applyAlignment="1">
      <alignment horizontal="center"/>
    </xf>
    <xf numFmtId="0" fontId="15" fillId="0" borderId="10" xfId="0" applyFont="1" applyFill="1" applyBorder="1" applyAlignment="1">
      <alignment horizontal="left" wrapText="1"/>
    </xf>
    <xf numFmtId="43" fontId="15" fillId="0" borderId="10" xfId="0" applyNumberFormat="1" applyFont="1" applyFill="1" applyBorder="1" applyAlignment="1">
      <alignment horizontal="left"/>
    </xf>
    <xf numFmtId="43" fontId="15" fillId="0" borderId="10" xfId="0" applyNumberFormat="1" applyFont="1" applyFill="1" applyBorder="1" applyAlignment="1"/>
    <xf numFmtId="0" fontId="15" fillId="0" borderId="11" xfId="0" applyNumberFormat="1" applyFont="1" applyFill="1" applyBorder="1" applyAlignment="1">
      <alignment horizontal="center"/>
    </xf>
    <xf numFmtId="0" fontId="15" fillId="0" borderId="11" xfId="0" applyFont="1" applyFill="1" applyBorder="1"/>
    <xf numFmtId="43" fontId="15" fillId="0" borderId="11" xfId="0" applyNumberFormat="1" applyFont="1" applyFill="1" applyBorder="1"/>
    <xf numFmtId="43" fontId="15" fillId="0" borderId="12" xfId="0" applyNumberFormat="1" applyFont="1" applyFill="1" applyBorder="1" applyAlignment="1"/>
    <xf numFmtId="0" fontId="15" fillId="3" borderId="2" xfId="0" applyNumberFormat="1" applyFont="1" applyFill="1" applyBorder="1" applyAlignment="1">
      <alignment horizontal="center"/>
    </xf>
    <xf numFmtId="44" fontId="17" fillId="3" borderId="2" xfId="0" applyNumberFormat="1" applyFont="1" applyFill="1" applyBorder="1" applyAlignment="1"/>
    <xf numFmtId="0" fontId="17" fillId="0" borderId="0" xfId="0" applyFont="1" applyFill="1" applyBorder="1" applyAlignment="1">
      <alignment horizontal="right"/>
    </xf>
    <xf numFmtId="0" fontId="0" fillId="0" borderId="0" xfId="0" applyAlignment="1"/>
    <xf numFmtId="0" fontId="0" fillId="0" borderId="0" xfId="0" applyBorder="1" applyAlignment="1"/>
    <xf numFmtId="0" fontId="7" fillId="0" borderId="0" xfId="0" applyNumberFormat="1" applyFont="1" applyBorder="1" applyAlignment="1">
      <alignment horizontal="left" wrapText="1"/>
    </xf>
    <xf numFmtId="44" fontId="5" fillId="2" borderId="0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right"/>
    </xf>
    <xf numFmtId="0" fontId="2" fillId="0" borderId="0" xfId="0" applyFont="1" applyAlignment="1"/>
    <xf numFmtId="44" fontId="10" fillId="2" borderId="0" xfId="0" applyNumberFormat="1" applyFont="1" applyFill="1" applyBorder="1" applyAlignment="1">
      <alignment horizontal="left" vertical="center"/>
    </xf>
    <xf numFmtId="44" fontId="9" fillId="2" borderId="0" xfId="0" applyNumberFormat="1" applyFont="1" applyFill="1" applyBorder="1" applyAlignment="1">
      <alignment horizontal="center"/>
    </xf>
    <xf numFmtId="0" fontId="15" fillId="0" borderId="4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Fill="1" applyBorder="1"/>
    <xf numFmtId="0" fontId="15" fillId="0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485775</xdr:rowOff>
    </xdr:from>
    <xdr:to>
      <xdr:col>1</xdr:col>
      <xdr:colOff>1457325</xdr:colOff>
      <xdr:row>1</xdr:row>
      <xdr:rowOff>76200</xdr:rowOff>
    </xdr:to>
    <xdr:sp macro="" textlink="">
      <xdr:nvSpPr>
        <xdr:cNvPr id="1044" name="Text Box 20"/>
        <xdr:cNvSpPr txBox="1">
          <a:spLocks noChangeArrowheads="1"/>
        </xdr:cNvSpPr>
      </xdr:nvSpPr>
      <xdr:spPr bwMode="auto">
        <a:xfrm>
          <a:off x="142875" y="485775"/>
          <a:ext cx="158115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720" rIns="91440" bIns="4572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order form*</a:t>
          </a:r>
        </a:p>
      </xdr:txBody>
    </xdr:sp>
    <xdr:clientData/>
  </xdr:twoCellAnchor>
  <xdr:twoCellAnchor>
    <xdr:from>
      <xdr:col>0</xdr:col>
      <xdr:colOff>0</xdr:colOff>
      <xdr:row>27</xdr:row>
      <xdr:rowOff>9525</xdr:rowOff>
    </xdr:from>
    <xdr:to>
      <xdr:col>6</xdr:col>
      <xdr:colOff>133350</xdr:colOff>
      <xdr:row>32</xdr:row>
      <xdr:rowOff>66675</xdr:rowOff>
    </xdr:to>
    <xdr:sp macro="" textlink="">
      <xdr:nvSpPr>
        <xdr:cNvPr id="1045" name="Text Box 21"/>
        <xdr:cNvSpPr txBox="1">
          <a:spLocks noChangeArrowheads="1"/>
        </xdr:cNvSpPr>
      </xdr:nvSpPr>
      <xdr:spPr bwMode="auto">
        <a:xfrm>
          <a:off x="0" y="6096000"/>
          <a:ext cx="477202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* Please fill this form out completely to avoid processing delays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** Prices are subject to change without notice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*** To pay by check or purchase order: complete this form, attach check or PO,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and return by mail, fax, or e-mail to the address above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</xdr:row>
      <xdr:rowOff>76200</xdr:rowOff>
    </xdr:from>
    <xdr:to>
      <xdr:col>4</xdr:col>
      <xdr:colOff>600075</xdr:colOff>
      <xdr:row>7</xdr:row>
      <xdr:rowOff>0</xdr:rowOff>
    </xdr:to>
    <xdr:sp macro="" textlink="">
      <xdr:nvSpPr>
        <xdr:cNvPr id="1046" name="Text Box 22"/>
        <xdr:cNvSpPr txBox="1">
          <a:spLocks noChangeArrowheads="1"/>
        </xdr:cNvSpPr>
      </xdr:nvSpPr>
      <xdr:spPr bwMode="auto">
        <a:xfrm>
          <a:off x="0" y="923925"/>
          <a:ext cx="440055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969696"/>
              </a:solidFill>
              <a:latin typeface="Verdana"/>
              <a:ea typeface="Verdana"/>
              <a:cs typeface="Verdana"/>
            </a:rPr>
            <a:t>SHIPPING INFORMATION</a:t>
          </a:r>
          <a:endParaRPr lang="en-US" sz="1000" b="1" i="0" u="sng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Org/Company Name: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First/Last Name: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Address: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City/ST/Zip: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Email address </a:t>
          </a:r>
          <a:r>
            <a:rPr lang="en-US" sz="1000" b="1" i="1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(required)</a:t>
          </a: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Phone: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</xdr:txBody>
    </xdr:sp>
    <xdr:clientData/>
  </xdr:twoCellAnchor>
  <xdr:twoCellAnchor>
    <xdr:from>
      <xdr:col>5</xdr:col>
      <xdr:colOff>123825</xdr:colOff>
      <xdr:row>1</xdr:row>
      <xdr:rowOff>76200</xdr:rowOff>
    </xdr:from>
    <xdr:to>
      <xdr:col>11</xdr:col>
      <xdr:colOff>9525</xdr:colOff>
      <xdr:row>7</xdr:row>
      <xdr:rowOff>190500</xdr:rowOff>
    </xdr:to>
    <xdr:sp macro="" textlink="">
      <xdr:nvSpPr>
        <xdr:cNvPr id="1047" name="Text Box 23"/>
        <xdr:cNvSpPr txBox="1">
          <a:spLocks noChangeArrowheads="1"/>
        </xdr:cNvSpPr>
      </xdr:nvSpPr>
      <xdr:spPr bwMode="auto">
        <a:xfrm>
          <a:off x="4629150" y="923925"/>
          <a:ext cx="393382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PAYMENT DETAILS***</a:t>
          </a:r>
          <a:endParaRPr lang="en-US" sz="1000" b="1" i="0" u="sng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Credit Card type (visa, mc, amex, discover):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Credit Card number: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Expiration date:</a:t>
          </a:r>
          <a:endParaRPr lang="en-US" sz="1000" b="1" i="0" u="sng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Name on card: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Billing address: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Billing zip: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</xdr:txBody>
    </xdr:sp>
    <xdr:clientData/>
  </xdr:twoCellAnchor>
  <xdr:twoCellAnchor>
    <xdr:from>
      <xdr:col>1</xdr:col>
      <xdr:colOff>1924050</xdr:colOff>
      <xdr:row>0</xdr:row>
      <xdr:rowOff>123825</xdr:rowOff>
    </xdr:from>
    <xdr:to>
      <xdr:col>11</xdr:col>
      <xdr:colOff>38100</xdr:colOff>
      <xdr:row>0</xdr:row>
      <xdr:rowOff>819150</xdr:rowOff>
    </xdr:to>
    <xdr:sp macro="" textlink="">
      <xdr:nvSpPr>
        <xdr:cNvPr id="1048" name="Text Box 24"/>
        <xdr:cNvSpPr txBox="1">
          <a:spLocks noChangeArrowheads="1"/>
        </xdr:cNvSpPr>
      </xdr:nvSpPr>
      <xdr:spPr bwMode="auto">
        <a:xfrm>
          <a:off x="2190750" y="123825"/>
          <a:ext cx="64008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36576" bIns="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1010 Wayne Avenue  Suite 870  Silver Spring, MD  20910</a:t>
          </a:r>
        </a:p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T: 301.589.1130  F:  301.589.1131</a:t>
          </a:r>
        </a:p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Ordering Questions? Contact Gerard Castillo</a:t>
          </a:r>
        </a:p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 (gcastillo@streetlaw.org, 240.821.1314)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28575</xdr:rowOff>
    </xdr:from>
    <xdr:to>
      <xdr:col>1</xdr:col>
      <xdr:colOff>1885142</xdr:colOff>
      <xdr:row>0</xdr:row>
      <xdr:rowOff>581025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8575"/>
          <a:ext cx="2132792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tabSelected="1" zoomScaleNormal="100" workbookViewId="0">
      <selection activeCell="L7" sqref="L7"/>
    </sheetView>
  </sheetViews>
  <sheetFormatPr defaultRowHeight="12.75" x14ac:dyDescent="0.2"/>
  <cols>
    <col min="1" max="1" width="4" style="16" bestFit="1" customWidth="1"/>
    <col min="2" max="2" width="35" style="1" customWidth="1"/>
    <col min="3" max="3" width="11" style="1" bestFit="1" customWidth="1"/>
    <col min="4" max="4" width="7" style="1" bestFit="1" customWidth="1"/>
    <col min="5" max="5" width="10.5703125" style="1" bestFit="1" customWidth="1"/>
    <col min="6" max="6" width="2" style="1" customWidth="1"/>
    <col min="7" max="7" width="4.28515625" style="1" customWidth="1"/>
    <col min="8" max="8" width="22.5703125" style="1" bestFit="1" customWidth="1"/>
    <col min="9" max="9" width="11" style="1" bestFit="1" customWidth="1"/>
    <col min="10" max="10" width="9.140625" style="1"/>
    <col min="11" max="11" width="11.7109375" style="1" bestFit="1" customWidth="1"/>
    <col min="12" max="16384" width="9.140625" style="1"/>
  </cols>
  <sheetData>
    <row r="1" spans="1:11" ht="66.75" customHeight="1" x14ac:dyDescent="0.6">
      <c r="A1" s="11"/>
      <c r="B1" s="7"/>
      <c r="C1" s="56"/>
      <c r="D1" s="56"/>
      <c r="E1" s="56"/>
      <c r="F1" s="9"/>
      <c r="G1" s="29"/>
      <c r="H1" s="29"/>
      <c r="I1" s="29"/>
      <c r="J1" s="29"/>
      <c r="K1" s="29"/>
    </row>
    <row r="2" spans="1:11" ht="16.5" customHeight="1" x14ac:dyDescent="0.25">
      <c r="A2" s="12"/>
      <c r="B2" s="57"/>
      <c r="C2" s="57"/>
      <c r="D2" s="57"/>
    </row>
    <row r="3" spans="1:11" ht="16.5" customHeight="1" x14ac:dyDescent="0.25">
      <c r="A3" s="12"/>
      <c r="B3" s="8"/>
      <c r="C3" s="8"/>
      <c r="D3" s="8"/>
    </row>
    <row r="4" spans="1:11" ht="16.5" customHeight="1" x14ac:dyDescent="0.25">
      <c r="A4" s="12"/>
      <c r="B4" s="8"/>
      <c r="C4" s="8"/>
      <c r="D4" s="8"/>
    </row>
    <row r="5" spans="1:11" ht="16.5" customHeight="1" x14ac:dyDescent="0.25">
      <c r="A5" s="12"/>
      <c r="B5" s="8"/>
      <c r="C5" s="8"/>
      <c r="D5" s="8"/>
    </row>
    <row r="6" spans="1:11" ht="16.5" customHeight="1" x14ac:dyDescent="0.25">
      <c r="A6" s="12"/>
      <c r="B6" s="8"/>
      <c r="C6" s="8"/>
      <c r="D6" s="8"/>
    </row>
    <row r="7" spans="1:11" ht="16.5" customHeight="1" x14ac:dyDescent="0.25">
      <c r="A7" s="12"/>
      <c r="B7" s="8"/>
      <c r="C7" s="8"/>
      <c r="D7" s="8"/>
    </row>
    <row r="8" spans="1:11" ht="16.5" customHeight="1" x14ac:dyDescent="0.25">
      <c r="A8" s="13"/>
      <c r="B8" s="57"/>
      <c r="C8" s="57"/>
      <c r="D8" s="57"/>
    </row>
    <row r="9" spans="1:11" ht="16.5" customHeight="1" x14ac:dyDescent="0.25">
      <c r="A9" s="13"/>
      <c r="B9" s="8"/>
      <c r="C9" s="8"/>
      <c r="D9" s="8"/>
    </row>
    <row r="10" spans="1:11" s="35" customFormat="1" x14ac:dyDescent="0.2">
      <c r="A10" s="30" t="s">
        <v>8</v>
      </c>
      <c r="B10" s="31" t="s">
        <v>15</v>
      </c>
      <c r="C10" s="36" t="s">
        <v>13</v>
      </c>
      <c r="D10" s="31" t="s">
        <v>14</v>
      </c>
      <c r="E10" s="32" t="s">
        <v>9</v>
      </c>
      <c r="F10" s="33"/>
      <c r="G10" s="34" t="s">
        <v>8</v>
      </c>
      <c r="H10" s="31" t="s">
        <v>16</v>
      </c>
      <c r="I10" s="36" t="s">
        <v>13</v>
      </c>
      <c r="J10" s="31" t="s">
        <v>14</v>
      </c>
      <c r="K10" s="31" t="s">
        <v>9</v>
      </c>
    </row>
    <row r="11" spans="1:11" s="10" customFormat="1" ht="15.95" customHeight="1" x14ac:dyDescent="0.2">
      <c r="A11" s="41"/>
      <c r="B11" s="42" t="s">
        <v>25</v>
      </c>
      <c r="C11" s="43">
        <v>30</v>
      </c>
      <c r="D11" s="44">
        <v>5.95</v>
      </c>
      <c r="E11" s="26" t="str">
        <f t="shared" ref="E11:E24" si="0">IF(SUM(A11)&gt;0,SUM(A11*(D11+C11)),"")</f>
        <v/>
      </c>
      <c r="F11" s="25"/>
      <c r="G11" s="60"/>
      <c r="H11" s="19" t="s">
        <v>1</v>
      </c>
      <c r="I11" s="20">
        <v>35</v>
      </c>
      <c r="J11" s="44">
        <v>5.95</v>
      </c>
      <c r="K11" s="18" t="str">
        <f t="shared" ref="K11:K18" si="1">IF(SUM(G11)&gt;0,SUM(G11*(J11+I11)),"")</f>
        <v/>
      </c>
    </row>
    <row r="12" spans="1:11" s="10" customFormat="1" ht="15.95" customHeight="1" x14ac:dyDescent="0.2">
      <c r="A12" s="49"/>
      <c r="B12" s="19" t="s">
        <v>3</v>
      </c>
      <c r="C12" s="20">
        <v>28.5</v>
      </c>
      <c r="D12" s="44">
        <v>5.95</v>
      </c>
      <c r="E12" s="18" t="str">
        <f t="shared" si="0"/>
        <v/>
      </c>
      <c r="F12" s="40"/>
      <c r="G12" s="61"/>
      <c r="H12" s="19" t="s">
        <v>2</v>
      </c>
      <c r="I12" s="20">
        <v>20</v>
      </c>
      <c r="J12" s="44">
        <v>5.95</v>
      </c>
      <c r="K12" s="18" t="str">
        <f t="shared" si="1"/>
        <v/>
      </c>
    </row>
    <row r="13" spans="1:11" s="10" customFormat="1" ht="15.95" customHeight="1" x14ac:dyDescent="0.2">
      <c r="A13" s="17"/>
      <c r="B13" s="19" t="s">
        <v>4</v>
      </c>
      <c r="C13" s="20">
        <v>129</v>
      </c>
      <c r="D13" s="20">
        <v>12.35</v>
      </c>
      <c r="E13" s="18" t="str">
        <f t="shared" si="0"/>
        <v/>
      </c>
      <c r="F13" s="40"/>
      <c r="G13" s="61"/>
      <c r="H13" s="19" t="s">
        <v>27</v>
      </c>
      <c r="I13" s="20">
        <v>10</v>
      </c>
      <c r="J13" s="44">
        <v>5.95</v>
      </c>
      <c r="K13" s="18" t="str">
        <f t="shared" si="1"/>
        <v/>
      </c>
    </row>
    <row r="14" spans="1:11" s="10" customFormat="1" ht="15.95" customHeight="1" x14ac:dyDescent="0.2">
      <c r="A14" s="49"/>
      <c r="B14" s="19" t="s">
        <v>21</v>
      </c>
      <c r="C14" s="20">
        <v>89</v>
      </c>
      <c r="D14" s="44">
        <v>5.95</v>
      </c>
      <c r="E14" s="18" t="str">
        <f t="shared" si="0"/>
        <v/>
      </c>
      <c r="F14" s="40"/>
      <c r="G14" s="61"/>
      <c r="H14" s="19" t="s">
        <v>28</v>
      </c>
      <c r="I14" s="19">
        <v>8.5</v>
      </c>
      <c r="J14" s="44">
        <v>5.95</v>
      </c>
      <c r="K14" s="18" t="str">
        <f t="shared" si="1"/>
        <v/>
      </c>
    </row>
    <row r="15" spans="1:11" s="10" customFormat="1" ht="24.75" customHeight="1" x14ac:dyDescent="0.2">
      <c r="A15" s="17"/>
      <c r="B15" s="39" t="s">
        <v>23</v>
      </c>
      <c r="C15" s="20">
        <v>40</v>
      </c>
      <c r="D15" s="44">
        <v>5.95</v>
      </c>
      <c r="E15" s="18" t="str">
        <f t="shared" si="0"/>
        <v/>
      </c>
      <c r="F15" s="40"/>
      <c r="G15" s="61"/>
      <c r="H15" s="19" t="s">
        <v>17</v>
      </c>
      <c r="I15" s="20">
        <v>25</v>
      </c>
      <c r="J15" s="44">
        <v>5.95</v>
      </c>
      <c r="K15" s="18" t="str">
        <f t="shared" si="1"/>
        <v/>
      </c>
    </row>
    <row r="16" spans="1:11" s="10" customFormat="1" ht="15.95" customHeight="1" x14ac:dyDescent="0.2">
      <c r="A16" s="49"/>
      <c r="B16" s="19" t="s">
        <v>5</v>
      </c>
      <c r="C16" s="20">
        <v>189</v>
      </c>
      <c r="D16" s="20">
        <v>17.45</v>
      </c>
      <c r="E16" s="18" t="str">
        <f t="shared" si="0"/>
        <v/>
      </c>
      <c r="F16" s="40"/>
      <c r="G16" s="61"/>
      <c r="H16" s="19" t="s">
        <v>18</v>
      </c>
      <c r="I16" s="20">
        <v>58.75</v>
      </c>
      <c r="J16" s="44">
        <v>5.95</v>
      </c>
      <c r="K16" s="18" t="str">
        <f t="shared" si="1"/>
        <v/>
      </c>
    </row>
    <row r="17" spans="1:11" s="10" customFormat="1" ht="15.95" customHeight="1" x14ac:dyDescent="0.2">
      <c r="A17" s="17"/>
      <c r="B17" s="19" t="s">
        <v>6</v>
      </c>
      <c r="C17" s="20">
        <v>99</v>
      </c>
      <c r="D17" s="44">
        <v>5.95</v>
      </c>
      <c r="E17" s="18" t="str">
        <f t="shared" si="0"/>
        <v/>
      </c>
      <c r="F17" s="40"/>
      <c r="G17" s="61"/>
      <c r="H17" s="19" t="s">
        <v>19</v>
      </c>
      <c r="I17" s="20">
        <v>110</v>
      </c>
      <c r="J17" s="20">
        <v>12.35</v>
      </c>
      <c r="K17" s="18" t="str">
        <f t="shared" si="1"/>
        <v/>
      </c>
    </row>
    <row r="18" spans="1:11" s="10" customFormat="1" ht="15.75" customHeight="1" x14ac:dyDescent="0.2">
      <c r="A18" s="49"/>
      <c r="B18" s="19" t="s">
        <v>26</v>
      </c>
      <c r="C18" s="20">
        <v>25</v>
      </c>
      <c r="D18" s="44">
        <v>5.95</v>
      </c>
      <c r="E18" s="18" t="str">
        <f t="shared" si="0"/>
        <v/>
      </c>
      <c r="F18" s="40"/>
      <c r="G18" s="61"/>
      <c r="H18" s="19" t="s">
        <v>20</v>
      </c>
      <c r="I18" s="20">
        <v>200</v>
      </c>
      <c r="J18" s="20">
        <v>12.35</v>
      </c>
      <c r="K18" s="18" t="str">
        <f t="shared" si="1"/>
        <v/>
      </c>
    </row>
    <row r="19" spans="1:11" s="10" customFormat="1" ht="15.95" customHeight="1" x14ac:dyDescent="0.2">
      <c r="A19" s="45"/>
      <c r="B19" s="46" t="s">
        <v>22</v>
      </c>
      <c r="C19" s="47">
        <v>118</v>
      </c>
      <c r="D19" s="44">
        <v>5.95</v>
      </c>
      <c r="E19" s="48" t="str">
        <f t="shared" si="0"/>
        <v/>
      </c>
      <c r="F19" s="25"/>
      <c r="G19" s="62"/>
      <c r="H19" s="19"/>
      <c r="I19" s="20"/>
      <c r="J19" s="20"/>
      <c r="K19" s="18"/>
    </row>
    <row r="20" spans="1:11" s="10" customFormat="1" ht="15.95" customHeight="1" x14ac:dyDescent="0.2">
      <c r="A20" s="49"/>
      <c r="B20" s="19" t="s">
        <v>7</v>
      </c>
      <c r="C20" s="20">
        <v>79</v>
      </c>
      <c r="D20" s="20">
        <v>12.35</v>
      </c>
      <c r="E20" s="23" t="str">
        <f t="shared" si="0"/>
        <v/>
      </c>
      <c r="F20" s="25"/>
      <c r="G20" s="62"/>
      <c r="H20" s="19"/>
      <c r="I20" s="20"/>
      <c r="J20" s="20"/>
      <c r="K20" s="18"/>
    </row>
    <row r="21" spans="1:11" s="10" customFormat="1" ht="15.95" customHeight="1" x14ac:dyDescent="0.2">
      <c r="A21" s="17"/>
      <c r="B21" s="19" t="s">
        <v>24</v>
      </c>
      <c r="C21" s="20">
        <v>40</v>
      </c>
      <c r="D21" s="44">
        <v>5.95</v>
      </c>
      <c r="E21" s="23" t="str">
        <f>IF(SUM(A21)&gt;0,SUM(A21*(D22+C21)),"")</f>
        <v/>
      </c>
      <c r="F21" s="25"/>
      <c r="G21" s="62"/>
      <c r="H21" s="19"/>
      <c r="I21" s="20"/>
      <c r="J21" s="20"/>
      <c r="K21" s="18"/>
    </row>
    <row r="22" spans="1:11" s="10" customFormat="1" ht="15.95" customHeight="1" x14ac:dyDescent="0.2">
      <c r="A22" s="49"/>
      <c r="B22" s="19" t="s">
        <v>29</v>
      </c>
      <c r="C22" s="20">
        <v>50</v>
      </c>
      <c r="D22" s="44">
        <v>5.95</v>
      </c>
      <c r="E22" s="23" t="str">
        <f>IF(SUM(A22)&gt;0,SUM(A22*(#REF!+#REF!)),"")</f>
        <v/>
      </c>
      <c r="F22" s="25"/>
      <c r="G22" s="62"/>
      <c r="H22" s="19"/>
      <c r="I22" s="20"/>
      <c r="J22" s="20"/>
      <c r="K22" s="18"/>
    </row>
    <row r="23" spans="1:11" s="10" customFormat="1" ht="15.95" customHeight="1" x14ac:dyDescent="0.2">
      <c r="A23" s="17"/>
      <c r="B23" s="19"/>
      <c r="C23" s="20"/>
      <c r="D23" s="20"/>
      <c r="E23" s="18" t="str">
        <f t="shared" si="0"/>
        <v/>
      </c>
      <c r="F23" s="25"/>
      <c r="G23" s="62"/>
      <c r="H23" s="19"/>
      <c r="I23" s="20"/>
      <c r="J23" s="20"/>
      <c r="K23" s="18"/>
    </row>
    <row r="24" spans="1:11" s="10" customFormat="1" ht="15.95" customHeight="1" x14ac:dyDescent="0.2">
      <c r="A24" s="17"/>
      <c r="B24" s="19"/>
      <c r="C24" s="20"/>
      <c r="D24" s="20"/>
      <c r="E24" s="18" t="str">
        <f t="shared" si="0"/>
        <v/>
      </c>
      <c r="F24" s="25"/>
      <c r="G24" s="62"/>
      <c r="H24" s="19"/>
      <c r="I24" s="20"/>
      <c r="J24" s="20"/>
      <c r="K24" s="18"/>
    </row>
    <row r="25" spans="1:11" s="10" customFormat="1" ht="15.95" customHeight="1" x14ac:dyDescent="0.2">
      <c r="A25" s="17"/>
      <c r="B25" s="38"/>
      <c r="C25" s="38"/>
      <c r="D25" s="38"/>
      <c r="E25" s="18" t="str">
        <f>IF(SUM(A25)&gt;0,SUM(A25*(#REF!+C22)),"")</f>
        <v/>
      </c>
      <c r="F25" s="25"/>
      <c r="G25" s="62"/>
      <c r="H25" s="19"/>
      <c r="I25" s="20"/>
      <c r="J25" s="20"/>
      <c r="K25" s="18"/>
    </row>
    <row r="26" spans="1:11" s="10" customFormat="1" ht="15.95" customHeight="1" x14ac:dyDescent="0.2">
      <c r="A26" s="17"/>
      <c r="B26" s="19"/>
      <c r="C26" s="20"/>
      <c r="D26" s="20"/>
      <c r="E26" s="18"/>
      <c r="F26" s="25"/>
      <c r="G26" s="63"/>
      <c r="H26" s="19"/>
      <c r="I26" s="20"/>
      <c r="J26" s="20"/>
      <c r="K26" s="18"/>
    </row>
    <row r="27" spans="1:11" ht="15.95" customHeight="1" x14ac:dyDescent="0.2">
      <c r="A27" s="1"/>
      <c r="E27" s="27"/>
      <c r="F27" s="24"/>
      <c r="G27" s="28"/>
      <c r="H27" s="2"/>
      <c r="I27" s="2"/>
      <c r="J27" s="21" t="s">
        <v>11</v>
      </c>
      <c r="K27" s="37">
        <f>SUM(E11:E25)</f>
        <v>0</v>
      </c>
    </row>
    <row r="28" spans="1:11" ht="15.95" customHeight="1" x14ac:dyDescent="0.2">
      <c r="A28" s="1"/>
      <c r="E28" s="24"/>
      <c r="F28" s="24"/>
      <c r="G28" s="14"/>
      <c r="H28" s="2"/>
      <c r="I28" s="2"/>
      <c r="J28" s="21" t="s">
        <v>12</v>
      </c>
      <c r="K28" s="50">
        <f>SUM(K11:K26)</f>
        <v>0</v>
      </c>
    </row>
    <row r="29" spans="1:11" ht="15.95" customHeight="1" x14ac:dyDescent="0.2">
      <c r="A29" s="1"/>
      <c r="G29" s="51" t="s">
        <v>10</v>
      </c>
      <c r="H29" s="52"/>
      <c r="I29" s="52"/>
      <c r="J29" s="53"/>
      <c r="K29" s="22"/>
    </row>
    <row r="30" spans="1:11" ht="15.95" customHeight="1" x14ac:dyDescent="0.2">
      <c r="A30" s="1"/>
      <c r="G30" s="54"/>
      <c r="H30" s="54"/>
      <c r="I30" s="2"/>
      <c r="J30" s="21" t="s">
        <v>0</v>
      </c>
      <c r="K30" s="50">
        <f>SUM(K27:K29)</f>
        <v>0</v>
      </c>
    </row>
    <row r="31" spans="1:11" ht="15.95" customHeight="1" x14ac:dyDescent="0.2">
      <c r="A31" s="59" t="str">
        <f>IF(SUM(J30)&gt;0,SUM((J30*D31)+J30),"")</f>
        <v/>
      </c>
      <c r="B31" s="59"/>
      <c r="C31" s="3"/>
      <c r="D31" s="3"/>
      <c r="E31" s="3"/>
      <c r="F31" s="3"/>
    </row>
    <row r="32" spans="1:11" ht="15.95" customHeight="1" x14ac:dyDescent="0.2">
      <c r="A32" s="15"/>
      <c r="B32" s="3"/>
      <c r="C32" s="55"/>
      <c r="D32" s="55"/>
      <c r="E32" s="55"/>
      <c r="F32" s="15"/>
    </row>
    <row r="33" spans="1:6" ht="15.95" customHeight="1" x14ac:dyDescent="0.2">
      <c r="A33" s="15"/>
      <c r="B33" s="3"/>
      <c r="C33" s="58"/>
      <c r="D33" s="58"/>
      <c r="E33" s="4"/>
      <c r="F33" s="4"/>
    </row>
    <row r="34" spans="1:6" ht="15.95" customHeight="1" x14ac:dyDescent="0.2">
      <c r="A34" s="15"/>
      <c r="B34" s="3"/>
      <c r="C34" s="3"/>
      <c r="D34" s="3"/>
      <c r="E34" s="3"/>
      <c r="F34" s="3"/>
    </row>
    <row r="35" spans="1:6" ht="15.95" customHeight="1" x14ac:dyDescent="0.2">
      <c r="A35" s="15"/>
      <c r="B35" s="3"/>
      <c r="C35" s="3"/>
      <c r="D35" s="3"/>
      <c r="E35" s="3"/>
      <c r="F35" s="3"/>
    </row>
    <row r="36" spans="1:6" ht="10.5" customHeight="1" x14ac:dyDescent="0.2"/>
    <row r="37" spans="1:6" x14ac:dyDescent="0.2">
      <c r="A37" s="5"/>
      <c r="B37" s="6"/>
      <c r="C37" s="6"/>
      <c r="D37" s="6"/>
    </row>
  </sheetData>
  <mergeCells count="8">
    <mergeCell ref="C33:D33"/>
    <mergeCell ref="A31:B31"/>
    <mergeCell ref="G29:J29"/>
    <mergeCell ref="G30:H30"/>
    <mergeCell ref="C32:E32"/>
    <mergeCell ref="C1:E1"/>
    <mergeCell ref="B8:D8"/>
    <mergeCell ref="B2:D2"/>
  </mergeCells>
  <phoneticPr fontId="1" type="noConversion"/>
  <pageMargins left="0.5" right="0.5" top="0.5" bottom="0.5" header="0.5" footer="0.5"/>
  <pageSetup orientation="landscape" horizontalDpi="4294967293" r:id="rId1"/>
  <headerFooter alignWithMargins="0"/>
  <ignoredErrors>
    <ignoredError sqref="E2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</dc:creator>
  <cp:lastModifiedBy>Allison Hawkins</cp:lastModifiedBy>
  <cp:lastPrinted>2014-05-02T15:38:50Z</cp:lastPrinted>
  <dcterms:created xsi:type="dcterms:W3CDTF">2006-01-23T19:37:33Z</dcterms:created>
  <dcterms:modified xsi:type="dcterms:W3CDTF">2014-05-02T15:38:56Z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TC101009891033</vt:lpwstr>
  </property>
</Properties>
</file>