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240" yWindow="240" windowWidth="25365" windowHeight="15600" tabRatio="500"/>
  </bookViews>
  <sheets>
    <sheet name="Dashboard" sheetId="1" r:id="rId1"/>
  </sheets>
  <definedNames>
    <definedName name="_xlnm.Print_Area" localSheetId="0">Dashboard!$A$1:$AN$50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30" i="1"/>
  <c r="C30"/>
  <c r="C17"/>
  <c r="K4"/>
  <c r="AA4"/>
</calcChain>
</file>

<file path=xl/sharedStrings.xml><?xml version="1.0" encoding="utf-8"?>
<sst xmlns="http://schemas.openxmlformats.org/spreadsheetml/2006/main" count="178" uniqueCount="97">
  <si>
    <t>Capital Campaign</t>
  </si>
  <si>
    <t>Enrollment</t>
  </si>
  <si>
    <t>Four Fundamentals</t>
  </si>
  <si>
    <t>Past Performance</t>
  </si>
  <si>
    <r>
      <rPr>
        <b/>
        <u/>
        <sz val="18"/>
        <color theme="1"/>
        <rFont val="Calibri"/>
        <family val="2"/>
        <scheme val="minor"/>
      </rPr>
      <t>Dashboard Key</t>
    </r>
    <r>
      <rPr>
        <b/>
        <sz val="18"/>
        <color theme="1"/>
        <rFont val="Calibri"/>
        <family val="2"/>
        <scheme val="minor"/>
      </rPr>
      <t xml:space="preserve">:  </t>
    </r>
    <r>
      <rPr>
        <b/>
        <i/>
        <sz val="18"/>
        <color theme="1"/>
        <rFont val="Calibri"/>
        <family val="2"/>
        <scheme val="minor"/>
      </rPr>
      <t>Connections to 4x4 Strategic Plan</t>
    </r>
  </si>
  <si>
    <t>Past Performance (in $ millions)</t>
  </si>
  <si>
    <t>Main campus headcount enrollment, fall term, including on-line</t>
  </si>
  <si>
    <t>Gifts (Pledges)</t>
  </si>
  <si>
    <t>Undergraduate Headcount</t>
  </si>
  <si>
    <t>Amount of sponsored funding received in the form of grants and contracts</t>
  </si>
  <si>
    <t>Percentage of full-time tenured and tenure-track faculty as a percentage of full time faculty</t>
  </si>
  <si>
    <t>Undergraduate and graduate FTE to FTE Faculty</t>
  </si>
  <si>
    <t>19:1</t>
  </si>
  <si>
    <t>Grants and Contracts</t>
  </si>
  <si>
    <t>Group I Faculty</t>
  </si>
  <si>
    <t>Student-Faculty Ratio</t>
  </si>
  <si>
    <t>Mean ACT score for new freshman</t>
  </si>
  <si>
    <t>Number of undergraduate degrees awarded</t>
  </si>
  <si>
    <t>Percentage of new freshman graduating at Ohio University within six years</t>
  </si>
  <si>
    <t>Percent of new freshman who return for a second year</t>
  </si>
  <si>
    <t>ACT Composite</t>
  </si>
  <si>
    <t>Degrees Granted</t>
  </si>
  <si>
    <t>Six-Year Graduation Rates</t>
  </si>
  <si>
    <t>First-Year Retention</t>
  </si>
  <si>
    <t>2006-07</t>
  </si>
  <si>
    <t>2007-08</t>
  </si>
  <si>
    <t>2008-09</t>
  </si>
  <si>
    <t>2009-10</t>
  </si>
  <si>
    <t>24:1</t>
  </si>
  <si>
    <t>PCOE</t>
  </si>
  <si>
    <t>20:1</t>
  </si>
  <si>
    <t xml:space="preserve">Past Performance </t>
  </si>
  <si>
    <t>17:1</t>
  </si>
  <si>
    <t>22:1</t>
  </si>
  <si>
    <t>23:1</t>
  </si>
  <si>
    <t>Average for Ohio University</t>
  </si>
  <si>
    <t>2010-11</t>
  </si>
  <si>
    <t>Annual Weighted Student Credit Hours</t>
  </si>
  <si>
    <t>2.25M</t>
  </si>
  <si>
    <t>2.3M</t>
  </si>
  <si>
    <t>2.2M</t>
  </si>
  <si>
    <t>Average for Ohio University(millions)</t>
  </si>
  <si>
    <t>Graduate Headcount</t>
  </si>
  <si>
    <t>Student Diversity</t>
  </si>
  <si>
    <t>2011 Quality Rating of Their Relationship with</t>
  </si>
  <si>
    <t xml:space="preserve"> Faculty Members</t>
  </si>
  <si>
    <t>Seniors</t>
  </si>
  <si>
    <t>Ohio</t>
  </si>
  <si>
    <t xml:space="preserve"> Freshmen</t>
  </si>
  <si>
    <t>Student-Faculty Interaction</t>
  </si>
  <si>
    <t>Student Travel</t>
  </si>
  <si>
    <t># Awarded</t>
  </si>
  <si>
    <t>Amount</t>
  </si>
  <si>
    <t>Students</t>
  </si>
  <si>
    <t>Clinical Expenses</t>
  </si>
  <si>
    <t>$5.1K</t>
  </si>
  <si>
    <t>$5.8K</t>
  </si>
  <si>
    <t>$9K</t>
  </si>
  <si>
    <t>$12.6K</t>
  </si>
  <si>
    <t>$287K</t>
  </si>
  <si>
    <t>$219K</t>
  </si>
  <si>
    <t>$670K</t>
  </si>
  <si>
    <t>$35M</t>
  </si>
  <si>
    <t>$509K</t>
  </si>
  <si>
    <t>(Cash Receipts)</t>
  </si>
  <si>
    <t xml:space="preserve">Number and Amount of travel grants awarded to </t>
  </si>
  <si>
    <t>Amount of clinical expenses in Teacher Education (thousands)</t>
  </si>
  <si>
    <t>Annual Weighted Student Credits Hours Taught</t>
  </si>
  <si>
    <t>Enrolled in 2004</t>
  </si>
  <si>
    <t>2011-12</t>
  </si>
  <si>
    <t>144K</t>
  </si>
  <si>
    <t>120K</t>
  </si>
  <si>
    <t>113K</t>
  </si>
  <si>
    <t>117K</t>
  </si>
  <si>
    <t>$2.35 Million</t>
  </si>
  <si>
    <t>35 / $12.5K</t>
  </si>
  <si>
    <t>Percent Enrolled that are Non-white (undergraduate</t>
  </si>
  <si>
    <t>and graduate)</t>
  </si>
  <si>
    <t>Total Amount of cash and pledges received within the last five years</t>
  </si>
  <si>
    <t>$36.8 Million</t>
  </si>
  <si>
    <t>Comparison of The Number of</t>
  </si>
  <si>
    <t>Graduates</t>
  </si>
  <si>
    <t>Bowling Green State University</t>
  </si>
  <si>
    <t>The Ohio State University</t>
  </si>
  <si>
    <t>Ohio University</t>
  </si>
  <si>
    <t>Miami University</t>
  </si>
  <si>
    <t>Kent State University</t>
  </si>
  <si>
    <t>University of Akron</t>
  </si>
  <si>
    <t>Wright State University</t>
  </si>
  <si>
    <t>University of Cincinnati</t>
  </si>
  <si>
    <t>Cleveland State University</t>
  </si>
  <si>
    <t>University of Toledo</t>
  </si>
  <si>
    <t>Youngstown State University</t>
  </si>
  <si>
    <t>Shawnee State University</t>
  </si>
  <si>
    <t>Central State University</t>
  </si>
  <si>
    <t xml:space="preserve">Source:  Ohio Department of Education, Quality  of </t>
  </si>
  <si>
    <t>Teacher Education in Ohio, 2009-2010</t>
  </si>
</sst>
</file>

<file path=xl/styles.xml><?xml version="1.0" encoding="utf-8"?>
<styleSheet xmlns="http://schemas.openxmlformats.org/spreadsheetml/2006/main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0.0"/>
    <numFmt numFmtId="167" formatCode="&quot;$&quot;#,##0.0"/>
    <numFmt numFmtId="168" formatCode="_(&quot;$&quot;* #,##0.0_);_(&quot;$&quot;* \(#,##0.0\);_(&quot;$&quot;* &quot;-&quot;??_);_(@_)"/>
    <numFmt numFmtId="169" formatCode="&quot;$&quot;#,##0.0&quot; million&quot;"/>
    <numFmt numFmtId="170" formatCode="#,##0.0_);\(#,##0.0\)"/>
  </numFmts>
  <fonts count="3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45AD3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A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CA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/>
  </cellStyleXfs>
  <cellXfs count="1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0" xfId="0" applyFont="1" applyBorder="1"/>
    <xf numFmtId="0" fontId="0" fillId="0" borderId="7" xfId="0" applyBorder="1"/>
    <xf numFmtId="0" fontId="1" fillId="0" borderId="0" xfId="0" applyFont="1"/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Border="1"/>
    <xf numFmtId="0" fontId="4" fillId="0" borderId="4" xfId="0" applyFont="1" applyBorder="1"/>
    <xf numFmtId="0" fontId="4" fillId="0" borderId="7" xfId="0" applyFont="1" applyBorder="1"/>
    <xf numFmtId="0" fontId="6" fillId="0" borderId="0" xfId="0" applyFont="1" applyBorder="1"/>
    <xf numFmtId="0" fontId="4" fillId="3" borderId="5" xfId="0" applyFont="1" applyFill="1" applyBorder="1"/>
    <xf numFmtId="0" fontId="4" fillId="3" borderId="6" xfId="0" applyFont="1" applyFill="1" applyBorder="1"/>
    <xf numFmtId="0" fontId="8" fillId="4" borderId="5" xfId="0" applyFont="1" applyFill="1" applyBorder="1"/>
    <xf numFmtId="0" fontId="8" fillId="4" borderId="6" xfId="0" applyFont="1" applyFill="1" applyBorder="1"/>
    <xf numFmtId="0" fontId="13" fillId="0" borderId="0" xfId="0" applyFont="1"/>
    <xf numFmtId="0" fontId="13" fillId="0" borderId="0" xfId="0" applyFont="1" applyBorder="1"/>
    <xf numFmtId="0" fontId="13" fillId="0" borderId="4" xfId="0" applyFont="1" applyBorder="1"/>
    <xf numFmtId="0" fontId="13" fillId="0" borderId="7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horizontal="left" wrapText="1"/>
    </xf>
    <xf numFmtId="166" fontId="3" fillId="0" borderId="2" xfId="0" applyNumberFormat="1" applyFont="1" applyBorder="1" applyAlignment="1">
      <alignment horizontal="center"/>
    </xf>
    <xf numFmtId="167" fontId="4" fillId="2" borderId="0" xfId="3" applyNumberFormat="1" applyFont="1" applyFill="1" applyBorder="1" applyAlignment="1">
      <alignment horizontal="center"/>
    </xf>
    <xf numFmtId="37" fontId="3" fillId="6" borderId="0" xfId="1" applyNumberFormat="1" applyFont="1" applyFill="1" applyBorder="1" applyAlignment="1">
      <alignment horizontal="center"/>
    </xf>
    <xf numFmtId="0" fontId="0" fillId="2" borderId="0" xfId="0" applyFill="1" applyBorder="1"/>
    <xf numFmtId="0" fontId="0" fillId="6" borderId="0" xfId="0" applyFill="1" applyBorder="1"/>
    <xf numFmtId="0" fontId="3" fillId="6" borderId="0" xfId="0" applyFont="1" applyFill="1" applyBorder="1"/>
    <xf numFmtId="0" fontId="5" fillId="0" borderId="0" xfId="0" applyFont="1"/>
    <xf numFmtId="37" fontId="18" fillId="6" borderId="0" xfId="1" applyNumberFormat="1" applyFont="1" applyFill="1" applyBorder="1" applyAlignment="1">
      <alignment horizontal="center"/>
    </xf>
    <xf numFmtId="0" fontId="9" fillId="2" borderId="0" xfId="0" applyFont="1" applyFill="1" applyBorder="1"/>
    <xf numFmtId="0" fontId="9" fillId="6" borderId="0" xfId="0" applyFont="1" applyFill="1" applyBorder="1"/>
    <xf numFmtId="0" fontId="11" fillId="6" borderId="0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0" fillId="0" borderId="2" xfId="0" applyFill="1" applyBorder="1"/>
    <xf numFmtId="0" fontId="0" fillId="7" borderId="0" xfId="0" applyFill="1" applyBorder="1"/>
    <xf numFmtId="164" fontId="3" fillId="7" borderId="0" xfId="3" applyNumberFormat="1" applyFont="1" applyFill="1" applyBorder="1" applyAlignment="1">
      <alignment horizontal="center"/>
    </xf>
    <xf numFmtId="9" fontId="3" fillId="7" borderId="0" xfId="3" applyNumberFormat="1" applyFont="1" applyFill="1" applyBorder="1" applyAlignment="1">
      <alignment horizontal="center"/>
    </xf>
    <xf numFmtId="1" fontId="3" fillId="7" borderId="0" xfId="0" applyNumberFormat="1" applyFont="1" applyFill="1" applyBorder="1" applyAlignment="1">
      <alignment horizontal="center"/>
    </xf>
    <xf numFmtId="166" fontId="3" fillId="7" borderId="0" xfId="0" applyNumberFormat="1" applyFont="1" applyFill="1" applyBorder="1" applyAlignment="1">
      <alignment horizontal="center"/>
    </xf>
    <xf numFmtId="0" fontId="3" fillId="7" borderId="0" xfId="0" applyFont="1" applyFill="1" applyBorder="1"/>
    <xf numFmtId="167" fontId="4" fillId="7" borderId="0" xfId="3" applyNumberFormat="1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 vertical="center"/>
    </xf>
    <xf numFmtId="9" fontId="4" fillId="7" borderId="0" xfId="3" applyNumberFormat="1" applyFont="1" applyFill="1" applyBorder="1" applyAlignment="1">
      <alignment horizontal="center"/>
    </xf>
    <xf numFmtId="37" fontId="4" fillId="7" borderId="0" xfId="1" applyNumberFormat="1" applyFont="1" applyFill="1" applyBorder="1" applyAlignment="1">
      <alignment horizontal="center"/>
    </xf>
    <xf numFmtId="0" fontId="7" fillId="7" borderId="8" xfId="0" quotePrefix="1" applyFont="1" applyFill="1" applyBorder="1" applyAlignment="1">
      <alignment horizontal="center"/>
    </xf>
    <xf numFmtId="0" fontId="7" fillId="0" borderId="20" xfId="0" applyFont="1" applyBorder="1"/>
    <xf numFmtId="0" fontId="7" fillId="7" borderId="8" xfId="0" applyFont="1" applyFill="1" applyBorder="1" applyAlignment="1">
      <alignment horizontal="center"/>
    </xf>
    <xf numFmtId="0" fontId="7" fillId="7" borderId="0" xfId="0" quotePrefix="1" applyFont="1" applyFill="1" applyBorder="1" applyAlignment="1">
      <alignment horizontal="center"/>
    </xf>
    <xf numFmtId="0" fontId="9" fillId="7" borderId="0" xfId="0" applyFont="1" applyFill="1" applyBorder="1"/>
    <xf numFmtId="0" fontId="11" fillId="7" borderId="0" xfId="0" applyFont="1" applyFill="1" applyBorder="1" applyAlignment="1">
      <alignment horizontal="left" vertical="top" wrapText="1"/>
    </xf>
    <xf numFmtId="0" fontId="20" fillId="7" borderId="0" xfId="0" applyFont="1" applyFill="1" applyAlignment="1">
      <alignment vertical="top"/>
    </xf>
    <xf numFmtId="0" fontId="13" fillId="7" borderId="0" xfId="0" applyFont="1" applyFill="1" applyBorder="1"/>
    <xf numFmtId="170" fontId="4" fillId="7" borderId="0" xfId="1" applyNumberFormat="1" applyFont="1" applyFill="1" applyBorder="1" applyAlignment="1">
      <alignment horizontal="center"/>
    </xf>
    <xf numFmtId="37" fontId="3" fillId="7" borderId="0" xfId="1" applyNumberFormat="1" applyFont="1" applyFill="1" applyBorder="1" applyAlignment="1">
      <alignment horizontal="center"/>
    </xf>
    <xf numFmtId="9" fontId="3" fillId="7" borderId="0" xfId="3" applyFont="1" applyFill="1" applyBorder="1" applyAlignment="1">
      <alignment horizontal="center"/>
    </xf>
    <xf numFmtId="166" fontId="4" fillId="7" borderId="0" xfId="0" applyNumberFormat="1" applyFont="1" applyFill="1" applyBorder="1" applyAlignment="1">
      <alignment horizontal="center"/>
    </xf>
    <xf numFmtId="9" fontId="4" fillId="7" borderId="0" xfId="3" applyFont="1" applyFill="1" applyBorder="1" applyAlignment="1">
      <alignment horizontal="center"/>
    </xf>
    <xf numFmtId="164" fontId="4" fillId="7" borderId="0" xfId="3" applyNumberFormat="1" applyFont="1" applyFill="1" applyBorder="1" applyAlignment="1">
      <alignment horizontal="center"/>
    </xf>
    <xf numFmtId="9" fontId="12" fillId="7" borderId="0" xfId="3" applyFont="1" applyFill="1" applyBorder="1" applyAlignment="1">
      <alignment horizontal="left" vertical="center"/>
    </xf>
    <xf numFmtId="0" fontId="11" fillId="7" borderId="0" xfId="0" applyFont="1" applyFill="1" applyBorder="1" applyAlignment="1">
      <alignment horizontal="left" vertical="top"/>
    </xf>
    <xf numFmtId="0" fontId="7" fillId="7" borderId="4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37" fontId="4" fillId="7" borderId="8" xfId="1" quotePrefix="1" applyNumberFormat="1" applyFont="1" applyFill="1" applyBorder="1" applyAlignment="1">
      <alignment horizontal="center"/>
    </xf>
    <xf numFmtId="0" fontId="7" fillId="7" borderId="4" xfId="0" quotePrefix="1" applyFont="1" applyFill="1" applyBorder="1" applyAlignment="1">
      <alignment horizontal="center"/>
    </xf>
    <xf numFmtId="0" fontId="7" fillId="7" borderId="8" xfId="0" quotePrefix="1" applyFont="1" applyFill="1" applyBorder="1"/>
    <xf numFmtId="0" fontId="3" fillId="7" borderId="0" xfId="0" applyFont="1" applyFill="1"/>
    <xf numFmtId="0" fontId="22" fillId="7" borderId="0" xfId="0" applyFont="1" applyFill="1" applyAlignment="1">
      <alignment vertical="top"/>
    </xf>
    <xf numFmtId="0" fontId="7" fillId="6" borderId="8" xfId="0" quotePrefix="1" applyFont="1" applyFill="1" applyBorder="1"/>
    <xf numFmtId="1" fontId="4" fillId="6" borderId="0" xfId="3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3" fontId="3" fillId="6" borderId="0" xfId="0" applyNumberFormat="1" applyFont="1" applyFill="1" applyBorder="1"/>
    <xf numFmtId="168" fontId="3" fillId="6" borderId="0" xfId="2" applyNumberFormat="1" applyFont="1" applyFill="1" applyBorder="1" applyAlignment="1">
      <alignment horizontal="center"/>
    </xf>
    <xf numFmtId="169" fontId="19" fillId="6" borderId="0" xfId="2" applyNumberFormat="1" applyFont="1" applyFill="1" applyBorder="1" applyAlignment="1">
      <alignment horizontal="left" vertical="center" wrapText="1"/>
    </xf>
    <xf numFmtId="0" fontId="11" fillId="6" borderId="0" xfId="0" applyFont="1" applyFill="1" applyBorder="1" applyAlignment="1">
      <alignment horizontal="left" vertical="top"/>
    </xf>
    <xf numFmtId="0" fontId="9" fillId="6" borderId="0" xfId="0" applyFont="1" applyFill="1" applyBorder="1" applyAlignment="1">
      <alignment horizontal="left"/>
    </xf>
    <xf numFmtId="0" fontId="9" fillId="7" borderId="0" xfId="0" applyFont="1" applyFill="1" applyBorder="1" applyAlignment="1"/>
    <xf numFmtId="0" fontId="0" fillId="7" borderId="0" xfId="0" applyFill="1" applyBorder="1" applyAlignment="1"/>
    <xf numFmtId="9" fontId="23" fillId="7" borderId="0" xfId="3" applyFont="1" applyFill="1" applyBorder="1" applyAlignment="1">
      <alignment horizontal="left" vertical="center"/>
    </xf>
    <xf numFmtId="170" fontId="24" fillId="7" borderId="0" xfId="1" applyNumberFormat="1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7" fillId="7" borderId="0" xfId="0" quotePrefix="1" applyFont="1" applyFill="1" applyBorder="1" applyAlignment="1">
      <alignment horizontal="right"/>
    </xf>
    <xf numFmtId="0" fontId="9" fillId="7" borderId="0" xfId="0" applyFont="1" applyFill="1" applyBorder="1" applyAlignment="1">
      <alignment horizontal="center" vertical="top"/>
    </xf>
    <xf numFmtId="0" fontId="9" fillId="7" borderId="0" xfId="0" applyFont="1" applyFill="1" applyBorder="1" applyAlignment="1">
      <alignment horizontal="left" vertical="top"/>
    </xf>
    <xf numFmtId="0" fontId="9" fillId="7" borderId="0" xfId="0" applyFont="1" applyFill="1" applyBorder="1" applyAlignment="1">
      <alignment horizontal="right" vertical="top"/>
    </xf>
    <xf numFmtId="0" fontId="0" fillId="8" borderId="0" xfId="0" applyFill="1" applyBorder="1"/>
    <xf numFmtId="0" fontId="9" fillId="8" borderId="0" xfId="0" applyFont="1" applyFill="1" applyBorder="1"/>
    <xf numFmtId="1" fontId="4" fillId="8" borderId="0" xfId="3" applyNumberFormat="1" applyFont="1" applyFill="1" applyBorder="1" applyAlignment="1">
      <alignment horizontal="center"/>
    </xf>
    <xf numFmtId="0" fontId="3" fillId="8" borderId="0" xfId="0" applyFont="1" applyFill="1" applyBorder="1"/>
    <xf numFmtId="3" fontId="3" fillId="8" borderId="0" xfId="0" applyNumberFormat="1" applyFont="1" applyFill="1" applyBorder="1"/>
    <xf numFmtId="0" fontId="7" fillId="8" borderId="4" xfId="0" applyFont="1" applyFill="1" applyBorder="1" applyAlignment="1">
      <alignment horizontal="center"/>
    </xf>
    <xf numFmtId="1" fontId="26" fillId="8" borderId="0" xfId="3" applyNumberFormat="1" applyFont="1" applyFill="1" applyBorder="1" applyAlignment="1">
      <alignment horizontal="center" wrapText="1"/>
    </xf>
    <xf numFmtId="0" fontId="11" fillId="8" borderId="0" xfId="0" applyFont="1" applyFill="1" applyBorder="1" applyAlignment="1">
      <alignment horizontal="left" vertical="top" wrapText="1"/>
    </xf>
    <xf numFmtId="0" fontId="11" fillId="8" borderId="0" xfId="0" applyFont="1" applyFill="1" applyBorder="1" applyAlignment="1">
      <alignment horizontal="left" vertical="top"/>
    </xf>
    <xf numFmtId="0" fontId="17" fillId="8" borderId="0" xfId="0" applyFont="1" applyFill="1" applyBorder="1" applyAlignment="1">
      <alignment wrapText="1"/>
    </xf>
    <xf numFmtId="0" fontId="4" fillId="8" borderId="0" xfId="0" applyFont="1" applyFill="1" applyBorder="1" applyAlignment="1">
      <alignment horizontal="center"/>
    </xf>
    <xf numFmtId="165" fontId="4" fillId="8" borderId="0" xfId="3" applyNumberFormat="1" applyFont="1" applyFill="1" applyBorder="1" applyAlignment="1">
      <alignment horizontal="center"/>
    </xf>
    <xf numFmtId="0" fontId="0" fillId="0" borderId="22" xfId="0" applyBorder="1"/>
    <xf numFmtId="0" fontId="0" fillId="0" borderId="18" xfId="0" applyFill="1" applyBorder="1"/>
    <xf numFmtId="0" fontId="7" fillId="2" borderId="8" xfId="0" applyFont="1" applyFill="1" applyBorder="1" applyAlignment="1">
      <alignment horizontal="center"/>
    </xf>
    <xf numFmtId="0" fontId="7" fillId="2" borderId="8" xfId="0" quotePrefix="1" applyFont="1" applyFill="1" applyBorder="1"/>
    <xf numFmtId="0" fontId="7" fillId="2" borderId="0" xfId="0" applyFont="1" applyFill="1" applyBorder="1" applyAlignment="1">
      <alignment horizontal="center"/>
    </xf>
    <xf numFmtId="0" fontId="27" fillId="2" borderId="0" xfId="0" applyFont="1" applyFill="1" applyBorder="1"/>
    <xf numFmtId="0" fontId="11" fillId="7" borderId="0" xfId="0" applyFont="1" applyFill="1" applyAlignment="1">
      <alignment vertical="top"/>
    </xf>
    <xf numFmtId="0" fontId="4" fillId="7" borderId="0" xfId="0" applyFont="1" applyFill="1" applyBorder="1" applyAlignment="1">
      <alignment horizontal="right"/>
    </xf>
    <xf numFmtId="0" fontId="4" fillId="7" borderId="0" xfId="0" applyFont="1" applyFill="1" applyBorder="1" applyAlignment="1"/>
    <xf numFmtId="39" fontId="24" fillId="7" borderId="0" xfId="1" applyNumberFormat="1" applyFont="1" applyFill="1" applyBorder="1" applyAlignment="1">
      <alignment horizontal="right"/>
    </xf>
    <xf numFmtId="49" fontId="3" fillId="7" borderId="0" xfId="0" applyNumberFormat="1" applyFont="1" applyFill="1" applyBorder="1" applyAlignment="1"/>
    <xf numFmtId="49" fontId="32" fillId="7" borderId="0" xfId="0" applyNumberFormat="1" applyFont="1" applyFill="1" applyBorder="1" applyAlignment="1">
      <alignment horizontal="center"/>
    </xf>
    <xf numFmtId="1" fontId="3" fillId="7" borderId="0" xfId="0" quotePrefix="1" applyNumberFormat="1" applyFont="1" applyFill="1" applyBorder="1" applyAlignment="1">
      <alignment horizontal="left"/>
    </xf>
    <xf numFmtId="1" fontId="3" fillId="7" borderId="0" xfId="0" applyNumberFormat="1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1" fontId="12" fillId="0" borderId="0" xfId="3" applyNumberFormat="1" applyFont="1" applyFill="1" applyBorder="1" applyAlignment="1">
      <alignment horizontal="left" vertical="center"/>
    </xf>
    <xf numFmtId="0" fontId="0" fillId="0" borderId="0" xfId="0" applyFill="1" applyBorder="1" applyAlignment="1"/>
    <xf numFmtId="0" fontId="13" fillId="0" borderId="0" xfId="0" applyFont="1" applyFill="1" applyBorder="1" applyAlignment="1"/>
    <xf numFmtId="0" fontId="11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/>
    </xf>
    <xf numFmtId="0" fontId="7" fillId="0" borderId="0" xfId="0" quotePrefix="1" applyFont="1" applyFill="1" applyBorder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64" fontId="4" fillId="6" borderId="0" xfId="0" quotePrefix="1" applyNumberFormat="1" applyFont="1" applyFill="1" applyBorder="1" applyAlignment="1">
      <alignment horizontal="center"/>
    </xf>
    <xf numFmtId="164" fontId="4" fillId="6" borderId="0" xfId="2" applyNumberFormat="1" applyFont="1" applyFill="1" applyBorder="1" applyAlignment="1">
      <alignment horizontal="center"/>
    </xf>
    <xf numFmtId="0" fontId="16" fillId="6" borderId="0" xfId="0" quotePrefix="1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3" fillId="6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13" fillId="8" borderId="0" xfId="0" applyFont="1" applyFill="1" applyBorder="1"/>
    <xf numFmtId="0" fontId="13" fillId="8" borderId="0" xfId="0" applyFont="1" applyFill="1" applyBorder="1" applyAlignment="1">
      <alignment vertical="top"/>
    </xf>
    <xf numFmtId="0" fontId="27" fillId="8" borderId="8" xfId="0" applyFont="1" applyFill="1" applyBorder="1"/>
    <xf numFmtId="0" fontId="27" fillId="8" borderId="6" xfId="0" applyFont="1" applyFill="1" applyBorder="1"/>
    <xf numFmtId="0" fontId="27" fillId="8" borderId="5" xfId="0" applyFont="1" applyFill="1" applyBorder="1"/>
    <xf numFmtId="0" fontId="27" fillId="8" borderId="8" xfId="0" applyFont="1" applyFill="1" applyBorder="1" applyAlignment="1">
      <alignment horizontal="center"/>
    </xf>
    <xf numFmtId="0" fontId="27" fillId="9" borderId="8" xfId="0" applyFont="1" applyFill="1" applyBorder="1"/>
    <xf numFmtId="0" fontId="27" fillId="9" borderId="6" xfId="0" applyFont="1" applyFill="1" applyBorder="1"/>
    <xf numFmtId="0" fontId="27" fillId="9" borderId="22" xfId="0" applyFont="1" applyFill="1" applyBorder="1"/>
    <xf numFmtId="0" fontId="27" fillId="9" borderId="5" xfId="0" applyFont="1" applyFill="1" applyBorder="1"/>
    <xf numFmtId="0" fontId="27" fillId="9" borderId="8" xfId="0" applyFont="1" applyFill="1" applyBorder="1" applyAlignment="1">
      <alignment horizontal="center"/>
    </xf>
    <xf numFmtId="0" fontId="27" fillId="8" borderId="22" xfId="0" applyFont="1" applyFill="1" applyBorder="1"/>
    <xf numFmtId="0" fontId="33" fillId="8" borderId="0" xfId="0" applyFont="1" applyFill="1"/>
    <xf numFmtId="0" fontId="27" fillId="8" borderId="0" xfId="0" applyFont="1" applyFill="1" applyBorder="1"/>
    <xf numFmtId="0" fontId="27" fillId="8" borderId="0" xfId="0" applyFont="1" applyFill="1" applyBorder="1" applyAlignment="1">
      <alignment horizontal="center"/>
    </xf>
    <xf numFmtId="0" fontId="33" fillId="8" borderId="0" xfId="0" applyFont="1" applyFill="1" applyAlignment="1">
      <alignment vertical="top"/>
    </xf>
    <xf numFmtId="0" fontId="11" fillId="8" borderId="0" xfId="0" applyFont="1" applyFill="1"/>
    <xf numFmtId="0" fontId="13" fillId="6" borderId="0" xfId="0" applyFont="1" applyFill="1" applyBorder="1" applyAlignment="1">
      <alignment horizontal="left"/>
    </xf>
    <xf numFmtId="0" fontId="13" fillId="8" borderId="0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 vertical="top" wrapText="1"/>
    </xf>
    <xf numFmtId="0" fontId="13" fillId="7" borderId="0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 vertical="top" wrapText="1"/>
    </xf>
    <xf numFmtId="20" fontId="12" fillId="7" borderId="0" xfId="3" quotePrefix="1" applyNumberFormat="1" applyFont="1" applyFill="1" applyBorder="1" applyAlignment="1">
      <alignment horizontal="left" vertical="center"/>
    </xf>
    <xf numFmtId="9" fontId="12" fillId="7" borderId="0" xfId="3" applyFont="1" applyFill="1" applyBorder="1" applyAlignment="1">
      <alignment horizontal="left" vertical="center"/>
    </xf>
    <xf numFmtId="164" fontId="12" fillId="7" borderId="0" xfId="3" applyNumberFormat="1" applyFont="1" applyFill="1" applyBorder="1" applyAlignment="1">
      <alignment horizontal="left" vertical="center"/>
    </xf>
    <xf numFmtId="165" fontId="12" fillId="8" borderId="0" xfId="3" applyNumberFormat="1" applyFont="1" applyFill="1" applyBorder="1" applyAlignment="1">
      <alignment horizontal="left" vertical="center"/>
    </xf>
    <xf numFmtId="165" fontId="25" fillId="8" borderId="0" xfId="3" applyNumberFormat="1" applyFont="1" applyFill="1" applyBorder="1" applyAlignment="1">
      <alignment horizontal="left" vertical="center"/>
    </xf>
    <xf numFmtId="0" fontId="25" fillId="0" borderId="0" xfId="0" applyFont="1" applyAlignment="1"/>
    <xf numFmtId="37" fontId="12" fillId="6" borderId="0" xfId="1" applyNumberFormat="1" applyFont="1" applyFill="1" applyBorder="1" applyAlignment="1">
      <alignment horizontal="left" vertical="center"/>
    </xf>
    <xf numFmtId="37" fontId="25" fillId="6" borderId="0" xfId="1" applyNumberFormat="1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left" vertical="top" wrapText="1"/>
    </xf>
    <xf numFmtId="0" fontId="25" fillId="8" borderId="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6" fontId="12" fillId="7" borderId="0" xfId="0" applyNumberFormat="1" applyFont="1" applyFill="1" applyBorder="1" applyAlignment="1">
      <alignment horizontal="left" vertical="center"/>
    </xf>
    <xf numFmtId="37" fontId="12" fillId="7" borderId="0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37" fontId="25" fillId="7" borderId="0" xfId="1" applyNumberFormat="1" applyFont="1" applyFill="1" applyBorder="1" applyAlignment="1">
      <alignment horizontal="left" vertical="center"/>
    </xf>
    <xf numFmtId="9" fontId="25" fillId="7" borderId="0" xfId="3" applyFont="1" applyFill="1" applyBorder="1" applyAlignment="1">
      <alignment horizontal="left" vertical="center"/>
    </xf>
    <xf numFmtId="0" fontId="0" fillId="0" borderId="0" xfId="0" applyAlignment="1"/>
    <xf numFmtId="9" fontId="12" fillId="7" borderId="0" xfId="3" applyNumberFormat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/>
    </xf>
    <xf numFmtId="167" fontId="12" fillId="2" borderId="0" xfId="3" applyNumberFormat="1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top" wrapText="1"/>
    </xf>
    <xf numFmtId="0" fontId="10" fillId="5" borderId="16" xfId="0" applyFont="1" applyFill="1" applyBorder="1" applyAlignment="1">
      <alignment vertical="top" wrapText="1" shrinkToFit="1"/>
    </xf>
    <xf numFmtId="0" fontId="10" fillId="5" borderId="15" xfId="0" applyFont="1" applyFill="1" applyBorder="1" applyAlignment="1">
      <alignment vertical="top" wrapText="1" shrinkToFit="1"/>
    </xf>
    <xf numFmtId="0" fontId="10" fillId="5" borderId="14" xfId="0" applyFont="1" applyFill="1" applyBorder="1" applyAlignment="1">
      <alignment vertical="top" wrapText="1" shrinkToFit="1"/>
    </xf>
    <xf numFmtId="0" fontId="10" fillId="5" borderId="13" xfId="0" applyFont="1" applyFill="1" applyBorder="1" applyAlignment="1">
      <alignment vertical="top" wrapText="1" shrinkToFit="1"/>
    </xf>
    <xf numFmtId="0" fontId="10" fillId="5" borderId="0" xfId="0" applyFont="1" applyFill="1" applyBorder="1" applyAlignment="1">
      <alignment vertical="top" wrapText="1" shrinkToFit="1"/>
    </xf>
    <xf numFmtId="0" fontId="10" fillId="5" borderId="12" xfId="0" applyFont="1" applyFill="1" applyBorder="1" applyAlignment="1">
      <alignment vertical="top" wrapText="1" shrinkToFit="1"/>
    </xf>
    <xf numFmtId="0" fontId="10" fillId="5" borderId="11" xfId="0" applyFont="1" applyFill="1" applyBorder="1" applyAlignment="1">
      <alignment vertical="top" wrapText="1" shrinkToFit="1"/>
    </xf>
    <xf numFmtId="0" fontId="10" fillId="5" borderId="10" xfId="0" applyFont="1" applyFill="1" applyBorder="1" applyAlignment="1">
      <alignment vertical="top" wrapText="1" shrinkToFit="1"/>
    </xf>
    <xf numFmtId="0" fontId="10" fillId="5" borderId="9" xfId="0" applyFont="1" applyFill="1" applyBorder="1" applyAlignment="1">
      <alignment vertical="top" wrapText="1" shrinkToFit="1"/>
    </xf>
    <xf numFmtId="169" fontId="12" fillId="7" borderId="0" xfId="2" applyNumberFormat="1" applyFont="1" applyFill="1" applyBorder="1" applyAlignment="1">
      <alignment horizontal="left" vertical="center"/>
    </xf>
    <xf numFmtId="9" fontId="25" fillId="7" borderId="0" xfId="3" applyNumberFormat="1" applyFont="1" applyFill="1" applyBorder="1" applyAlignment="1">
      <alignment horizontal="left" vertical="center"/>
    </xf>
    <xf numFmtId="0" fontId="30" fillId="7" borderId="0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25" fillId="7" borderId="0" xfId="0" applyFont="1" applyFill="1" applyBorder="1" applyAlignment="1">
      <alignment vertical="center"/>
    </xf>
    <xf numFmtId="3" fontId="12" fillId="6" borderId="0" xfId="3" applyNumberFormat="1" applyFont="1" applyFill="1" applyBorder="1" applyAlignment="1">
      <alignment horizontal="left" vertical="center"/>
    </xf>
    <xf numFmtId="1" fontId="25" fillId="6" borderId="0" xfId="3" applyNumberFormat="1" applyFont="1" applyFill="1" applyBorder="1" applyAlignment="1">
      <alignment horizontal="left" vertical="center"/>
    </xf>
    <xf numFmtId="164" fontId="28" fillId="6" borderId="0" xfId="2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1" fontId="12" fillId="8" borderId="0" xfId="3" applyNumberFormat="1" applyFont="1" applyFill="1" applyBorder="1" applyAlignment="1">
      <alignment horizontal="left" vertical="center"/>
    </xf>
  </cellXfs>
  <cellStyles count="5">
    <cellStyle name="Comma" xfId="1" builtinId="3"/>
    <cellStyle name="Currency" xfId="2" builtinId="4"/>
    <cellStyle name="Normal" xfId="0" builtinId="0"/>
    <cellStyle name="Normal 2" xfId="4"/>
    <cellStyle name="Percent" xfId="3" builtinId="5"/>
  </cellStyles>
  <dxfs count="0"/>
  <tableStyles count="0" defaultTableStyle="TableStyleMedium9" defaultPivotStyle="PivotStyleMedium4"/>
  <colors>
    <mruColors>
      <color rgb="FFDBE5F1"/>
      <color rgb="FFF9FCA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B1:AO61"/>
  <sheetViews>
    <sheetView tabSelected="1" topLeftCell="A22" workbookViewId="0">
      <selection activeCell="T48" sqref="T48"/>
    </sheetView>
  </sheetViews>
  <sheetFormatPr defaultColWidth="1.7109375" defaultRowHeight="15"/>
  <cols>
    <col min="3" max="7" width="6.7109375" customWidth="1"/>
    <col min="9" max="9" width="2.7109375" customWidth="1"/>
    <col min="11" max="15" width="6.7109375" customWidth="1"/>
    <col min="17" max="17" width="2.7109375" customWidth="1"/>
    <col min="19" max="23" width="6.7109375" customWidth="1"/>
    <col min="25" max="25" width="2.7109375" customWidth="1"/>
    <col min="27" max="27" width="8.5703125" customWidth="1"/>
    <col min="28" max="31" width="6.7109375" customWidth="1"/>
    <col min="33" max="33" width="2.7109375" customWidth="1"/>
    <col min="35" max="35" width="8" customWidth="1"/>
    <col min="36" max="39" width="6.7109375" customWidth="1"/>
  </cols>
  <sheetData>
    <row r="1" spans="2:40" ht="9.75" customHeight="1"/>
    <row r="2" spans="2:40" ht="9" customHeight="1">
      <c r="B2" s="25"/>
      <c r="C2" s="24"/>
      <c r="D2" s="24"/>
      <c r="E2" s="24"/>
      <c r="F2" s="24"/>
      <c r="G2" s="24"/>
      <c r="H2" s="23"/>
      <c r="J2" s="25"/>
      <c r="K2" s="24"/>
      <c r="L2" s="24"/>
      <c r="M2" s="24"/>
      <c r="N2" s="24"/>
      <c r="O2" s="24"/>
      <c r="P2" s="23"/>
      <c r="R2" s="25"/>
      <c r="S2" s="24"/>
      <c r="T2" s="24"/>
      <c r="U2" s="24"/>
      <c r="V2" s="24"/>
      <c r="W2" s="24"/>
      <c r="X2" s="23"/>
      <c r="Z2" s="25"/>
      <c r="AA2" s="24"/>
      <c r="AB2" s="24"/>
      <c r="AC2" s="24"/>
      <c r="AD2" s="24"/>
      <c r="AE2" s="24"/>
      <c r="AF2" s="23"/>
      <c r="AH2" s="25"/>
      <c r="AI2" s="24"/>
      <c r="AJ2" s="24"/>
      <c r="AK2" s="24"/>
      <c r="AL2" s="24"/>
      <c r="AM2" s="24"/>
      <c r="AN2" s="23"/>
    </row>
    <row r="3" spans="2:40">
      <c r="B3" s="22"/>
      <c r="C3" s="153" t="s">
        <v>23</v>
      </c>
      <c r="D3" s="153"/>
      <c r="E3" s="153"/>
      <c r="F3" s="153"/>
      <c r="G3" s="153"/>
      <c r="H3" s="38"/>
      <c r="J3" s="22"/>
      <c r="K3" s="153" t="s">
        <v>22</v>
      </c>
      <c r="L3" s="153"/>
      <c r="M3" s="153"/>
      <c r="N3" s="153"/>
      <c r="O3" s="153"/>
      <c r="P3" s="38"/>
      <c r="R3" s="22"/>
      <c r="S3" s="153" t="s">
        <v>21</v>
      </c>
      <c r="T3" s="153"/>
      <c r="U3" s="153"/>
      <c r="V3" s="153"/>
      <c r="W3" s="153"/>
      <c r="X3" s="38"/>
      <c r="Z3" s="22"/>
      <c r="AA3" s="153" t="s">
        <v>20</v>
      </c>
      <c r="AB3" s="153"/>
      <c r="AC3" s="153"/>
      <c r="AD3" s="153"/>
      <c r="AE3" s="153"/>
      <c r="AF3" s="38"/>
      <c r="AH3" s="22"/>
      <c r="AI3" s="153" t="s">
        <v>49</v>
      </c>
      <c r="AJ3" s="153"/>
      <c r="AK3" s="153"/>
      <c r="AL3" s="153"/>
      <c r="AM3" s="153"/>
      <c r="AN3" s="38"/>
    </row>
    <row r="4" spans="2:40" ht="15" customHeight="1">
      <c r="B4" s="7"/>
      <c r="C4" s="157">
        <v>0.83</v>
      </c>
      <c r="D4" s="157"/>
      <c r="E4" s="157"/>
      <c r="F4" s="41"/>
      <c r="G4" s="41"/>
      <c r="H4" s="5"/>
      <c r="J4" s="7"/>
      <c r="K4" s="156">
        <f>+O10</f>
        <v>0.63</v>
      </c>
      <c r="L4" s="156"/>
      <c r="M4" s="170" t="s">
        <v>68</v>
      </c>
      <c r="N4" s="160"/>
      <c r="O4" s="171"/>
      <c r="P4" s="5"/>
      <c r="R4" s="7"/>
      <c r="S4" s="167">
        <v>742</v>
      </c>
      <c r="T4" s="168"/>
      <c r="U4" s="169" t="s">
        <v>36</v>
      </c>
      <c r="V4" s="160"/>
      <c r="W4" s="41"/>
      <c r="X4" s="5"/>
      <c r="Z4" s="7"/>
      <c r="AA4" s="166">
        <f>+AE10</f>
        <v>23</v>
      </c>
      <c r="AB4" s="166"/>
      <c r="AC4" s="166"/>
      <c r="AD4" s="41"/>
      <c r="AE4" s="41"/>
      <c r="AF4" s="5"/>
      <c r="AH4" s="7"/>
      <c r="AI4" s="66"/>
      <c r="AJ4" s="66"/>
      <c r="AK4" s="66"/>
      <c r="AL4" s="41"/>
      <c r="AM4" s="41"/>
      <c r="AN4" s="5"/>
    </row>
    <row r="5" spans="2:40" ht="15" customHeight="1">
      <c r="B5" s="7"/>
      <c r="C5" s="157"/>
      <c r="D5" s="157"/>
      <c r="E5" s="157"/>
      <c r="F5" s="41"/>
      <c r="G5" s="41"/>
      <c r="H5" s="5"/>
      <c r="J5" s="7"/>
      <c r="K5" s="156"/>
      <c r="L5" s="156"/>
      <c r="M5" s="160"/>
      <c r="N5" s="160"/>
      <c r="O5" s="171"/>
      <c r="P5" s="5"/>
      <c r="R5" s="7"/>
      <c r="S5" s="167"/>
      <c r="T5" s="168"/>
      <c r="U5" s="169"/>
      <c r="V5" s="160"/>
      <c r="W5" s="41"/>
      <c r="X5" s="5"/>
      <c r="Z5" s="7"/>
      <c r="AA5" s="166"/>
      <c r="AB5" s="166"/>
      <c r="AC5" s="166"/>
      <c r="AD5" s="41"/>
      <c r="AE5" s="41"/>
      <c r="AF5" s="5"/>
      <c r="AH5" s="7"/>
      <c r="AI5" s="85" t="s">
        <v>44</v>
      </c>
      <c r="AJ5" s="66"/>
      <c r="AK5" s="66"/>
      <c r="AL5" s="41"/>
      <c r="AM5" s="41"/>
      <c r="AN5" s="5"/>
    </row>
    <row r="6" spans="2:40" ht="15" customHeight="1">
      <c r="B6" s="7"/>
      <c r="C6" s="154" t="s">
        <v>19</v>
      </c>
      <c r="D6" s="154"/>
      <c r="E6" s="154"/>
      <c r="F6" s="154"/>
      <c r="G6" s="154"/>
      <c r="H6" s="5"/>
      <c r="J6" s="7"/>
      <c r="K6" s="154" t="s">
        <v>18</v>
      </c>
      <c r="L6" s="154"/>
      <c r="M6" s="154"/>
      <c r="N6" s="154"/>
      <c r="O6" s="154"/>
      <c r="P6" s="5"/>
      <c r="R6" s="7"/>
      <c r="S6" s="154" t="s">
        <v>17</v>
      </c>
      <c r="T6" s="154"/>
      <c r="U6" s="154"/>
      <c r="V6" s="154"/>
      <c r="W6" s="154"/>
      <c r="X6" s="5"/>
      <c r="Z6" s="7"/>
      <c r="AA6" s="154" t="s">
        <v>16</v>
      </c>
      <c r="AB6" s="154"/>
      <c r="AC6" s="154"/>
      <c r="AD6" s="154"/>
      <c r="AE6" s="154"/>
      <c r="AF6" s="5"/>
      <c r="AH6" s="7"/>
      <c r="AI6" s="67" t="s">
        <v>45</v>
      </c>
      <c r="AJ6" s="67"/>
      <c r="AK6" s="67"/>
      <c r="AL6" s="67"/>
      <c r="AM6" s="67"/>
      <c r="AN6" s="5"/>
    </row>
    <row r="7" spans="2:40">
      <c r="B7" s="7"/>
      <c r="C7" s="154"/>
      <c r="D7" s="154"/>
      <c r="E7" s="154"/>
      <c r="F7" s="154"/>
      <c r="G7" s="154"/>
      <c r="H7" s="5"/>
      <c r="J7" s="7"/>
      <c r="K7" s="154"/>
      <c r="L7" s="154"/>
      <c r="M7" s="154"/>
      <c r="N7" s="154"/>
      <c r="O7" s="154"/>
      <c r="P7" s="5"/>
      <c r="R7" s="7"/>
      <c r="S7" s="154"/>
      <c r="T7" s="154"/>
      <c r="U7" s="154"/>
      <c r="V7" s="154"/>
      <c r="W7" s="154"/>
      <c r="X7" s="5"/>
      <c r="Z7" s="7"/>
      <c r="AA7" s="154"/>
      <c r="AB7" s="154"/>
      <c r="AC7" s="154"/>
      <c r="AD7" s="154"/>
      <c r="AE7" s="154"/>
      <c r="AF7" s="5"/>
      <c r="AH7" s="7"/>
      <c r="AI7" s="67"/>
      <c r="AJ7" s="89" t="s">
        <v>48</v>
      </c>
      <c r="AK7" s="90"/>
      <c r="AL7" s="91" t="s">
        <v>46</v>
      </c>
      <c r="AM7" s="67"/>
      <c r="AN7" s="5"/>
    </row>
    <row r="8" spans="2:40">
      <c r="B8" s="7"/>
      <c r="C8" s="56" t="s">
        <v>3</v>
      </c>
      <c r="D8" s="41"/>
      <c r="E8" s="41"/>
      <c r="F8" s="41"/>
      <c r="G8" s="41"/>
      <c r="H8" s="5"/>
      <c r="J8" s="7"/>
      <c r="K8" s="56" t="s">
        <v>3</v>
      </c>
      <c r="L8" s="41"/>
      <c r="M8" s="41"/>
      <c r="N8" s="41"/>
      <c r="O8" s="41"/>
      <c r="P8" s="5"/>
      <c r="R8" s="7"/>
      <c r="S8" s="56" t="s">
        <v>3</v>
      </c>
      <c r="T8" s="41"/>
      <c r="U8" s="41"/>
      <c r="V8" s="41"/>
      <c r="W8" s="41"/>
      <c r="X8" s="5"/>
      <c r="Z8" s="7"/>
      <c r="AA8" s="56" t="s">
        <v>3</v>
      </c>
      <c r="AB8" s="41"/>
      <c r="AC8" s="41"/>
      <c r="AD8" s="41"/>
      <c r="AE8" s="41"/>
      <c r="AF8" s="5"/>
      <c r="AH8" s="7"/>
      <c r="AI8" s="87" t="s">
        <v>29</v>
      </c>
      <c r="AJ8" s="111">
        <v>5.23</v>
      </c>
      <c r="AK8" s="112"/>
      <c r="AL8" s="111">
        <v>5.15</v>
      </c>
      <c r="AM8" s="84"/>
      <c r="AN8" s="5"/>
    </row>
    <row r="9" spans="2:40">
      <c r="B9" s="22"/>
      <c r="C9" s="71"/>
      <c r="D9" s="54" t="s">
        <v>24</v>
      </c>
      <c r="E9" s="54" t="s">
        <v>25</v>
      </c>
      <c r="F9" s="54" t="s">
        <v>26</v>
      </c>
      <c r="G9" s="54" t="s">
        <v>27</v>
      </c>
      <c r="H9" s="5"/>
      <c r="J9" s="22"/>
      <c r="K9" s="41"/>
      <c r="L9" s="52">
        <v>2001</v>
      </c>
      <c r="M9" s="52">
        <v>2002</v>
      </c>
      <c r="N9" s="52">
        <v>2003</v>
      </c>
      <c r="O9" s="52">
        <v>2004</v>
      </c>
      <c r="P9" s="5"/>
      <c r="R9" s="22"/>
      <c r="S9" s="71"/>
      <c r="T9" s="54" t="s">
        <v>24</v>
      </c>
      <c r="U9" s="54" t="s">
        <v>25</v>
      </c>
      <c r="V9" s="54" t="s">
        <v>26</v>
      </c>
      <c r="W9" s="54" t="s">
        <v>27</v>
      </c>
      <c r="X9" s="5"/>
      <c r="Z9" s="22"/>
      <c r="AA9" s="52">
        <v>2006</v>
      </c>
      <c r="AB9" s="52">
        <v>2007</v>
      </c>
      <c r="AC9" s="52">
        <v>2008</v>
      </c>
      <c r="AD9" s="52">
        <v>2009</v>
      </c>
      <c r="AE9" s="52">
        <v>2010</v>
      </c>
      <c r="AF9" s="5"/>
      <c r="AH9" s="22"/>
      <c r="AI9" s="55"/>
      <c r="AJ9" s="88"/>
      <c r="AK9" s="55"/>
      <c r="AL9" s="88"/>
      <c r="AM9" s="55"/>
      <c r="AN9" s="5"/>
    </row>
    <row r="10" spans="2:40">
      <c r="B10" s="7"/>
      <c r="C10" s="65"/>
      <c r="D10" s="65">
        <v>0.82</v>
      </c>
      <c r="E10" s="65">
        <v>0.83</v>
      </c>
      <c r="F10" s="65">
        <v>0.87</v>
      </c>
      <c r="G10" s="65">
        <v>0.83</v>
      </c>
      <c r="H10" s="5"/>
      <c r="J10" s="7"/>
      <c r="K10" s="64"/>
      <c r="L10" s="64">
        <v>0.73</v>
      </c>
      <c r="M10" s="64">
        <v>0.69</v>
      </c>
      <c r="N10" s="64">
        <v>0.74</v>
      </c>
      <c r="O10" s="64">
        <v>0.63</v>
      </c>
      <c r="P10" s="5"/>
      <c r="R10" s="7"/>
      <c r="S10" s="51"/>
      <c r="T10" s="51">
        <v>681</v>
      </c>
      <c r="U10" s="51">
        <v>709</v>
      </c>
      <c r="V10" s="51">
        <v>579</v>
      </c>
      <c r="W10" s="51">
        <v>669</v>
      </c>
      <c r="X10" s="5"/>
      <c r="Z10" s="7"/>
      <c r="AA10" s="48">
        <v>22.5</v>
      </c>
      <c r="AB10" s="48">
        <v>22.7</v>
      </c>
      <c r="AC10" s="48">
        <v>22.7</v>
      </c>
      <c r="AD10" s="48">
        <v>23.1</v>
      </c>
      <c r="AE10" s="63">
        <v>23</v>
      </c>
      <c r="AF10" s="5"/>
      <c r="AH10" s="7"/>
      <c r="AI10" s="86" t="s">
        <v>47</v>
      </c>
      <c r="AJ10" s="113">
        <v>5.17</v>
      </c>
      <c r="AK10" s="113"/>
      <c r="AL10" s="113">
        <v>5.42</v>
      </c>
      <c r="AM10" s="60"/>
      <c r="AN10" s="5"/>
    </row>
    <row r="11" spans="2:40">
      <c r="B11" s="7"/>
      <c r="C11" s="46" t="s">
        <v>35</v>
      </c>
      <c r="D11" s="41"/>
      <c r="E11" s="41"/>
      <c r="F11" s="41"/>
      <c r="G11" s="41"/>
      <c r="H11" s="5"/>
      <c r="J11" s="7"/>
      <c r="K11" s="46" t="s">
        <v>35</v>
      </c>
      <c r="L11" s="41"/>
      <c r="M11" s="41"/>
      <c r="N11" s="41"/>
      <c r="O11" s="41"/>
      <c r="P11" s="5"/>
      <c r="R11" s="7"/>
      <c r="S11" s="46" t="s">
        <v>35</v>
      </c>
      <c r="T11" s="41"/>
      <c r="U11" s="41"/>
      <c r="V11" s="41"/>
      <c r="W11" s="41"/>
      <c r="X11" s="5"/>
      <c r="Z11" s="7"/>
      <c r="AA11" s="46" t="s">
        <v>35</v>
      </c>
      <c r="AB11" s="41"/>
      <c r="AC11" s="41"/>
      <c r="AD11" s="41"/>
      <c r="AE11" s="41"/>
      <c r="AF11" s="5"/>
      <c r="AH11" s="7"/>
      <c r="AI11" s="83"/>
      <c r="AJ11" s="84"/>
      <c r="AK11" s="84"/>
      <c r="AL11" s="84"/>
      <c r="AM11" s="84"/>
      <c r="AN11" s="5"/>
    </row>
    <row r="12" spans="2:40">
      <c r="B12" s="7"/>
      <c r="C12" s="42"/>
      <c r="D12" s="42">
        <v>0.78400000000000003</v>
      </c>
      <c r="E12" s="42">
        <v>0.80400000000000005</v>
      </c>
      <c r="F12" s="42">
        <v>0.81499999999999995</v>
      </c>
      <c r="G12" s="42">
        <v>0.81399999999999995</v>
      </c>
      <c r="H12" s="5"/>
      <c r="J12" s="7"/>
      <c r="K12" s="62"/>
      <c r="L12" s="62">
        <v>0.71</v>
      </c>
      <c r="M12" s="62">
        <v>0.7</v>
      </c>
      <c r="N12" s="62">
        <v>0.69</v>
      </c>
      <c r="O12" s="62">
        <v>0.65</v>
      </c>
      <c r="P12" s="5"/>
      <c r="R12" s="7"/>
      <c r="S12" s="61"/>
      <c r="T12" s="61">
        <v>5682</v>
      </c>
      <c r="U12" s="61">
        <v>5840</v>
      </c>
      <c r="V12" s="61">
        <v>5693</v>
      </c>
      <c r="W12" s="61">
        <v>6144</v>
      </c>
      <c r="X12" s="5"/>
      <c r="Z12" s="7"/>
      <c r="AA12" s="45">
        <v>23.4</v>
      </c>
      <c r="AB12" s="45">
        <v>23.6</v>
      </c>
      <c r="AC12" s="45">
        <v>23.7</v>
      </c>
      <c r="AD12" s="45">
        <v>23.8</v>
      </c>
      <c r="AE12" s="45">
        <v>24</v>
      </c>
      <c r="AF12" s="5"/>
      <c r="AH12" s="7"/>
      <c r="AI12" s="60"/>
      <c r="AJ12" s="60"/>
      <c r="AK12" s="60"/>
      <c r="AL12" s="60"/>
      <c r="AM12" s="60"/>
      <c r="AN12" s="5"/>
    </row>
    <row r="13" spans="2:40" ht="9" customHeight="1">
      <c r="B13" s="3"/>
      <c r="C13" s="27"/>
      <c r="D13" s="27"/>
      <c r="E13" s="27"/>
      <c r="F13" s="27"/>
      <c r="G13" s="27"/>
      <c r="H13" s="1"/>
      <c r="J13" s="3"/>
      <c r="K13" s="27"/>
      <c r="L13" s="27"/>
      <c r="M13" s="27"/>
      <c r="N13" s="27"/>
      <c r="O13" s="27"/>
      <c r="P13" s="1"/>
      <c r="R13" s="3"/>
      <c r="S13" s="27"/>
      <c r="T13" s="27"/>
      <c r="U13" s="27"/>
      <c r="V13" s="27"/>
      <c r="W13" s="27"/>
      <c r="X13" s="1"/>
      <c r="Z13" s="3"/>
      <c r="AA13" s="27"/>
      <c r="AB13" s="27"/>
      <c r="AC13" s="27"/>
      <c r="AD13" s="27"/>
      <c r="AE13" s="27"/>
      <c r="AF13" s="1"/>
      <c r="AH13" s="3"/>
      <c r="AI13" s="27"/>
      <c r="AJ13" s="27"/>
      <c r="AK13" s="27"/>
      <c r="AL13" s="27"/>
      <c r="AM13" s="27"/>
      <c r="AN13" s="1"/>
    </row>
    <row r="14" spans="2:40" ht="9.75" customHeight="1"/>
    <row r="15" spans="2:40" ht="9" customHeight="1">
      <c r="B15" s="25"/>
      <c r="C15" s="24"/>
      <c r="D15" s="24"/>
      <c r="E15" s="24"/>
      <c r="F15" s="24"/>
      <c r="G15" s="24"/>
      <c r="H15" s="23"/>
      <c r="J15" s="25"/>
      <c r="K15" s="24"/>
      <c r="L15" s="24"/>
      <c r="M15" s="24"/>
      <c r="N15" s="24"/>
      <c r="O15" s="24"/>
      <c r="P15" s="23"/>
      <c r="R15" s="25"/>
      <c r="S15" s="24"/>
      <c r="T15" s="24"/>
      <c r="U15" s="24"/>
      <c r="V15" s="24"/>
      <c r="W15" s="24"/>
      <c r="X15" s="23"/>
      <c r="Z15" s="25"/>
      <c r="AA15" s="24"/>
      <c r="AB15" s="24"/>
      <c r="AC15" s="24"/>
      <c r="AD15" s="24"/>
      <c r="AE15" s="24"/>
      <c r="AF15" s="23"/>
      <c r="AH15" s="25"/>
      <c r="AI15" s="24"/>
      <c r="AJ15" s="24"/>
      <c r="AK15" s="24"/>
      <c r="AL15" s="24"/>
      <c r="AM15" s="24"/>
      <c r="AN15" s="23"/>
    </row>
    <row r="16" spans="2:40">
      <c r="B16" s="22"/>
      <c r="C16" s="153" t="s">
        <v>15</v>
      </c>
      <c r="D16" s="153"/>
      <c r="E16" s="153"/>
      <c r="F16" s="153"/>
      <c r="G16" s="153"/>
      <c r="H16" s="38"/>
      <c r="J16" s="22"/>
      <c r="K16" s="153" t="s">
        <v>14</v>
      </c>
      <c r="L16" s="153"/>
      <c r="M16" s="153"/>
      <c r="N16" s="153"/>
      <c r="O16" s="153"/>
      <c r="P16" s="38"/>
      <c r="R16" s="22"/>
      <c r="S16" s="56" t="s">
        <v>37</v>
      </c>
      <c r="T16" s="59"/>
      <c r="U16" s="59"/>
      <c r="V16" s="59"/>
      <c r="W16" s="59"/>
      <c r="X16" s="21"/>
      <c r="Z16" s="22"/>
      <c r="AA16" s="151" t="s">
        <v>13</v>
      </c>
      <c r="AB16" s="151"/>
      <c r="AC16" s="151"/>
      <c r="AD16" s="151"/>
      <c r="AE16" s="151"/>
      <c r="AF16" s="21"/>
      <c r="AH16" s="22"/>
      <c r="AI16" s="151" t="s">
        <v>50</v>
      </c>
      <c r="AJ16" s="151"/>
      <c r="AK16" s="151"/>
      <c r="AL16" s="151"/>
      <c r="AM16" s="151"/>
      <c r="AN16" s="21"/>
    </row>
    <row r="17" spans="2:40" ht="16.5" customHeight="1">
      <c r="B17" s="7"/>
      <c r="C17" s="155" t="str">
        <f>G22</f>
        <v>24:1</v>
      </c>
      <c r="D17" s="156"/>
      <c r="E17" s="156"/>
      <c r="F17" s="41"/>
      <c r="G17" s="41"/>
      <c r="H17" s="5"/>
      <c r="J17" s="7"/>
      <c r="K17" s="172">
        <v>0.78</v>
      </c>
      <c r="L17" s="172"/>
      <c r="M17" s="186" t="s">
        <v>69</v>
      </c>
      <c r="N17" s="171"/>
      <c r="O17" s="41"/>
      <c r="P17" s="5"/>
      <c r="R17" s="7"/>
      <c r="S17" s="187" t="s">
        <v>70</v>
      </c>
      <c r="T17" s="171"/>
      <c r="U17" s="189" t="s">
        <v>27</v>
      </c>
      <c r="V17" s="189"/>
      <c r="W17" s="41"/>
      <c r="X17" s="5"/>
      <c r="Z17" s="7"/>
      <c r="AA17" s="185" t="s">
        <v>74</v>
      </c>
      <c r="AB17" s="185"/>
      <c r="AC17" s="185"/>
      <c r="AD17" s="185"/>
      <c r="AE17" s="41"/>
      <c r="AF17" s="5"/>
      <c r="AH17" s="7"/>
      <c r="AI17" s="194" t="s">
        <v>75</v>
      </c>
      <c r="AJ17" s="194"/>
      <c r="AK17" s="194"/>
      <c r="AL17" s="164" t="s">
        <v>36</v>
      </c>
      <c r="AM17" s="92"/>
      <c r="AN17" s="5"/>
    </row>
    <row r="18" spans="2:40" ht="21" customHeight="1">
      <c r="B18" s="7"/>
      <c r="C18" s="156"/>
      <c r="D18" s="156"/>
      <c r="E18" s="156"/>
      <c r="F18" s="41"/>
      <c r="G18" s="41"/>
      <c r="H18" s="5"/>
      <c r="J18" s="7"/>
      <c r="K18" s="172"/>
      <c r="L18" s="172"/>
      <c r="M18" s="168"/>
      <c r="N18" s="171"/>
      <c r="O18" s="41"/>
      <c r="P18" s="5"/>
      <c r="R18" s="7"/>
      <c r="S18" s="188"/>
      <c r="T18" s="171"/>
      <c r="U18" s="189"/>
      <c r="V18" s="189"/>
      <c r="W18" s="41"/>
      <c r="X18" s="5"/>
      <c r="Z18" s="7"/>
      <c r="AA18" s="185"/>
      <c r="AB18" s="185"/>
      <c r="AC18" s="185"/>
      <c r="AD18" s="185"/>
      <c r="AE18" s="41"/>
      <c r="AF18" s="5"/>
      <c r="AH18" s="7"/>
      <c r="AI18" s="194"/>
      <c r="AJ18" s="194"/>
      <c r="AK18" s="194"/>
      <c r="AL18" s="165"/>
      <c r="AM18" s="92"/>
      <c r="AN18" s="5"/>
    </row>
    <row r="19" spans="2:40" ht="15" customHeight="1">
      <c r="B19" s="7"/>
      <c r="C19" s="67" t="s">
        <v>11</v>
      </c>
      <c r="D19" s="57"/>
      <c r="E19" s="57"/>
      <c r="F19" s="57"/>
      <c r="G19" s="57"/>
      <c r="H19" s="5"/>
      <c r="J19" s="7"/>
      <c r="K19" s="154" t="s">
        <v>10</v>
      </c>
      <c r="L19" s="154"/>
      <c r="M19" s="154"/>
      <c r="N19" s="154"/>
      <c r="O19" s="154"/>
      <c r="P19" s="5"/>
      <c r="R19" s="7"/>
      <c r="S19" s="110" t="s">
        <v>67</v>
      </c>
      <c r="T19" s="58"/>
      <c r="U19" s="58"/>
      <c r="V19" s="58"/>
      <c r="W19" s="58"/>
      <c r="X19" s="5"/>
      <c r="Z19" s="7"/>
      <c r="AA19" s="154" t="s">
        <v>9</v>
      </c>
      <c r="AB19" s="154"/>
      <c r="AC19" s="154"/>
      <c r="AD19" s="154"/>
      <c r="AE19" s="154"/>
      <c r="AF19" s="5"/>
      <c r="AH19" s="7"/>
      <c r="AI19" s="100" t="s">
        <v>65</v>
      </c>
      <c r="AJ19" s="99"/>
      <c r="AK19" s="99"/>
      <c r="AL19" s="99"/>
      <c r="AM19" s="99"/>
      <c r="AN19" s="5"/>
    </row>
    <row r="20" spans="2:40">
      <c r="B20" s="7"/>
      <c r="C20" s="56" t="s">
        <v>31</v>
      </c>
      <c r="D20" s="41"/>
      <c r="E20" s="41"/>
      <c r="F20" s="41"/>
      <c r="G20" s="41"/>
      <c r="H20" s="5"/>
      <c r="J20" s="7"/>
      <c r="K20" s="154"/>
      <c r="L20" s="154"/>
      <c r="M20" s="154"/>
      <c r="N20" s="154"/>
      <c r="O20" s="154"/>
      <c r="P20" s="5"/>
      <c r="R20" s="7"/>
      <c r="S20" s="74"/>
      <c r="T20" s="58"/>
      <c r="U20" s="58"/>
      <c r="V20" s="58"/>
      <c r="W20" s="58"/>
      <c r="X20" s="5"/>
      <c r="Z20" s="7"/>
      <c r="AA20" s="154"/>
      <c r="AB20" s="154"/>
      <c r="AC20" s="154"/>
      <c r="AD20" s="154"/>
      <c r="AE20" s="154"/>
      <c r="AF20" s="5"/>
      <c r="AH20" s="7"/>
      <c r="AI20" s="99" t="s">
        <v>53</v>
      </c>
      <c r="AJ20" s="99"/>
      <c r="AK20" s="99"/>
      <c r="AL20" s="99"/>
      <c r="AM20" s="99"/>
      <c r="AN20" s="5"/>
    </row>
    <row r="21" spans="2:40">
      <c r="B21" s="7"/>
      <c r="C21" s="69" t="s">
        <v>24</v>
      </c>
      <c r="D21" s="69" t="s">
        <v>25</v>
      </c>
      <c r="E21" s="69" t="s">
        <v>26</v>
      </c>
      <c r="F21" s="69" t="s">
        <v>27</v>
      </c>
      <c r="G21" s="72" t="s">
        <v>36</v>
      </c>
      <c r="H21" s="5"/>
      <c r="J21" s="7"/>
      <c r="K21" s="56" t="s">
        <v>3</v>
      </c>
      <c r="L21" s="41"/>
      <c r="M21" s="41"/>
      <c r="N21" s="41"/>
      <c r="O21" s="41"/>
      <c r="P21" s="5"/>
      <c r="R21" s="7"/>
      <c r="S21" s="56" t="s">
        <v>3</v>
      </c>
      <c r="T21" s="41"/>
      <c r="U21" s="41"/>
      <c r="V21" s="41"/>
      <c r="W21" s="41"/>
      <c r="X21" s="5"/>
      <c r="Z21" s="7"/>
      <c r="AA21" s="56" t="s">
        <v>5</v>
      </c>
      <c r="AB21" s="41"/>
      <c r="AC21" s="41"/>
      <c r="AD21" s="41"/>
      <c r="AE21" s="41"/>
      <c r="AF21" s="5"/>
      <c r="AH21" s="7"/>
      <c r="AI21" s="93" t="s">
        <v>3</v>
      </c>
      <c r="AJ21" s="92"/>
      <c r="AK21" s="92"/>
      <c r="AL21" s="92"/>
      <c r="AM21" s="92"/>
      <c r="AN21" s="5"/>
    </row>
    <row r="22" spans="2:40">
      <c r="B22" s="22"/>
      <c r="C22" s="70" t="s">
        <v>32</v>
      </c>
      <c r="D22" s="70" t="s">
        <v>30</v>
      </c>
      <c r="E22" s="70" t="s">
        <v>33</v>
      </c>
      <c r="F22" s="70" t="s">
        <v>34</v>
      </c>
      <c r="G22" s="70" t="s">
        <v>28</v>
      </c>
      <c r="H22" s="5"/>
      <c r="J22" s="22"/>
      <c r="K22" s="54" t="s">
        <v>24</v>
      </c>
      <c r="L22" s="54" t="s">
        <v>25</v>
      </c>
      <c r="M22" s="54" t="s">
        <v>26</v>
      </c>
      <c r="N22" s="54" t="s">
        <v>27</v>
      </c>
      <c r="O22" s="72" t="s">
        <v>36</v>
      </c>
      <c r="P22" s="5"/>
      <c r="R22" s="7"/>
      <c r="S22" s="68"/>
      <c r="T22" s="54" t="s">
        <v>24</v>
      </c>
      <c r="U22" s="54" t="s">
        <v>25</v>
      </c>
      <c r="V22" s="54" t="s">
        <v>26</v>
      </c>
      <c r="W22" s="54" t="s">
        <v>27</v>
      </c>
      <c r="X22" s="53"/>
      <c r="Z22" s="7"/>
      <c r="AA22" s="54" t="s">
        <v>24</v>
      </c>
      <c r="AB22" s="54" t="s">
        <v>25</v>
      </c>
      <c r="AC22" s="54" t="s">
        <v>26</v>
      </c>
      <c r="AD22" s="54" t="s">
        <v>27</v>
      </c>
      <c r="AE22" s="72" t="s">
        <v>36</v>
      </c>
      <c r="AF22" s="5"/>
      <c r="AH22" s="7"/>
      <c r="AI22" s="97"/>
      <c r="AJ22" s="54" t="s">
        <v>24</v>
      </c>
      <c r="AK22" s="54" t="s">
        <v>25</v>
      </c>
      <c r="AL22" s="54" t="s">
        <v>26</v>
      </c>
      <c r="AM22" s="54" t="s">
        <v>27</v>
      </c>
      <c r="AN22" s="5"/>
    </row>
    <row r="23" spans="2:40" ht="14.25" customHeight="1">
      <c r="B23" s="7"/>
      <c r="C23" s="46"/>
      <c r="D23" s="41"/>
      <c r="E23" s="41"/>
      <c r="F23" s="41"/>
      <c r="G23" s="41"/>
      <c r="H23" s="5"/>
      <c r="J23" s="7"/>
      <c r="K23" s="50">
        <v>0.91</v>
      </c>
      <c r="L23" s="50">
        <v>0.9</v>
      </c>
      <c r="M23" s="50">
        <v>0.75</v>
      </c>
      <c r="N23" s="50">
        <v>0.72</v>
      </c>
      <c r="O23" s="50">
        <v>0.8</v>
      </c>
      <c r="P23" s="5"/>
      <c r="R23" s="13"/>
      <c r="S23" s="49"/>
      <c r="T23" s="48" t="s">
        <v>71</v>
      </c>
      <c r="U23" s="48" t="s">
        <v>72</v>
      </c>
      <c r="V23" s="48" t="s">
        <v>73</v>
      </c>
      <c r="W23" s="48" t="s">
        <v>70</v>
      </c>
      <c r="X23" s="12"/>
      <c r="Z23" s="13"/>
      <c r="AA23" s="47">
        <v>2.1</v>
      </c>
      <c r="AB23" s="47">
        <v>2.2000000000000002</v>
      </c>
      <c r="AC23" s="47">
        <v>2.1</v>
      </c>
      <c r="AD23" s="47">
        <v>2.2999999999999998</v>
      </c>
      <c r="AE23" s="47">
        <v>2.2999999999999998</v>
      </c>
      <c r="AF23" s="12"/>
      <c r="AH23" s="13"/>
      <c r="AI23" s="98" t="s">
        <v>51</v>
      </c>
      <c r="AJ23" s="94">
        <v>20</v>
      </c>
      <c r="AK23" s="94">
        <v>25</v>
      </c>
      <c r="AL23" s="94">
        <v>33</v>
      </c>
      <c r="AM23" s="94">
        <v>41</v>
      </c>
      <c r="AN23" s="12"/>
    </row>
    <row r="24" spans="2:40">
      <c r="B24" s="7"/>
      <c r="C24" s="116" t="s">
        <v>35</v>
      </c>
      <c r="D24" s="117"/>
      <c r="E24" s="115"/>
      <c r="F24" s="115"/>
      <c r="G24" s="114"/>
      <c r="H24" s="5"/>
      <c r="J24" s="7"/>
      <c r="K24" s="46" t="s">
        <v>35</v>
      </c>
      <c r="L24" s="41"/>
      <c r="M24" s="41"/>
      <c r="N24" s="41"/>
      <c r="O24" s="41"/>
      <c r="P24" s="5"/>
      <c r="R24" s="7"/>
      <c r="S24" s="46" t="s">
        <v>41</v>
      </c>
      <c r="T24" s="41"/>
      <c r="U24" s="41"/>
      <c r="V24" s="41"/>
      <c r="W24" s="41"/>
      <c r="X24" s="5"/>
      <c r="Z24" s="7"/>
      <c r="AA24" s="46" t="s">
        <v>35</v>
      </c>
      <c r="AB24" s="41"/>
      <c r="AC24" s="41"/>
      <c r="AD24" s="41"/>
      <c r="AE24" s="41"/>
      <c r="AF24" s="5"/>
      <c r="AH24" s="7"/>
      <c r="AI24" s="101" t="s">
        <v>52</v>
      </c>
      <c r="AJ24" s="102" t="s">
        <v>55</v>
      </c>
      <c r="AK24" s="102" t="s">
        <v>56</v>
      </c>
      <c r="AL24" s="102" t="s">
        <v>57</v>
      </c>
      <c r="AM24" s="102" t="s">
        <v>58</v>
      </c>
      <c r="AN24" s="5"/>
    </row>
    <row r="25" spans="2:40">
      <c r="B25" s="7"/>
      <c r="C25" s="44"/>
      <c r="D25" s="44"/>
      <c r="E25" s="115" t="s">
        <v>30</v>
      </c>
      <c r="F25" s="115" t="s">
        <v>12</v>
      </c>
      <c r="G25" s="44"/>
      <c r="H25" s="5"/>
      <c r="J25" s="7"/>
      <c r="K25" s="42">
        <v>0.86</v>
      </c>
      <c r="L25" s="43">
        <v>0.85</v>
      </c>
      <c r="M25" s="43">
        <v>0.81</v>
      </c>
      <c r="N25" s="43">
        <v>0.81</v>
      </c>
      <c r="O25" s="42">
        <v>0.82</v>
      </c>
      <c r="P25" s="5"/>
      <c r="R25" s="7"/>
      <c r="S25" s="49"/>
      <c r="T25" s="46" t="s">
        <v>38</v>
      </c>
      <c r="U25" s="46" t="s">
        <v>39</v>
      </c>
      <c r="V25" s="46" t="s">
        <v>39</v>
      </c>
      <c r="W25" s="46" t="s">
        <v>40</v>
      </c>
      <c r="X25" s="5"/>
      <c r="Z25" s="7"/>
      <c r="AA25" s="73">
        <v>36.9</v>
      </c>
      <c r="AB25" s="73">
        <v>35.1</v>
      </c>
      <c r="AC25" s="73">
        <v>31.8</v>
      </c>
      <c r="AD25" s="73">
        <v>32.5</v>
      </c>
      <c r="AE25" s="73">
        <v>35.799999999999997</v>
      </c>
      <c r="AF25" s="5"/>
      <c r="AH25" s="7"/>
      <c r="AI25" s="96"/>
      <c r="AJ25" s="96"/>
      <c r="AK25" s="96"/>
      <c r="AL25" s="96"/>
      <c r="AM25" s="96"/>
      <c r="AN25" s="5"/>
    </row>
    <row r="26" spans="2:40" ht="9" customHeight="1">
      <c r="B26" s="3"/>
      <c r="C26" s="2"/>
      <c r="D26" s="2"/>
      <c r="E26" s="2"/>
      <c r="F26" s="2"/>
      <c r="G26" s="2"/>
      <c r="H26" s="1"/>
      <c r="J26" s="3"/>
      <c r="K26" s="27"/>
      <c r="L26" s="27"/>
      <c r="M26" s="27"/>
      <c r="N26" s="27"/>
      <c r="O26" s="27"/>
      <c r="P26" s="1"/>
      <c r="R26" s="3"/>
      <c r="S26" s="2"/>
      <c r="T26" s="2"/>
      <c r="U26" s="2"/>
      <c r="V26" s="2"/>
      <c r="W26" s="2"/>
      <c r="X26" s="1"/>
      <c r="Z26" s="3"/>
      <c r="AA26" s="2"/>
      <c r="AB26" s="2"/>
      <c r="AC26" s="2"/>
      <c r="AD26" s="2"/>
      <c r="AE26" s="2"/>
      <c r="AF26" s="1"/>
      <c r="AH26" s="3"/>
      <c r="AI26" s="40"/>
      <c r="AJ26" s="40"/>
      <c r="AK26" s="40"/>
      <c r="AL26" s="40"/>
      <c r="AM26" s="40"/>
      <c r="AN26" s="1"/>
    </row>
    <row r="27" spans="2:40" ht="9" customHeight="1">
      <c r="H27" s="104"/>
    </row>
    <row r="28" spans="2:40" ht="9.75" customHeight="1">
      <c r="B28" s="25"/>
      <c r="C28" s="24"/>
      <c r="D28" s="24"/>
      <c r="E28" s="24"/>
      <c r="F28" s="24"/>
      <c r="G28" s="24"/>
      <c r="H28" s="23"/>
      <c r="I28" s="39"/>
      <c r="J28" s="25"/>
      <c r="K28" s="24"/>
      <c r="L28" s="24"/>
      <c r="M28" s="24"/>
      <c r="N28" s="24"/>
      <c r="O28" s="24"/>
      <c r="P28" s="38"/>
      <c r="R28" s="25"/>
      <c r="S28" s="24"/>
      <c r="T28" s="24"/>
      <c r="U28" s="24"/>
      <c r="V28" s="24"/>
      <c r="W28" s="24"/>
      <c r="X28" s="23"/>
      <c r="Z28" s="25"/>
      <c r="AA28" s="24"/>
      <c r="AB28" s="24"/>
      <c r="AC28" s="24"/>
      <c r="AD28" s="24"/>
      <c r="AE28" s="24"/>
      <c r="AF28" s="23"/>
      <c r="AH28" s="25"/>
      <c r="AI28" s="24"/>
      <c r="AJ28" s="24"/>
      <c r="AK28" s="24"/>
      <c r="AL28" s="24"/>
      <c r="AM28" s="24"/>
      <c r="AN28" s="23"/>
    </row>
    <row r="29" spans="2:40" s="19" customFormat="1">
      <c r="B29" s="22"/>
      <c r="C29" s="151" t="s">
        <v>54</v>
      </c>
      <c r="D29" s="151"/>
      <c r="E29" s="151"/>
      <c r="F29" s="151"/>
      <c r="G29" s="151"/>
      <c r="H29" s="21"/>
      <c r="I29"/>
      <c r="J29" s="22"/>
      <c r="K29" s="150" t="s">
        <v>8</v>
      </c>
      <c r="L29" s="150"/>
      <c r="M29" s="150"/>
      <c r="N29" s="150"/>
      <c r="O29" s="150"/>
      <c r="P29" s="5"/>
      <c r="Q29" s="39"/>
      <c r="R29" s="22"/>
      <c r="S29" s="150" t="s">
        <v>42</v>
      </c>
      <c r="T29" s="150"/>
      <c r="U29" s="150"/>
      <c r="V29" s="150"/>
      <c r="W29" s="150"/>
      <c r="X29" s="21"/>
      <c r="Z29" s="22"/>
      <c r="AA29" s="150" t="s">
        <v>43</v>
      </c>
      <c r="AB29" s="150"/>
      <c r="AC29" s="150"/>
      <c r="AD29" s="150"/>
      <c r="AE29" s="150"/>
      <c r="AF29" s="38"/>
      <c r="AH29" s="22"/>
      <c r="AI29" s="173" t="s">
        <v>7</v>
      </c>
      <c r="AJ29" s="173"/>
      <c r="AK29" s="173"/>
      <c r="AL29" s="173"/>
      <c r="AM29" s="173"/>
      <c r="AN29" s="38"/>
    </row>
    <row r="30" spans="2:40" ht="15" customHeight="1">
      <c r="B30" s="7"/>
      <c r="C30" s="158">
        <f>+G36</f>
        <v>694</v>
      </c>
      <c r="D30" s="158"/>
      <c r="E30" s="159" t="s">
        <v>36</v>
      </c>
      <c r="F30" s="160"/>
      <c r="G30" s="92"/>
      <c r="H30" s="5"/>
      <c r="J30" s="7"/>
      <c r="K30" s="161">
        <v>1852</v>
      </c>
      <c r="L30" s="161"/>
      <c r="M30" s="162" t="s">
        <v>69</v>
      </c>
      <c r="N30" s="160"/>
      <c r="O30" s="31"/>
      <c r="P30" s="5"/>
      <c r="R30" s="7"/>
      <c r="S30" s="190">
        <v>1156</v>
      </c>
      <c r="T30" s="190"/>
      <c r="U30" s="191" t="s">
        <v>69</v>
      </c>
      <c r="V30" s="160"/>
      <c r="W30" s="31"/>
      <c r="X30" s="5"/>
      <c r="Z30" s="7"/>
      <c r="AA30" s="192">
        <f>$AE$36</f>
        <v>0.11899999999999999</v>
      </c>
      <c r="AB30" s="80"/>
      <c r="AC30" s="80"/>
      <c r="AD30" s="80"/>
      <c r="AE30" s="80"/>
      <c r="AF30" s="5"/>
      <c r="AH30" s="7"/>
      <c r="AI30" s="174" t="s">
        <v>79</v>
      </c>
      <c r="AJ30" s="174"/>
      <c r="AK30" s="174"/>
      <c r="AL30" s="30"/>
      <c r="AM30" s="30"/>
      <c r="AN30" s="5"/>
    </row>
    <row r="31" spans="2:40" ht="15" customHeight="1">
      <c r="B31" s="7"/>
      <c r="C31" s="158"/>
      <c r="D31" s="158"/>
      <c r="E31" s="160"/>
      <c r="F31" s="160"/>
      <c r="G31" s="92"/>
      <c r="H31" s="5"/>
      <c r="J31" s="7"/>
      <c r="K31" s="161"/>
      <c r="L31" s="161"/>
      <c r="M31" s="160"/>
      <c r="N31" s="160"/>
      <c r="O31" s="31"/>
      <c r="P31" s="5"/>
      <c r="R31" s="7"/>
      <c r="S31" s="190"/>
      <c r="T31" s="190"/>
      <c r="U31" s="160"/>
      <c r="V31" s="160"/>
      <c r="W31" s="31"/>
      <c r="X31" s="5"/>
      <c r="Z31" s="7"/>
      <c r="AA31" s="193"/>
      <c r="AB31" s="80"/>
      <c r="AC31" s="80"/>
      <c r="AD31" s="80"/>
      <c r="AE31" s="80"/>
      <c r="AF31" s="5"/>
      <c r="AH31" s="7"/>
      <c r="AI31" s="174"/>
      <c r="AJ31" s="174"/>
      <c r="AK31" s="174"/>
      <c r="AL31" s="30"/>
      <c r="AM31" s="30"/>
      <c r="AN31" s="5"/>
    </row>
    <row r="32" spans="2:40" ht="15" customHeight="1">
      <c r="B32" s="7"/>
      <c r="C32" s="152" t="s">
        <v>66</v>
      </c>
      <c r="D32" s="152"/>
      <c r="E32" s="152"/>
      <c r="F32" s="152"/>
      <c r="G32" s="152"/>
      <c r="H32" s="5"/>
      <c r="J32" s="7"/>
      <c r="K32" s="163" t="s">
        <v>6</v>
      </c>
      <c r="L32" s="163"/>
      <c r="M32" s="163"/>
      <c r="N32" s="163"/>
      <c r="O32" s="163"/>
      <c r="P32" s="5"/>
      <c r="R32" s="7"/>
      <c r="S32" s="163" t="s">
        <v>6</v>
      </c>
      <c r="T32" s="163"/>
      <c r="U32" s="163"/>
      <c r="V32" s="163"/>
      <c r="W32" s="163"/>
      <c r="X32" s="5"/>
      <c r="Z32" s="7"/>
      <c r="AA32" s="81" t="s">
        <v>76</v>
      </c>
      <c r="AB32" s="37"/>
      <c r="AC32" s="37"/>
      <c r="AD32" s="37"/>
      <c r="AE32" s="37"/>
      <c r="AF32" s="5"/>
      <c r="AH32" s="7"/>
      <c r="AI32" s="175" t="s">
        <v>78</v>
      </c>
      <c r="AJ32" s="175"/>
      <c r="AK32" s="175"/>
      <c r="AL32" s="175"/>
      <c r="AM32" s="175"/>
      <c r="AN32" s="5"/>
    </row>
    <row r="33" spans="2:41" ht="20.25" customHeight="1">
      <c r="B33" s="7"/>
      <c r="C33" s="152"/>
      <c r="D33" s="152"/>
      <c r="E33" s="152"/>
      <c r="F33" s="152"/>
      <c r="G33" s="152"/>
      <c r="H33" s="5"/>
      <c r="J33" s="7"/>
      <c r="K33" s="163"/>
      <c r="L33" s="163"/>
      <c r="M33" s="163"/>
      <c r="N33" s="163"/>
      <c r="O33" s="163"/>
      <c r="P33" s="5"/>
      <c r="R33" s="7"/>
      <c r="S33" s="163"/>
      <c r="T33" s="163"/>
      <c r="U33" s="163"/>
      <c r="V33" s="163"/>
      <c r="W33" s="163"/>
      <c r="X33" s="5"/>
      <c r="Z33" s="7"/>
      <c r="AA33" s="81" t="s">
        <v>77</v>
      </c>
      <c r="AB33" s="37"/>
      <c r="AC33" s="37"/>
      <c r="AD33" s="37"/>
      <c r="AE33" s="37"/>
      <c r="AF33" s="5"/>
      <c r="AH33" s="7"/>
      <c r="AI33" s="175"/>
      <c r="AJ33" s="175"/>
      <c r="AK33" s="175"/>
      <c r="AL33" s="175"/>
      <c r="AM33" s="175"/>
      <c r="AN33" s="5"/>
    </row>
    <row r="34" spans="2:41">
      <c r="B34" s="7"/>
      <c r="C34" s="93" t="s">
        <v>3</v>
      </c>
      <c r="D34" s="92"/>
      <c r="E34" s="92"/>
      <c r="F34" s="92"/>
      <c r="G34" s="92"/>
      <c r="H34" s="5"/>
      <c r="J34" s="7"/>
      <c r="K34" s="36" t="s">
        <v>3</v>
      </c>
      <c r="L34" s="31"/>
      <c r="M34" s="31"/>
      <c r="N34" s="31"/>
      <c r="O34" s="31"/>
      <c r="P34" s="5"/>
      <c r="R34" s="7"/>
      <c r="S34" s="36" t="s">
        <v>3</v>
      </c>
      <c r="T34" s="31"/>
      <c r="U34" s="31"/>
      <c r="V34" s="31"/>
      <c r="W34" s="31"/>
      <c r="X34" s="5"/>
      <c r="Z34" s="7"/>
      <c r="AA34" s="82" t="s">
        <v>3</v>
      </c>
      <c r="AB34" s="37"/>
      <c r="AC34" s="37"/>
      <c r="AD34" s="37"/>
      <c r="AE34" s="37"/>
      <c r="AF34" s="5"/>
      <c r="AH34" s="7"/>
      <c r="AI34" s="35" t="s">
        <v>31</v>
      </c>
      <c r="AJ34" s="30"/>
      <c r="AK34" s="109" t="s">
        <v>64</v>
      </c>
      <c r="AL34" s="30"/>
      <c r="AM34" s="30"/>
      <c r="AN34" s="5"/>
    </row>
    <row r="35" spans="2:41">
      <c r="B35" s="7"/>
      <c r="C35" s="54" t="s">
        <v>24</v>
      </c>
      <c r="D35" s="54" t="s">
        <v>25</v>
      </c>
      <c r="E35" s="54" t="s">
        <v>26</v>
      </c>
      <c r="F35" s="54" t="s">
        <v>27</v>
      </c>
      <c r="G35" s="72" t="s">
        <v>36</v>
      </c>
      <c r="H35" s="5"/>
      <c r="J35" s="7"/>
      <c r="K35" s="77" t="s">
        <v>24</v>
      </c>
      <c r="L35" s="77" t="s">
        <v>25</v>
      </c>
      <c r="M35" s="77" t="s">
        <v>26</v>
      </c>
      <c r="N35" s="77" t="s">
        <v>27</v>
      </c>
      <c r="O35" s="75" t="s">
        <v>36</v>
      </c>
      <c r="P35" s="5"/>
      <c r="R35" s="7"/>
      <c r="S35" s="77" t="s">
        <v>24</v>
      </c>
      <c r="T35" s="77" t="s">
        <v>25</v>
      </c>
      <c r="U35" s="77" t="s">
        <v>26</v>
      </c>
      <c r="V35" s="77" t="s">
        <v>27</v>
      </c>
      <c r="W35" s="75" t="s">
        <v>36</v>
      </c>
      <c r="X35" s="5"/>
      <c r="Y35" s="33"/>
      <c r="Z35" s="7"/>
      <c r="AA35" s="77" t="s">
        <v>24</v>
      </c>
      <c r="AB35" s="77" t="s">
        <v>25</v>
      </c>
      <c r="AC35" s="77" t="s">
        <v>26</v>
      </c>
      <c r="AD35" s="77" t="s">
        <v>27</v>
      </c>
      <c r="AE35" s="75" t="s">
        <v>36</v>
      </c>
      <c r="AF35" s="5"/>
      <c r="AH35" s="7"/>
      <c r="AI35" s="106" t="s">
        <v>24</v>
      </c>
      <c r="AJ35" s="106" t="s">
        <v>25</v>
      </c>
      <c r="AK35" s="106" t="s">
        <v>26</v>
      </c>
      <c r="AL35" s="106" t="s">
        <v>27</v>
      </c>
      <c r="AM35" s="107" t="s">
        <v>36</v>
      </c>
      <c r="AN35" s="5"/>
    </row>
    <row r="36" spans="2:41">
      <c r="B36" s="13"/>
      <c r="C36" s="103">
        <v>641</v>
      </c>
      <c r="D36" s="103">
        <v>567</v>
      </c>
      <c r="E36" s="103">
        <v>605</v>
      </c>
      <c r="F36" s="103">
        <v>533</v>
      </c>
      <c r="G36" s="103">
        <v>694</v>
      </c>
      <c r="H36" s="12"/>
      <c r="J36" s="7"/>
      <c r="K36" s="34">
        <v>2230</v>
      </c>
      <c r="L36" s="34">
        <v>2047</v>
      </c>
      <c r="M36" s="34">
        <v>1882</v>
      </c>
      <c r="N36" s="34">
        <v>1871</v>
      </c>
      <c r="O36" s="34">
        <v>1885</v>
      </c>
      <c r="P36" s="5"/>
      <c r="R36" s="13"/>
      <c r="S36" s="76">
        <v>691</v>
      </c>
      <c r="T36" s="76">
        <v>709</v>
      </c>
      <c r="U36" s="76">
        <v>773</v>
      </c>
      <c r="V36" s="76">
        <v>902</v>
      </c>
      <c r="W36" s="76">
        <v>802</v>
      </c>
      <c r="X36" s="12"/>
      <c r="Z36" s="7"/>
      <c r="AA36" s="127">
        <v>7.1999999999999995E-2</v>
      </c>
      <c r="AB36" s="127">
        <v>9.8000000000000004E-2</v>
      </c>
      <c r="AC36" s="128">
        <v>0.105</v>
      </c>
      <c r="AD36" s="128">
        <v>0.10100000000000001</v>
      </c>
      <c r="AE36" s="128">
        <v>0.11899999999999999</v>
      </c>
      <c r="AF36" s="5"/>
      <c r="AH36" s="7"/>
      <c r="AI36" s="132" t="s">
        <v>60</v>
      </c>
      <c r="AJ36" s="132" t="s">
        <v>59</v>
      </c>
      <c r="AK36" s="132" t="s">
        <v>61</v>
      </c>
      <c r="AL36" s="132" t="s">
        <v>62</v>
      </c>
      <c r="AM36" s="132" t="s">
        <v>63</v>
      </c>
      <c r="AN36" s="5"/>
    </row>
    <row r="37" spans="2:41" ht="12.75" customHeight="1">
      <c r="B37" s="7"/>
      <c r="C37" s="95"/>
      <c r="D37" s="92"/>
      <c r="E37" s="92"/>
      <c r="F37" s="92"/>
      <c r="G37" s="92"/>
      <c r="H37" s="5"/>
      <c r="J37" s="7"/>
      <c r="K37" s="32" t="s">
        <v>35</v>
      </c>
      <c r="L37" s="31"/>
      <c r="M37" s="31"/>
      <c r="N37" s="31"/>
      <c r="O37" s="31"/>
      <c r="P37" s="5"/>
      <c r="R37" s="7"/>
      <c r="S37" s="32" t="s">
        <v>35</v>
      </c>
      <c r="T37" s="31"/>
      <c r="U37" s="31"/>
      <c r="V37" s="31"/>
      <c r="W37" s="31"/>
      <c r="X37" s="5"/>
      <c r="Z37" s="7"/>
      <c r="AA37" s="131" t="s">
        <v>35</v>
      </c>
      <c r="AB37" s="129"/>
      <c r="AC37" s="79"/>
      <c r="AD37" s="79"/>
      <c r="AE37" s="79"/>
      <c r="AF37" s="5"/>
      <c r="AH37" s="7"/>
      <c r="AI37" s="108"/>
      <c r="AJ37" s="108"/>
      <c r="AK37" s="108"/>
      <c r="AL37" s="108"/>
      <c r="AM37" s="108"/>
      <c r="AN37" s="5"/>
    </row>
    <row r="38" spans="2:41" ht="9" customHeight="1">
      <c r="B38" s="7"/>
      <c r="C38" s="96"/>
      <c r="D38" s="96"/>
      <c r="E38" s="96"/>
      <c r="F38" s="96"/>
      <c r="G38" s="96"/>
      <c r="H38" s="5"/>
      <c r="J38" s="7"/>
      <c r="K38" s="29">
        <v>16562</v>
      </c>
      <c r="L38" s="29">
        <v>16644</v>
      </c>
      <c r="M38" s="29">
        <v>16738</v>
      </c>
      <c r="N38" s="29">
        <v>17124</v>
      </c>
      <c r="O38" s="29">
        <v>17212</v>
      </c>
      <c r="P38" s="5"/>
      <c r="R38" s="7"/>
      <c r="S38" s="78">
        <v>3584</v>
      </c>
      <c r="T38" s="78">
        <v>3706</v>
      </c>
      <c r="U38" s="78">
        <v>3799</v>
      </c>
      <c r="V38" s="78">
        <v>4058</v>
      </c>
      <c r="W38" s="78">
        <v>4112</v>
      </c>
      <c r="X38" s="5"/>
      <c r="Z38" s="7"/>
      <c r="AA38" s="130">
        <v>0.121</v>
      </c>
      <c r="AB38" s="130">
        <v>0.13700000000000001</v>
      </c>
      <c r="AC38" s="130">
        <v>0.152</v>
      </c>
      <c r="AD38" s="130">
        <v>0.154</v>
      </c>
      <c r="AE38" s="130">
        <v>0.17</v>
      </c>
      <c r="AF38" s="5"/>
      <c r="AH38" s="7"/>
      <c r="AI38" s="28"/>
      <c r="AJ38" s="28"/>
      <c r="AK38" s="28"/>
      <c r="AL38" s="28"/>
      <c r="AM38" s="28"/>
      <c r="AN38" s="5"/>
    </row>
    <row r="39" spans="2:41" ht="9" customHeight="1">
      <c r="B39" s="3"/>
      <c r="C39" s="40"/>
      <c r="D39" s="40"/>
      <c r="E39" s="40"/>
      <c r="F39" s="40"/>
      <c r="G39" s="40"/>
      <c r="H39" s="1"/>
      <c r="J39" s="3"/>
      <c r="K39" s="27"/>
      <c r="L39" s="27"/>
      <c r="M39" s="27"/>
      <c r="N39" s="27"/>
      <c r="O39" s="27"/>
      <c r="P39" s="1"/>
      <c r="R39" s="3"/>
      <c r="S39" s="40"/>
      <c r="T39" s="40"/>
      <c r="U39" s="40"/>
      <c r="V39" s="40"/>
      <c r="W39" s="40"/>
      <c r="X39" s="1"/>
      <c r="Z39" s="3"/>
      <c r="AA39" s="27"/>
      <c r="AB39" s="27"/>
      <c r="AC39" s="27"/>
      <c r="AD39" s="27"/>
      <c r="AE39" s="27"/>
      <c r="AF39" s="1"/>
      <c r="AH39" s="3"/>
      <c r="AI39" s="27"/>
      <c r="AJ39" s="27"/>
      <c r="AK39" s="27"/>
      <c r="AL39" s="27"/>
      <c r="AM39" s="27"/>
      <c r="AN39" s="1"/>
    </row>
    <row r="40" spans="2:41" ht="9" customHeight="1" thickBot="1">
      <c r="B40" s="24"/>
      <c r="C40" s="105"/>
      <c r="D40" s="105"/>
      <c r="E40" s="105"/>
      <c r="F40" s="105"/>
      <c r="G40" s="105"/>
      <c r="H40" s="24"/>
      <c r="J40" s="24"/>
      <c r="K40" s="105"/>
      <c r="L40" s="105"/>
      <c r="M40" s="105"/>
      <c r="N40" s="105"/>
      <c r="O40" s="105"/>
      <c r="P40" s="24"/>
      <c r="S40" s="26"/>
      <c r="T40" s="26"/>
      <c r="U40" s="26"/>
      <c r="V40" s="26"/>
      <c r="W40" s="26"/>
    </row>
    <row r="41" spans="2:41" ht="9" customHeight="1">
      <c r="AH41" s="176" t="s">
        <v>4</v>
      </c>
      <c r="AI41" s="177"/>
      <c r="AJ41" s="177"/>
      <c r="AK41" s="177"/>
      <c r="AL41" s="177"/>
      <c r="AM41" s="177"/>
      <c r="AN41" s="178"/>
    </row>
    <row r="42" spans="2:41" s="19" customFormat="1" ht="10.5" customHeight="1">
      <c r="B42" s="25"/>
      <c r="C42" s="24"/>
      <c r="D42" s="24"/>
      <c r="E42" s="24"/>
      <c r="F42" s="24"/>
      <c r="G42" s="24"/>
      <c r="H42" s="23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s="179"/>
      <c r="AI42" s="180"/>
      <c r="AJ42" s="180"/>
      <c r="AK42" s="180"/>
      <c r="AL42" s="180"/>
      <c r="AM42" s="180"/>
      <c r="AN42" s="181"/>
      <c r="AO42" s="20"/>
    </row>
    <row r="43" spans="2:41" ht="14.1" customHeight="1">
      <c r="B43" s="7"/>
      <c r="C43" s="133" t="s">
        <v>80</v>
      </c>
      <c r="D43" s="92"/>
      <c r="E43" s="92"/>
      <c r="F43" s="92"/>
      <c r="G43" s="92"/>
      <c r="H43" s="5"/>
      <c r="J43" s="120"/>
      <c r="K43" s="120"/>
      <c r="L43" s="120"/>
      <c r="M43" s="120"/>
      <c r="N43" s="120"/>
      <c r="O43" s="120"/>
      <c r="P43" s="120"/>
      <c r="AH43" s="179"/>
      <c r="AI43" s="180"/>
      <c r="AJ43" s="180"/>
      <c r="AK43" s="180"/>
      <c r="AL43" s="180"/>
      <c r="AM43" s="180"/>
      <c r="AN43" s="181"/>
      <c r="AO43" s="4"/>
    </row>
    <row r="44" spans="2:41" ht="14.1" customHeight="1">
      <c r="B44" s="7"/>
      <c r="C44" s="134" t="s">
        <v>81</v>
      </c>
      <c r="D44" s="92"/>
      <c r="E44" s="92"/>
      <c r="F44" s="92"/>
      <c r="G44" s="92"/>
      <c r="H44" s="5"/>
      <c r="J44" s="121"/>
      <c r="K44" s="118"/>
      <c r="L44" s="118"/>
      <c r="M44" s="118"/>
      <c r="N44" s="118"/>
      <c r="O44" s="118"/>
      <c r="P44" s="121"/>
      <c r="AH44" s="179"/>
      <c r="AI44" s="180"/>
      <c r="AJ44" s="180"/>
      <c r="AK44" s="180"/>
      <c r="AL44" s="180"/>
      <c r="AM44" s="180"/>
      <c r="AN44" s="181"/>
      <c r="AO44" s="4"/>
    </row>
    <row r="45" spans="2:41" ht="14.1" customHeight="1">
      <c r="B45" s="7"/>
      <c r="C45" s="133"/>
      <c r="D45" s="92"/>
      <c r="E45" s="92"/>
      <c r="F45" s="92"/>
      <c r="G45" s="92"/>
      <c r="H45" s="5"/>
      <c r="J45" s="120"/>
      <c r="K45" s="119"/>
      <c r="L45" s="119"/>
      <c r="M45" s="119"/>
      <c r="N45" s="120"/>
      <c r="O45" s="120"/>
      <c r="P45" s="120"/>
      <c r="AH45" s="179"/>
      <c r="AI45" s="180"/>
      <c r="AJ45" s="180"/>
      <c r="AK45" s="180"/>
      <c r="AL45" s="180"/>
      <c r="AM45" s="180"/>
      <c r="AN45" s="181"/>
      <c r="AO45" s="4"/>
    </row>
    <row r="46" spans="2:41" ht="21.75" customHeight="1" thickBot="1">
      <c r="B46" s="7"/>
      <c r="C46" s="135" t="s">
        <v>82</v>
      </c>
      <c r="D46" s="135"/>
      <c r="E46" s="136"/>
      <c r="F46" s="137"/>
      <c r="G46" s="138">
        <v>473</v>
      </c>
      <c r="H46" s="5"/>
      <c r="J46" s="120"/>
      <c r="K46" s="119"/>
      <c r="L46" s="119"/>
      <c r="M46" s="119"/>
      <c r="N46" s="120"/>
      <c r="O46" s="120"/>
      <c r="P46" s="120"/>
      <c r="AH46" s="182"/>
      <c r="AI46" s="183"/>
      <c r="AJ46" s="183"/>
      <c r="AK46" s="183"/>
      <c r="AL46" s="183"/>
      <c r="AM46" s="183"/>
      <c r="AN46" s="184"/>
      <c r="AO46" s="4"/>
    </row>
    <row r="47" spans="2:41" ht="15.75">
      <c r="B47" s="7"/>
      <c r="C47" s="135" t="s">
        <v>83</v>
      </c>
      <c r="D47" s="135"/>
      <c r="E47" s="136"/>
      <c r="F47" s="137"/>
      <c r="G47" s="138">
        <v>426</v>
      </c>
      <c r="H47" s="5"/>
      <c r="J47" s="120"/>
      <c r="K47" s="122"/>
      <c r="L47" s="122"/>
      <c r="M47" s="122"/>
      <c r="N47" s="122"/>
      <c r="O47" s="122"/>
      <c r="P47" s="120"/>
      <c r="AH47" s="18"/>
      <c r="AI47" s="17"/>
      <c r="AJ47" s="6" t="s">
        <v>2</v>
      </c>
      <c r="AK47" s="4"/>
      <c r="AL47" s="4"/>
      <c r="AM47" s="4"/>
      <c r="AN47" s="5"/>
      <c r="AO47" s="4"/>
    </row>
    <row r="48" spans="2:41" ht="15.75">
      <c r="B48" s="7"/>
      <c r="C48" s="139" t="s">
        <v>84</v>
      </c>
      <c r="D48" s="140"/>
      <c r="E48" s="141"/>
      <c r="F48" s="142"/>
      <c r="G48" s="143">
        <v>420</v>
      </c>
      <c r="H48" s="5"/>
      <c r="J48" s="120"/>
      <c r="K48" s="122"/>
      <c r="L48" s="122"/>
      <c r="M48" s="122"/>
      <c r="N48" s="122"/>
      <c r="O48" s="122"/>
      <c r="P48" s="120"/>
      <c r="AH48" s="16"/>
      <c r="AI48" s="15"/>
      <c r="AJ48" s="14" t="s">
        <v>1</v>
      </c>
      <c r="AK48" s="11"/>
      <c r="AL48" s="11"/>
      <c r="AM48" s="4"/>
      <c r="AN48" s="5"/>
      <c r="AO48" s="4"/>
    </row>
    <row r="49" spans="2:41" ht="14.25" customHeight="1">
      <c r="B49" s="7"/>
      <c r="C49" s="135" t="s">
        <v>85</v>
      </c>
      <c r="D49" s="136"/>
      <c r="E49" s="144"/>
      <c r="F49" s="137"/>
      <c r="G49" s="138">
        <v>389</v>
      </c>
      <c r="H49" s="5"/>
      <c r="J49" s="120"/>
      <c r="K49" s="123"/>
      <c r="L49" s="123"/>
      <c r="M49" s="123"/>
      <c r="N49" s="123"/>
      <c r="O49" s="124"/>
      <c r="P49" s="120"/>
      <c r="AH49" s="10"/>
      <c r="AI49" s="9"/>
      <c r="AJ49" s="8" t="s">
        <v>0</v>
      </c>
      <c r="AN49" s="5"/>
      <c r="AO49" s="4"/>
    </row>
    <row r="50" spans="2:41" ht="15" customHeight="1">
      <c r="B50" s="7"/>
      <c r="C50" s="135" t="s">
        <v>86</v>
      </c>
      <c r="D50" s="135"/>
      <c r="E50" s="136"/>
      <c r="F50" s="137"/>
      <c r="G50" s="138">
        <v>372</v>
      </c>
      <c r="H50" s="5"/>
      <c r="J50" s="120"/>
      <c r="K50" s="125"/>
      <c r="L50" s="120"/>
      <c r="M50" s="120"/>
      <c r="N50" s="120"/>
      <c r="O50" s="120"/>
      <c r="P50" s="120"/>
      <c r="AH50" s="3"/>
      <c r="AI50" s="2"/>
      <c r="AJ50" s="2"/>
      <c r="AK50" s="2"/>
      <c r="AL50" s="2"/>
      <c r="AM50" s="2"/>
      <c r="AN50" s="1"/>
    </row>
    <row r="51" spans="2:41" ht="15" customHeight="1">
      <c r="B51" s="7"/>
      <c r="C51" s="135" t="s">
        <v>87</v>
      </c>
      <c r="D51" s="135"/>
      <c r="E51" s="136"/>
      <c r="F51" s="137"/>
      <c r="G51" s="138">
        <v>316</v>
      </c>
      <c r="H51" s="5"/>
      <c r="J51" s="120"/>
      <c r="K51" s="126"/>
      <c r="L51" s="126"/>
      <c r="M51" s="126"/>
      <c r="N51" s="126"/>
      <c r="O51" s="126"/>
      <c r="P51" s="120"/>
    </row>
    <row r="52" spans="2:41" ht="15" customHeight="1">
      <c r="B52" s="7"/>
      <c r="C52" s="135" t="s">
        <v>88</v>
      </c>
      <c r="D52" s="135"/>
      <c r="E52" s="136"/>
      <c r="F52" s="137"/>
      <c r="G52" s="138">
        <v>278</v>
      </c>
      <c r="H52" s="5"/>
      <c r="J52" s="120"/>
      <c r="K52" s="120"/>
      <c r="L52" s="120"/>
      <c r="M52" s="120"/>
      <c r="N52" s="120"/>
      <c r="O52" s="120"/>
      <c r="P52" s="120"/>
    </row>
    <row r="53" spans="2:41" ht="15" customHeight="1">
      <c r="B53" s="7"/>
      <c r="C53" s="135" t="s">
        <v>89</v>
      </c>
      <c r="D53" s="135"/>
      <c r="E53" s="136"/>
      <c r="F53" s="137"/>
      <c r="G53" s="138">
        <v>237</v>
      </c>
      <c r="H53" s="5"/>
    </row>
    <row r="54" spans="2:41" ht="15" customHeight="1">
      <c r="B54" s="7"/>
      <c r="C54" s="135" t="s">
        <v>90</v>
      </c>
      <c r="D54" s="135"/>
      <c r="E54" s="136"/>
      <c r="F54" s="137"/>
      <c r="G54" s="138">
        <v>237</v>
      </c>
      <c r="H54" s="5"/>
    </row>
    <row r="55" spans="2:41" ht="15.75" customHeight="1">
      <c r="B55" s="7"/>
      <c r="C55" s="135" t="s">
        <v>91</v>
      </c>
      <c r="D55" s="135"/>
      <c r="E55" s="136"/>
      <c r="F55" s="137"/>
      <c r="G55" s="138">
        <v>221</v>
      </c>
      <c r="H55" s="5"/>
    </row>
    <row r="56" spans="2:41">
      <c r="B56" s="7"/>
      <c r="C56" s="135" t="s">
        <v>92</v>
      </c>
      <c r="D56" s="135"/>
      <c r="E56" s="136"/>
      <c r="F56" s="137"/>
      <c r="G56" s="138">
        <v>209</v>
      </c>
      <c r="H56" s="5"/>
    </row>
    <row r="57" spans="2:41">
      <c r="B57" s="7"/>
      <c r="C57" s="135" t="s">
        <v>93</v>
      </c>
      <c r="D57" s="135"/>
      <c r="E57" s="136"/>
      <c r="F57" s="137"/>
      <c r="G57" s="138">
        <v>38</v>
      </c>
      <c r="H57" s="5"/>
    </row>
    <row r="58" spans="2:41">
      <c r="B58" s="7"/>
      <c r="C58" s="135" t="s">
        <v>94</v>
      </c>
      <c r="D58" s="135"/>
      <c r="E58" s="136"/>
      <c r="F58" s="137"/>
      <c r="G58" s="138">
        <v>16</v>
      </c>
      <c r="H58" s="5"/>
    </row>
    <row r="59" spans="2:41" ht="12.75" customHeight="1">
      <c r="B59" s="7"/>
      <c r="C59" s="145" t="s">
        <v>95</v>
      </c>
      <c r="D59" s="146"/>
      <c r="E59" s="146"/>
      <c r="F59" s="146"/>
      <c r="G59" s="147"/>
      <c r="H59" s="5"/>
    </row>
    <row r="60" spans="2:41" ht="12" customHeight="1">
      <c r="B60" s="7"/>
      <c r="C60" s="148" t="s">
        <v>96</v>
      </c>
      <c r="D60" s="149"/>
      <c r="E60" s="149"/>
      <c r="F60" s="149"/>
      <c r="G60" s="149"/>
      <c r="H60" s="5"/>
    </row>
    <row r="61" spans="2:41" ht="9" customHeight="1">
      <c r="B61" s="3"/>
      <c r="C61" s="2"/>
      <c r="D61" s="2"/>
      <c r="E61" s="2"/>
      <c r="F61" s="2"/>
      <c r="G61" s="2"/>
      <c r="H61" s="1"/>
    </row>
  </sheetData>
  <mergeCells count="47">
    <mergeCell ref="AH41:AN46"/>
    <mergeCell ref="K16:O16"/>
    <mergeCell ref="AA16:AE16"/>
    <mergeCell ref="AA17:AD18"/>
    <mergeCell ref="M17:N18"/>
    <mergeCell ref="S17:T18"/>
    <mergeCell ref="U17:V18"/>
    <mergeCell ref="S30:T31"/>
    <mergeCell ref="U30:V31"/>
    <mergeCell ref="AA30:AA31"/>
    <mergeCell ref="AI16:AM16"/>
    <mergeCell ref="AI17:AK18"/>
    <mergeCell ref="AA29:AE29"/>
    <mergeCell ref="K32:O33"/>
    <mergeCell ref="AI3:AM3"/>
    <mergeCell ref="AI29:AM29"/>
    <mergeCell ref="AI30:AK31"/>
    <mergeCell ref="AI32:AM33"/>
    <mergeCell ref="K19:O20"/>
    <mergeCell ref="AL17:AL18"/>
    <mergeCell ref="AA3:AE3"/>
    <mergeCell ref="AA4:AC5"/>
    <mergeCell ref="AA6:AE7"/>
    <mergeCell ref="S4:T5"/>
    <mergeCell ref="U4:V5"/>
    <mergeCell ref="K4:L5"/>
    <mergeCell ref="M4:O5"/>
    <mergeCell ref="K17:L18"/>
    <mergeCell ref="S3:W3"/>
    <mergeCell ref="S6:W7"/>
    <mergeCell ref="AA19:AE20"/>
    <mergeCell ref="S29:W29"/>
    <mergeCell ref="C29:G29"/>
    <mergeCell ref="C32:G33"/>
    <mergeCell ref="K3:O3"/>
    <mergeCell ref="K6:O7"/>
    <mergeCell ref="C16:G16"/>
    <mergeCell ref="C17:E18"/>
    <mergeCell ref="C3:G3"/>
    <mergeCell ref="C4:E5"/>
    <mergeCell ref="C6:G7"/>
    <mergeCell ref="C30:D31"/>
    <mergeCell ref="E30:F31"/>
    <mergeCell ref="K30:L31"/>
    <mergeCell ref="M30:N31"/>
    <mergeCell ref="K29:O29"/>
    <mergeCell ref="S32:W33"/>
  </mergeCells>
  <printOptions horizontalCentered="1"/>
  <pageMargins left="0.25" right="0.25" top="1.5" bottom="1.5" header="0.3" footer="0.3"/>
  <pageSetup orientation="portrait" r:id="rId1"/>
  <headerFooter>
    <oddHeader>&amp;C&amp;"Calibri,Regular"&amp;K000000&amp;G</oddHeader>
    <oddFooter>&amp;C&amp;"Calibri,Regular"&amp;26&amp;K000000DRAFT DASHBOARD, SEPTEMBER 2, 2011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Company>Ohio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Fidler</dc:creator>
  <cp:lastModifiedBy>Connie</cp:lastModifiedBy>
  <dcterms:created xsi:type="dcterms:W3CDTF">2012-03-15T22:08:02Z</dcterms:created>
  <dcterms:modified xsi:type="dcterms:W3CDTF">2012-05-23T18:42:19Z</dcterms:modified>
</cp:coreProperties>
</file>