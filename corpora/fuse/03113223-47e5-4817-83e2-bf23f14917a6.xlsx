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515"/>
  <workbookPr date1904="1" showInkAnnotation="0" codeName="ThisWorkbook" autoCompressPictures="0"/>
  <bookViews>
    <workbookView xWindow="13820" yWindow="6760" windowWidth="12240" windowHeight="9240" tabRatio="809" firstSheet="6" activeTab="10"/>
  </bookViews>
  <sheets>
    <sheet name="TS" sheetId="1" r:id="rId1"/>
    <sheet name="VS" sheetId="2" r:id="rId2"/>
    <sheet name="gas" sheetId="3" r:id="rId3"/>
    <sheet name="MassBVs (R1)" sheetId="20" r:id="rId4"/>
    <sheet name="MassBVs (R2)" sheetId="23" r:id="rId5"/>
    <sheet name="Moisture" sheetId="24" r:id="rId6"/>
    <sheet name="VSSDRY" sheetId="25" r:id="rId7"/>
    <sheet name="Mass-P,R1" sheetId="26" r:id="rId8"/>
    <sheet name="MassB-P,R2" sheetId="27" r:id="rId9"/>
    <sheet name="sizing" sheetId="28" r:id="rId10"/>
    <sheet name="petiole" sheetId="29" r:id="rId11"/>
  </sheets>
  <definedNames>
    <definedName name="_xlnm._FilterDatabase" localSheetId="2" hidden="1">gas!$A$2:$M$377</definedName>
    <definedName name="_xlnm._FilterDatabase" localSheetId="3" hidden="1">'MassBVs (R1)'!$A$1:$J$108</definedName>
    <definedName name="_xlnm._FilterDatabase" localSheetId="4" hidden="1">'MassBVs (R2)'!$A$1:$J$109</definedName>
    <definedName name="_xlnm._FilterDatabase" localSheetId="0" hidden="1">TS!$A$2:$K$339</definedName>
    <definedName name="_xlnm._FilterDatabase" localSheetId="1" hidden="1">VS!$A$2:$L$1639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29" l="1"/>
  <c r="G17" i="29"/>
  <c r="C17" i="29"/>
  <c r="F16" i="29"/>
  <c r="G16" i="29"/>
  <c r="C16" i="29"/>
  <c r="C15" i="29"/>
  <c r="E15" i="29"/>
  <c r="F15" i="29"/>
  <c r="G15" i="29"/>
  <c r="C14" i="29"/>
  <c r="E14" i="29"/>
  <c r="F14" i="29"/>
  <c r="G14" i="29"/>
  <c r="E13" i="29"/>
  <c r="F13" i="29"/>
  <c r="G13" i="29"/>
  <c r="F12" i="29"/>
  <c r="G12" i="29"/>
  <c r="E11" i="29"/>
  <c r="F11" i="29"/>
  <c r="G11" i="29"/>
  <c r="E9" i="29"/>
  <c r="F9" i="29"/>
  <c r="G9" i="29"/>
  <c r="H6" i="29"/>
  <c r="H4" i="29"/>
  <c r="I4" i="29"/>
  <c r="J4" i="29"/>
  <c r="K4" i="29"/>
  <c r="J28" i="28"/>
  <c r="K28" i="28"/>
  <c r="I27" i="28"/>
  <c r="J27" i="28"/>
  <c r="J21" i="28"/>
  <c r="J22" i="28"/>
  <c r="J23" i="28"/>
  <c r="B5" i="28"/>
  <c r="C5" i="28"/>
  <c r="D5" i="28"/>
  <c r="E16" i="28"/>
  <c r="F16" i="28"/>
  <c r="F20" i="28"/>
  <c r="F21" i="28"/>
  <c r="F23" i="28"/>
  <c r="F24" i="28"/>
  <c r="F17" i="28"/>
  <c r="C11" i="28"/>
  <c r="C12" i="28"/>
  <c r="C13" i="28"/>
  <c r="C14" i="28"/>
  <c r="E17" i="28"/>
  <c r="I11" i="28"/>
  <c r="B8" i="28"/>
  <c r="C8" i="28"/>
  <c r="D8" i="28"/>
  <c r="I8" i="28"/>
  <c r="K8" i="28"/>
  <c r="J8" i="28"/>
  <c r="G8" i="28"/>
  <c r="F8" i="28"/>
  <c r="E8" i="28"/>
  <c r="B7" i="28"/>
  <c r="C7" i="28"/>
  <c r="D7" i="28"/>
  <c r="I7" i="28"/>
  <c r="K7" i="28"/>
  <c r="J7" i="28"/>
  <c r="G7" i="28"/>
  <c r="F7" i="28"/>
  <c r="E7" i="28"/>
  <c r="B6" i="28"/>
  <c r="C6" i="28"/>
  <c r="D6" i="28"/>
  <c r="I6" i="28"/>
  <c r="K6" i="28"/>
  <c r="J6" i="28"/>
  <c r="G6" i="28"/>
  <c r="F6" i="28"/>
  <c r="E6" i="28"/>
  <c r="I5" i="28"/>
  <c r="K5" i="28"/>
  <c r="J5" i="28"/>
  <c r="G5" i="28"/>
  <c r="F5" i="28"/>
  <c r="E5" i="28"/>
  <c r="E11" i="27"/>
  <c r="E39" i="27"/>
  <c r="D12" i="27"/>
  <c r="E12" i="27"/>
  <c r="R12" i="27"/>
  <c r="E40" i="27"/>
  <c r="D13" i="27"/>
  <c r="E13" i="27"/>
  <c r="R13" i="27"/>
  <c r="E41" i="27"/>
  <c r="D14" i="27"/>
  <c r="E14" i="27"/>
  <c r="R14" i="27"/>
  <c r="E42" i="27"/>
  <c r="D15" i="27"/>
  <c r="E15" i="27"/>
  <c r="R15" i="27"/>
  <c r="E43" i="27"/>
  <c r="E16" i="27"/>
  <c r="E44" i="27"/>
  <c r="D17" i="27"/>
  <c r="E17" i="27"/>
  <c r="R17" i="27"/>
  <c r="E45" i="27"/>
  <c r="D18" i="27"/>
  <c r="E18" i="27"/>
  <c r="R18" i="27"/>
  <c r="E46" i="27"/>
  <c r="E19" i="27"/>
  <c r="E47" i="27"/>
  <c r="D20" i="27"/>
  <c r="E20" i="27"/>
  <c r="R20" i="27"/>
  <c r="E48" i="27"/>
  <c r="D21" i="27"/>
  <c r="E21" i="27"/>
  <c r="R21" i="27"/>
  <c r="E49" i="27"/>
  <c r="D22" i="27"/>
  <c r="E22" i="27"/>
  <c r="R22" i="27"/>
  <c r="E50" i="27"/>
  <c r="D23" i="27"/>
  <c r="E23" i="27"/>
  <c r="R23" i="27"/>
  <c r="E51" i="27"/>
  <c r="E24" i="27"/>
  <c r="E52" i="27"/>
  <c r="D25" i="27"/>
  <c r="E25" i="27"/>
  <c r="R25" i="27"/>
  <c r="E53" i="27"/>
  <c r="D26" i="27"/>
  <c r="E26" i="27"/>
  <c r="R26" i="27"/>
  <c r="E54" i="27"/>
  <c r="E27" i="27"/>
  <c r="E55" i="27"/>
  <c r="D28" i="27"/>
  <c r="E28" i="27"/>
  <c r="R28" i="27"/>
  <c r="E56" i="27"/>
  <c r="D29" i="27"/>
  <c r="E29" i="27"/>
  <c r="R29" i="27"/>
  <c r="E57" i="27"/>
  <c r="D30" i="27"/>
  <c r="E30" i="27"/>
  <c r="R30" i="27"/>
  <c r="E58" i="27"/>
  <c r="D31" i="27"/>
  <c r="E31" i="27"/>
  <c r="R31" i="27"/>
  <c r="E59" i="27"/>
  <c r="E32" i="27"/>
  <c r="E60" i="27"/>
  <c r="D33" i="27"/>
  <c r="E33" i="27"/>
  <c r="R33" i="27"/>
  <c r="E61" i="27"/>
  <c r="D34" i="27"/>
  <c r="E34" i="27"/>
  <c r="R34" i="27"/>
  <c r="E62" i="27"/>
  <c r="D35" i="27"/>
  <c r="E35" i="27"/>
  <c r="R35" i="27"/>
  <c r="E63" i="27"/>
  <c r="D36" i="27"/>
  <c r="E36" i="27"/>
  <c r="R36" i="27"/>
  <c r="E64" i="27"/>
  <c r="E68" i="27"/>
  <c r="I11" i="27"/>
  <c r="I39" i="27"/>
  <c r="I12" i="27"/>
  <c r="I40" i="27"/>
  <c r="I13" i="27"/>
  <c r="I41" i="27"/>
  <c r="I14" i="27"/>
  <c r="I42" i="27"/>
  <c r="I15" i="27"/>
  <c r="I43" i="27"/>
  <c r="I16" i="27"/>
  <c r="I44" i="27"/>
  <c r="I17" i="27"/>
  <c r="I45" i="27"/>
  <c r="I18" i="27"/>
  <c r="I46" i="27"/>
  <c r="I19" i="27"/>
  <c r="I47" i="27"/>
  <c r="I20" i="27"/>
  <c r="I48" i="27"/>
  <c r="I21" i="27"/>
  <c r="I49" i="27"/>
  <c r="I22" i="27"/>
  <c r="I50" i="27"/>
  <c r="I23" i="27"/>
  <c r="I51" i="27"/>
  <c r="I24" i="27"/>
  <c r="I52" i="27"/>
  <c r="I25" i="27"/>
  <c r="I53" i="27"/>
  <c r="I26" i="27"/>
  <c r="I54" i="27"/>
  <c r="I27" i="27"/>
  <c r="I55" i="27"/>
  <c r="I28" i="27"/>
  <c r="I56" i="27"/>
  <c r="I29" i="27"/>
  <c r="I57" i="27"/>
  <c r="I30" i="27"/>
  <c r="I58" i="27"/>
  <c r="I31" i="27"/>
  <c r="I59" i="27"/>
  <c r="I32" i="27"/>
  <c r="I60" i="27"/>
  <c r="I33" i="27"/>
  <c r="I61" i="27"/>
  <c r="I34" i="27"/>
  <c r="I62" i="27"/>
  <c r="I35" i="27"/>
  <c r="I63" i="27"/>
  <c r="I36" i="27"/>
  <c r="I64" i="27"/>
  <c r="I68" i="27"/>
  <c r="N11" i="27"/>
  <c r="N39" i="27"/>
  <c r="N12" i="27"/>
  <c r="N40" i="27"/>
  <c r="N13" i="27"/>
  <c r="N41" i="27"/>
  <c r="N14" i="27"/>
  <c r="N42" i="27"/>
  <c r="N15" i="27"/>
  <c r="N43" i="27"/>
  <c r="N16" i="27"/>
  <c r="N44" i="27"/>
  <c r="N17" i="27"/>
  <c r="N45" i="27"/>
  <c r="N18" i="27"/>
  <c r="N46" i="27"/>
  <c r="N19" i="27"/>
  <c r="N47" i="27"/>
  <c r="N20" i="27"/>
  <c r="N48" i="27"/>
  <c r="N21" i="27"/>
  <c r="N49" i="27"/>
  <c r="N22" i="27"/>
  <c r="N50" i="27"/>
  <c r="N23" i="27"/>
  <c r="N51" i="27"/>
  <c r="N24" i="27"/>
  <c r="N52" i="27"/>
  <c r="N25" i="27"/>
  <c r="N53" i="27"/>
  <c r="N26" i="27"/>
  <c r="N54" i="27"/>
  <c r="N27" i="27"/>
  <c r="N55" i="27"/>
  <c r="N28" i="27"/>
  <c r="N56" i="27"/>
  <c r="N29" i="27"/>
  <c r="N57" i="27"/>
  <c r="N30" i="27"/>
  <c r="N58" i="27"/>
  <c r="N31" i="27"/>
  <c r="N59" i="27"/>
  <c r="N32" i="27"/>
  <c r="N60" i="27"/>
  <c r="N33" i="27"/>
  <c r="N61" i="27"/>
  <c r="N34" i="27"/>
  <c r="N62" i="27"/>
  <c r="N35" i="27"/>
  <c r="N63" i="27"/>
  <c r="N36" i="27"/>
  <c r="N64" i="27"/>
  <c r="N68" i="27"/>
  <c r="M71" i="27"/>
  <c r="N71" i="27"/>
  <c r="O71" i="27"/>
  <c r="O72" i="27"/>
  <c r="K70" i="27"/>
  <c r="F70" i="27"/>
  <c r="P69" i="27"/>
  <c r="Q69" i="27"/>
  <c r="O68" i="27"/>
  <c r="J68" i="27"/>
  <c r="H68" i="27"/>
  <c r="D68" i="27"/>
  <c r="R37" i="27"/>
  <c r="F37" i="27"/>
  <c r="E37" i="27"/>
  <c r="P36" i="27"/>
  <c r="S36" i="27"/>
  <c r="Q36" i="27"/>
  <c r="P35" i="27"/>
  <c r="S35" i="27"/>
  <c r="Q35" i="27"/>
  <c r="P34" i="27"/>
  <c r="S34" i="27"/>
  <c r="Q34" i="27"/>
  <c r="P33" i="27"/>
  <c r="S33" i="27"/>
  <c r="Q33" i="27"/>
  <c r="P32" i="27"/>
  <c r="S32" i="27"/>
  <c r="Q32" i="27"/>
  <c r="P31" i="27"/>
  <c r="S31" i="27"/>
  <c r="Q31" i="27"/>
  <c r="P30" i="27"/>
  <c r="S30" i="27"/>
  <c r="Q30" i="27"/>
  <c r="P29" i="27"/>
  <c r="S29" i="27"/>
  <c r="Q29" i="27"/>
  <c r="P28" i="27"/>
  <c r="S28" i="27"/>
  <c r="Q28" i="27"/>
  <c r="P27" i="27"/>
  <c r="S27" i="27"/>
  <c r="Q27" i="27"/>
  <c r="P26" i="27"/>
  <c r="S26" i="27"/>
  <c r="Q26" i="27"/>
  <c r="P25" i="27"/>
  <c r="S25" i="27"/>
  <c r="Q25" i="27"/>
  <c r="P24" i="27"/>
  <c r="S24" i="27"/>
  <c r="Q24" i="27"/>
  <c r="P23" i="27"/>
  <c r="S23" i="27"/>
  <c r="Q23" i="27"/>
  <c r="P22" i="27"/>
  <c r="S22" i="27"/>
  <c r="Q22" i="27"/>
  <c r="P21" i="27"/>
  <c r="S21" i="27"/>
  <c r="Q21" i="27"/>
  <c r="P20" i="27"/>
  <c r="S20" i="27"/>
  <c r="Q20" i="27"/>
  <c r="P19" i="27"/>
  <c r="S19" i="27"/>
  <c r="Q19" i="27"/>
  <c r="P18" i="27"/>
  <c r="S18" i="27"/>
  <c r="Q18" i="27"/>
  <c r="P17" i="27"/>
  <c r="S17" i="27"/>
  <c r="Q17" i="27"/>
  <c r="P16" i="27"/>
  <c r="S16" i="27"/>
  <c r="Q16" i="27"/>
  <c r="P15" i="27"/>
  <c r="S15" i="27"/>
  <c r="Q15" i="27"/>
  <c r="P14" i="27"/>
  <c r="S14" i="27"/>
  <c r="Q14" i="27"/>
  <c r="P13" i="27"/>
  <c r="S13" i="27"/>
  <c r="Q13" i="27"/>
  <c r="P12" i="27"/>
  <c r="S12" i="27"/>
  <c r="Q12" i="27"/>
  <c r="P11" i="27"/>
  <c r="S11" i="27"/>
  <c r="Q11" i="27"/>
  <c r="B7" i="27"/>
  <c r="B8" i="27"/>
  <c r="Q7" i="27"/>
  <c r="E2" i="27"/>
  <c r="N2" i="27"/>
  <c r="I2" i="27"/>
  <c r="P2" i="27"/>
  <c r="N5" i="27"/>
  <c r="N7" i="27"/>
  <c r="E7" i="27"/>
  <c r="H5" i="27"/>
  <c r="G11" i="26"/>
  <c r="G87" i="26"/>
  <c r="G8" i="26"/>
  <c r="H8" i="26"/>
  <c r="M9" i="26"/>
  <c r="D12" i="26"/>
  <c r="E12" i="26"/>
  <c r="F12" i="26"/>
  <c r="G12" i="26"/>
  <c r="G88" i="26"/>
  <c r="T13" i="26"/>
  <c r="D13" i="26"/>
  <c r="E13" i="26"/>
  <c r="F13" i="26"/>
  <c r="G13" i="26"/>
  <c r="G89" i="26"/>
  <c r="T14" i="26"/>
  <c r="D14" i="26"/>
  <c r="E14" i="26"/>
  <c r="F14" i="26"/>
  <c r="G14" i="26"/>
  <c r="G90" i="26"/>
  <c r="T15" i="26"/>
  <c r="D15" i="26"/>
  <c r="E15" i="26"/>
  <c r="F15" i="26"/>
  <c r="G15" i="26"/>
  <c r="G91" i="26"/>
  <c r="T16" i="26"/>
  <c r="D16" i="26"/>
  <c r="E16" i="26"/>
  <c r="F16" i="26"/>
  <c r="G16" i="26"/>
  <c r="G92" i="26"/>
  <c r="D17" i="26"/>
  <c r="E17" i="26"/>
  <c r="F17" i="26"/>
  <c r="G17" i="26"/>
  <c r="G93" i="26"/>
  <c r="T18" i="26"/>
  <c r="D18" i="26"/>
  <c r="E18" i="26"/>
  <c r="F18" i="26"/>
  <c r="G18" i="26"/>
  <c r="G94" i="26"/>
  <c r="T19" i="26"/>
  <c r="D19" i="26"/>
  <c r="E19" i="26"/>
  <c r="F19" i="26"/>
  <c r="G19" i="26"/>
  <c r="G95" i="26"/>
  <c r="T20" i="26"/>
  <c r="D20" i="26"/>
  <c r="E20" i="26"/>
  <c r="F20" i="26"/>
  <c r="G20" i="26"/>
  <c r="G96" i="26"/>
  <c r="T21" i="26"/>
  <c r="D21" i="26"/>
  <c r="E21" i="26"/>
  <c r="F21" i="26"/>
  <c r="G21" i="26"/>
  <c r="G97" i="26"/>
  <c r="T22" i="26"/>
  <c r="D22" i="26"/>
  <c r="E22" i="26"/>
  <c r="F22" i="26"/>
  <c r="G22" i="26"/>
  <c r="G98" i="26"/>
  <c r="T23" i="26"/>
  <c r="D23" i="26"/>
  <c r="E23" i="26"/>
  <c r="F23" i="26"/>
  <c r="G23" i="26"/>
  <c r="G99" i="26"/>
  <c r="T24" i="26"/>
  <c r="D24" i="26"/>
  <c r="E24" i="26"/>
  <c r="F24" i="26"/>
  <c r="G24" i="26"/>
  <c r="G100" i="26"/>
  <c r="T25" i="26"/>
  <c r="D25" i="26"/>
  <c r="E25" i="26"/>
  <c r="F25" i="26"/>
  <c r="G25" i="26"/>
  <c r="G101" i="26"/>
  <c r="T26" i="26"/>
  <c r="D26" i="26"/>
  <c r="E26" i="26"/>
  <c r="F26" i="26"/>
  <c r="G26" i="26"/>
  <c r="G102" i="26"/>
  <c r="G103" i="26"/>
  <c r="D28" i="26"/>
  <c r="E28" i="26"/>
  <c r="F28" i="26"/>
  <c r="G28" i="26"/>
  <c r="G104" i="26"/>
  <c r="T29" i="26"/>
  <c r="D29" i="26"/>
  <c r="E29" i="26"/>
  <c r="F29" i="26"/>
  <c r="G29" i="26"/>
  <c r="G105" i="26"/>
  <c r="T30" i="26"/>
  <c r="D30" i="26"/>
  <c r="E30" i="26"/>
  <c r="F30" i="26"/>
  <c r="G30" i="26"/>
  <c r="G106" i="26"/>
  <c r="G107" i="26"/>
  <c r="D32" i="26"/>
  <c r="E32" i="26"/>
  <c r="F32" i="26"/>
  <c r="G32" i="26"/>
  <c r="G108" i="26"/>
  <c r="T33" i="26"/>
  <c r="D33" i="26"/>
  <c r="E33" i="26"/>
  <c r="F33" i="26"/>
  <c r="G33" i="26"/>
  <c r="G109" i="26"/>
  <c r="T34" i="26"/>
  <c r="D34" i="26"/>
  <c r="E34" i="26"/>
  <c r="F34" i="26"/>
  <c r="G34" i="26"/>
  <c r="G110" i="26"/>
  <c r="T35" i="26"/>
  <c r="D35" i="26"/>
  <c r="E35" i="26"/>
  <c r="F35" i="26"/>
  <c r="G35" i="26"/>
  <c r="G111" i="26"/>
  <c r="T36" i="26"/>
  <c r="D36" i="26"/>
  <c r="E36" i="26"/>
  <c r="F36" i="26"/>
  <c r="G36" i="26"/>
  <c r="G112" i="26"/>
  <c r="G113" i="26"/>
  <c r="D38" i="26"/>
  <c r="E38" i="26"/>
  <c r="F38" i="26"/>
  <c r="G38" i="26"/>
  <c r="G114" i="26"/>
  <c r="T39" i="26"/>
  <c r="D39" i="26"/>
  <c r="E39" i="26"/>
  <c r="F39" i="26"/>
  <c r="G39" i="26"/>
  <c r="G115" i="26"/>
  <c r="T40" i="26"/>
  <c r="D40" i="26"/>
  <c r="E40" i="26"/>
  <c r="F40" i="26"/>
  <c r="G40" i="26"/>
  <c r="G116" i="26"/>
  <c r="G117" i="26"/>
  <c r="D42" i="26"/>
  <c r="E42" i="26"/>
  <c r="F42" i="26"/>
  <c r="G42" i="26"/>
  <c r="G118" i="26"/>
  <c r="T43" i="26"/>
  <c r="D43" i="26"/>
  <c r="E43" i="26"/>
  <c r="F43" i="26"/>
  <c r="G43" i="26"/>
  <c r="G119" i="26"/>
  <c r="T44" i="26"/>
  <c r="D44" i="26"/>
  <c r="E44" i="26"/>
  <c r="F44" i="26"/>
  <c r="G44" i="26"/>
  <c r="G120" i="26"/>
  <c r="T45" i="26"/>
  <c r="D45" i="26"/>
  <c r="E45" i="26"/>
  <c r="F45" i="26"/>
  <c r="G45" i="26"/>
  <c r="G121" i="26"/>
  <c r="D46" i="26"/>
  <c r="E46" i="26"/>
  <c r="F46" i="26"/>
  <c r="G46" i="26"/>
  <c r="G122" i="26"/>
  <c r="T47" i="26"/>
  <c r="D47" i="26"/>
  <c r="E47" i="26"/>
  <c r="F47" i="26"/>
  <c r="G47" i="26"/>
  <c r="G123" i="26"/>
  <c r="T48" i="26"/>
  <c r="D48" i="26"/>
  <c r="E48" i="26"/>
  <c r="F48" i="26"/>
  <c r="G48" i="26"/>
  <c r="G124" i="26"/>
  <c r="G125" i="26"/>
  <c r="D50" i="26"/>
  <c r="E50" i="26"/>
  <c r="F50" i="26"/>
  <c r="G50" i="26"/>
  <c r="G126" i="26"/>
  <c r="T51" i="26"/>
  <c r="D51" i="26"/>
  <c r="E51" i="26"/>
  <c r="F51" i="26"/>
  <c r="G51" i="26"/>
  <c r="G127" i="26"/>
  <c r="T52" i="26"/>
  <c r="D52" i="26"/>
  <c r="E52" i="26"/>
  <c r="F52" i="26"/>
  <c r="G52" i="26"/>
  <c r="G128" i="26"/>
  <c r="T53" i="26"/>
  <c r="D53" i="26"/>
  <c r="E53" i="26"/>
  <c r="F53" i="26"/>
  <c r="G53" i="26"/>
  <c r="G129" i="26"/>
  <c r="T54" i="26"/>
  <c r="D54" i="26"/>
  <c r="E54" i="26"/>
  <c r="F54" i="26"/>
  <c r="G54" i="26"/>
  <c r="G130" i="26"/>
  <c r="T55" i="26"/>
  <c r="D55" i="26"/>
  <c r="E55" i="26"/>
  <c r="F55" i="26"/>
  <c r="G55" i="26"/>
  <c r="G131" i="26"/>
  <c r="T56" i="26"/>
  <c r="D56" i="26"/>
  <c r="E56" i="26"/>
  <c r="F56" i="26"/>
  <c r="G56" i="26"/>
  <c r="G132" i="26"/>
  <c r="T57" i="26"/>
  <c r="D57" i="26"/>
  <c r="E57" i="26"/>
  <c r="F57" i="26"/>
  <c r="G57" i="26"/>
  <c r="G133" i="26"/>
  <c r="T58" i="26"/>
  <c r="D58" i="26"/>
  <c r="E58" i="26"/>
  <c r="F58" i="26"/>
  <c r="G58" i="26"/>
  <c r="G134" i="26"/>
  <c r="D59" i="26"/>
  <c r="E59" i="26"/>
  <c r="F59" i="26"/>
  <c r="G59" i="26"/>
  <c r="G135" i="26"/>
  <c r="T60" i="26"/>
  <c r="D60" i="26"/>
  <c r="E60" i="26"/>
  <c r="F60" i="26"/>
  <c r="G60" i="26"/>
  <c r="G136" i="26"/>
  <c r="T61" i="26"/>
  <c r="D61" i="26"/>
  <c r="E61" i="26"/>
  <c r="F61" i="26"/>
  <c r="G61" i="26"/>
  <c r="G137" i="26"/>
  <c r="T62" i="26"/>
  <c r="D62" i="26"/>
  <c r="E62" i="26"/>
  <c r="F62" i="26"/>
  <c r="G62" i="26"/>
  <c r="G138" i="26"/>
  <c r="T63" i="26"/>
  <c r="D63" i="26"/>
  <c r="E63" i="26"/>
  <c r="F63" i="26"/>
  <c r="G63" i="26"/>
  <c r="G139" i="26"/>
  <c r="T64" i="26"/>
  <c r="D64" i="26"/>
  <c r="E64" i="26"/>
  <c r="F64" i="26"/>
  <c r="G64" i="26"/>
  <c r="G140" i="26"/>
  <c r="T65" i="26"/>
  <c r="D65" i="26"/>
  <c r="E65" i="26"/>
  <c r="F65" i="26"/>
  <c r="G65" i="26"/>
  <c r="G141" i="26"/>
  <c r="T66" i="26"/>
  <c r="D66" i="26"/>
  <c r="E66" i="26"/>
  <c r="F66" i="26"/>
  <c r="G66" i="26"/>
  <c r="G142" i="26"/>
  <c r="T67" i="26"/>
  <c r="D67" i="26"/>
  <c r="E67" i="26"/>
  <c r="F67" i="26"/>
  <c r="G67" i="26"/>
  <c r="G143" i="26"/>
  <c r="T68" i="26"/>
  <c r="D68" i="26"/>
  <c r="E68" i="26"/>
  <c r="F68" i="26"/>
  <c r="G68" i="26"/>
  <c r="G144" i="26"/>
  <c r="T69" i="26"/>
  <c r="D69" i="26"/>
  <c r="E69" i="26"/>
  <c r="F69" i="26"/>
  <c r="G69" i="26"/>
  <c r="G145" i="26"/>
  <c r="T70" i="26"/>
  <c r="D70" i="26"/>
  <c r="E70" i="26"/>
  <c r="F70" i="26"/>
  <c r="G70" i="26"/>
  <c r="G146" i="26"/>
  <c r="T71" i="26"/>
  <c r="D71" i="26"/>
  <c r="E71" i="26"/>
  <c r="F71" i="26"/>
  <c r="G71" i="26"/>
  <c r="G147" i="26"/>
  <c r="D72" i="26"/>
  <c r="E72" i="26"/>
  <c r="F72" i="26"/>
  <c r="G72" i="26"/>
  <c r="G148" i="26"/>
  <c r="T73" i="26"/>
  <c r="D73" i="26"/>
  <c r="E73" i="26"/>
  <c r="F73" i="26"/>
  <c r="G73" i="26"/>
  <c r="G149" i="26"/>
  <c r="T74" i="26"/>
  <c r="D74" i="26"/>
  <c r="E74" i="26"/>
  <c r="F74" i="26"/>
  <c r="G74" i="26"/>
  <c r="G150" i="26"/>
  <c r="T75" i="26"/>
  <c r="D75" i="26"/>
  <c r="E75" i="26"/>
  <c r="F75" i="26"/>
  <c r="G75" i="26"/>
  <c r="G151" i="26"/>
  <c r="T76" i="26"/>
  <c r="D76" i="26"/>
  <c r="E76" i="26"/>
  <c r="F76" i="26"/>
  <c r="G76" i="26"/>
  <c r="G152" i="26"/>
  <c r="T77" i="26"/>
  <c r="D77" i="26"/>
  <c r="E77" i="26"/>
  <c r="F77" i="26"/>
  <c r="G77" i="26"/>
  <c r="G153" i="26"/>
  <c r="T78" i="26"/>
  <c r="D78" i="26"/>
  <c r="E78" i="26"/>
  <c r="F78" i="26"/>
  <c r="G78" i="26"/>
  <c r="G154" i="26"/>
  <c r="T79" i="26"/>
  <c r="D79" i="26"/>
  <c r="E79" i="26"/>
  <c r="F79" i="26"/>
  <c r="G79" i="26"/>
  <c r="G155" i="26"/>
  <c r="T80" i="26"/>
  <c r="D80" i="26"/>
  <c r="E80" i="26"/>
  <c r="F80" i="26"/>
  <c r="G80" i="26"/>
  <c r="G156" i="26"/>
  <c r="T81" i="26"/>
  <c r="D81" i="26"/>
  <c r="E81" i="26"/>
  <c r="F81" i="26"/>
  <c r="G81" i="26"/>
  <c r="G157" i="26"/>
  <c r="T82" i="26"/>
  <c r="D82" i="26"/>
  <c r="E82" i="26"/>
  <c r="F82" i="26"/>
  <c r="G82" i="26"/>
  <c r="G158" i="26"/>
  <c r="T83" i="26"/>
  <c r="D83" i="26"/>
  <c r="E83" i="26"/>
  <c r="F83" i="26"/>
  <c r="G83" i="26"/>
  <c r="G159" i="26"/>
  <c r="T84" i="26"/>
  <c r="D84" i="26"/>
  <c r="E84" i="26"/>
  <c r="F84" i="26"/>
  <c r="G84" i="26"/>
  <c r="G160" i="26"/>
  <c r="G163" i="26"/>
  <c r="K87" i="26"/>
  <c r="K12" i="26"/>
  <c r="K88" i="26"/>
  <c r="K13" i="26"/>
  <c r="K89" i="26"/>
  <c r="K14" i="26"/>
  <c r="K90" i="26"/>
  <c r="K15" i="26"/>
  <c r="K91" i="26"/>
  <c r="K16" i="26"/>
  <c r="K92" i="26"/>
  <c r="K17" i="26"/>
  <c r="K93" i="26"/>
  <c r="K18" i="26"/>
  <c r="K94" i="26"/>
  <c r="K19" i="26"/>
  <c r="K95" i="26"/>
  <c r="K20" i="26"/>
  <c r="K96" i="26"/>
  <c r="K21" i="26"/>
  <c r="K97" i="26"/>
  <c r="K22" i="26"/>
  <c r="K98" i="26"/>
  <c r="K23" i="26"/>
  <c r="K99" i="26"/>
  <c r="K24" i="26"/>
  <c r="K100" i="26"/>
  <c r="K25" i="26"/>
  <c r="K101" i="26"/>
  <c r="K26" i="26"/>
  <c r="K102" i="26"/>
  <c r="K103" i="26"/>
  <c r="K28" i="26"/>
  <c r="K104" i="26"/>
  <c r="K29" i="26"/>
  <c r="K105" i="26"/>
  <c r="K30" i="26"/>
  <c r="K106" i="26"/>
  <c r="K107" i="26"/>
  <c r="K32" i="26"/>
  <c r="K108" i="26"/>
  <c r="K33" i="26"/>
  <c r="K109" i="26"/>
  <c r="K34" i="26"/>
  <c r="K110" i="26"/>
  <c r="K35" i="26"/>
  <c r="K111" i="26"/>
  <c r="K36" i="26"/>
  <c r="K112" i="26"/>
  <c r="K113" i="26"/>
  <c r="K38" i="26"/>
  <c r="K114" i="26"/>
  <c r="K39" i="26"/>
  <c r="K115" i="26"/>
  <c r="K40" i="26"/>
  <c r="K116" i="26"/>
  <c r="K117" i="26"/>
  <c r="K42" i="26"/>
  <c r="K118" i="26"/>
  <c r="K43" i="26"/>
  <c r="K119" i="26"/>
  <c r="K44" i="26"/>
  <c r="K120" i="26"/>
  <c r="K45" i="26"/>
  <c r="K121" i="26"/>
  <c r="K46" i="26"/>
  <c r="K122" i="26"/>
  <c r="K47" i="26"/>
  <c r="K123" i="26"/>
  <c r="K48" i="26"/>
  <c r="K124" i="26"/>
  <c r="K125" i="26"/>
  <c r="K50" i="26"/>
  <c r="K126" i="26"/>
  <c r="K51" i="26"/>
  <c r="K127" i="26"/>
  <c r="K52" i="26"/>
  <c r="K128" i="26"/>
  <c r="K53" i="26"/>
  <c r="K129" i="26"/>
  <c r="K54" i="26"/>
  <c r="K130" i="26"/>
  <c r="K55" i="26"/>
  <c r="K131" i="26"/>
  <c r="K56" i="26"/>
  <c r="K132" i="26"/>
  <c r="K57" i="26"/>
  <c r="K133" i="26"/>
  <c r="K58" i="26"/>
  <c r="K134" i="26"/>
  <c r="K59" i="26"/>
  <c r="K135" i="26"/>
  <c r="K60" i="26"/>
  <c r="K136" i="26"/>
  <c r="K61" i="26"/>
  <c r="K137" i="26"/>
  <c r="K62" i="26"/>
  <c r="K138" i="26"/>
  <c r="K63" i="26"/>
  <c r="K139" i="26"/>
  <c r="K64" i="26"/>
  <c r="K140" i="26"/>
  <c r="K65" i="26"/>
  <c r="K141" i="26"/>
  <c r="K66" i="26"/>
  <c r="K142" i="26"/>
  <c r="K67" i="26"/>
  <c r="K143" i="26"/>
  <c r="K68" i="26"/>
  <c r="K144" i="26"/>
  <c r="K69" i="26"/>
  <c r="K145" i="26"/>
  <c r="K70" i="26"/>
  <c r="K146" i="26"/>
  <c r="K71" i="26"/>
  <c r="K147" i="26"/>
  <c r="K72" i="26"/>
  <c r="K148" i="26"/>
  <c r="K73" i="26"/>
  <c r="K149" i="26"/>
  <c r="K74" i="26"/>
  <c r="K150" i="26"/>
  <c r="K75" i="26"/>
  <c r="K151" i="26"/>
  <c r="K76" i="26"/>
  <c r="K152" i="26"/>
  <c r="K77" i="26"/>
  <c r="K153" i="26"/>
  <c r="K78" i="26"/>
  <c r="K154" i="26"/>
  <c r="K79" i="26"/>
  <c r="K155" i="26"/>
  <c r="K80" i="26"/>
  <c r="K156" i="26"/>
  <c r="K81" i="26"/>
  <c r="K157" i="26"/>
  <c r="K82" i="26"/>
  <c r="K158" i="26"/>
  <c r="K83" i="26"/>
  <c r="K159" i="26"/>
  <c r="K84" i="26"/>
  <c r="K160" i="26"/>
  <c r="K163" i="26"/>
  <c r="P87" i="26"/>
  <c r="P12" i="26"/>
  <c r="P88" i="26"/>
  <c r="P13" i="26"/>
  <c r="P89" i="26"/>
  <c r="P14" i="26"/>
  <c r="P90" i="26"/>
  <c r="P15" i="26"/>
  <c r="P91" i="26"/>
  <c r="P16" i="26"/>
  <c r="P92" i="26"/>
  <c r="P17" i="26"/>
  <c r="P93" i="26"/>
  <c r="P18" i="26"/>
  <c r="P94" i="26"/>
  <c r="P19" i="26"/>
  <c r="P95" i="26"/>
  <c r="P20" i="26"/>
  <c r="P96" i="26"/>
  <c r="P21" i="26"/>
  <c r="P97" i="26"/>
  <c r="P22" i="26"/>
  <c r="P98" i="26"/>
  <c r="P23" i="26"/>
  <c r="P99" i="26"/>
  <c r="P24" i="26"/>
  <c r="P100" i="26"/>
  <c r="P25" i="26"/>
  <c r="P101" i="26"/>
  <c r="P26" i="26"/>
  <c r="P102" i="26"/>
  <c r="P103" i="26"/>
  <c r="P28" i="26"/>
  <c r="P104" i="26"/>
  <c r="P29" i="26"/>
  <c r="P105" i="26"/>
  <c r="P30" i="26"/>
  <c r="P106" i="26"/>
  <c r="P107" i="26"/>
  <c r="P32" i="26"/>
  <c r="P108" i="26"/>
  <c r="P33" i="26"/>
  <c r="P109" i="26"/>
  <c r="P34" i="26"/>
  <c r="P110" i="26"/>
  <c r="P35" i="26"/>
  <c r="P111" i="26"/>
  <c r="P36" i="26"/>
  <c r="P112" i="26"/>
  <c r="P113" i="26"/>
  <c r="P38" i="26"/>
  <c r="P114" i="26"/>
  <c r="P39" i="26"/>
  <c r="P115" i="26"/>
  <c r="P40" i="26"/>
  <c r="P116" i="26"/>
  <c r="P117" i="26"/>
  <c r="P42" i="26"/>
  <c r="P118" i="26"/>
  <c r="P43" i="26"/>
  <c r="P119" i="26"/>
  <c r="P44" i="26"/>
  <c r="P120" i="26"/>
  <c r="P45" i="26"/>
  <c r="P121" i="26"/>
  <c r="P46" i="26"/>
  <c r="P122" i="26"/>
  <c r="P47" i="26"/>
  <c r="P123" i="26"/>
  <c r="P48" i="26"/>
  <c r="P124" i="26"/>
  <c r="P125" i="26"/>
  <c r="P50" i="26"/>
  <c r="P126" i="26"/>
  <c r="P51" i="26"/>
  <c r="P127" i="26"/>
  <c r="P52" i="26"/>
  <c r="P128" i="26"/>
  <c r="P53" i="26"/>
  <c r="P129" i="26"/>
  <c r="P54" i="26"/>
  <c r="P130" i="26"/>
  <c r="P55" i="26"/>
  <c r="P131" i="26"/>
  <c r="P56" i="26"/>
  <c r="P132" i="26"/>
  <c r="P57" i="26"/>
  <c r="P133" i="26"/>
  <c r="P58" i="26"/>
  <c r="P134" i="26"/>
  <c r="P59" i="26"/>
  <c r="P135" i="26"/>
  <c r="P60" i="26"/>
  <c r="P136" i="26"/>
  <c r="P61" i="26"/>
  <c r="P137" i="26"/>
  <c r="P62" i="26"/>
  <c r="P138" i="26"/>
  <c r="P63" i="26"/>
  <c r="P139" i="26"/>
  <c r="P64" i="26"/>
  <c r="P140" i="26"/>
  <c r="P65" i="26"/>
  <c r="P141" i="26"/>
  <c r="P66" i="26"/>
  <c r="P142" i="26"/>
  <c r="P67" i="26"/>
  <c r="P143" i="26"/>
  <c r="P68" i="26"/>
  <c r="P144" i="26"/>
  <c r="P69" i="26"/>
  <c r="P145" i="26"/>
  <c r="P70" i="26"/>
  <c r="P146" i="26"/>
  <c r="P71" i="26"/>
  <c r="P147" i="26"/>
  <c r="P72" i="26"/>
  <c r="P148" i="26"/>
  <c r="P73" i="26"/>
  <c r="P149" i="26"/>
  <c r="P74" i="26"/>
  <c r="P150" i="26"/>
  <c r="P75" i="26"/>
  <c r="P151" i="26"/>
  <c r="P76" i="26"/>
  <c r="P152" i="26"/>
  <c r="P77" i="26"/>
  <c r="P153" i="26"/>
  <c r="P78" i="26"/>
  <c r="P154" i="26"/>
  <c r="P79" i="26"/>
  <c r="P155" i="26"/>
  <c r="P80" i="26"/>
  <c r="P156" i="26"/>
  <c r="P81" i="26"/>
  <c r="P157" i="26"/>
  <c r="P82" i="26"/>
  <c r="P158" i="26"/>
  <c r="P83" i="26"/>
  <c r="P159" i="26"/>
  <c r="P84" i="26"/>
  <c r="P160" i="26"/>
  <c r="P163" i="26"/>
  <c r="O166" i="26"/>
  <c r="P166" i="26"/>
  <c r="Q166" i="26"/>
  <c r="Q167" i="26"/>
  <c r="M165" i="26"/>
  <c r="H165" i="26"/>
  <c r="Q163" i="26"/>
  <c r="L163" i="26"/>
  <c r="J163" i="26"/>
  <c r="F163" i="26"/>
  <c r="T85" i="26"/>
  <c r="H85" i="26"/>
  <c r="G85" i="26"/>
  <c r="R84" i="26"/>
  <c r="U84" i="26"/>
  <c r="S84" i="26"/>
  <c r="R83" i="26"/>
  <c r="U83" i="26"/>
  <c r="S83" i="26"/>
  <c r="R82" i="26"/>
  <c r="U82" i="26"/>
  <c r="S82" i="26"/>
  <c r="R81" i="26"/>
  <c r="U81" i="26"/>
  <c r="S81" i="26"/>
  <c r="R80" i="26"/>
  <c r="U80" i="26"/>
  <c r="S80" i="26"/>
  <c r="R79" i="26"/>
  <c r="U79" i="26"/>
  <c r="S79" i="26"/>
  <c r="R78" i="26"/>
  <c r="U78" i="26"/>
  <c r="S78" i="26"/>
  <c r="R77" i="26"/>
  <c r="U77" i="26"/>
  <c r="S77" i="26"/>
  <c r="R76" i="26"/>
  <c r="U76" i="26"/>
  <c r="S76" i="26"/>
  <c r="R75" i="26"/>
  <c r="U75" i="26"/>
  <c r="S75" i="26"/>
  <c r="R74" i="26"/>
  <c r="U74" i="26"/>
  <c r="S74" i="26"/>
  <c r="R73" i="26"/>
  <c r="U73" i="26"/>
  <c r="S73" i="26"/>
  <c r="R72" i="26"/>
  <c r="U72" i="26"/>
  <c r="S72" i="26"/>
  <c r="R71" i="26"/>
  <c r="U71" i="26"/>
  <c r="S71" i="26"/>
  <c r="R70" i="26"/>
  <c r="U70" i="26"/>
  <c r="S70" i="26"/>
  <c r="R69" i="26"/>
  <c r="U69" i="26"/>
  <c r="S69" i="26"/>
  <c r="R68" i="26"/>
  <c r="U68" i="26"/>
  <c r="S68" i="26"/>
  <c r="R67" i="26"/>
  <c r="U67" i="26"/>
  <c r="S67" i="26"/>
  <c r="R66" i="26"/>
  <c r="U66" i="26"/>
  <c r="S66" i="26"/>
  <c r="R65" i="26"/>
  <c r="U65" i="26"/>
  <c r="S65" i="26"/>
  <c r="R64" i="26"/>
  <c r="U64" i="26"/>
  <c r="S64" i="26"/>
  <c r="R63" i="26"/>
  <c r="U63" i="26"/>
  <c r="S63" i="26"/>
  <c r="R62" i="26"/>
  <c r="U62" i="26"/>
  <c r="S62" i="26"/>
  <c r="R61" i="26"/>
  <c r="U61" i="26"/>
  <c r="S61" i="26"/>
  <c r="R60" i="26"/>
  <c r="U60" i="26"/>
  <c r="S60" i="26"/>
  <c r="R59" i="26"/>
  <c r="U59" i="26"/>
  <c r="S59" i="26"/>
  <c r="R58" i="26"/>
  <c r="U58" i="26"/>
  <c r="S58" i="26"/>
  <c r="R57" i="26"/>
  <c r="U57" i="26"/>
  <c r="S57" i="26"/>
  <c r="R56" i="26"/>
  <c r="U56" i="26"/>
  <c r="S56" i="26"/>
  <c r="R55" i="26"/>
  <c r="U55" i="26"/>
  <c r="S55" i="26"/>
  <c r="R54" i="26"/>
  <c r="U54" i="26"/>
  <c r="S54" i="26"/>
  <c r="R53" i="26"/>
  <c r="U53" i="26"/>
  <c r="S53" i="26"/>
  <c r="R52" i="26"/>
  <c r="U52" i="26"/>
  <c r="S52" i="26"/>
  <c r="R51" i="26"/>
  <c r="U51" i="26"/>
  <c r="S51" i="26"/>
  <c r="R50" i="26"/>
  <c r="U50" i="26"/>
  <c r="S50" i="26"/>
  <c r="U49" i="26"/>
  <c r="S49" i="26"/>
  <c r="R48" i="26"/>
  <c r="U48" i="26"/>
  <c r="S48" i="26"/>
  <c r="R47" i="26"/>
  <c r="U47" i="26"/>
  <c r="S47" i="26"/>
  <c r="R46" i="26"/>
  <c r="U46" i="26"/>
  <c r="S46" i="26"/>
  <c r="R45" i="26"/>
  <c r="U45" i="26"/>
  <c r="S45" i="26"/>
  <c r="R44" i="26"/>
  <c r="U44" i="26"/>
  <c r="S44" i="26"/>
  <c r="R43" i="26"/>
  <c r="U43" i="26"/>
  <c r="S43" i="26"/>
  <c r="R42" i="26"/>
  <c r="U42" i="26"/>
  <c r="S42" i="26"/>
  <c r="R41" i="26"/>
  <c r="U41" i="26"/>
  <c r="S41" i="26"/>
  <c r="R40" i="26"/>
  <c r="U40" i="26"/>
  <c r="S40" i="26"/>
  <c r="R39" i="26"/>
  <c r="U39" i="26"/>
  <c r="S39" i="26"/>
  <c r="R38" i="26"/>
  <c r="U38" i="26"/>
  <c r="S38" i="26"/>
  <c r="R37" i="26"/>
  <c r="U37" i="26"/>
  <c r="S37" i="26"/>
  <c r="R36" i="26"/>
  <c r="U36" i="26"/>
  <c r="S36" i="26"/>
  <c r="R35" i="26"/>
  <c r="U35" i="26"/>
  <c r="S35" i="26"/>
  <c r="R34" i="26"/>
  <c r="U34" i="26"/>
  <c r="S34" i="26"/>
  <c r="R33" i="26"/>
  <c r="U33" i="26"/>
  <c r="S33" i="26"/>
  <c r="R32" i="26"/>
  <c r="U32" i="26"/>
  <c r="S32" i="26"/>
  <c r="R31" i="26"/>
  <c r="U31" i="26"/>
  <c r="S31" i="26"/>
  <c r="R30" i="26"/>
  <c r="U30" i="26"/>
  <c r="S30" i="26"/>
  <c r="R29" i="26"/>
  <c r="U29" i="26"/>
  <c r="S29" i="26"/>
  <c r="R28" i="26"/>
  <c r="U28" i="26"/>
  <c r="S28" i="26"/>
  <c r="R27" i="26"/>
  <c r="U27" i="26"/>
  <c r="S27" i="26"/>
  <c r="R26" i="26"/>
  <c r="U26" i="26"/>
  <c r="S26" i="26"/>
  <c r="R25" i="26"/>
  <c r="U25" i="26"/>
  <c r="S25" i="26"/>
  <c r="R24" i="26"/>
  <c r="U24" i="26"/>
  <c r="S24" i="26"/>
  <c r="R23" i="26"/>
  <c r="U23" i="26"/>
  <c r="S23" i="26"/>
  <c r="R22" i="26"/>
  <c r="U22" i="26"/>
  <c r="S22" i="26"/>
  <c r="R21" i="26"/>
  <c r="U21" i="26"/>
  <c r="S21" i="26"/>
  <c r="R20" i="26"/>
  <c r="U20" i="26"/>
  <c r="S20" i="26"/>
  <c r="R19" i="26"/>
  <c r="U19" i="26"/>
  <c r="S19" i="26"/>
  <c r="R18" i="26"/>
  <c r="U18" i="26"/>
  <c r="S18" i="26"/>
  <c r="R17" i="26"/>
  <c r="U17" i="26"/>
  <c r="S17" i="26"/>
  <c r="R16" i="26"/>
  <c r="U16" i="26"/>
  <c r="S16" i="26"/>
  <c r="R15" i="26"/>
  <c r="U15" i="26"/>
  <c r="S15" i="26"/>
  <c r="R14" i="26"/>
  <c r="U14" i="26"/>
  <c r="S14" i="26"/>
  <c r="R13" i="26"/>
  <c r="U13" i="26"/>
  <c r="S13" i="26"/>
  <c r="R12" i="26"/>
  <c r="U12" i="26"/>
  <c r="S12" i="26"/>
  <c r="R11" i="26"/>
  <c r="U11" i="26"/>
  <c r="S11" i="26"/>
  <c r="E11" i="26"/>
  <c r="L9" i="26"/>
  <c r="K9" i="26"/>
  <c r="J9" i="26"/>
  <c r="I9" i="26"/>
  <c r="H9" i="26"/>
  <c r="G9" i="26"/>
  <c r="B7" i="26"/>
  <c r="B8" i="26"/>
  <c r="S7" i="26"/>
  <c r="G2" i="26"/>
  <c r="P2" i="26"/>
  <c r="K2" i="26"/>
  <c r="R2" i="26"/>
  <c r="P5" i="26"/>
  <c r="P7" i="26"/>
  <c r="G7" i="26"/>
  <c r="J5" i="26"/>
  <c r="D50" i="25"/>
  <c r="F50" i="25"/>
  <c r="D49" i="25"/>
  <c r="F49" i="25"/>
  <c r="D47" i="25"/>
  <c r="F47" i="25"/>
  <c r="D46" i="25"/>
  <c r="F46" i="25"/>
  <c r="L45" i="25"/>
  <c r="D45" i="25"/>
  <c r="F45" i="25"/>
  <c r="D43" i="25"/>
  <c r="F43" i="25"/>
  <c r="D42" i="25"/>
  <c r="F42" i="25"/>
  <c r="D41" i="25"/>
  <c r="F41" i="25"/>
  <c r="D39" i="25"/>
  <c r="F39" i="25"/>
  <c r="D38" i="25"/>
  <c r="F38" i="25"/>
  <c r="D37" i="25"/>
  <c r="F37" i="25"/>
  <c r="D35" i="25"/>
  <c r="F35" i="25"/>
  <c r="D33" i="25"/>
  <c r="F33" i="25"/>
  <c r="D31" i="25"/>
  <c r="F31" i="25"/>
  <c r="D29" i="25"/>
  <c r="F29" i="25"/>
  <c r="D27" i="25"/>
  <c r="F27" i="25"/>
  <c r="D23" i="25"/>
  <c r="F23" i="25"/>
  <c r="D21" i="25"/>
  <c r="F21" i="25"/>
  <c r="D17" i="25"/>
  <c r="F17" i="25"/>
  <c r="D15" i="25"/>
  <c r="F15" i="25"/>
  <c r="D13" i="25"/>
  <c r="F13" i="25"/>
  <c r="I34" i="25"/>
  <c r="D25" i="25"/>
  <c r="F25" i="25"/>
  <c r="D19" i="25"/>
  <c r="F19" i="25"/>
  <c r="D11" i="25"/>
  <c r="F11" i="25"/>
  <c r="D10" i="25"/>
  <c r="F10" i="25"/>
  <c r="K9" i="25"/>
  <c r="M9" i="25"/>
  <c r="D9" i="25"/>
  <c r="F9" i="25"/>
  <c r="K7" i="25"/>
  <c r="M7" i="25"/>
  <c r="D7" i="25"/>
  <c r="F7" i="25"/>
  <c r="D2" i="25"/>
  <c r="F2" i="25"/>
  <c r="D3" i="25"/>
  <c r="F3" i="25"/>
  <c r="D4" i="25"/>
  <c r="F4" i="25"/>
  <c r="D5" i="25"/>
  <c r="F5" i="25"/>
  <c r="G6" i="25"/>
  <c r="K2" i="25"/>
  <c r="M2" i="25"/>
  <c r="K4" i="25"/>
  <c r="M4" i="25"/>
  <c r="O5" i="25"/>
  <c r="F135" i="24"/>
  <c r="G135" i="24"/>
  <c r="H135" i="24"/>
  <c r="I135" i="24"/>
  <c r="J135" i="24"/>
  <c r="F133" i="24"/>
  <c r="G133" i="24"/>
  <c r="H133" i="24"/>
  <c r="I133" i="24"/>
  <c r="F134" i="24"/>
  <c r="G134" i="24"/>
  <c r="H134" i="24"/>
  <c r="I134" i="24"/>
  <c r="M134" i="24"/>
  <c r="J133" i="24"/>
  <c r="J134" i="24"/>
  <c r="K134" i="24"/>
  <c r="F131" i="24"/>
  <c r="G131" i="24"/>
  <c r="H131" i="24"/>
  <c r="I131" i="24"/>
  <c r="J131" i="24"/>
  <c r="F129" i="24"/>
  <c r="G129" i="24"/>
  <c r="H129" i="24"/>
  <c r="I129" i="24"/>
  <c r="F130" i="24"/>
  <c r="G130" i="24"/>
  <c r="H130" i="24"/>
  <c r="I130" i="24"/>
  <c r="M130" i="24"/>
  <c r="J129" i="24"/>
  <c r="J130" i="24"/>
  <c r="K130" i="24"/>
  <c r="F127" i="24"/>
  <c r="G127" i="24"/>
  <c r="H127" i="24"/>
  <c r="I127" i="24"/>
  <c r="J127" i="24"/>
  <c r="F125" i="24"/>
  <c r="G125" i="24"/>
  <c r="H125" i="24"/>
  <c r="I125" i="24"/>
  <c r="F126" i="24"/>
  <c r="G126" i="24"/>
  <c r="H126" i="24"/>
  <c r="I126" i="24"/>
  <c r="M126" i="24"/>
  <c r="J125" i="24"/>
  <c r="J126" i="24"/>
  <c r="K126" i="24"/>
  <c r="F123" i="24"/>
  <c r="G123" i="24"/>
  <c r="H123" i="24"/>
  <c r="I123" i="24"/>
  <c r="J123" i="24"/>
  <c r="F121" i="24"/>
  <c r="G121" i="24"/>
  <c r="H121" i="24"/>
  <c r="I121" i="24"/>
  <c r="J121" i="24"/>
  <c r="F122" i="24"/>
  <c r="G122" i="24"/>
  <c r="H122" i="24"/>
  <c r="I122" i="24"/>
  <c r="J122" i="24"/>
  <c r="K122" i="24"/>
  <c r="F105" i="24"/>
  <c r="G105" i="24"/>
  <c r="H105" i="24"/>
  <c r="I105" i="24"/>
  <c r="J105" i="24"/>
  <c r="F106" i="24"/>
  <c r="G106" i="24"/>
  <c r="H106" i="24"/>
  <c r="I106" i="24"/>
  <c r="J106" i="24"/>
  <c r="K106" i="24"/>
  <c r="F30" i="24"/>
  <c r="B30" i="24"/>
  <c r="G30" i="24"/>
  <c r="H30" i="24"/>
  <c r="I30" i="24"/>
  <c r="J30" i="24"/>
  <c r="F31" i="24"/>
  <c r="B31" i="24"/>
  <c r="G31" i="24"/>
  <c r="H31" i="24"/>
  <c r="I31" i="24"/>
  <c r="J31" i="24"/>
  <c r="F32" i="24"/>
  <c r="B32" i="24"/>
  <c r="G32" i="24"/>
  <c r="H32" i="24"/>
  <c r="I32" i="24"/>
  <c r="J32" i="24"/>
  <c r="K31" i="24"/>
  <c r="M119" i="24"/>
  <c r="F117" i="24"/>
  <c r="G117" i="24"/>
  <c r="H117" i="24"/>
  <c r="I117" i="24"/>
  <c r="J117" i="24"/>
  <c r="F116" i="24"/>
  <c r="G116" i="24"/>
  <c r="H116" i="24"/>
  <c r="I116" i="24"/>
  <c r="J116" i="24"/>
  <c r="K116" i="24"/>
  <c r="F114" i="24"/>
  <c r="G114" i="24"/>
  <c r="H114" i="24"/>
  <c r="I114" i="24"/>
  <c r="J114" i="24"/>
  <c r="F112" i="24"/>
  <c r="G112" i="24"/>
  <c r="H112" i="24"/>
  <c r="I112" i="24"/>
  <c r="J112" i="24"/>
  <c r="F111" i="24"/>
  <c r="G111" i="24"/>
  <c r="H111" i="24"/>
  <c r="I111" i="24"/>
  <c r="J111" i="24"/>
  <c r="K111" i="24"/>
  <c r="F109" i="24"/>
  <c r="G109" i="24"/>
  <c r="H109" i="24"/>
  <c r="I109" i="24"/>
  <c r="J109" i="24"/>
  <c r="F108" i="24"/>
  <c r="G108" i="24"/>
  <c r="H108" i="24"/>
  <c r="I108" i="24"/>
  <c r="J108" i="24"/>
  <c r="K108" i="24"/>
  <c r="F102" i="24"/>
  <c r="G102" i="24"/>
  <c r="H102" i="24"/>
  <c r="I102" i="24"/>
  <c r="J102" i="24"/>
  <c r="F103" i="24"/>
  <c r="G103" i="24"/>
  <c r="H103" i="24"/>
  <c r="I103" i="24"/>
  <c r="J103" i="24"/>
  <c r="K103" i="24"/>
  <c r="F100" i="24"/>
  <c r="G100" i="24"/>
  <c r="H100" i="24"/>
  <c r="I100" i="24"/>
  <c r="J100" i="24"/>
  <c r="F98" i="24"/>
  <c r="G98" i="24"/>
  <c r="H98" i="24"/>
  <c r="I98" i="24"/>
  <c r="J98" i="24"/>
  <c r="F99" i="24"/>
  <c r="G99" i="24"/>
  <c r="H99" i="24"/>
  <c r="I99" i="24"/>
  <c r="J99" i="24"/>
  <c r="K99" i="24"/>
  <c r="F95" i="24"/>
  <c r="G95" i="24"/>
  <c r="H95" i="24"/>
  <c r="I95" i="24"/>
  <c r="J95" i="24"/>
  <c r="F93" i="24"/>
  <c r="G93" i="24"/>
  <c r="H93" i="24"/>
  <c r="I93" i="24"/>
  <c r="F94" i="24"/>
  <c r="G94" i="24"/>
  <c r="H94" i="24"/>
  <c r="I94" i="24"/>
  <c r="L94" i="24"/>
  <c r="J93" i="24"/>
  <c r="J94" i="24"/>
  <c r="K94" i="24"/>
  <c r="F91" i="24"/>
  <c r="G91" i="24"/>
  <c r="H91" i="24"/>
  <c r="I91" i="24"/>
  <c r="J91" i="24"/>
  <c r="F89" i="24"/>
  <c r="G89" i="24"/>
  <c r="H89" i="24"/>
  <c r="I89" i="24"/>
  <c r="J89" i="24"/>
  <c r="F90" i="24"/>
  <c r="G90" i="24"/>
  <c r="H90" i="24"/>
  <c r="I90" i="24"/>
  <c r="J90" i="24"/>
  <c r="K90" i="24"/>
  <c r="F86" i="24"/>
  <c r="G86" i="24"/>
  <c r="H86" i="24"/>
  <c r="I86" i="24"/>
  <c r="J86" i="24"/>
  <c r="F85" i="24"/>
  <c r="G85" i="24"/>
  <c r="H85" i="24"/>
  <c r="I85" i="24"/>
  <c r="J85" i="24"/>
  <c r="K85" i="24"/>
  <c r="F84" i="24"/>
  <c r="G84" i="24"/>
  <c r="H84" i="24"/>
  <c r="I84" i="24"/>
  <c r="J84" i="24"/>
  <c r="F83" i="24"/>
  <c r="G83" i="24"/>
  <c r="H83" i="24"/>
  <c r="I83" i="24"/>
  <c r="J83" i="24"/>
  <c r="K83" i="24"/>
  <c r="F79" i="24"/>
  <c r="G79" i="24"/>
  <c r="H79" i="24"/>
  <c r="I79" i="24"/>
  <c r="J79" i="24"/>
  <c r="F76" i="24"/>
  <c r="G76" i="24"/>
  <c r="H76" i="24"/>
  <c r="I76" i="24"/>
  <c r="J76" i="24"/>
  <c r="F74" i="24"/>
  <c r="G74" i="24"/>
  <c r="H74" i="24"/>
  <c r="I74" i="24"/>
  <c r="J74" i="24"/>
  <c r="F75" i="24"/>
  <c r="G75" i="24"/>
  <c r="H75" i="24"/>
  <c r="I75" i="24"/>
  <c r="J75" i="24"/>
  <c r="K75" i="24"/>
  <c r="F72" i="24"/>
  <c r="G72" i="24"/>
  <c r="H72" i="24"/>
  <c r="I72" i="24"/>
  <c r="J72" i="24"/>
  <c r="F70" i="24"/>
  <c r="G70" i="24"/>
  <c r="H70" i="24"/>
  <c r="I70" i="24"/>
  <c r="J70" i="24"/>
  <c r="F69" i="24"/>
  <c r="G69" i="24"/>
  <c r="H69" i="24"/>
  <c r="I69" i="24"/>
  <c r="J69" i="24"/>
  <c r="M68" i="24"/>
  <c r="N68" i="24"/>
  <c r="F68" i="24"/>
  <c r="G68" i="24"/>
  <c r="H68" i="24"/>
  <c r="I68" i="24"/>
  <c r="J68" i="24"/>
  <c r="F66" i="24"/>
  <c r="G66" i="24"/>
  <c r="H66" i="24"/>
  <c r="I66" i="24"/>
  <c r="J66" i="24"/>
  <c r="F65" i="24"/>
  <c r="G65" i="24"/>
  <c r="H65" i="24"/>
  <c r="I65" i="24"/>
  <c r="J65" i="24"/>
  <c r="F62" i="24"/>
  <c r="G62" i="24"/>
  <c r="H62" i="24"/>
  <c r="I62" i="24"/>
  <c r="J62" i="24"/>
  <c r="F61" i="24"/>
  <c r="G61" i="24"/>
  <c r="H61" i="24"/>
  <c r="I61" i="24"/>
  <c r="J61" i="24"/>
  <c r="K61" i="24"/>
  <c r="F58" i="24"/>
  <c r="G58" i="24"/>
  <c r="H58" i="24"/>
  <c r="I58" i="24"/>
  <c r="J58" i="24"/>
  <c r="F57" i="24"/>
  <c r="G57" i="24"/>
  <c r="H57" i="24"/>
  <c r="I57" i="24"/>
  <c r="J57" i="24"/>
  <c r="K57" i="24"/>
  <c r="F52" i="24"/>
  <c r="B52" i="24"/>
  <c r="G52" i="24"/>
  <c r="H52" i="24"/>
  <c r="I52" i="24"/>
  <c r="J52" i="24"/>
  <c r="F51" i="24"/>
  <c r="B51" i="24"/>
  <c r="G51" i="24"/>
  <c r="H51" i="24"/>
  <c r="I51" i="24"/>
  <c r="J51" i="24"/>
  <c r="K51" i="24"/>
  <c r="F48" i="24"/>
  <c r="G48" i="24"/>
  <c r="H48" i="24"/>
  <c r="I48" i="24"/>
  <c r="J48" i="24"/>
  <c r="F47" i="24"/>
  <c r="G47" i="24"/>
  <c r="H47" i="24"/>
  <c r="I47" i="24"/>
  <c r="J47" i="24"/>
  <c r="K47" i="24"/>
  <c r="F44" i="24"/>
  <c r="G44" i="24"/>
  <c r="H44" i="24"/>
  <c r="I44" i="24"/>
  <c r="J44" i="24"/>
  <c r="F42" i="24"/>
  <c r="G42" i="24"/>
  <c r="H42" i="24"/>
  <c r="I42" i="24"/>
  <c r="J42" i="24"/>
  <c r="K43" i="24"/>
  <c r="F43" i="24"/>
  <c r="G43" i="24"/>
  <c r="H43" i="24"/>
  <c r="I43" i="24"/>
  <c r="J43" i="24"/>
  <c r="F39" i="24"/>
  <c r="H39" i="24"/>
  <c r="I39" i="24"/>
  <c r="J39" i="24"/>
  <c r="F37" i="24"/>
  <c r="H37" i="24"/>
  <c r="I37" i="24"/>
  <c r="J37" i="24"/>
  <c r="F38" i="24"/>
  <c r="H38" i="24"/>
  <c r="I38" i="24"/>
  <c r="J38" i="24"/>
  <c r="K38" i="24"/>
  <c r="F34" i="24"/>
  <c r="G34" i="24"/>
  <c r="H34" i="24"/>
  <c r="I34" i="24"/>
  <c r="J34" i="24"/>
  <c r="F28" i="24"/>
  <c r="B28" i="24"/>
  <c r="G28" i="24"/>
  <c r="H28" i="24"/>
  <c r="I28" i="24"/>
  <c r="J28" i="24"/>
  <c r="F26" i="24"/>
  <c r="B26" i="24"/>
  <c r="G26" i="24"/>
  <c r="H26" i="24"/>
  <c r="I26" i="24"/>
  <c r="J26" i="24"/>
  <c r="F27" i="24"/>
  <c r="B27" i="24"/>
  <c r="G27" i="24"/>
  <c r="H27" i="24"/>
  <c r="I27" i="24"/>
  <c r="J27" i="24"/>
  <c r="K27" i="24"/>
  <c r="F18" i="24"/>
  <c r="B18" i="24"/>
  <c r="G18" i="24"/>
  <c r="H18" i="24"/>
  <c r="I18" i="24"/>
  <c r="J18" i="24"/>
  <c r="F17" i="24"/>
  <c r="G17" i="24"/>
  <c r="H17" i="24"/>
  <c r="I17" i="24"/>
  <c r="J17" i="24"/>
  <c r="F16" i="24"/>
  <c r="G16" i="24"/>
  <c r="H16" i="24"/>
  <c r="I16" i="24"/>
  <c r="J16" i="24"/>
  <c r="H15" i="24"/>
  <c r="I15" i="24"/>
  <c r="J15" i="24"/>
  <c r="F11" i="24"/>
  <c r="B11" i="24"/>
  <c r="G11" i="24"/>
  <c r="H11" i="24"/>
  <c r="I11" i="24"/>
  <c r="J11" i="24"/>
  <c r="F9" i="24"/>
  <c r="B9" i="24"/>
  <c r="G9" i="24"/>
  <c r="H9" i="24"/>
  <c r="I9" i="24"/>
  <c r="J9" i="24"/>
  <c r="F8" i="24"/>
  <c r="G8" i="24"/>
  <c r="H8" i="24"/>
  <c r="I8" i="24"/>
  <c r="J8" i="24"/>
  <c r="F3" i="24"/>
  <c r="B3" i="24"/>
  <c r="G3" i="24"/>
  <c r="H3" i="24"/>
  <c r="I3" i="24"/>
  <c r="J3" i="24"/>
  <c r="F4" i="24"/>
  <c r="B4" i="24"/>
  <c r="G4" i="24"/>
  <c r="H4" i="24"/>
  <c r="I4" i="24"/>
  <c r="J4" i="24"/>
  <c r="F5" i="24"/>
  <c r="B5" i="24"/>
  <c r="G5" i="24"/>
  <c r="H5" i="24"/>
  <c r="I5" i="24"/>
  <c r="J5" i="24"/>
  <c r="F6" i="24"/>
  <c r="B6" i="24"/>
  <c r="G6" i="24"/>
  <c r="H6" i="24"/>
  <c r="I6" i="24"/>
  <c r="J6" i="24"/>
  <c r="F7" i="24"/>
  <c r="B7" i="24"/>
  <c r="G7" i="24"/>
  <c r="H7" i="24"/>
  <c r="I7" i="24"/>
  <c r="J7" i="24"/>
  <c r="K7" i="24"/>
  <c r="D10" i="23"/>
  <c r="F10" i="23"/>
  <c r="E10" i="23"/>
  <c r="F265" i="2"/>
  <c r="G265" i="2"/>
  <c r="F266" i="1"/>
  <c r="C265" i="2"/>
  <c r="H265" i="2"/>
  <c r="I265" i="2"/>
  <c r="H107" i="23"/>
  <c r="I107" i="23"/>
  <c r="D107" i="23"/>
  <c r="F107" i="23"/>
  <c r="J107" i="23"/>
  <c r="F267" i="2"/>
  <c r="G267" i="2"/>
  <c r="F268" i="1"/>
  <c r="C267" i="2"/>
  <c r="H267" i="2"/>
  <c r="I267" i="2"/>
  <c r="H108" i="23"/>
  <c r="I108" i="23"/>
  <c r="D108" i="23"/>
  <c r="F108" i="23"/>
  <c r="J108" i="23"/>
  <c r="F269" i="2"/>
  <c r="G269" i="2"/>
  <c r="F270" i="1"/>
  <c r="C269" i="2"/>
  <c r="H269" i="2"/>
  <c r="I269" i="2"/>
  <c r="H109" i="23"/>
  <c r="I109" i="23"/>
  <c r="D109" i="23"/>
  <c r="F109" i="23"/>
  <c r="J109" i="23"/>
  <c r="F271" i="2"/>
  <c r="G271" i="2"/>
  <c r="F272" i="1"/>
  <c r="C271" i="2"/>
  <c r="H271" i="2"/>
  <c r="I271" i="2"/>
  <c r="H110" i="23"/>
  <c r="I110" i="23"/>
  <c r="D110" i="23"/>
  <c r="F110" i="23"/>
  <c r="J110" i="23"/>
  <c r="F273" i="2"/>
  <c r="G273" i="2"/>
  <c r="F274" i="1"/>
  <c r="C273" i="2"/>
  <c r="H273" i="2"/>
  <c r="I273" i="2"/>
  <c r="H111" i="23"/>
  <c r="I111" i="23"/>
  <c r="D111" i="23"/>
  <c r="F111" i="23"/>
  <c r="J111" i="23"/>
  <c r="F275" i="2"/>
  <c r="G275" i="2"/>
  <c r="F276" i="1"/>
  <c r="C275" i="2"/>
  <c r="H275" i="2"/>
  <c r="I275" i="2"/>
  <c r="H112" i="23"/>
  <c r="I112" i="23"/>
  <c r="D112" i="23"/>
  <c r="F112" i="23"/>
  <c r="J112" i="23"/>
  <c r="F277" i="2"/>
  <c r="G277" i="2"/>
  <c r="F278" i="1"/>
  <c r="C277" i="2"/>
  <c r="H277" i="2"/>
  <c r="I277" i="2"/>
  <c r="H113" i="23"/>
  <c r="I113" i="23"/>
  <c r="D113" i="23"/>
  <c r="F113" i="23"/>
  <c r="J113" i="23"/>
  <c r="F279" i="2"/>
  <c r="G279" i="2"/>
  <c r="F280" i="1"/>
  <c r="C279" i="2"/>
  <c r="H279" i="2"/>
  <c r="I279" i="2"/>
  <c r="H114" i="23"/>
  <c r="I114" i="23"/>
  <c r="D114" i="23"/>
  <c r="F114" i="23"/>
  <c r="J114" i="23"/>
  <c r="F281" i="2"/>
  <c r="G281" i="2"/>
  <c r="F282" i="1"/>
  <c r="C281" i="2"/>
  <c r="H281" i="2"/>
  <c r="I281" i="2"/>
  <c r="H115" i="23"/>
  <c r="I115" i="23"/>
  <c r="D115" i="23"/>
  <c r="F115" i="23"/>
  <c r="J115" i="23"/>
  <c r="F283" i="2"/>
  <c r="G283" i="2"/>
  <c r="F284" i="1"/>
  <c r="C283" i="2"/>
  <c r="H283" i="2"/>
  <c r="I283" i="2"/>
  <c r="H116" i="23"/>
  <c r="I116" i="23"/>
  <c r="D116" i="23"/>
  <c r="F116" i="23"/>
  <c r="J116" i="23"/>
  <c r="F285" i="2"/>
  <c r="G285" i="2"/>
  <c r="F286" i="1"/>
  <c r="C285" i="2"/>
  <c r="H285" i="2"/>
  <c r="I285" i="2"/>
  <c r="H117" i="23"/>
  <c r="I117" i="23"/>
  <c r="D117" i="23"/>
  <c r="F117" i="23"/>
  <c r="J117" i="23"/>
  <c r="F287" i="2"/>
  <c r="G287" i="2"/>
  <c r="F288" i="1"/>
  <c r="C287" i="2"/>
  <c r="H287" i="2"/>
  <c r="I287" i="2"/>
  <c r="H118" i="23"/>
  <c r="I118" i="23"/>
  <c r="D118" i="23"/>
  <c r="F118" i="23"/>
  <c r="J118" i="23"/>
  <c r="F289" i="2"/>
  <c r="G289" i="2"/>
  <c r="F290" i="1"/>
  <c r="C289" i="2"/>
  <c r="H289" i="2"/>
  <c r="I289" i="2"/>
  <c r="H119" i="23"/>
  <c r="I119" i="23"/>
  <c r="D119" i="23"/>
  <c r="F119" i="23"/>
  <c r="J119" i="23"/>
  <c r="F291" i="2"/>
  <c r="G291" i="2"/>
  <c r="F292" i="1"/>
  <c r="C291" i="2"/>
  <c r="H291" i="2"/>
  <c r="I291" i="2"/>
  <c r="H120" i="23"/>
  <c r="I120" i="23"/>
  <c r="D120" i="23"/>
  <c r="F120" i="23"/>
  <c r="J120" i="23"/>
  <c r="F293" i="2"/>
  <c r="G293" i="2"/>
  <c r="F294" i="1"/>
  <c r="C293" i="2"/>
  <c r="H293" i="2"/>
  <c r="I293" i="2"/>
  <c r="H121" i="23"/>
  <c r="I121" i="23"/>
  <c r="D121" i="23"/>
  <c r="F121" i="23"/>
  <c r="J121" i="23"/>
  <c r="F295" i="2"/>
  <c r="G295" i="2"/>
  <c r="F296" i="1"/>
  <c r="C295" i="2"/>
  <c r="H295" i="2"/>
  <c r="I295" i="2"/>
  <c r="H122" i="23"/>
  <c r="I122" i="23"/>
  <c r="D122" i="23"/>
  <c r="F122" i="23"/>
  <c r="J122" i="23"/>
  <c r="F297" i="2"/>
  <c r="G297" i="2"/>
  <c r="F298" i="1"/>
  <c r="C297" i="2"/>
  <c r="H297" i="2"/>
  <c r="I297" i="2"/>
  <c r="H123" i="23"/>
  <c r="I123" i="23"/>
  <c r="D123" i="23"/>
  <c r="F123" i="23"/>
  <c r="J123" i="23"/>
  <c r="F299" i="2"/>
  <c r="G299" i="2"/>
  <c r="F300" i="1"/>
  <c r="C299" i="2"/>
  <c r="H299" i="2"/>
  <c r="I299" i="2"/>
  <c r="H124" i="23"/>
  <c r="I124" i="23"/>
  <c r="D124" i="23"/>
  <c r="F124" i="23"/>
  <c r="J124" i="23"/>
  <c r="F301" i="2"/>
  <c r="G301" i="2"/>
  <c r="F302" i="1"/>
  <c r="C301" i="2"/>
  <c r="H301" i="2"/>
  <c r="I301" i="2"/>
  <c r="H125" i="23"/>
  <c r="I125" i="23"/>
  <c r="D125" i="23"/>
  <c r="F125" i="23"/>
  <c r="J125" i="23"/>
  <c r="F303" i="2"/>
  <c r="G303" i="2"/>
  <c r="F304" i="1"/>
  <c r="C303" i="2"/>
  <c r="H303" i="2"/>
  <c r="I303" i="2"/>
  <c r="H126" i="23"/>
  <c r="I126" i="23"/>
  <c r="D126" i="23"/>
  <c r="F126" i="23"/>
  <c r="J126" i="23"/>
  <c r="F307" i="2"/>
  <c r="G307" i="2"/>
  <c r="F307" i="1"/>
  <c r="C307" i="2"/>
  <c r="H307" i="2"/>
  <c r="I307" i="2"/>
  <c r="H127" i="23"/>
  <c r="I127" i="23"/>
  <c r="D127" i="23"/>
  <c r="F127" i="23"/>
  <c r="J127" i="23"/>
  <c r="F309" i="2"/>
  <c r="G309" i="2"/>
  <c r="F309" i="1"/>
  <c r="C309" i="2"/>
  <c r="H309" i="2"/>
  <c r="I309" i="2"/>
  <c r="H128" i="23"/>
  <c r="I128" i="23"/>
  <c r="D128" i="23"/>
  <c r="F128" i="23"/>
  <c r="J128" i="23"/>
  <c r="F311" i="2"/>
  <c r="G311" i="2"/>
  <c r="F311" i="1"/>
  <c r="C311" i="2"/>
  <c r="H311" i="2"/>
  <c r="I311" i="2"/>
  <c r="H129" i="23"/>
  <c r="I129" i="23"/>
  <c r="D129" i="23"/>
  <c r="F129" i="23"/>
  <c r="J129" i="23"/>
  <c r="F313" i="2"/>
  <c r="G313" i="2"/>
  <c r="F313" i="1"/>
  <c r="C313" i="2"/>
  <c r="H313" i="2"/>
  <c r="I313" i="2"/>
  <c r="H130" i="23"/>
  <c r="I130" i="23"/>
  <c r="D130" i="23"/>
  <c r="F130" i="23"/>
  <c r="J130" i="23"/>
  <c r="F315" i="2"/>
  <c r="G315" i="2"/>
  <c r="F315" i="1"/>
  <c r="C315" i="2"/>
  <c r="H315" i="2"/>
  <c r="I315" i="2"/>
  <c r="H131" i="23"/>
  <c r="I131" i="23"/>
  <c r="D131" i="23"/>
  <c r="F131" i="23"/>
  <c r="J131" i="23"/>
  <c r="F317" i="2"/>
  <c r="G317" i="2"/>
  <c r="F317" i="1"/>
  <c r="C317" i="2"/>
  <c r="H317" i="2"/>
  <c r="I317" i="2"/>
  <c r="H132" i="23"/>
  <c r="I132" i="23"/>
  <c r="D132" i="23"/>
  <c r="F132" i="23"/>
  <c r="J132" i="23"/>
  <c r="F319" i="2"/>
  <c r="G319" i="2"/>
  <c r="F319" i="1"/>
  <c r="C319" i="2"/>
  <c r="H319" i="2"/>
  <c r="I319" i="2"/>
  <c r="H133" i="23"/>
  <c r="I133" i="23"/>
  <c r="D133" i="23"/>
  <c r="F133" i="23"/>
  <c r="J133" i="23"/>
  <c r="F321" i="2"/>
  <c r="G321" i="2"/>
  <c r="F321" i="1"/>
  <c r="C321" i="2"/>
  <c r="H321" i="2"/>
  <c r="I321" i="2"/>
  <c r="H134" i="23"/>
  <c r="I134" i="23"/>
  <c r="D134" i="23"/>
  <c r="F134" i="23"/>
  <c r="J134" i="23"/>
  <c r="F323" i="2"/>
  <c r="G323" i="2"/>
  <c r="F323" i="1"/>
  <c r="C323" i="2"/>
  <c r="H323" i="2"/>
  <c r="I323" i="2"/>
  <c r="H135" i="23"/>
  <c r="I135" i="23"/>
  <c r="D135" i="23"/>
  <c r="F135" i="23"/>
  <c r="J135" i="23"/>
  <c r="F325" i="2"/>
  <c r="G325" i="2"/>
  <c r="F325" i="1"/>
  <c r="C325" i="2"/>
  <c r="H325" i="2"/>
  <c r="I325" i="2"/>
  <c r="H136" i="23"/>
  <c r="I136" i="23"/>
  <c r="D136" i="23"/>
  <c r="F136" i="23"/>
  <c r="J136" i="23"/>
  <c r="F327" i="2"/>
  <c r="G327" i="2"/>
  <c r="F327" i="1"/>
  <c r="C327" i="2"/>
  <c r="H327" i="2"/>
  <c r="I327" i="2"/>
  <c r="H137" i="23"/>
  <c r="I137" i="23"/>
  <c r="D137" i="23"/>
  <c r="F137" i="23"/>
  <c r="J137" i="23"/>
  <c r="F329" i="2"/>
  <c r="G329" i="2"/>
  <c r="F329" i="1"/>
  <c r="C329" i="2"/>
  <c r="H329" i="2"/>
  <c r="I329" i="2"/>
  <c r="H138" i="23"/>
  <c r="I138" i="23"/>
  <c r="D138" i="23"/>
  <c r="F138" i="23"/>
  <c r="J138" i="23"/>
  <c r="F331" i="2"/>
  <c r="G331" i="2"/>
  <c r="F331" i="1"/>
  <c r="C331" i="2"/>
  <c r="H331" i="2"/>
  <c r="I331" i="2"/>
  <c r="H139" i="23"/>
  <c r="I139" i="23"/>
  <c r="D139" i="23"/>
  <c r="F139" i="23"/>
  <c r="J139" i="23"/>
  <c r="F333" i="2"/>
  <c r="G333" i="2"/>
  <c r="F333" i="1"/>
  <c r="C333" i="2"/>
  <c r="H333" i="2"/>
  <c r="I333" i="2"/>
  <c r="H140" i="23"/>
  <c r="I140" i="23"/>
  <c r="D140" i="23"/>
  <c r="F140" i="23"/>
  <c r="J140" i="23"/>
  <c r="F335" i="2"/>
  <c r="G335" i="2"/>
  <c r="F335" i="1"/>
  <c r="C335" i="2"/>
  <c r="H335" i="2"/>
  <c r="I335" i="2"/>
  <c r="H141" i="23"/>
  <c r="I141" i="23"/>
  <c r="D141" i="23"/>
  <c r="F141" i="23"/>
  <c r="J141" i="23"/>
  <c r="F337" i="2"/>
  <c r="G337" i="2"/>
  <c r="F337" i="1"/>
  <c r="C337" i="2"/>
  <c r="H337" i="2"/>
  <c r="I337" i="2"/>
  <c r="H142" i="23"/>
  <c r="I142" i="23"/>
  <c r="D142" i="23"/>
  <c r="F142" i="23"/>
  <c r="J142" i="23"/>
  <c r="F339" i="2"/>
  <c r="G339" i="2"/>
  <c r="H339" i="2"/>
  <c r="I339" i="2"/>
  <c r="H143" i="23"/>
  <c r="I143" i="23"/>
  <c r="D143" i="23"/>
  <c r="F143" i="23"/>
  <c r="J143" i="23"/>
  <c r="M3" i="23"/>
  <c r="F23" i="2"/>
  <c r="G23" i="2"/>
  <c r="F23" i="1"/>
  <c r="C23" i="2"/>
  <c r="H23" i="2"/>
  <c r="I23" i="2"/>
  <c r="H3" i="23"/>
  <c r="I3" i="23"/>
  <c r="D3" i="23"/>
  <c r="F3" i="23"/>
  <c r="J3" i="23"/>
  <c r="F25" i="2"/>
  <c r="G25" i="2"/>
  <c r="F25" i="1"/>
  <c r="C25" i="2"/>
  <c r="H25" i="2"/>
  <c r="I25" i="2"/>
  <c r="H4" i="23"/>
  <c r="K4" i="23"/>
  <c r="L4" i="23"/>
  <c r="M4" i="23"/>
  <c r="I4" i="23"/>
  <c r="D4" i="23"/>
  <c r="F4" i="23"/>
  <c r="J4" i="23"/>
  <c r="F28" i="2"/>
  <c r="G28" i="2"/>
  <c r="F28" i="1"/>
  <c r="C28" i="2"/>
  <c r="H28" i="2"/>
  <c r="I28" i="2"/>
  <c r="H5" i="23"/>
  <c r="K5" i="23"/>
  <c r="L5" i="23"/>
  <c r="M5" i="23"/>
  <c r="I5" i="23"/>
  <c r="D5" i="23"/>
  <c r="F5" i="23"/>
  <c r="J5" i="23"/>
  <c r="F37" i="2"/>
  <c r="G37" i="2"/>
  <c r="F37" i="1"/>
  <c r="C37" i="2"/>
  <c r="H37" i="2"/>
  <c r="I37" i="2"/>
  <c r="H6" i="23"/>
  <c r="K6" i="23"/>
  <c r="L6" i="23"/>
  <c r="M6" i="23"/>
  <c r="I6" i="23"/>
  <c r="D6" i="23"/>
  <c r="F6" i="23"/>
  <c r="J6" i="23"/>
  <c r="F40" i="2"/>
  <c r="G40" i="2"/>
  <c r="F40" i="1"/>
  <c r="C40" i="2"/>
  <c r="H40" i="2"/>
  <c r="I40" i="2"/>
  <c r="H7" i="23"/>
  <c r="K7" i="23"/>
  <c r="L7" i="23"/>
  <c r="M7" i="23"/>
  <c r="I7" i="23"/>
  <c r="D7" i="23"/>
  <c r="F7" i="23"/>
  <c r="J7" i="23"/>
  <c r="F43" i="2"/>
  <c r="G43" i="2"/>
  <c r="F43" i="1"/>
  <c r="C43" i="2"/>
  <c r="H43" i="2"/>
  <c r="I43" i="2"/>
  <c r="H8" i="23"/>
  <c r="K8" i="23"/>
  <c r="L8" i="23"/>
  <c r="M8" i="23"/>
  <c r="I8" i="23"/>
  <c r="D8" i="23"/>
  <c r="F8" i="23"/>
  <c r="J8" i="23"/>
  <c r="F49" i="2"/>
  <c r="G49" i="2"/>
  <c r="F49" i="1"/>
  <c r="C49" i="2"/>
  <c r="H49" i="2"/>
  <c r="I49" i="2"/>
  <c r="H9" i="23"/>
  <c r="K9" i="23"/>
  <c r="L9" i="23"/>
  <c r="M9" i="23"/>
  <c r="I9" i="23"/>
  <c r="D9" i="23"/>
  <c r="F9" i="23"/>
  <c r="J9" i="23"/>
  <c r="F52" i="2"/>
  <c r="G52" i="2"/>
  <c r="F52" i="1"/>
  <c r="C52" i="2"/>
  <c r="H52" i="2"/>
  <c r="I52" i="2"/>
  <c r="H10" i="23"/>
  <c r="K10" i="23"/>
  <c r="L10" i="23"/>
  <c r="M10" i="23"/>
  <c r="I10" i="23"/>
  <c r="J10" i="23"/>
  <c r="F55" i="2"/>
  <c r="G55" i="2"/>
  <c r="F55" i="1"/>
  <c r="C55" i="2"/>
  <c r="H55" i="2"/>
  <c r="I55" i="2"/>
  <c r="H11" i="23"/>
  <c r="K11" i="23"/>
  <c r="L11" i="23"/>
  <c r="M11" i="23"/>
  <c r="I11" i="23"/>
  <c r="D11" i="23"/>
  <c r="F11" i="23"/>
  <c r="J11" i="23"/>
  <c r="F58" i="2"/>
  <c r="G58" i="2"/>
  <c r="F58" i="1"/>
  <c r="C58" i="2"/>
  <c r="H58" i="2"/>
  <c r="I58" i="2"/>
  <c r="H12" i="23"/>
  <c r="K12" i="23"/>
  <c r="L12" i="23"/>
  <c r="M12" i="23"/>
  <c r="I12" i="23"/>
  <c r="D12" i="23"/>
  <c r="F12" i="23"/>
  <c r="J12" i="23"/>
  <c r="F61" i="2"/>
  <c r="G61" i="2"/>
  <c r="F61" i="1"/>
  <c r="C61" i="2"/>
  <c r="H61" i="2"/>
  <c r="I61" i="2"/>
  <c r="H13" i="23"/>
  <c r="K13" i="23"/>
  <c r="L13" i="23"/>
  <c r="M13" i="23"/>
  <c r="I13" i="23"/>
  <c r="D13" i="23"/>
  <c r="F13" i="23"/>
  <c r="J13" i="23"/>
  <c r="F64" i="2"/>
  <c r="G64" i="2"/>
  <c r="F64" i="1"/>
  <c r="C64" i="2"/>
  <c r="H64" i="2"/>
  <c r="I64" i="2"/>
  <c r="H14" i="23"/>
  <c r="K14" i="23"/>
  <c r="L14" i="23"/>
  <c r="M14" i="23"/>
  <c r="I14" i="23"/>
  <c r="D14" i="23"/>
  <c r="F14" i="23"/>
  <c r="J14" i="23"/>
  <c r="F67" i="2"/>
  <c r="G67" i="2"/>
  <c r="F67" i="1"/>
  <c r="C67" i="2"/>
  <c r="H67" i="2"/>
  <c r="I67" i="2"/>
  <c r="H15" i="23"/>
  <c r="K15" i="23"/>
  <c r="L15" i="23"/>
  <c r="M15" i="23"/>
  <c r="I15" i="23"/>
  <c r="D15" i="23"/>
  <c r="F15" i="23"/>
  <c r="J15" i="23"/>
  <c r="F70" i="2"/>
  <c r="G70" i="2"/>
  <c r="F70" i="1"/>
  <c r="C70" i="2"/>
  <c r="H70" i="2"/>
  <c r="I70" i="2"/>
  <c r="H16" i="23"/>
  <c r="K16" i="23"/>
  <c r="L16" i="23"/>
  <c r="M16" i="23"/>
  <c r="I16" i="23"/>
  <c r="D16" i="23"/>
  <c r="F16" i="23"/>
  <c r="J16" i="23"/>
  <c r="F73" i="2"/>
  <c r="G73" i="2"/>
  <c r="F73" i="1"/>
  <c r="C73" i="2"/>
  <c r="H73" i="2"/>
  <c r="I73" i="2"/>
  <c r="H17" i="23"/>
  <c r="K17" i="23"/>
  <c r="L17" i="23"/>
  <c r="M17" i="23"/>
  <c r="I17" i="23"/>
  <c r="D17" i="23"/>
  <c r="F17" i="23"/>
  <c r="J17" i="23"/>
  <c r="F79" i="2"/>
  <c r="G79" i="2"/>
  <c r="F79" i="1"/>
  <c r="C79" i="2"/>
  <c r="H79" i="2"/>
  <c r="I79" i="2"/>
  <c r="H18" i="23"/>
  <c r="K18" i="23"/>
  <c r="L18" i="23"/>
  <c r="M18" i="23"/>
  <c r="I18" i="23"/>
  <c r="D18" i="23"/>
  <c r="F18" i="23"/>
  <c r="J18" i="23"/>
  <c r="F82" i="2"/>
  <c r="G82" i="2"/>
  <c r="F82" i="1"/>
  <c r="C82" i="2"/>
  <c r="H82" i="2"/>
  <c r="I82" i="2"/>
  <c r="H19" i="23"/>
  <c r="K19" i="23"/>
  <c r="L19" i="23"/>
  <c r="M19" i="23"/>
  <c r="I19" i="23"/>
  <c r="D19" i="23"/>
  <c r="F19" i="23"/>
  <c r="J19" i="23"/>
  <c r="F85" i="2"/>
  <c r="G85" i="2"/>
  <c r="F85" i="1"/>
  <c r="C85" i="2"/>
  <c r="H85" i="2"/>
  <c r="I85" i="2"/>
  <c r="H20" i="23"/>
  <c r="K20" i="23"/>
  <c r="L20" i="23"/>
  <c r="M20" i="23"/>
  <c r="I20" i="23"/>
  <c r="D20" i="23"/>
  <c r="F20" i="23"/>
  <c r="J20" i="23"/>
  <c r="F89" i="2"/>
  <c r="G89" i="2"/>
  <c r="F89" i="1"/>
  <c r="C89" i="2"/>
  <c r="H89" i="2"/>
  <c r="I89" i="2"/>
  <c r="H21" i="23"/>
  <c r="K21" i="23"/>
  <c r="L21" i="23"/>
  <c r="M21" i="23"/>
  <c r="I21" i="23"/>
  <c r="D21" i="23"/>
  <c r="F21" i="23"/>
  <c r="J21" i="23"/>
  <c r="F93" i="2"/>
  <c r="G93" i="2"/>
  <c r="F93" i="1"/>
  <c r="C93" i="2"/>
  <c r="H93" i="2"/>
  <c r="I93" i="2"/>
  <c r="H22" i="23"/>
  <c r="K22" i="23"/>
  <c r="L22" i="23"/>
  <c r="M22" i="23"/>
  <c r="I22" i="23"/>
  <c r="D22" i="23"/>
  <c r="F22" i="23"/>
  <c r="J22" i="23"/>
  <c r="F96" i="2"/>
  <c r="G96" i="2"/>
  <c r="F96" i="1"/>
  <c r="C96" i="2"/>
  <c r="H96" i="2"/>
  <c r="I96" i="2"/>
  <c r="H23" i="23"/>
  <c r="K23" i="23"/>
  <c r="L23" i="23"/>
  <c r="M23" i="23"/>
  <c r="I23" i="23"/>
  <c r="D23" i="23"/>
  <c r="F23" i="23"/>
  <c r="J23" i="23"/>
  <c r="F99" i="2"/>
  <c r="G99" i="2"/>
  <c r="F100" i="1"/>
  <c r="C99" i="2"/>
  <c r="H99" i="2"/>
  <c r="I99" i="2"/>
  <c r="H24" i="23"/>
  <c r="K24" i="23"/>
  <c r="L24" i="23"/>
  <c r="M24" i="23"/>
  <c r="I24" i="23"/>
  <c r="D24" i="23"/>
  <c r="F24" i="23"/>
  <c r="J24" i="23"/>
  <c r="F102" i="2"/>
  <c r="G102" i="2"/>
  <c r="F103" i="1"/>
  <c r="C102" i="2"/>
  <c r="H102" i="2"/>
  <c r="I102" i="2"/>
  <c r="H25" i="23"/>
  <c r="K25" i="23"/>
  <c r="L25" i="23"/>
  <c r="M25" i="23"/>
  <c r="I25" i="23"/>
  <c r="D25" i="23"/>
  <c r="F25" i="23"/>
  <c r="J25" i="23"/>
  <c r="F105" i="2"/>
  <c r="G105" i="2"/>
  <c r="F106" i="1"/>
  <c r="C105" i="2"/>
  <c r="H105" i="2"/>
  <c r="I105" i="2"/>
  <c r="H26" i="23"/>
  <c r="K26" i="23"/>
  <c r="L26" i="23"/>
  <c r="M26" i="23"/>
  <c r="I26" i="23"/>
  <c r="D26" i="23"/>
  <c r="F26" i="23"/>
  <c r="J26" i="23"/>
  <c r="F108" i="2"/>
  <c r="G108" i="2"/>
  <c r="F109" i="1"/>
  <c r="C108" i="2"/>
  <c r="H108" i="2"/>
  <c r="I108" i="2"/>
  <c r="H27" i="23"/>
  <c r="K27" i="23"/>
  <c r="L27" i="23"/>
  <c r="M27" i="23"/>
  <c r="I27" i="23"/>
  <c r="D27" i="23"/>
  <c r="F27" i="23"/>
  <c r="J27" i="23"/>
  <c r="F111" i="2"/>
  <c r="G111" i="2"/>
  <c r="F112" i="1"/>
  <c r="C111" i="2"/>
  <c r="H111" i="2"/>
  <c r="I111" i="2"/>
  <c r="H28" i="23"/>
  <c r="K28" i="23"/>
  <c r="L28" i="23"/>
  <c r="M28" i="23"/>
  <c r="I28" i="23"/>
  <c r="D28" i="23"/>
  <c r="F28" i="23"/>
  <c r="J28" i="23"/>
  <c r="F114" i="2"/>
  <c r="G114" i="2"/>
  <c r="F115" i="1"/>
  <c r="C114" i="2"/>
  <c r="H114" i="2"/>
  <c r="I114" i="2"/>
  <c r="H29" i="23"/>
  <c r="K29" i="23"/>
  <c r="L29" i="23"/>
  <c r="M29" i="23"/>
  <c r="I29" i="23"/>
  <c r="D29" i="23"/>
  <c r="F29" i="23"/>
  <c r="J29" i="23"/>
  <c r="F117" i="2"/>
  <c r="G117" i="2"/>
  <c r="F118" i="1"/>
  <c r="C117" i="2"/>
  <c r="H117" i="2"/>
  <c r="I117" i="2"/>
  <c r="H30" i="23"/>
  <c r="K30" i="23"/>
  <c r="L30" i="23"/>
  <c r="M30" i="23"/>
  <c r="I30" i="23"/>
  <c r="D30" i="23"/>
  <c r="F30" i="23"/>
  <c r="J30" i="23"/>
  <c r="K31" i="23"/>
  <c r="L31" i="23"/>
  <c r="M31" i="23"/>
  <c r="I31" i="23"/>
  <c r="D31" i="23"/>
  <c r="F31" i="23"/>
  <c r="J31" i="23"/>
  <c r="K32" i="23"/>
  <c r="L32" i="23"/>
  <c r="M32" i="23"/>
  <c r="I32" i="23"/>
  <c r="D32" i="23"/>
  <c r="F32" i="23"/>
  <c r="J32" i="23"/>
  <c r="K33" i="23"/>
  <c r="L33" i="23"/>
  <c r="M33" i="23"/>
  <c r="I33" i="23"/>
  <c r="D33" i="23"/>
  <c r="F33" i="23"/>
  <c r="J33" i="23"/>
  <c r="K34" i="23"/>
  <c r="L34" i="23"/>
  <c r="M34" i="23"/>
  <c r="I34" i="23"/>
  <c r="D34" i="23"/>
  <c r="F34" i="23"/>
  <c r="J34" i="23"/>
  <c r="K35" i="23"/>
  <c r="L35" i="23"/>
  <c r="M35" i="23"/>
  <c r="I35" i="23"/>
  <c r="D35" i="23"/>
  <c r="F35" i="23"/>
  <c r="J35" i="23"/>
  <c r="K36" i="23"/>
  <c r="L36" i="23"/>
  <c r="M36" i="23"/>
  <c r="I36" i="23"/>
  <c r="D36" i="23"/>
  <c r="F36" i="23"/>
  <c r="J36" i="23"/>
  <c r="F131" i="2"/>
  <c r="G131" i="2"/>
  <c r="F132" i="1"/>
  <c r="C131" i="2"/>
  <c r="H131" i="2"/>
  <c r="I131" i="2"/>
  <c r="H37" i="23"/>
  <c r="K37" i="23"/>
  <c r="L37" i="23"/>
  <c r="M37" i="23"/>
  <c r="I37" i="23"/>
  <c r="D37" i="23"/>
  <c r="F37" i="23"/>
  <c r="J37" i="23"/>
  <c r="F133" i="2"/>
  <c r="G133" i="2"/>
  <c r="F134" i="1"/>
  <c r="C133" i="2"/>
  <c r="H133" i="2"/>
  <c r="I133" i="2"/>
  <c r="H38" i="23"/>
  <c r="K38" i="23"/>
  <c r="L38" i="23"/>
  <c r="M38" i="23"/>
  <c r="I38" i="23"/>
  <c r="D38" i="23"/>
  <c r="F38" i="23"/>
  <c r="J38" i="23"/>
  <c r="F135" i="2"/>
  <c r="G135" i="2"/>
  <c r="F136" i="1"/>
  <c r="C135" i="2"/>
  <c r="H135" i="2"/>
  <c r="I135" i="2"/>
  <c r="H39" i="23"/>
  <c r="K39" i="23"/>
  <c r="L39" i="23"/>
  <c r="M39" i="23"/>
  <c r="I39" i="23"/>
  <c r="D39" i="23"/>
  <c r="F39" i="23"/>
  <c r="J39" i="23"/>
  <c r="F137" i="2"/>
  <c r="G137" i="2"/>
  <c r="F138" i="1"/>
  <c r="C137" i="2"/>
  <c r="H137" i="2"/>
  <c r="I137" i="2"/>
  <c r="H40" i="23"/>
  <c r="K40" i="23"/>
  <c r="L40" i="23"/>
  <c r="M40" i="23"/>
  <c r="I40" i="23"/>
  <c r="D40" i="23"/>
  <c r="F40" i="23"/>
  <c r="J40" i="23"/>
  <c r="F139" i="2"/>
  <c r="G139" i="2"/>
  <c r="F140" i="1"/>
  <c r="C139" i="2"/>
  <c r="H139" i="2"/>
  <c r="I139" i="2"/>
  <c r="H41" i="23"/>
  <c r="K41" i="23"/>
  <c r="L41" i="23"/>
  <c r="M41" i="23"/>
  <c r="I41" i="23"/>
  <c r="D41" i="23"/>
  <c r="F41" i="23"/>
  <c r="J41" i="23"/>
  <c r="F141" i="2"/>
  <c r="G141" i="2"/>
  <c r="F142" i="1"/>
  <c r="C141" i="2"/>
  <c r="H141" i="2"/>
  <c r="I141" i="2"/>
  <c r="H42" i="23"/>
  <c r="K42" i="23"/>
  <c r="L42" i="23"/>
  <c r="M42" i="23"/>
  <c r="I42" i="23"/>
  <c r="D42" i="23"/>
  <c r="F42" i="23"/>
  <c r="J42" i="23"/>
  <c r="F143" i="2"/>
  <c r="G143" i="2"/>
  <c r="F144" i="1"/>
  <c r="C143" i="2"/>
  <c r="H143" i="2"/>
  <c r="I143" i="2"/>
  <c r="H43" i="23"/>
  <c r="K43" i="23"/>
  <c r="L43" i="23"/>
  <c r="M43" i="23"/>
  <c r="I43" i="23"/>
  <c r="D43" i="23"/>
  <c r="F43" i="23"/>
  <c r="J43" i="23"/>
  <c r="F145" i="2"/>
  <c r="G145" i="2"/>
  <c r="F146" i="1"/>
  <c r="C145" i="2"/>
  <c r="H145" i="2"/>
  <c r="I145" i="2"/>
  <c r="H44" i="23"/>
  <c r="K44" i="23"/>
  <c r="L44" i="23"/>
  <c r="M44" i="23"/>
  <c r="I44" i="23"/>
  <c r="D44" i="23"/>
  <c r="F44" i="23"/>
  <c r="J44" i="23"/>
  <c r="F147" i="2"/>
  <c r="G147" i="2"/>
  <c r="F148" i="1"/>
  <c r="C147" i="2"/>
  <c r="H147" i="2"/>
  <c r="I147" i="2"/>
  <c r="H45" i="23"/>
  <c r="K45" i="23"/>
  <c r="L45" i="23"/>
  <c r="M45" i="23"/>
  <c r="I45" i="23"/>
  <c r="D45" i="23"/>
  <c r="F45" i="23"/>
  <c r="J45" i="23"/>
  <c r="F149" i="2"/>
  <c r="G149" i="2"/>
  <c r="F150" i="1"/>
  <c r="C149" i="2"/>
  <c r="H149" i="2"/>
  <c r="I149" i="2"/>
  <c r="H46" i="23"/>
  <c r="K46" i="23"/>
  <c r="L46" i="23"/>
  <c r="M46" i="23"/>
  <c r="I46" i="23"/>
  <c r="D46" i="23"/>
  <c r="F46" i="23"/>
  <c r="J46" i="23"/>
  <c r="F151" i="2"/>
  <c r="G151" i="2"/>
  <c r="F152" i="1"/>
  <c r="C151" i="2"/>
  <c r="H151" i="2"/>
  <c r="I151" i="2"/>
  <c r="H47" i="23"/>
  <c r="K47" i="23"/>
  <c r="L47" i="23"/>
  <c r="M47" i="23"/>
  <c r="I47" i="23"/>
  <c r="D47" i="23"/>
  <c r="F47" i="23"/>
  <c r="J47" i="23"/>
  <c r="F153" i="2"/>
  <c r="G153" i="2"/>
  <c r="F154" i="1"/>
  <c r="C153" i="2"/>
  <c r="H153" i="2"/>
  <c r="I153" i="2"/>
  <c r="H48" i="23"/>
  <c r="K48" i="23"/>
  <c r="L48" i="23"/>
  <c r="M48" i="23"/>
  <c r="I48" i="23"/>
  <c r="D48" i="23"/>
  <c r="F48" i="23"/>
  <c r="J48" i="23"/>
  <c r="F155" i="2"/>
  <c r="G155" i="2"/>
  <c r="F156" i="1"/>
  <c r="C155" i="2"/>
  <c r="H155" i="2"/>
  <c r="I155" i="2"/>
  <c r="H49" i="23"/>
  <c r="K49" i="23"/>
  <c r="L49" i="23"/>
  <c r="M49" i="23"/>
  <c r="I49" i="23"/>
  <c r="D49" i="23"/>
  <c r="F49" i="23"/>
  <c r="J49" i="23"/>
  <c r="F157" i="2"/>
  <c r="G157" i="2"/>
  <c r="F158" i="1"/>
  <c r="C157" i="2"/>
  <c r="H157" i="2"/>
  <c r="I157" i="2"/>
  <c r="H50" i="23"/>
  <c r="K50" i="23"/>
  <c r="L50" i="23"/>
  <c r="M50" i="23"/>
  <c r="I50" i="23"/>
  <c r="D50" i="23"/>
  <c r="F50" i="23"/>
  <c r="J50" i="23"/>
  <c r="F159" i="2"/>
  <c r="G159" i="2"/>
  <c r="F160" i="1"/>
  <c r="C159" i="2"/>
  <c r="H159" i="2"/>
  <c r="I159" i="2"/>
  <c r="H51" i="23"/>
  <c r="K51" i="23"/>
  <c r="L51" i="23"/>
  <c r="M51" i="23"/>
  <c r="I51" i="23"/>
  <c r="D51" i="23"/>
  <c r="F51" i="23"/>
  <c r="J51" i="23"/>
  <c r="F161" i="2"/>
  <c r="G161" i="2"/>
  <c r="F162" i="1"/>
  <c r="C161" i="2"/>
  <c r="H161" i="2"/>
  <c r="I161" i="2"/>
  <c r="H52" i="23"/>
  <c r="K52" i="23"/>
  <c r="L52" i="23"/>
  <c r="M52" i="23"/>
  <c r="I52" i="23"/>
  <c r="D52" i="23"/>
  <c r="F52" i="23"/>
  <c r="J52" i="23"/>
  <c r="F163" i="2"/>
  <c r="G163" i="2"/>
  <c r="F164" i="1"/>
  <c r="C163" i="2"/>
  <c r="H163" i="2"/>
  <c r="I163" i="2"/>
  <c r="H53" i="23"/>
  <c r="K53" i="23"/>
  <c r="L53" i="23"/>
  <c r="M53" i="23"/>
  <c r="I53" i="23"/>
  <c r="D53" i="23"/>
  <c r="F53" i="23"/>
  <c r="J53" i="23"/>
  <c r="F165" i="2"/>
  <c r="G165" i="2"/>
  <c r="F166" i="1"/>
  <c r="C165" i="2"/>
  <c r="H165" i="2"/>
  <c r="I165" i="2"/>
  <c r="H54" i="23"/>
  <c r="K54" i="23"/>
  <c r="L54" i="23"/>
  <c r="M54" i="23"/>
  <c r="I54" i="23"/>
  <c r="D54" i="23"/>
  <c r="F54" i="23"/>
  <c r="J54" i="23"/>
  <c r="F167" i="2"/>
  <c r="G167" i="2"/>
  <c r="F168" i="1"/>
  <c r="C167" i="2"/>
  <c r="H167" i="2"/>
  <c r="I167" i="2"/>
  <c r="H55" i="23"/>
  <c r="K55" i="23"/>
  <c r="L55" i="23"/>
  <c r="M55" i="23"/>
  <c r="I55" i="23"/>
  <c r="D55" i="23"/>
  <c r="F55" i="23"/>
  <c r="J55" i="23"/>
  <c r="F169" i="2"/>
  <c r="G169" i="2"/>
  <c r="F170" i="1"/>
  <c r="C169" i="2"/>
  <c r="H169" i="2"/>
  <c r="I169" i="2"/>
  <c r="H56" i="23"/>
  <c r="K56" i="23"/>
  <c r="L56" i="23"/>
  <c r="M56" i="23"/>
  <c r="I56" i="23"/>
  <c r="D56" i="23"/>
  <c r="F56" i="23"/>
  <c r="J56" i="23"/>
  <c r="F171" i="2"/>
  <c r="G171" i="2"/>
  <c r="F172" i="1"/>
  <c r="C171" i="2"/>
  <c r="H171" i="2"/>
  <c r="I171" i="2"/>
  <c r="H57" i="23"/>
  <c r="K57" i="23"/>
  <c r="L57" i="23"/>
  <c r="M57" i="23"/>
  <c r="I57" i="23"/>
  <c r="D57" i="23"/>
  <c r="F57" i="23"/>
  <c r="J57" i="23"/>
  <c r="F173" i="2"/>
  <c r="G173" i="2"/>
  <c r="F174" i="1"/>
  <c r="C173" i="2"/>
  <c r="H173" i="2"/>
  <c r="I173" i="2"/>
  <c r="H58" i="23"/>
  <c r="K58" i="23"/>
  <c r="L58" i="23"/>
  <c r="M58" i="23"/>
  <c r="I58" i="23"/>
  <c r="D58" i="23"/>
  <c r="F58" i="23"/>
  <c r="J58" i="23"/>
  <c r="F175" i="2"/>
  <c r="G175" i="2"/>
  <c r="C175" i="2"/>
  <c r="H175" i="2"/>
  <c r="I175" i="2"/>
  <c r="H59" i="23"/>
  <c r="K59" i="23"/>
  <c r="L59" i="23"/>
  <c r="M59" i="23"/>
  <c r="I59" i="23"/>
  <c r="D59" i="23"/>
  <c r="F59" i="23"/>
  <c r="J59" i="23"/>
  <c r="F177" i="2"/>
  <c r="G177" i="2"/>
  <c r="F178" i="1"/>
  <c r="C177" i="2"/>
  <c r="H177" i="2"/>
  <c r="I177" i="2"/>
  <c r="H60" i="23"/>
  <c r="K60" i="23"/>
  <c r="L60" i="23"/>
  <c r="M60" i="23"/>
  <c r="I60" i="23"/>
  <c r="D60" i="23"/>
  <c r="F60" i="23"/>
  <c r="J60" i="23"/>
  <c r="F179" i="2"/>
  <c r="G179" i="2"/>
  <c r="F180" i="1"/>
  <c r="C179" i="2"/>
  <c r="H179" i="2"/>
  <c r="I179" i="2"/>
  <c r="H61" i="23"/>
  <c r="K61" i="23"/>
  <c r="L61" i="23"/>
  <c r="M61" i="23"/>
  <c r="I61" i="23"/>
  <c r="D61" i="23"/>
  <c r="F61" i="23"/>
  <c r="J61" i="23"/>
  <c r="F181" i="2"/>
  <c r="G181" i="2"/>
  <c r="F182" i="1"/>
  <c r="C181" i="2"/>
  <c r="H181" i="2"/>
  <c r="I181" i="2"/>
  <c r="H62" i="23"/>
  <c r="K62" i="23"/>
  <c r="L62" i="23"/>
  <c r="M62" i="23"/>
  <c r="I62" i="23"/>
  <c r="D62" i="23"/>
  <c r="F62" i="23"/>
  <c r="J62" i="23"/>
  <c r="F183" i="2"/>
  <c r="G183" i="2"/>
  <c r="F184" i="1"/>
  <c r="C183" i="2"/>
  <c r="H183" i="2"/>
  <c r="I183" i="2"/>
  <c r="H63" i="23"/>
  <c r="K63" i="23"/>
  <c r="L63" i="23"/>
  <c r="M63" i="23"/>
  <c r="I63" i="23"/>
  <c r="D63" i="23"/>
  <c r="F63" i="23"/>
  <c r="J63" i="23"/>
  <c r="F185" i="2"/>
  <c r="G185" i="2"/>
  <c r="F186" i="1"/>
  <c r="C185" i="2"/>
  <c r="H185" i="2"/>
  <c r="I185" i="2"/>
  <c r="H64" i="23"/>
  <c r="K64" i="23"/>
  <c r="L64" i="23"/>
  <c r="M64" i="23"/>
  <c r="I64" i="23"/>
  <c r="D64" i="23"/>
  <c r="F64" i="23"/>
  <c r="J64" i="23"/>
  <c r="F187" i="2"/>
  <c r="G187" i="2"/>
  <c r="F188" i="1"/>
  <c r="C187" i="2"/>
  <c r="H187" i="2"/>
  <c r="I187" i="2"/>
  <c r="H65" i="23"/>
  <c r="K65" i="23"/>
  <c r="L65" i="23"/>
  <c r="M65" i="23"/>
  <c r="I65" i="23"/>
  <c r="D65" i="23"/>
  <c r="F65" i="23"/>
  <c r="J65" i="23"/>
  <c r="F189" i="2"/>
  <c r="G189" i="2"/>
  <c r="F190" i="1"/>
  <c r="C189" i="2"/>
  <c r="H189" i="2"/>
  <c r="I189" i="2"/>
  <c r="H66" i="23"/>
  <c r="K66" i="23"/>
  <c r="L66" i="23"/>
  <c r="M66" i="23"/>
  <c r="I66" i="23"/>
  <c r="D66" i="23"/>
  <c r="F66" i="23"/>
  <c r="J66" i="23"/>
  <c r="F191" i="2"/>
  <c r="G191" i="2"/>
  <c r="F192" i="1"/>
  <c r="C191" i="2"/>
  <c r="H191" i="2"/>
  <c r="I191" i="2"/>
  <c r="H67" i="23"/>
  <c r="K67" i="23"/>
  <c r="L67" i="23"/>
  <c r="M67" i="23"/>
  <c r="I67" i="23"/>
  <c r="D67" i="23"/>
  <c r="F67" i="23"/>
  <c r="J67" i="23"/>
  <c r="F193" i="2"/>
  <c r="G193" i="2"/>
  <c r="F194" i="1"/>
  <c r="C193" i="2"/>
  <c r="H193" i="2"/>
  <c r="I193" i="2"/>
  <c r="H68" i="23"/>
  <c r="K68" i="23"/>
  <c r="L68" i="23"/>
  <c r="M68" i="23"/>
  <c r="I68" i="23"/>
  <c r="D68" i="23"/>
  <c r="F68" i="23"/>
  <c r="J68" i="23"/>
  <c r="F195" i="2"/>
  <c r="G195" i="2"/>
  <c r="F196" i="1"/>
  <c r="C195" i="2"/>
  <c r="H195" i="2"/>
  <c r="I195" i="2"/>
  <c r="H69" i="23"/>
  <c r="K69" i="23"/>
  <c r="L69" i="23"/>
  <c r="M69" i="23"/>
  <c r="I69" i="23"/>
  <c r="D69" i="23"/>
  <c r="F69" i="23"/>
  <c r="J69" i="23"/>
  <c r="F197" i="2"/>
  <c r="G197" i="2"/>
  <c r="F198" i="1"/>
  <c r="C197" i="2"/>
  <c r="H197" i="2"/>
  <c r="I197" i="2"/>
  <c r="H70" i="23"/>
  <c r="K70" i="23"/>
  <c r="L70" i="23"/>
  <c r="M70" i="23"/>
  <c r="I70" i="23"/>
  <c r="D70" i="23"/>
  <c r="F70" i="23"/>
  <c r="J70" i="23"/>
  <c r="F199" i="2"/>
  <c r="G199" i="2"/>
  <c r="F200" i="1"/>
  <c r="C199" i="2"/>
  <c r="H199" i="2"/>
  <c r="I199" i="2"/>
  <c r="H71" i="23"/>
  <c r="K71" i="23"/>
  <c r="L71" i="23"/>
  <c r="M71" i="23"/>
  <c r="I71" i="23"/>
  <c r="D71" i="23"/>
  <c r="F71" i="23"/>
  <c r="J71" i="23"/>
  <c r="F201" i="2"/>
  <c r="G201" i="2"/>
  <c r="F202" i="1"/>
  <c r="C201" i="2"/>
  <c r="H201" i="2"/>
  <c r="I201" i="2"/>
  <c r="H72" i="23"/>
  <c r="K72" i="23"/>
  <c r="L72" i="23"/>
  <c r="M72" i="23"/>
  <c r="I72" i="23"/>
  <c r="D72" i="23"/>
  <c r="F72" i="23"/>
  <c r="J72" i="23"/>
  <c r="F203" i="2"/>
  <c r="G203" i="2"/>
  <c r="F204" i="1"/>
  <c r="C203" i="2"/>
  <c r="H203" i="2"/>
  <c r="I203" i="2"/>
  <c r="H73" i="23"/>
  <c r="K73" i="23"/>
  <c r="L73" i="23"/>
  <c r="M73" i="23"/>
  <c r="I73" i="23"/>
  <c r="D73" i="23"/>
  <c r="F73" i="23"/>
  <c r="J73" i="23"/>
  <c r="F205" i="2"/>
  <c r="G205" i="2"/>
  <c r="F206" i="1"/>
  <c r="C205" i="2"/>
  <c r="H205" i="2"/>
  <c r="I205" i="2"/>
  <c r="H74" i="23"/>
  <c r="K74" i="23"/>
  <c r="L74" i="23"/>
  <c r="M74" i="23"/>
  <c r="I74" i="23"/>
  <c r="D74" i="23"/>
  <c r="F74" i="23"/>
  <c r="J74" i="23"/>
  <c r="H75" i="23"/>
  <c r="K75" i="23"/>
  <c r="L75" i="23"/>
  <c r="M75" i="23"/>
  <c r="I75" i="23"/>
  <c r="D75" i="23"/>
  <c r="F75" i="23"/>
  <c r="J75" i="23"/>
  <c r="H76" i="23"/>
  <c r="K76" i="23"/>
  <c r="L76" i="23"/>
  <c r="M76" i="23"/>
  <c r="I76" i="23"/>
  <c r="D76" i="23"/>
  <c r="F76" i="23"/>
  <c r="J76" i="23"/>
  <c r="H77" i="23"/>
  <c r="K77" i="23"/>
  <c r="L77" i="23"/>
  <c r="M77" i="23"/>
  <c r="I77" i="23"/>
  <c r="D77" i="23"/>
  <c r="F77" i="23"/>
  <c r="J77" i="23"/>
  <c r="F207" i="2"/>
  <c r="G207" i="2"/>
  <c r="F208" i="1"/>
  <c r="C207" i="2"/>
  <c r="H207" i="2"/>
  <c r="I207" i="2"/>
  <c r="H78" i="23"/>
  <c r="K78" i="23"/>
  <c r="L78" i="23"/>
  <c r="M78" i="23"/>
  <c r="I78" i="23"/>
  <c r="D78" i="23"/>
  <c r="F78" i="23"/>
  <c r="J78" i="23"/>
  <c r="F209" i="2"/>
  <c r="G209" i="2"/>
  <c r="F210" i="1"/>
  <c r="C209" i="2"/>
  <c r="H209" i="2"/>
  <c r="I209" i="2"/>
  <c r="H79" i="23"/>
  <c r="K79" i="23"/>
  <c r="L79" i="23"/>
  <c r="M79" i="23"/>
  <c r="I79" i="23"/>
  <c r="D79" i="23"/>
  <c r="F79" i="23"/>
  <c r="J79" i="23"/>
  <c r="F211" i="2"/>
  <c r="G211" i="2"/>
  <c r="F212" i="1"/>
  <c r="C211" i="2"/>
  <c r="H211" i="2"/>
  <c r="I211" i="2"/>
  <c r="H80" i="23"/>
  <c r="K80" i="23"/>
  <c r="L80" i="23"/>
  <c r="M80" i="23"/>
  <c r="I80" i="23"/>
  <c r="D80" i="23"/>
  <c r="F80" i="23"/>
  <c r="J80" i="23"/>
  <c r="F213" i="2"/>
  <c r="G213" i="2"/>
  <c r="F214" i="1"/>
  <c r="C213" i="2"/>
  <c r="H213" i="2"/>
  <c r="I213" i="2"/>
  <c r="H81" i="23"/>
  <c r="K81" i="23"/>
  <c r="L81" i="23"/>
  <c r="M81" i="23"/>
  <c r="I81" i="23"/>
  <c r="D81" i="23"/>
  <c r="F81" i="23"/>
  <c r="J81" i="23"/>
  <c r="F215" i="2"/>
  <c r="G215" i="2"/>
  <c r="F216" i="1"/>
  <c r="C215" i="2"/>
  <c r="H215" i="2"/>
  <c r="I215" i="2"/>
  <c r="H82" i="23"/>
  <c r="K82" i="23"/>
  <c r="L82" i="23"/>
  <c r="M82" i="23"/>
  <c r="I82" i="23"/>
  <c r="D82" i="23"/>
  <c r="F82" i="23"/>
  <c r="J82" i="23"/>
  <c r="F217" i="2"/>
  <c r="G217" i="2"/>
  <c r="F218" i="1"/>
  <c r="C217" i="2"/>
  <c r="H217" i="2"/>
  <c r="I217" i="2"/>
  <c r="H83" i="23"/>
  <c r="K83" i="23"/>
  <c r="L83" i="23"/>
  <c r="M83" i="23"/>
  <c r="I83" i="23"/>
  <c r="D83" i="23"/>
  <c r="F83" i="23"/>
  <c r="J83" i="23"/>
  <c r="F219" i="2"/>
  <c r="G219" i="2"/>
  <c r="F220" i="1"/>
  <c r="C219" i="2"/>
  <c r="H219" i="2"/>
  <c r="I219" i="2"/>
  <c r="H84" i="23"/>
  <c r="K84" i="23"/>
  <c r="L84" i="23"/>
  <c r="M84" i="23"/>
  <c r="I84" i="23"/>
  <c r="D84" i="23"/>
  <c r="F84" i="23"/>
  <c r="J84" i="23"/>
  <c r="F221" i="2"/>
  <c r="G221" i="2"/>
  <c r="F222" i="1"/>
  <c r="C221" i="2"/>
  <c r="H221" i="2"/>
  <c r="I221" i="2"/>
  <c r="H85" i="23"/>
  <c r="K85" i="23"/>
  <c r="L85" i="23"/>
  <c r="M85" i="23"/>
  <c r="I85" i="23"/>
  <c r="D85" i="23"/>
  <c r="F85" i="23"/>
  <c r="J85" i="23"/>
  <c r="F223" i="2"/>
  <c r="G223" i="2"/>
  <c r="F224" i="1"/>
  <c r="C223" i="2"/>
  <c r="H223" i="2"/>
  <c r="I223" i="2"/>
  <c r="H86" i="23"/>
  <c r="K86" i="23"/>
  <c r="L86" i="23"/>
  <c r="M86" i="23"/>
  <c r="I86" i="23"/>
  <c r="D86" i="23"/>
  <c r="F86" i="23"/>
  <c r="J86" i="23"/>
  <c r="F225" i="2"/>
  <c r="G225" i="2"/>
  <c r="F226" i="1"/>
  <c r="C225" i="2"/>
  <c r="H225" i="2"/>
  <c r="I225" i="2"/>
  <c r="H87" i="23"/>
  <c r="K87" i="23"/>
  <c r="L87" i="23"/>
  <c r="M87" i="23"/>
  <c r="I87" i="23"/>
  <c r="D87" i="23"/>
  <c r="F87" i="23"/>
  <c r="J87" i="23"/>
  <c r="F227" i="2"/>
  <c r="G227" i="2"/>
  <c r="F228" i="1"/>
  <c r="C227" i="2"/>
  <c r="H227" i="2"/>
  <c r="I227" i="2"/>
  <c r="H88" i="23"/>
  <c r="K88" i="23"/>
  <c r="L88" i="23"/>
  <c r="M88" i="23"/>
  <c r="I88" i="23"/>
  <c r="D88" i="23"/>
  <c r="F88" i="23"/>
  <c r="J88" i="23"/>
  <c r="F229" i="2"/>
  <c r="G229" i="2"/>
  <c r="F230" i="1"/>
  <c r="C229" i="2"/>
  <c r="H229" i="2"/>
  <c r="I229" i="2"/>
  <c r="H89" i="23"/>
  <c r="K89" i="23"/>
  <c r="L89" i="23"/>
  <c r="M89" i="23"/>
  <c r="I89" i="23"/>
  <c r="D89" i="23"/>
  <c r="F89" i="23"/>
  <c r="J89" i="23"/>
  <c r="F231" i="2"/>
  <c r="G231" i="2"/>
  <c r="F232" i="1"/>
  <c r="C231" i="2"/>
  <c r="H231" i="2"/>
  <c r="I231" i="2"/>
  <c r="H90" i="23"/>
  <c r="K90" i="23"/>
  <c r="L90" i="23"/>
  <c r="M90" i="23"/>
  <c r="I90" i="23"/>
  <c r="D90" i="23"/>
  <c r="F90" i="23"/>
  <c r="J90" i="23"/>
  <c r="F233" i="2"/>
  <c r="G233" i="2"/>
  <c r="F234" i="1"/>
  <c r="C233" i="2"/>
  <c r="H233" i="2"/>
  <c r="I233" i="2"/>
  <c r="H91" i="23"/>
  <c r="K91" i="23"/>
  <c r="L91" i="23"/>
  <c r="M91" i="23"/>
  <c r="I91" i="23"/>
  <c r="D91" i="23"/>
  <c r="F91" i="23"/>
  <c r="J91" i="23"/>
  <c r="F235" i="2"/>
  <c r="G235" i="2"/>
  <c r="F236" i="1"/>
  <c r="C235" i="2"/>
  <c r="H235" i="2"/>
  <c r="I235" i="2"/>
  <c r="H92" i="23"/>
  <c r="K92" i="23"/>
  <c r="L92" i="23"/>
  <c r="M92" i="23"/>
  <c r="I92" i="23"/>
  <c r="D92" i="23"/>
  <c r="F92" i="23"/>
  <c r="J92" i="23"/>
  <c r="F237" i="2"/>
  <c r="G237" i="2"/>
  <c r="F238" i="1"/>
  <c r="C237" i="2"/>
  <c r="H237" i="2"/>
  <c r="I237" i="2"/>
  <c r="H93" i="23"/>
  <c r="K93" i="23"/>
  <c r="L93" i="23"/>
  <c r="M93" i="23"/>
  <c r="I93" i="23"/>
  <c r="D93" i="23"/>
  <c r="F93" i="23"/>
  <c r="J93" i="23"/>
  <c r="F239" i="2"/>
  <c r="G239" i="2"/>
  <c r="F240" i="1"/>
  <c r="C239" i="2"/>
  <c r="H239" i="2"/>
  <c r="I239" i="2"/>
  <c r="H94" i="23"/>
  <c r="K94" i="23"/>
  <c r="L94" i="23"/>
  <c r="M94" i="23"/>
  <c r="I94" i="23"/>
  <c r="D94" i="23"/>
  <c r="F94" i="23"/>
  <c r="J94" i="23"/>
  <c r="F241" i="2"/>
  <c r="G241" i="2"/>
  <c r="F242" i="1"/>
  <c r="C241" i="2"/>
  <c r="H241" i="2"/>
  <c r="I241" i="2"/>
  <c r="H95" i="23"/>
  <c r="K95" i="23"/>
  <c r="L95" i="23"/>
  <c r="M95" i="23"/>
  <c r="I95" i="23"/>
  <c r="D95" i="23"/>
  <c r="F95" i="23"/>
  <c r="J95" i="23"/>
  <c r="F243" i="2"/>
  <c r="G243" i="2"/>
  <c r="F244" i="1"/>
  <c r="C243" i="2"/>
  <c r="H243" i="2"/>
  <c r="I243" i="2"/>
  <c r="H96" i="23"/>
  <c r="K96" i="23"/>
  <c r="L96" i="23"/>
  <c r="M96" i="23"/>
  <c r="I96" i="23"/>
  <c r="D96" i="23"/>
  <c r="F96" i="23"/>
  <c r="J96" i="23"/>
  <c r="F245" i="2"/>
  <c r="G245" i="2"/>
  <c r="F246" i="1"/>
  <c r="C245" i="2"/>
  <c r="H245" i="2"/>
  <c r="I245" i="2"/>
  <c r="H97" i="23"/>
  <c r="K97" i="23"/>
  <c r="L97" i="23"/>
  <c r="M97" i="23"/>
  <c r="D143" i="20"/>
  <c r="E143" i="20"/>
  <c r="F143" i="20"/>
  <c r="F338" i="2"/>
  <c r="G338" i="2"/>
  <c r="H338" i="2"/>
  <c r="I338" i="2"/>
  <c r="G143" i="20"/>
  <c r="I143" i="20"/>
  <c r="D4" i="20"/>
  <c r="E4" i="20"/>
  <c r="D2" i="20"/>
  <c r="E2" i="20"/>
  <c r="F2" i="20"/>
  <c r="D3" i="20"/>
  <c r="E3" i="20"/>
  <c r="F3" i="20"/>
  <c r="D141" i="20"/>
  <c r="E141" i="20"/>
  <c r="F141" i="20"/>
  <c r="D142" i="20"/>
  <c r="E142" i="20"/>
  <c r="F142" i="20"/>
  <c r="G282" i="3"/>
  <c r="J282" i="3"/>
  <c r="G283" i="3"/>
  <c r="J283" i="3"/>
  <c r="H282" i="3"/>
  <c r="H283" i="3"/>
  <c r="I283" i="3"/>
  <c r="I282" i="3"/>
  <c r="K143" i="20"/>
  <c r="J143" i="20"/>
  <c r="H143" i="20"/>
  <c r="F4" i="20"/>
  <c r="G281" i="3"/>
  <c r="J281" i="3"/>
  <c r="I281" i="3"/>
  <c r="H281" i="3"/>
  <c r="G280" i="3"/>
  <c r="I280" i="3"/>
  <c r="H280" i="3"/>
  <c r="G279" i="3"/>
  <c r="H279" i="3"/>
  <c r="G278" i="3"/>
  <c r="J278" i="3"/>
  <c r="H278" i="3"/>
  <c r="N94" i="20"/>
  <c r="O94" i="20"/>
  <c r="G277" i="3"/>
  <c r="J277" i="3"/>
  <c r="I277" i="3"/>
  <c r="H277" i="3"/>
  <c r="G276" i="3"/>
  <c r="I276" i="3"/>
  <c r="H276" i="3"/>
  <c r="N93" i="20"/>
  <c r="O93" i="20"/>
  <c r="G275" i="3"/>
  <c r="H275" i="3"/>
  <c r="G274" i="3"/>
  <c r="J274" i="3"/>
  <c r="H274" i="3"/>
  <c r="N92" i="20"/>
  <c r="O92" i="20"/>
  <c r="G273" i="3"/>
  <c r="J273" i="3"/>
  <c r="I273" i="3"/>
  <c r="H273" i="3"/>
  <c r="G272" i="3"/>
  <c r="I272" i="3"/>
  <c r="H272" i="3"/>
  <c r="N91" i="20"/>
  <c r="O91" i="20"/>
  <c r="G271" i="3"/>
  <c r="H271" i="3"/>
  <c r="G270" i="3"/>
  <c r="J270" i="3"/>
  <c r="H270" i="3"/>
  <c r="N90" i="20"/>
  <c r="O90" i="20"/>
  <c r="G269" i="3"/>
  <c r="J269" i="3"/>
  <c r="I269" i="3"/>
  <c r="H269" i="3"/>
  <c r="G268" i="3"/>
  <c r="I268" i="3"/>
  <c r="H268" i="3"/>
  <c r="N89" i="20"/>
  <c r="O89" i="20"/>
  <c r="G267" i="3"/>
  <c r="H267" i="3"/>
  <c r="G266" i="3"/>
  <c r="J266" i="3"/>
  <c r="H266" i="3"/>
  <c r="N88" i="20"/>
  <c r="O88" i="20"/>
  <c r="G265" i="3"/>
  <c r="J265" i="3"/>
  <c r="I265" i="3"/>
  <c r="H265" i="3"/>
  <c r="G264" i="3"/>
  <c r="I264" i="3"/>
  <c r="H264" i="3"/>
  <c r="N87" i="20"/>
  <c r="O87" i="20"/>
  <c r="G263" i="3"/>
  <c r="H263" i="3"/>
  <c r="I263" i="3"/>
  <c r="G262" i="3"/>
  <c r="H262" i="3"/>
  <c r="N86" i="20"/>
  <c r="O86" i="20"/>
  <c r="I262" i="3"/>
  <c r="G261" i="3"/>
  <c r="H261" i="3"/>
  <c r="I261" i="3"/>
  <c r="G260" i="3"/>
  <c r="H260" i="3"/>
  <c r="N85" i="20"/>
  <c r="O85" i="20"/>
  <c r="I260" i="3"/>
  <c r="G259" i="3"/>
  <c r="H259" i="3"/>
  <c r="I259" i="3"/>
  <c r="G258" i="3"/>
  <c r="H258" i="3"/>
  <c r="N84" i="20"/>
  <c r="O84" i="20"/>
  <c r="I258" i="3"/>
  <c r="G257" i="3"/>
  <c r="H257" i="3"/>
  <c r="I257" i="3"/>
  <c r="G256" i="3"/>
  <c r="H256" i="3"/>
  <c r="N83" i="20"/>
  <c r="O83" i="20"/>
  <c r="I256" i="3"/>
  <c r="G255" i="3"/>
  <c r="H255" i="3"/>
  <c r="I255" i="3"/>
  <c r="G254" i="3"/>
  <c r="H254" i="3"/>
  <c r="N82" i="20"/>
  <c r="O82" i="20"/>
  <c r="I254" i="3"/>
  <c r="G253" i="3"/>
  <c r="H253" i="3"/>
  <c r="I253" i="3"/>
  <c r="G252" i="3"/>
  <c r="H252" i="3"/>
  <c r="N81" i="20"/>
  <c r="O81" i="20"/>
  <c r="I252" i="3"/>
  <c r="G251" i="3"/>
  <c r="H251" i="3"/>
  <c r="I251" i="3"/>
  <c r="G250" i="3"/>
  <c r="H250" i="3"/>
  <c r="N80" i="20"/>
  <c r="O80" i="20"/>
  <c r="I250" i="3"/>
  <c r="G249" i="3"/>
  <c r="H249" i="3"/>
  <c r="I249" i="3"/>
  <c r="G248" i="3"/>
  <c r="H248" i="3"/>
  <c r="N79" i="20"/>
  <c r="O79" i="20"/>
  <c r="I248" i="3"/>
  <c r="G247" i="3"/>
  <c r="H247" i="3"/>
  <c r="I247" i="3"/>
  <c r="G246" i="3"/>
  <c r="H246" i="3"/>
  <c r="N78" i="20"/>
  <c r="O78" i="20"/>
  <c r="I246" i="3"/>
  <c r="G245" i="3"/>
  <c r="H245" i="3"/>
  <c r="I245" i="3"/>
  <c r="G244" i="3"/>
  <c r="H244" i="3"/>
  <c r="N77" i="20"/>
  <c r="O77" i="20"/>
  <c r="I244" i="3"/>
  <c r="G243" i="3"/>
  <c r="H243" i="3"/>
  <c r="I243" i="3"/>
  <c r="G242" i="3"/>
  <c r="H242" i="3"/>
  <c r="N76" i="20"/>
  <c r="O76" i="20"/>
  <c r="I242" i="3"/>
  <c r="G241" i="3"/>
  <c r="H241" i="3"/>
  <c r="I241" i="3"/>
  <c r="G240" i="3"/>
  <c r="H240" i="3"/>
  <c r="N75" i="20"/>
  <c r="O75" i="20"/>
  <c r="I240" i="3"/>
  <c r="G239" i="3"/>
  <c r="H239" i="3"/>
  <c r="I239" i="3"/>
  <c r="G238" i="3"/>
  <c r="H238" i="3"/>
  <c r="N74" i="20"/>
  <c r="O74" i="20"/>
  <c r="I238" i="3"/>
  <c r="G237" i="3"/>
  <c r="H237" i="3"/>
  <c r="I237" i="3"/>
  <c r="G236" i="3"/>
  <c r="H236" i="3"/>
  <c r="N73" i="20"/>
  <c r="O73" i="20"/>
  <c r="I236" i="3"/>
  <c r="G235" i="3"/>
  <c r="H235" i="3"/>
  <c r="I235" i="3"/>
  <c r="G234" i="3"/>
  <c r="H234" i="3"/>
  <c r="N72" i="20"/>
  <c r="O72" i="20"/>
  <c r="I234" i="3"/>
  <c r="G233" i="3"/>
  <c r="H233" i="3"/>
  <c r="I233" i="3"/>
  <c r="G232" i="3"/>
  <c r="H232" i="3"/>
  <c r="N71" i="20"/>
  <c r="O71" i="20"/>
  <c r="I232" i="3"/>
  <c r="G231" i="3"/>
  <c r="H231" i="3"/>
  <c r="I231" i="3"/>
  <c r="G230" i="3"/>
  <c r="H230" i="3"/>
  <c r="N70" i="20"/>
  <c r="O70" i="20"/>
  <c r="I230" i="3"/>
  <c r="G229" i="3"/>
  <c r="H229" i="3"/>
  <c r="I229" i="3"/>
  <c r="G228" i="3"/>
  <c r="H228" i="3"/>
  <c r="N69" i="20"/>
  <c r="O69" i="20"/>
  <c r="I228" i="3"/>
  <c r="G227" i="3"/>
  <c r="H227" i="3"/>
  <c r="I227" i="3"/>
  <c r="G226" i="3"/>
  <c r="H226" i="3"/>
  <c r="N68" i="20"/>
  <c r="O68" i="20"/>
  <c r="I226" i="3"/>
  <c r="G225" i="3"/>
  <c r="H225" i="3"/>
  <c r="I225" i="3"/>
  <c r="G224" i="3"/>
  <c r="H224" i="3"/>
  <c r="N67" i="20"/>
  <c r="O67" i="20"/>
  <c r="I224" i="3"/>
  <c r="G223" i="3"/>
  <c r="H223" i="3"/>
  <c r="I223" i="3"/>
  <c r="G222" i="3"/>
  <c r="H222" i="3"/>
  <c r="N66" i="20"/>
  <c r="O66" i="20"/>
  <c r="I222" i="3"/>
  <c r="G221" i="3"/>
  <c r="H221" i="3"/>
  <c r="G220" i="3"/>
  <c r="J220" i="3"/>
  <c r="H220" i="3"/>
  <c r="N65" i="20"/>
  <c r="O65" i="20"/>
  <c r="G219" i="3"/>
  <c r="J219" i="3"/>
  <c r="I219" i="3"/>
  <c r="H219" i="3"/>
  <c r="G218" i="3"/>
  <c r="I218" i="3"/>
  <c r="H218" i="3"/>
  <c r="N64" i="20"/>
  <c r="O64" i="20"/>
  <c r="G217" i="3"/>
  <c r="H217" i="3"/>
  <c r="G216" i="3"/>
  <c r="J216" i="3"/>
  <c r="H216" i="3"/>
  <c r="N63" i="20"/>
  <c r="O63" i="20"/>
  <c r="G215" i="3"/>
  <c r="J215" i="3"/>
  <c r="I215" i="3"/>
  <c r="H215" i="3"/>
  <c r="G214" i="3"/>
  <c r="I214" i="3"/>
  <c r="H214" i="3"/>
  <c r="N62" i="20"/>
  <c r="O62" i="20"/>
  <c r="G213" i="3"/>
  <c r="H213" i="3"/>
  <c r="G212" i="3"/>
  <c r="J212" i="3"/>
  <c r="H212" i="3"/>
  <c r="N61" i="20"/>
  <c r="O61" i="20"/>
  <c r="G211" i="3"/>
  <c r="J211" i="3"/>
  <c r="I211" i="3"/>
  <c r="H211" i="3"/>
  <c r="N61" i="23"/>
  <c r="O61" i="23"/>
  <c r="G210" i="3"/>
  <c r="I210" i="3"/>
  <c r="H210" i="3"/>
  <c r="N60" i="20"/>
  <c r="O60" i="20"/>
  <c r="G209" i="3"/>
  <c r="H209" i="3"/>
  <c r="N60" i="23"/>
  <c r="O60" i="23"/>
  <c r="G208" i="3"/>
  <c r="J208" i="3"/>
  <c r="H208" i="3"/>
  <c r="N59" i="20"/>
  <c r="O59" i="20"/>
  <c r="G207" i="3"/>
  <c r="J207" i="3"/>
  <c r="I207" i="3"/>
  <c r="H207" i="3"/>
  <c r="N59" i="23"/>
  <c r="O59" i="23"/>
  <c r="G206" i="3"/>
  <c r="I206" i="3"/>
  <c r="H206" i="3"/>
  <c r="N58" i="20"/>
  <c r="O58" i="20"/>
  <c r="G205" i="3"/>
  <c r="H205" i="3"/>
  <c r="N58" i="23"/>
  <c r="O58" i="23"/>
  <c r="G204" i="3"/>
  <c r="J204" i="3"/>
  <c r="H204" i="3"/>
  <c r="N57" i="20"/>
  <c r="O57" i="20"/>
  <c r="G203" i="3"/>
  <c r="J203" i="3"/>
  <c r="I203" i="3"/>
  <c r="H203" i="3"/>
  <c r="N57" i="23"/>
  <c r="O57" i="23"/>
  <c r="G202" i="3"/>
  <c r="I202" i="3"/>
  <c r="H202" i="3"/>
  <c r="N56" i="20"/>
  <c r="O56" i="20"/>
  <c r="G201" i="3"/>
  <c r="H201" i="3"/>
  <c r="N56" i="23"/>
  <c r="O56" i="23"/>
  <c r="G200" i="3"/>
  <c r="J200" i="3"/>
  <c r="H200" i="3"/>
  <c r="N55" i="20"/>
  <c r="O55" i="20"/>
  <c r="G199" i="3"/>
  <c r="J199" i="3"/>
  <c r="I199" i="3"/>
  <c r="H199" i="3"/>
  <c r="N55" i="23"/>
  <c r="O55" i="23"/>
  <c r="G198" i="3"/>
  <c r="I198" i="3"/>
  <c r="H198" i="3"/>
  <c r="N54" i="20"/>
  <c r="O54" i="20"/>
  <c r="G197" i="3"/>
  <c r="H197" i="3"/>
  <c r="N54" i="23"/>
  <c r="O54" i="23"/>
  <c r="G196" i="3"/>
  <c r="J196" i="3"/>
  <c r="H196" i="3"/>
  <c r="N53" i="20"/>
  <c r="O53" i="20"/>
  <c r="G195" i="3"/>
  <c r="J195" i="3"/>
  <c r="I195" i="3"/>
  <c r="H195" i="3"/>
  <c r="N53" i="23"/>
  <c r="O53" i="23"/>
  <c r="G194" i="3"/>
  <c r="I194" i="3"/>
  <c r="H194" i="3"/>
  <c r="N52" i="20"/>
  <c r="O52" i="20"/>
  <c r="G193" i="3"/>
  <c r="H193" i="3"/>
  <c r="N52" i="23"/>
  <c r="O52" i="23"/>
  <c r="G192" i="3"/>
  <c r="J192" i="3"/>
  <c r="H192" i="3"/>
  <c r="N51" i="20"/>
  <c r="O51" i="20"/>
  <c r="G191" i="3"/>
  <c r="J191" i="3"/>
  <c r="I191" i="3"/>
  <c r="H191" i="3"/>
  <c r="N51" i="23"/>
  <c r="O51" i="23"/>
  <c r="G190" i="3"/>
  <c r="I190" i="3"/>
  <c r="H190" i="3"/>
  <c r="N50" i="20"/>
  <c r="O50" i="20"/>
  <c r="G189" i="3"/>
  <c r="H189" i="3"/>
  <c r="N50" i="23"/>
  <c r="O50" i="23"/>
  <c r="G188" i="3"/>
  <c r="J188" i="3"/>
  <c r="H188" i="3"/>
  <c r="N49" i="20"/>
  <c r="O49" i="20"/>
  <c r="G187" i="3"/>
  <c r="J187" i="3"/>
  <c r="I187" i="3"/>
  <c r="H187" i="3"/>
  <c r="G186" i="3"/>
  <c r="I186" i="3"/>
  <c r="H186" i="3"/>
  <c r="G185" i="3"/>
  <c r="H185" i="3"/>
  <c r="N49" i="23"/>
  <c r="O49" i="23"/>
  <c r="G184" i="3"/>
  <c r="J184" i="3"/>
  <c r="H184" i="3"/>
  <c r="N48" i="20"/>
  <c r="O48" i="20"/>
  <c r="G183" i="3"/>
  <c r="J183" i="3"/>
  <c r="I183" i="3"/>
  <c r="H183" i="3"/>
  <c r="N48" i="23"/>
  <c r="O48" i="23"/>
  <c r="G182" i="3"/>
  <c r="I182" i="3"/>
  <c r="H182" i="3"/>
  <c r="N47" i="20"/>
  <c r="O47" i="20"/>
  <c r="G181" i="3"/>
  <c r="H181" i="3"/>
  <c r="N47" i="23"/>
  <c r="O47" i="23"/>
  <c r="G180" i="3"/>
  <c r="J180" i="3"/>
  <c r="H180" i="3"/>
  <c r="N46" i="20"/>
  <c r="O46" i="20"/>
  <c r="G179" i="3"/>
  <c r="J179" i="3"/>
  <c r="I179" i="3"/>
  <c r="H179" i="3"/>
  <c r="N46" i="23"/>
  <c r="O46" i="23"/>
  <c r="G178" i="3"/>
  <c r="I178" i="3"/>
  <c r="H178" i="3"/>
  <c r="N45" i="20"/>
  <c r="O45" i="20"/>
  <c r="G177" i="3"/>
  <c r="H177" i="3"/>
  <c r="N45" i="23"/>
  <c r="O45" i="23"/>
  <c r="G176" i="3"/>
  <c r="J176" i="3"/>
  <c r="H176" i="3"/>
  <c r="N44" i="20"/>
  <c r="O44" i="20"/>
  <c r="G175" i="3"/>
  <c r="J175" i="3"/>
  <c r="I175" i="3"/>
  <c r="H175" i="3"/>
  <c r="N44" i="23"/>
  <c r="O44" i="23"/>
  <c r="G174" i="3"/>
  <c r="I174" i="3"/>
  <c r="H174" i="3"/>
  <c r="N43" i="20"/>
  <c r="O43" i="20"/>
  <c r="G173" i="3"/>
  <c r="H173" i="3"/>
  <c r="N43" i="23"/>
  <c r="O43" i="23"/>
  <c r="G172" i="3"/>
  <c r="J172" i="3"/>
  <c r="H172" i="3"/>
  <c r="N42" i="20"/>
  <c r="O42" i="20"/>
  <c r="G171" i="3"/>
  <c r="J171" i="3"/>
  <c r="I171" i="3"/>
  <c r="H171" i="3"/>
  <c r="N42" i="23"/>
  <c r="O42" i="23"/>
  <c r="G170" i="3"/>
  <c r="I170" i="3"/>
  <c r="H170" i="3"/>
  <c r="N41" i="20"/>
  <c r="O41" i="20"/>
  <c r="G169" i="3"/>
  <c r="H169" i="3"/>
  <c r="N41" i="23"/>
  <c r="O41" i="23"/>
  <c r="G168" i="3"/>
  <c r="J168" i="3"/>
  <c r="H168" i="3"/>
  <c r="N40" i="20"/>
  <c r="O40" i="20"/>
  <c r="G167" i="3"/>
  <c r="J167" i="3"/>
  <c r="I167" i="3"/>
  <c r="H167" i="3"/>
  <c r="N40" i="23"/>
  <c r="O40" i="23"/>
  <c r="G166" i="3"/>
  <c r="I166" i="3"/>
  <c r="H166" i="3"/>
  <c r="N39" i="20"/>
  <c r="O39" i="20"/>
  <c r="N95" i="20"/>
  <c r="O95" i="20"/>
  <c r="N96" i="20"/>
  <c r="O96" i="20"/>
  <c r="I168" i="3"/>
  <c r="J169" i="3"/>
  <c r="I172" i="3"/>
  <c r="J173" i="3"/>
  <c r="I176" i="3"/>
  <c r="J177" i="3"/>
  <c r="I180" i="3"/>
  <c r="J181" i="3"/>
  <c r="I184" i="3"/>
  <c r="J185" i="3"/>
  <c r="I188" i="3"/>
  <c r="J189" i="3"/>
  <c r="I192" i="3"/>
  <c r="J193" i="3"/>
  <c r="I196" i="3"/>
  <c r="J197" i="3"/>
  <c r="I200" i="3"/>
  <c r="J201" i="3"/>
  <c r="I204" i="3"/>
  <c r="J205" i="3"/>
  <c r="I208" i="3"/>
  <c r="J209" i="3"/>
  <c r="I212" i="3"/>
  <c r="J213" i="3"/>
  <c r="I216" i="3"/>
  <c r="J217" i="3"/>
  <c r="I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I266" i="3"/>
  <c r="J267" i="3"/>
  <c r="I270" i="3"/>
  <c r="J271" i="3"/>
  <c r="I274" i="3"/>
  <c r="J275" i="3"/>
  <c r="I278" i="3"/>
  <c r="J279" i="3"/>
  <c r="J166" i="3"/>
  <c r="I169" i="3"/>
  <c r="J170" i="3"/>
  <c r="I173" i="3"/>
  <c r="J174" i="3"/>
  <c r="I177" i="3"/>
  <c r="J178" i="3"/>
  <c r="I181" i="3"/>
  <c r="J182" i="3"/>
  <c r="I185" i="3"/>
  <c r="J186" i="3"/>
  <c r="I189" i="3"/>
  <c r="J190" i="3"/>
  <c r="I193" i="3"/>
  <c r="J194" i="3"/>
  <c r="I197" i="3"/>
  <c r="J198" i="3"/>
  <c r="I201" i="3"/>
  <c r="J202" i="3"/>
  <c r="I205" i="3"/>
  <c r="J206" i="3"/>
  <c r="I209" i="3"/>
  <c r="J210" i="3"/>
  <c r="I213" i="3"/>
  <c r="J214" i="3"/>
  <c r="I217" i="3"/>
  <c r="J218" i="3"/>
  <c r="I221" i="3"/>
  <c r="J264" i="3"/>
  <c r="I267" i="3"/>
  <c r="J268" i="3"/>
  <c r="I271" i="3"/>
  <c r="J272" i="3"/>
  <c r="I275" i="3"/>
  <c r="J276" i="3"/>
  <c r="I279" i="3"/>
  <c r="J280" i="3"/>
  <c r="G165" i="3"/>
  <c r="J165" i="3"/>
  <c r="H165" i="3"/>
  <c r="N39" i="23"/>
  <c r="O39" i="23"/>
  <c r="G164" i="3"/>
  <c r="J164" i="3"/>
  <c r="I164" i="3"/>
  <c r="H164" i="3"/>
  <c r="N38" i="20"/>
  <c r="O38" i="20"/>
  <c r="G163" i="3"/>
  <c r="I163" i="3"/>
  <c r="H163" i="3"/>
  <c r="N38" i="23"/>
  <c r="O38" i="23"/>
  <c r="G162" i="3"/>
  <c r="H162" i="3"/>
  <c r="N37" i="20"/>
  <c r="O37" i="20"/>
  <c r="G161" i="3"/>
  <c r="J161" i="3"/>
  <c r="H161" i="3"/>
  <c r="N37" i="23"/>
  <c r="O37" i="23"/>
  <c r="G160" i="3"/>
  <c r="J160" i="3"/>
  <c r="I160" i="3"/>
  <c r="H160" i="3"/>
  <c r="N36" i="20"/>
  <c r="O36" i="20"/>
  <c r="G159" i="3"/>
  <c r="I159" i="3"/>
  <c r="H159" i="3"/>
  <c r="N36" i="23"/>
  <c r="O36" i="23"/>
  <c r="G158" i="3"/>
  <c r="H158" i="3"/>
  <c r="N35" i="20"/>
  <c r="O35" i="20"/>
  <c r="G157" i="3"/>
  <c r="J157" i="3"/>
  <c r="H157" i="3"/>
  <c r="N35" i="23"/>
  <c r="O35" i="23"/>
  <c r="G156" i="3"/>
  <c r="J156" i="3"/>
  <c r="I156" i="3"/>
  <c r="H156" i="3"/>
  <c r="N34" i="20"/>
  <c r="O34" i="20"/>
  <c r="G155" i="3"/>
  <c r="I155" i="3"/>
  <c r="H155" i="3"/>
  <c r="N34" i="23"/>
  <c r="O34" i="23"/>
  <c r="G154" i="3"/>
  <c r="H154" i="3"/>
  <c r="N33" i="20"/>
  <c r="O33" i="20"/>
  <c r="G153" i="3"/>
  <c r="J153" i="3"/>
  <c r="H153" i="3"/>
  <c r="N33" i="23"/>
  <c r="O33" i="23"/>
  <c r="G152" i="3"/>
  <c r="J152" i="3"/>
  <c r="I152" i="3"/>
  <c r="H152" i="3"/>
  <c r="N32" i="20"/>
  <c r="O32" i="20"/>
  <c r="G151" i="3"/>
  <c r="I151" i="3"/>
  <c r="H151" i="3"/>
  <c r="N32" i="23"/>
  <c r="O32" i="23"/>
  <c r="G150" i="3"/>
  <c r="H150" i="3"/>
  <c r="N31" i="20"/>
  <c r="O31" i="20"/>
  <c r="G149" i="3"/>
  <c r="J149" i="3"/>
  <c r="H149" i="3"/>
  <c r="N31" i="23"/>
  <c r="O31" i="23"/>
  <c r="G148" i="3"/>
  <c r="J148" i="3"/>
  <c r="I148" i="3"/>
  <c r="H148" i="3"/>
  <c r="N30" i="20"/>
  <c r="O30" i="20"/>
  <c r="G147" i="3"/>
  <c r="I147" i="3"/>
  <c r="H147" i="3"/>
  <c r="N30" i="23"/>
  <c r="O30" i="23"/>
  <c r="G146" i="3"/>
  <c r="H146" i="3"/>
  <c r="N29" i="20"/>
  <c r="O29" i="20"/>
  <c r="G145" i="3"/>
  <c r="J145" i="3"/>
  <c r="H145" i="3"/>
  <c r="G144" i="3"/>
  <c r="J144" i="3"/>
  <c r="I144" i="3"/>
  <c r="H144" i="3"/>
  <c r="N29" i="23"/>
  <c r="O29" i="23"/>
  <c r="G143" i="3"/>
  <c r="I143" i="3"/>
  <c r="H143" i="3"/>
  <c r="N28" i="20"/>
  <c r="O28" i="20"/>
  <c r="G142" i="3"/>
  <c r="H142" i="3"/>
  <c r="G141" i="3"/>
  <c r="J141" i="3"/>
  <c r="H141" i="3"/>
  <c r="N28" i="23"/>
  <c r="O28" i="23"/>
  <c r="G140" i="3"/>
  <c r="J140" i="3"/>
  <c r="I140" i="3"/>
  <c r="H140" i="3"/>
  <c r="N27" i="20"/>
  <c r="O27" i="20"/>
  <c r="G139" i="3"/>
  <c r="I139" i="3"/>
  <c r="H139" i="3"/>
  <c r="G138" i="3"/>
  <c r="H138" i="3"/>
  <c r="N27" i="23"/>
  <c r="O27" i="23"/>
  <c r="G137" i="3"/>
  <c r="J137" i="3"/>
  <c r="H137" i="3"/>
  <c r="N26" i="20"/>
  <c r="O26" i="20"/>
  <c r="G136" i="3"/>
  <c r="J136" i="3"/>
  <c r="I136" i="3"/>
  <c r="H136" i="3"/>
  <c r="G135" i="3"/>
  <c r="I135" i="3"/>
  <c r="H135" i="3"/>
  <c r="N26" i="23"/>
  <c r="O26" i="23"/>
  <c r="G134" i="3"/>
  <c r="H134" i="3"/>
  <c r="N25" i="20"/>
  <c r="O25" i="20"/>
  <c r="G133" i="3"/>
  <c r="J133" i="3"/>
  <c r="H133" i="3"/>
  <c r="M132" i="3"/>
  <c r="G132" i="3"/>
  <c r="I132" i="3"/>
  <c r="L132" i="3"/>
  <c r="K132" i="3"/>
  <c r="H132" i="3"/>
  <c r="N25" i="23"/>
  <c r="O25" i="23"/>
  <c r="G131" i="3"/>
  <c r="H131" i="3"/>
  <c r="N24" i="20"/>
  <c r="O24" i="20"/>
  <c r="I131" i="3"/>
  <c r="G130" i="3"/>
  <c r="H130" i="3"/>
  <c r="I130" i="3"/>
  <c r="G129" i="3"/>
  <c r="H129" i="3"/>
  <c r="N24" i="23"/>
  <c r="O24" i="23"/>
  <c r="I129" i="3"/>
  <c r="G128" i="3"/>
  <c r="H128" i="3"/>
  <c r="N23" i="20"/>
  <c r="O23" i="20"/>
  <c r="I128" i="3"/>
  <c r="G127" i="3"/>
  <c r="H127" i="3"/>
  <c r="I127" i="3"/>
  <c r="G126" i="3"/>
  <c r="H126" i="3"/>
  <c r="N23" i="23"/>
  <c r="O23" i="23"/>
  <c r="I126" i="3"/>
  <c r="G125" i="3"/>
  <c r="H125" i="3"/>
  <c r="N22" i="20"/>
  <c r="O22" i="20"/>
  <c r="I125" i="3"/>
  <c r="G124" i="3"/>
  <c r="H124" i="3"/>
  <c r="I124" i="3"/>
  <c r="G123" i="3"/>
  <c r="J123" i="3"/>
  <c r="G122" i="3"/>
  <c r="H122" i="3"/>
  <c r="N21" i="20"/>
  <c r="O21" i="20"/>
  <c r="G121" i="3"/>
  <c r="I121" i="3"/>
  <c r="J121" i="3"/>
  <c r="G120" i="3"/>
  <c r="I120" i="3"/>
  <c r="H120" i="3"/>
  <c r="N21" i="23"/>
  <c r="O21" i="23"/>
  <c r="J120" i="3"/>
  <c r="G119" i="3"/>
  <c r="H119" i="3"/>
  <c r="N20" i="20"/>
  <c r="O20" i="20"/>
  <c r="J119" i="3"/>
  <c r="G118" i="3"/>
  <c r="J118" i="3"/>
  <c r="G117" i="3"/>
  <c r="I117" i="3"/>
  <c r="J117" i="3"/>
  <c r="G116" i="3"/>
  <c r="I116" i="3"/>
  <c r="H116" i="3"/>
  <c r="N19" i="20"/>
  <c r="O19" i="20"/>
  <c r="J116" i="3"/>
  <c r="G115" i="3"/>
  <c r="H115" i="3"/>
  <c r="J115" i="3"/>
  <c r="G114" i="3"/>
  <c r="J114" i="3"/>
  <c r="G113" i="3"/>
  <c r="I113" i="3"/>
  <c r="J113" i="3"/>
  <c r="G112" i="3"/>
  <c r="I112" i="3"/>
  <c r="H112" i="3"/>
  <c r="J112" i="3"/>
  <c r="G111" i="3"/>
  <c r="H111" i="3"/>
  <c r="J111" i="3"/>
  <c r="G110" i="3"/>
  <c r="J110" i="3"/>
  <c r="G109" i="3"/>
  <c r="I109" i="3"/>
  <c r="J109" i="3"/>
  <c r="G108" i="3"/>
  <c r="I108" i="3"/>
  <c r="H108" i="3"/>
  <c r="J108" i="3"/>
  <c r="G107" i="3"/>
  <c r="H107" i="3"/>
  <c r="J107" i="3"/>
  <c r="G106" i="3"/>
  <c r="J106" i="3"/>
  <c r="G105" i="3"/>
  <c r="I105" i="3"/>
  <c r="H105" i="3"/>
  <c r="G104" i="3"/>
  <c r="I104" i="3"/>
  <c r="H104" i="3"/>
  <c r="N17" i="20"/>
  <c r="O17" i="20"/>
  <c r="J104" i="3"/>
  <c r="G103" i="3"/>
  <c r="H103" i="3"/>
  <c r="J103" i="3"/>
  <c r="G102" i="3"/>
  <c r="J102" i="3"/>
  <c r="G101" i="3"/>
  <c r="I101" i="3"/>
  <c r="J101" i="3"/>
  <c r="G100" i="3"/>
  <c r="J100" i="3"/>
  <c r="I100" i="3"/>
  <c r="H100" i="3"/>
  <c r="G99" i="3"/>
  <c r="I99" i="3"/>
  <c r="H99" i="3"/>
  <c r="N17" i="23"/>
  <c r="O17" i="23"/>
  <c r="J99" i="3"/>
  <c r="G98" i="3"/>
  <c r="H98" i="3"/>
  <c r="N16" i="20"/>
  <c r="O16" i="20"/>
  <c r="J98" i="3"/>
  <c r="G97" i="3"/>
  <c r="J97" i="3"/>
  <c r="G96" i="3"/>
  <c r="I96" i="3"/>
  <c r="J96" i="3"/>
  <c r="G95" i="3"/>
  <c r="J95" i="3"/>
  <c r="I95" i="3"/>
  <c r="H95" i="3"/>
  <c r="N15" i="20"/>
  <c r="O15" i="20"/>
  <c r="G94" i="3"/>
  <c r="J94" i="3"/>
  <c r="I94" i="3"/>
  <c r="H94" i="3"/>
  <c r="G93" i="3"/>
  <c r="I93" i="3"/>
  <c r="H93" i="3"/>
  <c r="N15" i="23"/>
  <c r="O15" i="23"/>
  <c r="J93" i="3"/>
  <c r="G92" i="3"/>
  <c r="H92" i="3"/>
  <c r="N14" i="20"/>
  <c r="O14" i="20"/>
  <c r="J92" i="3"/>
  <c r="G91" i="3"/>
  <c r="J91" i="3"/>
  <c r="G90" i="3"/>
  <c r="I90" i="3"/>
  <c r="J90" i="3"/>
  <c r="G89" i="3"/>
  <c r="I89" i="3"/>
  <c r="H89" i="3"/>
  <c r="N13" i="20"/>
  <c r="O13" i="20"/>
  <c r="J89" i="3"/>
  <c r="G88" i="3"/>
  <c r="H88" i="3"/>
  <c r="J88" i="3"/>
  <c r="G87" i="3"/>
  <c r="J87" i="3"/>
  <c r="G86" i="3"/>
  <c r="I86" i="3"/>
  <c r="J86" i="3"/>
  <c r="G85" i="3"/>
  <c r="I85" i="3"/>
  <c r="H85" i="3"/>
  <c r="J85" i="3"/>
  <c r="G84" i="3"/>
  <c r="H84" i="3"/>
  <c r="J84" i="3"/>
  <c r="G83" i="3"/>
  <c r="J83" i="3"/>
  <c r="G82" i="3"/>
  <c r="I82" i="3"/>
  <c r="J82" i="3"/>
  <c r="G81" i="3"/>
  <c r="I81" i="3"/>
  <c r="H81" i="3"/>
  <c r="J81" i="3"/>
  <c r="G80" i="3"/>
  <c r="H80" i="3"/>
  <c r="J80" i="3"/>
  <c r="G79" i="3"/>
  <c r="J79" i="3"/>
  <c r="G78" i="3"/>
  <c r="I78" i="3"/>
  <c r="J78" i="3"/>
  <c r="G77" i="3"/>
  <c r="I77" i="3"/>
  <c r="H77" i="3"/>
  <c r="J77" i="3"/>
  <c r="G76" i="3"/>
  <c r="H76" i="3"/>
  <c r="J76" i="3"/>
  <c r="G75" i="3"/>
  <c r="J75" i="3"/>
  <c r="G74" i="3"/>
  <c r="I74" i="3"/>
  <c r="J74" i="3"/>
  <c r="G73" i="3"/>
  <c r="I73" i="3"/>
  <c r="H73" i="3"/>
  <c r="J73" i="3"/>
  <c r="G72" i="3"/>
  <c r="H72" i="3"/>
  <c r="N11" i="23"/>
  <c r="O11" i="23"/>
  <c r="J72" i="3"/>
  <c r="G71" i="3"/>
  <c r="J71" i="3"/>
  <c r="G70" i="3"/>
  <c r="I70" i="3"/>
  <c r="J70" i="3"/>
  <c r="G69" i="3"/>
  <c r="I69" i="3"/>
  <c r="H69" i="3"/>
  <c r="N10" i="23"/>
  <c r="O10" i="23"/>
  <c r="J69" i="3"/>
  <c r="G68" i="3"/>
  <c r="H68" i="3"/>
  <c r="N9" i="20"/>
  <c r="O9" i="20"/>
  <c r="J68" i="3"/>
  <c r="G67" i="3"/>
  <c r="J67" i="3"/>
  <c r="G66" i="3"/>
  <c r="I66" i="3"/>
  <c r="J66" i="3"/>
  <c r="G65" i="3"/>
  <c r="I65" i="3"/>
  <c r="H65" i="3"/>
  <c r="N8" i="20"/>
  <c r="O8" i="20"/>
  <c r="J65" i="3"/>
  <c r="G64" i="3"/>
  <c r="H64" i="3"/>
  <c r="J64" i="3"/>
  <c r="G63" i="3"/>
  <c r="J63" i="3"/>
  <c r="G62" i="3"/>
  <c r="I62" i="3"/>
  <c r="J62" i="3"/>
  <c r="G61" i="3"/>
  <c r="I61" i="3"/>
  <c r="H61" i="3"/>
  <c r="J61" i="3"/>
  <c r="G60" i="3"/>
  <c r="H60" i="3"/>
  <c r="J60" i="3"/>
  <c r="G59" i="3"/>
  <c r="J59" i="3"/>
  <c r="G58" i="3"/>
  <c r="I58" i="3"/>
  <c r="J58" i="3"/>
  <c r="G57" i="3"/>
  <c r="I57" i="3"/>
  <c r="H57" i="3"/>
  <c r="J57" i="3"/>
  <c r="G56" i="3"/>
  <c r="H56" i="3"/>
  <c r="N7" i="20"/>
  <c r="O7" i="20"/>
  <c r="J56" i="3"/>
  <c r="G55" i="3"/>
  <c r="J55" i="3"/>
  <c r="G54" i="3"/>
  <c r="I54" i="3"/>
  <c r="J54" i="3"/>
  <c r="G53" i="3"/>
  <c r="I53" i="3"/>
  <c r="H53" i="3"/>
  <c r="N6" i="20"/>
  <c r="O6" i="20"/>
  <c r="J53" i="3"/>
  <c r="G52" i="3"/>
  <c r="H52" i="3"/>
  <c r="J52" i="3"/>
  <c r="G51" i="3"/>
  <c r="J51" i="3"/>
  <c r="G50" i="3"/>
  <c r="I50" i="3"/>
  <c r="J50" i="3"/>
  <c r="G49" i="3"/>
  <c r="I49" i="3"/>
  <c r="H49" i="3"/>
  <c r="J49" i="3"/>
  <c r="G48" i="3"/>
  <c r="H48" i="3"/>
  <c r="J48" i="3"/>
  <c r="G47" i="3"/>
  <c r="J47" i="3"/>
  <c r="G46" i="3"/>
  <c r="I46" i="3"/>
  <c r="J46" i="3"/>
  <c r="G45" i="3"/>
  <c r="I45" i="3"/>
  <c r="H45" i="3"/>
  <c r="J45" i="3"/>
  <c r="G44" i="3"/>
  <c r="H44" i="3"/>
  <c r="J44" i="3"/>
  <c r="G43" i="3"/>
  <c r="J43" i="3"/>
  <c r="G42" i="3"/>
  <c r="I42" i="3"/>
  <c r="J42" i="3"/>
  <c r="G41" i="3"/>
  <c r="I41" i="3"/>
  <c r="H41" i="3"/>
  <c r="J41" i="3"/>
  <c r="G40" i="3"/>
  <c r="H40" i="3"/>
  <c r="J40" i="3"/>
  <c r="G39" i="3"/>
  <c r="J39" i="3"/>
  <c r="G38" i="3"/>
  <c r="I38" i="3"/>
  <c r="J38" i="3"/>
  <c r="G37" i="3"/>
  <c r="I37" i="3"/>
  <c r="H37" i="3"/>
  <c r="J37" i="3"/>
  <c r="G36" i="3"/>
  <c r="H36" i="3"/>
  <c r="N4" i="23"/>
  <c r="J36" i="3"/>
  <c r="G35" i="3"/>
  <c r="J35" i="3"/>
  <c r="G34" i="3"/>
  <c r="I34" i="3"/>
  <c r="J34" i="3"/>
  <c r="G33" i="3"/>
  <c r="I33" i="3"/>
  <c r="H33" i="3"/>
  <c r="J33" i="3"/>
  <c r="G32" i="3"/>
  <c r="H32" i="3"/>
  <c r="N3" i="23"/>
  <c r="O3" i="23"/>
  <c r="J32" i="3"/>
  <c r="G31" i="3"/>
  <c r="J31" i="3"/>
  <c r="G30" i="3"/>
  <c r="I30" i="3"/>
  <c r="J30" i="3"/>
  <c r="G29" i="3"/>
  <c r="I29" i="3"/>
  <c r="H29" i="3"/>
  <c r="J29" i="3"/>
  <c r="G28" i="3"/>
  <c r="H28" i="3"/>
  <c r="J28" i="3"/>
  <c r="G27" i="3"/>
  <c r="J27" i="3"/>
  <c r="G26" i="3"/>
  <c r="I26" i="3"/>
  <c r="J26" i="3"/>
  <c r="G25" i="3"/>
  <c r="I25" i="3"/>
  <c r="H25" i="3"/>
  <c r="J25" i="3"/>
  <c r="G24" i="3"/>
  <c r="I24" i="3"/>
  <c r="G23" i="3"/>
  <c r="H23" i="3"/>
  <c r="I23" i="3"/>
  <c r="G22" i="3"/>
  <c r="I22" i="3"/>
  <c r="G21" i="3"/>
  <c r="H21" i="3"/>
  <c r="I21" i="3"/>
  <c r="G20" i="3"/>
  <c r="I20" i="3"/>
  <c r="G19" i="3"/>
  <c r="H19" i="3"/>
  <c r="I19" i="3"/>
  <c r="G18" i="3"/>
  <c r="I18" i="3"/>
  <c r="G17" i="3"/>
  <c r="H17" i="3"/>
  <c r="I17" i="3"/>
  <c r="G16" i="3"/>
  <c r="I16" i="3"/>
  <c r="G15" i="3"/>
  <c r="H15" i="3"/>
  <c r="I15" i="3"/>
  <c r="G14" i="3"/>
  <c r="I14" i="3"/>
  <c r="G13" i="3"/>
  <c r="H13" i="3"/>
  <c r="I13" i="3"/>
  <c r="G12" i="3"/>
  <c r="I12" i="3"/>
  <c r="G11" i="3"/>
  <c r="H11" i="3"/>
  <c r="I11" i="3"/>
  <c r="G10" i="3"/>
  <c r="I10" i="3"/>
  <c r="G9" i="3"/>
  <c r="H9" i="3"/>
  <c r="I9" i="3"/>
  <c r="G8" i="3"/>
  <c r="I8" i="3"/>
  <c r="G7" i="3"/>
  <c r="H7" i="3"/>
  <c r="I7" i="3"/>
  <c r="G6" i="3"/>
  <c r="I6" i="3"/>
  <c r="G5" i="3"/>
  <c r="H5" i="3"/>
  <c r="I5" i="3"/>
  <c r="G4" i="3"/>
  <c r="I4" i="3"/>
  <c r="G3" i="3"/>
  <c r="H3" i="3"/>
  <c r="I3" i="3"/>
  <c r="N97" i="23"/>
  <c r="O97" i="23"/>
  <c r="N96" i="23"/>
  <c r="O96" i="23"/>
  <c r="N95" i="23"/>
  <c r="O95" i="23"/>
  <c r="N94" i="23"/>
  <c r="O94" i="23"/>
  <c r="N93" i="23"/>
  <c r="O93" i="23"/>
  <c r="N92" i="23"/>
  <c r="O92" i="23"/>
  <c r="N91" i="23"/>
  <c r="O91" i="23"/>
  <c r="N90" i="23"/>
  <c r="O90" i="23"/>
  <c r="N89" i="23"/>
  <c r="O89" i="23"/>
  <c r="N87" i="23"/>
  <c r="O87" i="23"/>
  <c r="N86" i="23"/>
  <c r="O86" i="23"/>
  <c r="N85" i="23"/>
  <c r="O85" i="23"/>
  <c r="N84" i="23"/>
  <c r="O84" i="23"/>
  <c r="N83" i="23"/>
  <c r="O83" i="23"/>
  <c r="N82" i="23"/>
  <c r="O82" i="23"/>
  <c r="N81" i="23"/>
  <c r="O81" i="23"/>
  <c r="N80" i="23"/>
  <c r="O80" i="23"/>
  <c r="N79" i="23"/>
  <c r="O79" i="23"/>
  <c r="N78" i="23"/>
  <c r="O78" i="23"/>
  <c r="N77" i="23"/>
  <c r="O77" i="23"/>
  <c r="N76" i="23"/>
  <c r="O76" i="23"/>
  <c r="N75" i="23"/>
  <c r="O75" i="23"/>
  <c r="N74" i="23"/>
  <c r="O74" i="23"/>
  <c r="N73" i="23"/>
  <c r="O73" i="23"/>
  <c r="N72" i="23"/>
  <c r="O72" i="23"/>
  <c r="N71" i="23"/>
  <c r="O71" i="23"/>
  <c r="N70" i="23"/>
  <c r="O70" i="23"/>
  <c r="N69" i="23"/>
  <c r="O69" i="23"/>
  <c r="N68" i="23"/>
  <c r="O68" i="23"/>
  <c r="N67" i="23"/>
  <c r="O67" i="23"/>
  <c r="N66" i="23"/>
  <c r="O66" i="23"/>
  <c r="N65" i="23"/>
  <c r="O65" i="23"/>
  <c r="N64" i="23"/>
  <c r="O64" i="23"/>
  <c r="N63" i="23"/>
  <c r="O63" i="23"/>
  <c r="N62" i="23"/>
  <c r="O62" i="23"/>
  <c r="G286" i="3"/>
  <c r="J286" i="3"/>
  <c r="G318" i="3"/>
  <c r="J318" i="3"/>
  <c r="G350" i="3"/>
  <c r="J350" i="3"/>
  <c r="G288" i="3"/>
  <c r="H288" i="3"/>
  <c r="N99" i="20"/>
  <c r="O99" i="20"/>
  <c r="G302" i="3"/>
  <c r="H302" i="3"/>
  <c r="N106" i="20"/>
  <c r="O106" i="20"/>
  <c r="H318" i="3"/>
  <c r="N114" i="20"/>
  <c r="O114" i="20"/>
  <c r="G334" i="3"/>
  <c r="H334" i="3"/>
  <c r="N122" i="20"/>
  <c r="O122" i="20"/>
  <c r="H350" i="3"/>
  <c r="N130" i="20"/>
  <c r="O130" i="20"/>
  <c r="G366" i="3"/>
  <c r="H366" i="3"/>
  <c r="N138" i="20"/>
  <c r="O138" i="20"/>
  <c r="G284" i="3"/>
  <c r="J284" i="3"/>
  <c r="G285" i="3"/>
  <c r="I286" i="3"/>
  <c r="G287" i="3"/>
  <c r="I287" i="3"/>
  <c r="J288" i="3"/>
  <c r="G289" i="3"/>
  <c r="I289" i="3"/>
  <c r="G290" i="3"/>
  <c r="I290" i="3"/>
  <c r="G291" i="3"/>
  <c r="I291" i="3"/>
  <c r="G292" i="3"/>
  <c r="J292" i="3"/>
  <c r="G293" i="3"/>
  <c r="G294" i="3"/>
  <c r="I294" i="3"/>
  <c r="G295" i="3"/>
  <c r="I295" i="3"/>
  <c r="G296" i="3"/>
  <c r="J296" i="3"/>
  <c r="G297" i="3"/>
  <c r="J297" i="3"/>
  <c r="G298" i="3"/>
  <c r="I298" i="3"/>
  <c r="G299" i="3"/>
  <c r="I299" i="3"/>
  <c r="G300" i="3"/>
  <c r="J300" i="3"/>
  <c r="G301" i="3"/>
  <c r="J301" i="3"/>
  <c r="I302" i="3"/>
  <c r="G303" i="3"/>
  <c r="I303" i="3"/>
  <c r="G304" i="3"/>
  <c r="J304" i="3"/>
  <c r="G305" i="3"/>
  <c r="J305" i="3"/>
  <c r="G306" i="3"/>
  <c r="I306" i="3"/>
  <c r="G307" i="3"/>
  <c r="I307" i="3"/>
  <c r="G308" i="3"/>
  <c r="J308" i="3"/>
  <c r="G309" i="3"/>
  <c r="J309" i="3"/>
  <c r="G310" i="3"/>
  <c r="I310" i="3"/>
  <c r="G311" i="3"/>
  <c r="I311" i="3"/>
  <c r="G312" i="3"/>
  <c r="J312" i="3"/>
  <c r="G313" i="3"/>
  <c r="J313" i="3"/>
  <c r="G314" i="3"/>
  <c r="I314" i="3"/>
  <c r="G315" i="3"/>
  <c r="I315" i="3"/>
  <c r="G316" i="3"/>
  <c r="J316" i="3"/>
  <c r="G317" i="3"/>
  <c r="J317" i="3"/>
  <c r="I318" i="3"/>
  <c r="G319" i="3"/>
  <c r="I319" i="3"/>
  <c r="G320" i="3"/>
  <c r="J320" i="3"/>
  <c r="G321" i="3"/>
  <c r="J321" i="3"/>
  <c r="G322" i="3"/>
  <c r="I322" i="3"/>
  <c r="G323" i="3"/>
  <c r="I323" i="3"/>
  <c r="G324" i="3"/>
  <c r="J324" i="3"/>
  <c r="G325" i="3"/>
  <c r="J325" i="3"/>
  <c r="G326" i="3"/>
  <c r="I326" i="3"/>
  <c r="G327" i="3"/>
  <c r="I327" i="3"/>
  <c r="G328" i="3"/>
  <c r="J328" i="3"/>
  <c r="G329" i="3"/>
  <c r="J329" i="3"/>
  <c r="G330" i="3"/>
  <c r="I330" i="3"/>
  <c r="G331" i="3"/>
  <c r="I331" i="3"/>
  <c r="G332" i="3"/>
  <c r="J332" i="3"/>
  <c r="G333" i="3"/>
  <c r="J333" i="3"/>
  <c r="I334" i="3"/>
  <c r="G335" i="3"/>
  <c r="I335" i="3"/>
  <c r="G336" i="3"/>
  <c r="J336" i="3"/>
  <c r="G337" i="3"/>
  <c r="J337" i="3"/>
  <c r="G338" i="3"/>
  <c r="I338" i="3"/>
  <c r="G339" i="3"/>
  <c r="I339" i="3"/>
  <c r="G340" i="3"/>
  <c r="J340" i="3"/>
  <c r="G341" i="3"/>
  <c r="J341" i="3"/>
  <c r="G342" i="3"/>
  <c r="I342" i="3"/>
  <c r="G343" i="3"/>
  <c r="I343" i="3"/>
  <c r="G344" i="3"/>
  <c r="J344" i="3"/>
  <c r="G345" i="3"/>
  <c r="J345" i="3"/>
  <c r="G346" i="3"/>
  <c r="I346" i="3"/>
  <c r="G347" i="3"/>
  <c r="I347" i="3"/>
  <c r="G348" i="3"/>
  <c r="J348" i="3"/>
  <c r="G349" i="3"/>
  <c r="J349" i="3"/>
  <c r="I350" i="3"/>
  <c r="G351" i="3"/>
  <c r="I351" i="3"/>
  <c r="G352" i="3"/>
  <c r="J352" i="3"/>
  <c r="G353" i="3"/>
  <c r="J353" i="3"/>
  <c r="G354" i="3"/>
  <c r="I354" i="3"/>
  <c r="G355" i="3"/>
  <c r="I355" i="3"/>
  <c r="G356" i="3"/>
  <c r="J356" i="3"/>
  <c r="G357" i="3"/>
  <c r="J357" i="3"/>
  <c r="G358" i="3"/>
  <c r="I358" i="3"/>
  <c r="G359" i="3"/>
  <c r="I359" i="3"/>
  <c r="G360" i="3"/>
  <c r="J360" i="3"/>
  <c r="G361" i="3"/>
  <c r="J361" i="3"/>
  <c r="G362" i="3"/>
  <c r="I362" i="3"/>
  <c r="G363" i="3"/>
  <c r="I363" i="3"/>
  <c r="G364" i="3"/>
  <c r="J364" i="3"/>
  <c r="G365" i="3"/>
  <c r="J365" i="3"/>
  <c r="I366" i="3"/>
  <c r="G367" i="3"/>
  <c r="I367" i="3"/>
  <c r="G368" i="3"/>
  <c r="J368" i="3"/>
  <c r="G369" i="3"/>
  <c r="J369" i="3"/>
  <c r="G370" i="3"/>
  <c r="I370" i="3"/>
  <c r="G371" i="3"/>
  <c r="I371" i="3"/>
  <c r="G372" i="3"/>
  <c r="J372" i="3"/>
  <c r="G373" i="3"/>
  <c r="J373" i="3"/>
  <c r="G374" i="3"/>
  <c r="I374" i="3"/>
  <c r="G375" i="3"/>
  <c r="I375" i="3"/>
  <c r="G376" i="3"/>
  <c r="J376" i="3"/>
  <c r="G377" i="3"/>
  <c r="J377" i="3"/>
  <c r="I353" i="3"/>
  <c r="H370" i="3"/>
  <c r="N140" i="20"/>
  <c r="O140" i="20"/>
  <c r="H338" i="3"/>
  <c r="N124" i="20"/>
  <c r="O124" i="20"/>
  <c r="H306" i="3"/>
  <c r="I361" i="3"/>
  <c r="J358" i="3"/>
  <c r="J294" i="3"/>
  <c r="J122" i="3"/>
  <c r="J132" i="3"/>
  <c r="H374" i="3"/>
  <c r="N142" i="20"/>
  <c r="O142" i="20"/>
  <c r="H358" i="3"/>
  <c r="N134" i="20"/>
  <c r="O134" i="20"/>
  <c r="H342" i="3"/>
  <c r="N126" i="20"/>
  <c r="O126" i="20"/>
  <c r="H326" i="3"/>
  <c r="N118" i="20"/>
  <c r="O118" i="20"/>
  <c r="H310" i="3"/>
  <c r="H294" i="3"/>
  <c r="I369" i="3"/>
  <c r="I337" i="3"/>
  <c r="I305" i="3"/>
  <c r="J366" i="3"/>
  <c r="J334" i="3"/>
  <c r="J302" i="3"/>
  <c r="H26" i="3"/>
  <c r="I27" i="3"/>
  <c r="H30" i="3"/>
  <c r="I31" i="3"/>
  <c r="H34" i="3"/>
  <c r="I35" i="3"/>
  <c r="H38" i="3"/>
  <c r="N4" i="20"/>
  <c r="O4" i="20"/>
  <c r="I39" i="3"/>
  <c r="H42" i="3"/>
  <c r="I43" i="3"/>
  <c r="H46" i="3"/>
  <c r="I47" i="3"/>
  <c r="H50" i="3"/>
  <c r="N5" i="20"/>
  <c r="O5" i="20"/>
  <c r="I51" i="3"/>
  <c r="H54" i="3"/>
  <c r="N7" i="23"/>
  <c r="O7" i="23"/>
  <c r="I55" i="3"/>
  <c r="H58" i="3"/>
  <c r="I59" i="3"/>
  <c r="H62" i="3"/>
  <c r="I63" i="3"/>
  <c r="H66" i="3"/>
  <c r="N9" i="23"/>
  <c r="O9" i="23"/>
  <c r="I67" i="3"/>
  <c r="H70" i="3"/>
  <c r="I71" i="3"/>
  <c r="H74" i="3"/>
  <c r="N11" i="20"/>
  <c r="O11" i="20"/>
  <c r="I75" i="3"/>
  <c r="H78" i="3"/>
  <c r="I79" i="3"/>
  <c r="H82" i="3"/>
  <c r="I83" i="3"/>
  <c r="H86" i="3"/>
  <c r="N12" i="20"/>
  <c r="O12" i="20"/>
  <c r="I87" i="3"/>
  <c r="H90" i="3"/>
  <c r="N14" i="23"/>
  <c r="O14" i="23"/>
  <c r="I91" i="3"/>
  <c r="H96" i="3"/>
  <c r="N16" i="23"/>
  <c r="O16" i="23"/>
  <c r="I97" i="3"/>
  <c r="H101" i="3"/>
  <c r="I102" i="3"/>
  <c r="I106" i="3"/>
  <c r="H109" i="3"/>
  <c r="I110" i="3"/>
  <c r="H113" i="3"/>
  <c r="N18" i="20"/>
  <c r="O18" i="20"/>
  <c r="I114" i="3"/>
  <c r="H117" i="3"/>
  <c r="N20" i="23"/>
  <c r="O20" i="23"/>
  <c r="I118" i="3"/>
  <c r="H121" i="3"/>
  <c r="I122" i="3"/>
  <c r="I123" i="3"/>
  <c r="J124" i="3"/>
  <c r="J125" i="3"/>
  <c r="J126" i="3"/>
  <c r="J127" i="3"/>
  <c r="J128" i="3"/>
  <c r="J129" i="3"/>
  <c r="J130" i="3"/>
  <c r="J131" i="3"/>
  <c r="I133" i="3"/>
  <c r="J134" i="3"/>
  <c r="I137" i="3"/>
  <c r="J138" i="3"/>
  <c r="I141" i="3"/>
  <c r="J142" i="3"/>
  <c r="I145" i="3"/>
  <c r="J146" i="3"/>
  <c r="I149" i="3"/>
  <c r="J150" i="3"/>
  <c r="I153" i="3"/>
  <c r="J154" i="3"/>
  <c r="I157" i="3"/>
  <c r="J158" i="3"/>
  <c r="I161" i="3"/>
  <c r="J162" i="3"/>
  <c r="I165" i="3"/>
  <c r="O4" i="23"/>
  <c r="P4" i="23"/>
  <c r="J105" i="3"/>
  <c r="N18" i="23"/>
  <c r="O18" i="23"/>
  <c r="I321" i="3"/>
  <c r="H354" i="3"/>
  <c r="N132" i="20"/>
  <c r="O132" i="20"/>
  <c r="H322" i="3"/>
  <c r="N116" i="20"/>
  <c r="O116" i="20"/>
  <c r="H290" i="3"/>
  <c r="I329" i="3"/>
  <c r="I297" i="3"/>
  <c r="J326" i="3"/>
  <c r="H362" i="3"/>
  <c r="N136" i="20"/>
  <c r="O136" i="20"/>
  <c r="H346" i="3"/>
  <c r="N128" i="20"/>
  <c r="O128" i="20"/>
  <c r="H330" i="3"/>
  <c r="N120" i="20"/>
  <c r="O120" i="20"/>
  <c r="H314" i="3"/>
  <c r="N112" i="20"/>
  <c r="O112" i="20"/>
  <c r="H298" i="3"/>
  <c r="I377" i="3"/>
  <c r="I345" i="3"/>
  <c r="I313" i="3"/>
  <c r="J374" i="3"/>
  <c r="J342" i="3"/>
  <c r="J310" i="3"/>
  <c r="H4" i="3"/>
  <c r="H6" i="3"/>
  <c r="H8" i="3"/>
  <c r="H10" i="3"/>
  <c r="H12" i="3"/>
  <c r="H14" i="3"/>
  <c r="H16" i="3"/>
  <c r="H18" i="3"/>
  <c r="H20" i="3"/>
  <c r="H22" i="3"/>
  <c r="H24" i="3"/>
  <c r="H27" i="3"/>
  <c r="I28" i="3"/>
  <c r="H31" i="3"/>
  <c r="N2" i="20"/>
  <c r="I32" i="3"/>
  <c r="H35" i="3"/>
  <c r="N3" i="20"/>
  <c r="I36" i="3"/>
  <c r="H39" i="3"/>
  <c r="N5" i="23"/>
  <c r="O5" i="23"/>
  <c r="I40" i="3"/>
  <c r="H43" i="3"/>
  <c r="I44" i="3"/>
  <c r="H47" i="3"/>
  <c r="I48" i="3"/>
  <c r="H51" i="3"/>
  <c r="N6" i="23"/>
  <c r="O6" i="23"/>
  <c r="I52" i="3"/>
  <c r="H55" i="3"/>
  <c r="I56" i="3"/>
  <c r="H59" i="3"/>
  <c r="I60" i="3"/>
  <c r="H63" i="3"/>
  <c r="I64" i="3"/>
  <c r="H67" i="3"/>
  <c r="I68" i="3"/>
  <c r="H71" i="3"/>
  <c r="N10" i="20"/>
  <c r="O10" i="20"/>
  <c r="I72" i="3"/>
  <c r="H75" i="3"/>
  <c r="N12" i="23"/>
  <c r="O12" i="23"/>
  <c r="I76" i="3"/>
  <c r="H79" i="3"/>
  <c r="I80" i="3"/>
  <c r="H83" i="3"/>
  <c r="I84" i="3"/>
  <c r="H87" i="3"/>
  <c r="N13" i="23"/>
  <c r="O13" i="23"/>
  <c r="I88" i="3"/>
  <c r="H91" i="3"/>
  <c r="I92" i="3"/>
  <c r="H97" i="3"/>
  <c r="I98" i="3"/>
  <c r="H102" i="3"/>
  <c r="I103" i="3"/>
  <c r="H106" i="3"/>
  <c r="I107" i="3"/>
  <c r="H110" i="3"/>
  <c r="I111" i="3"/>
  <c r="H114" i="3"/>
  <c r="N19" i="23"/>
  <c r="O19" i="23"/>
  <c r="I115" i="3"/>
  <c r="H118" i="3"/>
  <c r="I119" i="3"/>
  <c r="H123" i="3"/>
  <c r="N22" i="23"/>
  <c r="O22" i="23"/>
  <c r="I134" i="3"/>
  <c r="J135" i="3"/>
  <c r="I138" i="3"/>
  <c r="J139" i="3"/>
  <c r="I142" i="3"/>
  <c r="J143" i="3"/>
  <c r="I146" i="3"/>
  <c r="J147" i="3"/>
  <c r="I150" i="3"/>
  <c r="J151" i="3"/>
  <c r="I154" i="3"/>
  <c r="J155" i="3"/>
  <c r="I158" i="3"/>
  <c r="J159" i="3"/>
  <c r="I162" i="3"/>
  <c r="J16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371" i="3"/>
  <c r="J355" i="3"/>
  <c r="J339" i="3"/>
  <c r="J323" i="3"/>
  <c r="J307" i="3"/>
  <c r="J291" i="3"/>
  <c r="H371" i="3"/>
  <c r="H363" i="3"/>
  <c r="H355" i="3"/>
  <c r="H347" i="3"/>
  <c r="H339" i="3"/>
  <c r="N125" i="23"/>
  <c r="O125" i="23"/>
  <c r="H331" i="3"/>
  <c r="N121" i="23"/>
  <c r="O121" i="23"/>
  <c r="H323" i="3"/>
  <c r="N117" i="23"/>
  <c r="O117" i="23"/>
  <c r="H315" i="3"/>
  <c r="H307" i="3"/>
  <c r="H299" i="3"/>
  <c r="H284" i="3"/>
  <c r="I364" i="3"/>
  <c r="I348" i="3"/>
  <c r="I332" i="3"/>
  <c r="I316" i="3"/>
  <c r="I292" i="3"/>
  <c r="H377" i="3"/>
  <c r="H373" i="3"/>
  <c r="H369" i="3"/>
  <c r="H365" i="3"/>
  <c r="H361" i="3"/>
  <c r="H357" i="3"/>
  <c r="H353" i="3"/>
  <c r="H349" i="3"/>
  <c r="H345" i="3"/>
  <c r="H341" i="3"/>
  <c r="N126" i="23"/>
  <c r="O126" i="23"/>
  <c r="H337" i="3"/>
  <c r="N124" i="23"/>
  <c r="O124" i="23"/>
  <c r="H333" i="3"/>
  <c r="N122" i="23"/>
  <c r="O122" i="23"/>
  <c r="H329" i="3"/>
  <c r="N120" i="23"/>
  <c r="O120" i="23"/>
  <c r="H325" i="3"/>
  <c r="N118" i="23"/>
  <c r="O118" i="23"/>
  <c r="H321" i="3"/>
  <c r="H317" i="3"/>
  <c r="N114" i="23"/>
  <c r="O114" i="23"/>
  <c r="H313" i="3"/>
  <c r="N112" i="23"/>
  <c r="O112" i="23"/>
  <c r="H309" i="3"/>
  <c r="H305" i="3"/>
  <c r="H301" i="3"/>
  <c r="H297" i="3"/>
  <c r="H292" i="3"/>
  <c r="H287" i="3"/>
  <c r="I376" i="3"/>
  <c r="I368" i="3"/>
  <c r="I360" i="3"/>
  <c r="I352" i="3"/>
  <c r="I344" i="3"/>
  <c r="I336" i="3"/>
  <c r="I328" i="3"/>
  <c r="I320" i="3"/>
  <c r="I312" i="3"/>
  <c r="I304" i="3"/>
  <c r="I296" i="3"/>
  <c r="I288" i="3"/>
  <c r="J370" i="3"/>
  <c r="J362" i="3"/>
  <c r="J354" i="3"/>
  <c r="J346" i="3"/>
  <c r="J338" i="3"/>
  <c r="J330" i="3"/>
  <c r="J322" i="3"/>
  <c r="J314" i="3"/>
  <c r="J306" i="3"/>
  <c r="J298" i="3"/>
  <c r="J290" i="3"/>
  <c r="H293" i="3"/>
  <c r="J293" i="3"/>
  <c r="H289" i="3"/>
  <c r="J289" i="3"/>
  <c r="H285" i="3"/>
  <c r="J285" i="3"/>
  <c r="N88" i="23"/>
  <c r="O88" i="23"/>
  <c r="J363" i="3"/>
  <c r="J347" i="3"/>
  <c r="J331" i="3"/>
  <c r="J315" i="3"/>
  <c r="J299" i="3"/>
  <c r="H375" i="3"/>
  <c r="H367" i="3"/>
  <c r="H359" i="3"/>
  <c r="H351" i="3"/>
  <c r="H343" i="3"/>
  <c r="H335" i="3"/>
  <c r="N123" i="23"/>
  <c r="O123" i="23"/>
  <c r="H327" i="3"/>
  <c r="N119" i="23"/>
  <c r="O119" i="23"/>
  <c r="H319" i="3"/>
  <c r="H311" i="3"/>
  <c r="H303" i="3"/>
  <c r="H295" i="3"/>
  <c r="I372" i="3"/>
  <c r="I356" i="3"/>
  <c r="I340" i="3"/>
  <c r="I324" i="3"/>
  <c r="I308" i="3"/>
  <c r="I300" i="3"/>
  <c r="I284" i="3"/>
  <c r="H376" i="3"/>
  <c r="N143" i="20"/>
  <c r="O143" i="20"/>
  <c r="H372" i="3"/>
  <c r="N141" i="20"/>
  <c r="O141" i="20"/>
  <c r="H368" i="3"/>
  <c r="N139" i="20"/>
  <c r="O139" i="20"/>
  <c r="H364" i="3"/>
  <c r="N137" i="20"/>
  <c r="O137" i="20"/>
  <c r="H360" i="3"/>
  <c r="N135" i="20"/>
  <c r="O135" i="20"/>
  <c r="H356" i="3"/>
  <c r="N133" i="20"/>
  <c r="O133" i="20"/>
  <c r="H352" i="3"/>
  <c r="N131" i="20"/>
  <c r="O131" i="20"/>
  <c r="H348" i="3"/>
  <c r="N129" i="20"/>
  <c r="O129" i="20"/>
  <c r="H344" i="3"/>
  <c r="N127" i="20"/>
  <c r="O127" i="20"/>
  <c r="H340" i="3"/>
  <c r="N125" i="20"/>
  <c r="O125" i="20"/>
  <c r="H336" i="3"/>
  <c r="N123" i="20"/>
  <c r="O123" i="20"/>
  <c r="H332" i="3"/>
  <c r="N121" i="20"/>
  <c r="O121" i="20"/>
  <c r="H328" i="3"/>
  <c r="N119" i="20"/>
  <c r="O119" i="20"/>
  <c r="H324" i="3"/>
  <c r="N117" i="20"/>
  <c r="O117" i="20"/>
  <c r="H320" i="3"/>
  <c r="N115" i="20"/>
  <c r="O115" i="20"/>
  <c r="H316" i="3"/>
  <c r="N113" i="20"/>
  <c r="O113" i="20"/>
  <c r="H312" i="3"/>
  <c r="N111" i="20"/>
  <c r="O111" i="20"/>
  <c r="H308" i="3"/>
  <c r="H304" i="3"/>
  <c r="H300" i="3"/>
  <c r="H296" i="3"/>
  <c r="H291" i="3"/>
  <c r="H286" i="3"/>
  <c r="N8" i="23"/>
  <c r="O8" i="23"/>
  <c r="I373" i="3"/>
  <c r="I365" i="3"/>
  <c r="I357" i="3"/>
  <c r="I349" i="3"/>
  <c r="I341" i="3"/>
  <c r="I333" i="3"/>
  <c r="I325" i="3"/>
  <c r="I317" i="3"/>
  <c r="I309" i="3"/>
  <c r="I301" i="3"/>
  <c r="I293" i="3"/>
  <c r="I285" i="3"/>
  <c r="J375" i="3"/>
  <c r="J367" i="3"/>
  <c r="J359" i="3"/>
  <c r="J351" i="3"/>
  <c r="J343" i="3"/>
  <c r="J335" i="3"/>
  <c r="J327" i="3"/>
  <c r="J319" i="3"/>
  <c r="J311" i="3"/>
  <c r="J303" i="3"/>
  <c r="J295" i="3"/>
  <c r="J287" i="3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7" i="23"/>
  <c r="N109" i="20"/>
  <c r="O109" i="20"/>
  <c r="N115" i="23"/>
  <c r="O115" i="23"/>
  <c r="N110" i="23"/>
  <c r="O110" i="23"/>
  <c r="N133" i="23"/>
  <c r="O133" i="23"/>
  <c r="N98" i="20"/>
  <c r="O98" i="20"/>
  <c r="N102" i="23"/>
  <c r="O102" i="23"/>
  <c r="N108" i="23"/>
  <c r="O108" i="23"/>
  <c r="N116" i="23"/>
  <c r="O116" i="23"/>
  <c r="N131" i="23"/>
  <c r="O131" i="23"/>
  <c r="N97" i="20"/>
  <c r="O97" i="20"/>
  <c r="N132" i="23"/>
  <c r="O132" i="23"/>
  <c r="N105" i="20"/>
  <c r="O105" i="20"/>
  <c r="N107" i="23"/>
  <c r="O107" i="23"/>
  <c r="N138" i="23"/>
  <c r="O138" i="23"/>
  <c r="N103" i="20"/>
  <c r="O103" i="20"/>
  <c r="N103" i="23"/>
  <c r="O103" i="23"/>
  <c r="N134" i="23"/>
  <c r="O134" i="23"/>
  <c r="N100" i="23"/>
  <c r="O100" i="23"/>
  <c r="N104" i="23"/>
  <c r="O104" i="23"/>
  <c r="N127" i="23"/>
  <c r="O127" i="23"/>
  <c r="N135" i="23"/>
  <c r="O135" i="23"/>
  <c r="N143" i="23"/>
  <c r="O143" i="23"/>
  <c r="N109" i="23"/>
  <c r="O109" i="23"/>
  <c r="N140" i="23"/>
  <c r="O140" i="23"/>
  <c r="N108" i="20"/>
  <c r="O108" i="20"/>
  <c r="N101" i="23"/>
  <c r="O101" i="23"/>
  <c r="N130" i="23"/>
  <c r="O130" i="23"/>
  <c r="N101" i="20"/>
  <c r="O101" i="20"/>
  <c r="N141" i="23"/>
  <c r="O141" i="23"/>
  <c r="N105" i="23"/>
  <c r="O105" i="23"/>
  <c r="N136" i="23"/>
  <c r="O136" i="23"/>
  <c r="O3" i="20"/>
  <c r="P3" i="20"/>
  <c r="N107" i="20"/>
  <c r="O107" i="20"/>
  <c r="N111" i="23"/>
  <c r="O111" i="23"/>
  <c r="N142" i="23"/>
  <c r="O142" i="23"/>
  <c r="N98" i="23"/>
  <c r="O98" i="23"/>
  <c r="N99" i="23"/>
  <c r="O99" i="23"/>
  <c r="N139" i="23"/>
  <c r="O139" i="23"/>
  <c r="N110" i="20"/>
  <c r="O110" i="20"/>
  <c r="N106" i="23"/>
  <c r="O106" i="23"/>
  <c r="N129" i="23"/>
  <c r="O129" i="23"/>
  <c r="N137" i="23"/>
  <c r="O137" i="23"/>
  <c r="N113" i="23"/>
  <c r="O113" i="23"/>
  <c r="N128" i="23"/>
  <c r="O128" i="23"/>
  <c r="N104" i="20"/>
  <c r="O104" i="20"/>
  <c r="N100" i="20"/>
  <c r="O100" i="20"/>
  <c r="N102" i="20"/>
  <c r="O102" i="20"/>
  <c r="K30" i="20"/>
  <c r="K31" i="20"/>
  <c r="K32" i="20"/>
  <c r="K33" i="20"/>
  <c r="K34" i="20"/>
  <c r="K35" i="20"/>
  <c r="I30" i="20"/>
  <c r="I31" i="20"/>
  <c r="I32" i="20"/>
  <c r="I33" i="20"/>
  <c r="I34" i="20"/>
  <c r="I35" i="20"/>
  <c r="H30" i="20"/>
  <c r="H31" i="20"/>
  <c r="H32" i="20"/>
  <c r="H33" i="20"/>
  <c r="H34" i="20"/>
  <c r="H35" i="20"/>
  <c r="D5" i="20"/>
  <c r="E5" i="20"/>
  <c r="F5" i="20"/>
  <c r="D6" i="20"/>
  <c r="E6" i="20"/>
  <c r="F6" i="20"/>
  <c r="D7" i="20"/>
  <c r="E7" i="20"/>
  <c r="F7" i="20"/>
  <c r="D8" i="20"/>
  <c r="E8" i="20"/>
  <c r="F8" i="20"/>
  <c r="D9" i="20"/>
  <c r="E9" i="20"/>
  <c r="F9" i="20"/>
  <c r="D10" i="20"/>
  <c r="E10" i="20"/>
  <c r="F10" i="20"/>
  <c r="D11" i="20"/>
  <c r="E11" i="20"/>
  <c r="F11" i="20"/>
  <c r="D12" i="20"/>
  <c r="E12" i="20"/>
  <c r="F12" i="20"/>
  <c r="D13" i="20"/>
  <c r="E13" i="20"/>
  <c r="F13" i="20"/>
  <c r="D14" i="20"/>
  <c r="E14" i="20"/>
  <c r="F14" i="20"/>
  <c r="D15" i="20"/>
  <c r="E15" i="20"/>
  <c r="F15" i="20"/>
  <c r="D16" i="20"/>
  <c r="E16" i="20"/>
  <c r="F16" i="20"/>
  <c r="D17" i="20"/>
  <c r="E17" i="20"/>
  <c r="F17" i="20"/>
  <c r="D18" i="20"/>
  <c r="E18" i="20"/>
  <c r="F18" i="20"/>
  <c r="D19" i="20"/>
  <c r="E19" i="20"/>
  <c r="F19" i="20"/>
  <c r="D20" i="20"/>
  <c r="E20" i="20"/>
  <c r="F20" i="20"/>
  <c r="D21" i="20"/>
  <c r="E21" i="20"/>
  <c r="F21" i="20"/>
  <c r="D22" i="20"/>
  <c r="E22" i="20"/>
  <c r="F22" i="20"/>
  <c r="D23" i="20"/>
  <c r="E23" i="20"/>
  <c r="F23" i="20"/>
  <c r="D24" i="20"/>
  <c r="E24" i="20"/>
  <c r="F24" i="20"/>
  <c r="D25" i="20"/>
  <c r="E25" i="20"/>
  <c r="F25" i="20"/>
  <c r="D26" i="20"/>
  <c r="E26" i="20"/>
  <c r="F26" i="20"/>
  <c r="D27" i="20"/>
  <c r="E27" i="20"/>
  <c r="F27" i="20"/>
  <c r="D28" i="20"/>
  <c r="E28" i="20"/>
  <c r="F28" i="20"/>
  <c r="D29" i="20"/>
  <c r="E29" i="20"/>
  <c r="F29" i="20"/>
  <c r="D30" i="20"/>
  <c r="E30" i="20"/>
  <c r="D31" i="20"/>
  <c r="E31" i="20"/>
  <c r="F31" i="20"/>
  <c r="D32" i="20"/>
  <c r="E32" i="20"/>
  <c r="F32" i="20"/>
  <c r="D33" i="20"/>
  <c r="E33" i="20"/>
  <c r="F33" i="20"/>
  <c r="D34" i="20"/>
  <c r="E34" i="20"/>
  <c r="D35" i="20"/>
  <c r="E35" i="20"/>
  <c r="F35" i="20"/>
  <c r="D36" i="20"/>
  <c r="E36" i="20"/>
  <c r="F36" i="20"/>
  <c r="D37" i="20"/>
  <c r="E37" i="20"/>
  <c r="F37" i="20"/>
  <c r="D38" i="20"/>
  <c r="E38" i="20"/>
  <c r="F38" i="20"/>
  <c r="D39" i="20"/>
  <c r="E39" i="20"/>
  <c r="F39" i="20"/>
  <c r="D40" i="20"/>
  <c r="E40" i="20"/>
  <c r="F40" i="20"/>
  <c r="D41" i="20"/>
  <c r="E41" i="20"/>
  <c r="F41" i="20"/>
  <c r="D42" i="20"/>
  <c r="E42" i="20"/>
  <c r="F42" i="20"/>
  <c r="D43" i="20"/>
  <c r="E43" i="20"/>
  <c r="F43" i="20"/>
  <c r="D44" i="20"/>
  <c r="E44" i="20"/>
  <c r="F44" i="20"/>
  <c r="D45" i="20"/>
  <c r="E45" i="20"/>
  <c r="F45" i="20"/>
  <c r="D46" i="20"/>
  <c r="E46" i="20"/>
  <c r="F46" i="20"/>
  <c r="D47" i="20"/>
  <c r="E47" i="20"/>
  <c r="F47" i="20"/>
  <c r="D48" i="20"/>
  <c r="E48" i="20"/>
  <c r="F48" i="20"/>
  <c r="D49" i="20"/>
  <c r="E49" i="20"/>
  <c r="F49" i="20"/>
  <c r="D50" i="20"/>
  <c r="E50" i="20"/>
  <c r="F50" i="20"/>
  <c r="D51" i="20"/>
  <c r="E51" i="20"/>
  <c r="F51" i="20"/>
  <c r="D52" i="20"/>
  <c r="E52" i="20"/>
  <c r="F52" i="20"/>
  <c r="D53" i="20"/>
  <c r="E53" i="20"/>
  <c r="F53" i="20"/>
  <c r="D54" i="20"/>
  <c r="E54" i="20"/>
  <c r="F54" i="20"/>
  <c r="D55" i="20"/>
  <c r="E55" i="20"/>
  <c r="F55" i="20"/>
  <c r="D56" i="20"/>
  <c r="E56" i="20"/>
  <c r="F56" i="20"/>
  <c r="D57" i="20"/>
  <c r="E57" i="20"/>
  <c r="F57" i="20"/>
  <c r="D58" i="20"/>
  <c r="E58" i="20"/>
  <c r="F58" i="20"/>
  <c r="D59" i="20"/>
  <c r="E59" i="20"/>
  <c r="F59" i="20"/>
  <c r="D60" i="20"/>
  <c r="E60" i="20"/>
  <c r="F60" i="20"/>
  <c r="D61" i="20"/>
  <c r="E61" i="20"/>
  <c r="F61" i="20"/>
  <c r="D62" i="20"/>
  <c r="E62" i="20"/>
  <c r="F62" i="20"/>
  <c r="D63" i="20"/>
  <c r="E63" i="20"/>
  <c r="F63" i="20"/>
  <c r="D64" i="20"/>
  <c r="E64" i="20"/>
  <c r="F64" i="20"/>
  <c r="D65" i="20"/>
  <c r="E65" i="20"/>
  <c r="F65" i="20"/>
  <c r="D66" i="20"/>
  <c r="E66" i="20"/>
  <c r="F66" i="20"/>
  <c r="D67" i="20"/>
  <c r="E67" i="20"/>
  <c r="F67" i="20"/>
  <c r="D68" i="20"/>
  <c r="E68" i="20"/>
  <c r="F68" i="20"/>
  <c r="D69" i="20"/>
  <c r="E69" i="20"/>
  <c r="F69" i="20"/>
  <c r="D70" i="20"/>
  <c r="E70" i="20"/>
  <c r="F70" i="20"/>
  <c r="D71" i="20"/>
  <c r="E71" i="20"/>
  <c r="F71" i="20"/>
  <c r="D72" i="20"/>
  <c r="E72" i="20"/>
  <c r="F72" i="20"/>
  <c r="D73" i="20"/>
  <c r="E73" i="20"/>
  <c r="F73" i="20"/>
  <c r="D74" i="20"/>
  <c r="E74" i="20"/>
  <c r="F74" i="20"/>
  <c r="D75" i="20"/>
  <c r="E75" i="20"/>
  <c r="F75" i="20"/>
  <c r="D76" i="20"/>
  <c r="E76" i="20"/>
  <c r="F76" i="20"/>
  <c r="D77" i="20"/>
  <c r="E77" i="20"/>
  <c r="F77" i="20"/>
  <c r="D78" i="20"/>
  <c r="E78" i="20"/>
  <c r="F78" i="20"/>
  <c r="D79" i="20"/>
  <c r="E79" i="20"/>
  <c r="F79" i="20"/>
  <c r="D80" i="20"/>
  <c r="E80" i="20"/>
  <c r="F80" i="20"/>
  <c r="D81" i="20"/>
  <c r="E81" i="20"/>
  <c r="F81" i="20"/>
  <c r="D82" i="20"/>
  <c r="E82" i="20"/>
  <c r="F82" i="20"/>
  <c r="D83" i="20"/>
  <c r="E83" i="20"/>
  <c r="F83" i="20"/>
  <c r="D84" i="20"/>
  <c r="E84" i="20"/>
  <c r="F84" i="20"/>
  <c r="D85" i="20"/>
  <c r="E85" i="20"/>
  <c r="F85" i="20"/>
  <c r="D86" i="20"/>
  <c r="E86" i="20"/>
  <c r="F86" i="20"/>
  <c r="D87" i="20"/>
  <c r="E87" i="20"/>
  <c r="F87" i="20"/>
  <c r="D88" i="20"/>
  <c r="E88" i="20"/>
  <c r="F88" i="20"/>
  <c r="D89" i="20"/>
  <c r="E89" i="20"/>
  <c r="F89" i="20"/>
  <c r="D90" i="20"/>
  <c r="E90" i="20"/>
  <c r="F90" i="20"/>
  <c r="D91" i="20"/>
  <c r="E91" i="20"/>
  <c r="F91" i="20"/>
  <c r="D92" i="20"/>
  <c r="E92" i="20"/>
  <c r="F92" i="20"/>
  <c r="D93" i="20"/>
  <c r="E93" i="20"/>
  <c r="F93" i="20"/>
  <c r="D94" i="20"/>
  <c r="E94" i="20"/>
  <c r="F94" i="20"/>
  <c r="D95" i="20"/>
  <c r="E95" i="20"/>
  <c r="F95" i="20"/>
  <c r="D106" i="20"/>
  <c r="E106" i="20"/>
  <c r="F106" i="20"/>
  <c r="D107" i="20"/>
  <c r="E107" i="20"/>
  <c r="F107" i="20"/>
  <c r="D108" i="20"/>
  <c r="E108" i="20"/>
  <c r="F108" i="20"/>
  <c r="D109" i="20"/>
  <c r="E109" i="20"/>
  <c r="F109" i="20"/>
  <c r="D110" i="20"/>
  <c r="E110" i="20"/>
  <c r="F110" i="20"/>
  <c r="D111" i="20"/>
  <c r="E111" i="20"/>
  <c r="F111" i="20"/>
  <c r="D112" i="20"/>
  <c r="E112" i="20"/>
  <c r="F112" i="20"/>
  <c r="D113" i="20"/>
  <c r="E113" i="20"/>
  <c r="F113" i="20"/>
  <c r="D114" i="20"/>
  <c r="E114" i="20"/>
  <c r="F114" i="20"/>
  <c r="D115" i="20"/>
  <c r="E115" i="20"/>
  <c r="F115" i="20"/>
  <c r="D116" i="20"/>
  <c r="E116" i="20"/>
  <c r="F116" i="20"/>
  <c r="D117" i="20"/>
  <c r="E117" i="20"/>
  <c r="F117" i="20"/>
  <c r="D118" i="20"/>
  <c r="E118" i="20"/>
  <c r="F118" i="20"/>
  <c r="D119" i="20"/>
  <c r="E119" i="20"/>
  <c r="F119" i="20"/>
  <c r="D120" i="20"/>
  <c r="E120" i="20"/>
  <c r="F120" i="20"/>
  <c r="D121" i="20"/>
  <c r="E121" i="20"/>
  <c r="F121" i="20"/>
  <c r="D122" i="20"/>
  <c r="E122" i="20"/>
  <c r="F122" i="20"/>
  <c r="D123" i="20"/>
  <c r="E123" i="20"/>
  <c r="F123" i="20"/>
  <c r="D124" i="20"/>
  <c r="E124" i="20"/>
  <c r="F124" i="20"/>
  <c r="D125" i="20"/>
  <c r="E125" i="20"/>
  <c r="F125" i="20"/>
  <c r="D126" i="20"/>
  <c r="E126" i="20"/>
  <c r="F126" i="20"/>
  <c r="D127" i="20"/>
  <c r="E127" i="20"/>
  <c r="F127" i="20"/>
  <c r="D128" i="20"/>
  <c r="E128" i="20"/>
  <c r="F128" i="20"/>
  <c r="D129" i="20"/>
  <c r="E129" i="20"/>
  <c r="F129" i="20"/>
  <c r="D130" i="20"/>
  <c r="E130" i="20"/>
  <c r="F130" i="20"/>
  <c r="D131" i="20"/>
  <c r="E131" i="20"/>
  <c r="F131" i="20"/>
  <c r="D132" i="20"/>
  <c r="E132" i="20"/>
  <c r="F132" i="20"/>
  <c r="D133" i="20"/>
  <c r="E133" i="20"/>
  <c r="F133" i="20"/>
  <c r="D134" i="20"/>
  <c r="E134" i="20"/>
  <c r="F134" i="20"/>
  <c r="D135" i="20"/>
  <c r="E135" i="20"/>
  <c r="F135" i="20"/>
  <c r="D136" i="20"/>
  <c r="E136" i="20"/>
  <c r="F136" i="20"/>
  <c r="D137" i="20"/>
  <c r="E137" i="20"/>
  <c r="F137" i="20"/>
  <c r="D138" i="20"/>
  <c r="E138" i="20"/>
  <c r="F138" i="20"/>
  <c r="D139" i="20"/>
  <c r="E139" i="20"/>
  <c r="F139" i="20"/>
  <c r="D140" i="20"/>
  <c r="E140" i="20"/>
  <c r="F140" i="20"/>
  <c r="E4" i="23"/>
  <c r="E5" i="23"/>
  <c r="E6" i="23"/>
  <c r="E7" i="23"/>
  <c r="E8" i="23"/>
  <c r="E9" i="23"/>
  <c r="E11" i="23"/>
  <c r="E12" i="23"/>
  <c r="E13" i="23"/>
  <c r="E14" i="23"/>
  <c r="E15" i="23"/>
  <c r="E16" i="23"/>
  <c r="E17" i="23"/>
  <c r="E18" i="23"/>
  <c r="E19" i="23"/>
  <c r="E21" i="23"/>
  <c r="E27" i="23"/>
  <c r="E32" i="23"/>
  <c r="E36" i="23"/>
  <c r="E44" i="23"/>
  <c r="E75" i="23"/>
  <c r="E76" i="23"/>
  <c r="E77" i="23"/>
  <c r="E78" i="23"/>
  <c r="E82" i="23"/>
  <c r="E95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K143" i="23"/>
  <c r="F237" i="1"/>
  <c r="C236" i="2"/>
  <c r="H236" i="2"/>
  <c r="F236" i="2"/>
  <c r="G236" i="2"/>
  <c r="I236" i="2"/>
  <c r="G92" i="20"/>
  <c r="D96" i="20"/>
  <c r="E96" i="20"/>
  <c r="F96" i="20"/>
  <c r="D97" i="20"/>
  <c r="E97" i="20"/>
  <c r="F97" i="20"/>
  <c r="D98" i="20"/>
  <c r="E98" i="20"/>
  <c r="F98" i="20"/>
  <c r="D99" i="20"/>
  <c r="E99" i="20"/>
  <c r="F99" i="20"/>
  <c r="D100" i="20"/>
  <c r="E100" i="20"/>
  <c r="F100" i="20"/>
  <c r="D101" i="20"/>
  <c r="E101" i="20"/>
  <c r="F101" i="20"/>
  <c r="D102" i="20"/>
  <c r="E102" i="20"/>
  <c r="F102" i="20"/>
  <c r="D103" i="20"/>
  <c r="E103" i="20"/>
  <c r="F103" i="20"/>
  <c r="F261" i="1"/>
  <c r="C260" i="2"/>
  <c r="H260" i="2"/>
  <c r="F260" i="2"/>
  <c r="G260" i="2"/>
  <c r="I260" i="2"/>
  <c r="G104" i="20"/>
  <c r="K104" i="20"/>
  <c r="D104" i="20"/>
  <c r="E104" i="20"/>
  <c r="F104" i="20"/>
  <c r="D105" i="20"/>
  <c r="E105" i="20"/>
  <c r="F105" i="20"/>
  <c r="F265" i="1"/>
  <c r="C264" i="2"/>
  <c r="H264" i="2"/>
  <c r="F264" i="2"/>
  <c r="G264" i="2"/>
  <c r="I264" i="2"/>
  <c r="G106" i="20"/>
  <c r="F287" i="1"/>
  <c r="C286" i="2"/>
  <c r="H286" i="2"/>
  <c r="F286" i="2"/>
  <c r="G286" i="2"/>
  <c r="I286" i="2"/>
  <c r="G117" i="20"/>
  <c r="F297" i="1"/>
  <c r="C296" i="2"/>
  <c r="H296" i="2"/>
  <c r="F296" i="2"/>
  <c r="G296" i="2"/>
  <c r="I296" i="2"/>
  <c r="G122" i="20"/>
  <c r="F332" i="1"/>
  <c r="C332" i="2"/>
  <c r="H332" i="2"/>
  <c r="F332" i="2"/>
  <c r="G332" i="2"/>
  <c r="I332" i="2"/>
  <c r="G140" i="20"/>
  <c r="F54" i="1"/>
  <c r="C54" i="2"/>
  <c r="H54" i="2"/>
  <c r="F54" i="2"/>
  <c r="G54" i="2"/>
  <c r="I54" i="2"/>
  <c r="G10" i="20"/>
  <c r="F78" i="1"/>
  <c r="C78" i="2"/>
  <c r="H78" i="2"/>
  <c r="F78" i="2"/>
  <c r="G78" i="2"/>
  <c r="I78" i="2"/>
  <c r="G17" i="20"/>
  <c r="F95" i="1"/>
  <c r="C95" i="2"/>
  <c r="H95" i="2"/>
  <c r="F95" i="2"/>
  <c r="G95" i="2"/>
  <c r="I95" i="2"/>
  <c r="G22" i="20"/>
  <c r="F105" i="1"/>
  <c r="C104" i="2"/>
  <c r="H104" i="2"/>
  <c r="F104" i="2"/>
  <c r="G104" i="2"/>
  <c r="I104" i="2"/>
  <c r="G25" i="20"/>
  <c r="F145" i="1"/>
  <c r="C144" i="2"/>
  <c r="H144" i="2"/>
  <c r="F144" i="2"/>
  <c r="G144" i="2"/>
  <c r="I144" i="2"/>
  <c r="G43" i="20"/>
  <c r="F161" i="1"/>
  <c r="C160" i="2"/>
  <c r="H160" i="2"/>
  <c r="F160" i="2"/>
  <c r="G160" i="2"/>
  <c r="I160" i="2"/>
  <c r="F177" i="1"/>
  <c r="C176" i="2"/>
  <c r="H176" i="2"/>
  <c r="F176" i="2"/>
  <c r="G176" i="2"/>
  <c r="I176" i="2"/>
  <c r="G59" i="20"/>
  <c r="F193" i="1"/>
  <c r="C192" i="2"/>
  <c r="H192" i="2"/>
  <c r="F192" i="2"/>
  <c r="G192" i="2"/>
  <c r="I192" i="2"/>
  <c r="G67" i="20"/>
  <c r="D105" i="23"/>
  <c r="F105" i="23"/>
  <c r="D104" i="23"/>
  <c r="F104" i="23"/>
  <c r="D103" i="23"/>
  <c r="F103" i="23"/>
  <c r="D102" i="23"/>
  <c r="F102" i="23"/>
  <c r="D100" i="23"/>
  <c r="F100" i="23"/>
  <c r="D99" i="23"/>
  <c r="F99" i="23"/>
  <c r="E3" i="23"/>
  <c r="D2" i="23"/>
  <c r="F2" i="23"/>
  <c r="E2" i="23"/>
  <c r="G46" i="23"/>
  <c r="G95" i="23"/>
  <c r="F250" i="1"/>
  <c r="C249" i="2"/>
  <c r="H249" i="2"/>
  <c r="F249" i="2"/>
  <c r="G249" i="2"/>
  <c r="I249" i="2"/>
  <c r="H99" i="23"/>
  <c r="F256" i="1"/>
  <c r="C255" i="2"/>
  <c r="H255" i="2"/>
  <c r="F255" i="2"/>
  <c r="G255" i="2"/>
  <c r="I255" i="2"/>
  <c r="H102" i="23"/>
  <c r="I102" i="23"/>
  <c r="F258" i="1"/>
  <c r="C257" i="2"/>
  <c r="H257" i="2"/>
  <c r="F257" i="2"/>
  <c r="G257" i="2"/>
  <c r="I257" i="2"/>
  <c r="H103" i="23"/>
  <c r="G103" i="23"/>
  <c r="K111" i="23"/>
  <c r="K115" i="23"/>
  <c r="G119" i="23"/>
  <c r="G123" i="23"/>
  <c r="G127" i="23"/>
  <c r="G128" i="23"/>
  <c r="G135" i="23"/>
  <c r="G136" i="23"/>
  <c r="E143" i="23"/>
  <c r="G36" i="23"/>
  <c r="G35" i="23"/>
  <c r="G34" i="23"/>
  <c r="G33" i="23"/>
  <c r="G32" i="23"/>
  <c r="G31" i="23"/>
  <c r="F338" i="1"/>
  <c r="C338" i="2"/>
  <c r="F336" i="2"/>
  <c r="G336" i="2"/>
  <c r="F334" i="2"/>
  <c r="G334" i="2"/>
  <c r="F330" i="2"/>
  <c r="G330" i="2"/>
  <c r="F328" i="2"/>
  <c r="G328" i="2"/>
  <c r="F326" i="2"/>
  <c r="G326" i="2"/>
  <c r="F324" i="2"/>
  <c r="G324" i="2"/>
  <c r="F322" i="2"/>
  <c r="G322" i="2"/>
  <c r="F320" i="2"/>
  <c r="G320" i="2"/>
  <c r="F318" i="2"/>
  <c r="G318" i="2"/>
  <c r="F316" i="2"/>
  <c r="G316" i="2"/>
  <c r="F314" i="2"/>
  <c r="G314" i="2"/>
  <c r="F312" i="2"/>
  <c r="G312" i="2"/>
  <c r="F310" i="2"/>
  <c r="G310" i="2"/>
  <c r="F308" i="2"/>
  <c r="G308" i="2"/>
  <c r="F306" i="2"/>
  <c r="G306" i="2"/>
  <c r="H305" i="2"/>
  <c r="F305" i="2"/>
  <c r="G305" i="2"/>
  <c r="F304" i="2"/>
  <c r="G304" i="2"/>
  <c r="F302" i="2"/>
  <c r="G302" i="2"/>
  <c r="F300" i="2"/>
  <c r="G300" i="2"/>
  <c r="F298" i="2"/>
  <c r="G298" i="2"/>
  <c r="F294" i="2"/>
  <c r="G294" i="2"/>
  <c r="F292" i="2"/>
  <c r="G292" i="2"/>
  <c r="F290" i="2"/>
  <c r="G290" i="2"/>
  <c r="F288" i="2"/>
  <c r="G288" i="2"/>
  <c r="F284" i="2"/>
  <c r="G284" i="2"/>
  <c r="F282" i="2"/>
  <c r="G282" i="2"/>
  <c r="F280" i="2"/>
  <c r="G280" i="2"/>
  <c r="F278" i="2"/>
  <c r="G278" i="2"/>
  <c r="F276" i="2"/>
  <c r="G276" i="2"/>
  <c r="F274" i="2"/>
  <c r="G274" i="2"/>
  <c r="F272" i="2"/>
  <c r="G272" i="2"/>
  <c r="F271" i="1"/>
  <c r="C270" i="2"/>
  <c r="H270" i="2"/>
  <c r="F270" i="2"/>
  <c r="G270" i="2"/>
  <c r="I270" i="2"/>
  <c r="F268" i="2"/>
  <c r="G268" i="2"/>
  <c r="F266" i="2"/>
  <c r="G266" i="2"/>
  <c r="F263" i="2"/>
  <c r="G263" i="2"/>
  <c r="F262" i="2"/>
  <c r="G262" i="2"/>
  <c r="F261" i="2"/>
  <c r="G261" i="2"/>
  <c r="F259" i="2"/>
  <c r="G259" i="2"/>
  <c r="F258" i="2"/>
  <c r="G258" i="2"/>
  <c r="F256" i="2"/>
  <c r="G256" i="2"/>
  <c r="F254" i="2"/>
  <c r="G254" i="2"/>
  <c r="F253" i="2"/>
  <c r="G253" i="2"/>
  <c r="F252" i="2"/>
  <c r="G252" i="2"/>
  <c r="F251" i="2"/>
  <c r="G251" i="2"/>
  <c r="F250" i="2"/>
  <c r="G250" i="2"/>
  <c r="F248" i="2"/>
  <c r="G248" i="2"/>
  <c r="F247" i="2"/>
  <c r="G247" i="2"/>
  <c r="F246" i="2"/>
  <c r="G246" i="2"/>
  <c r="F244" i="2"/>
  <c r="G244" i="2"/>
  <c r="F242" i="2"/>
  <c r="G242" i="2"/>
  <c r="F240" i="2"/>
  <c r="G240" i="2"/>
  <c r="F238" i="2"/>
  <c r="G238" i="2"/>
  <c r="F234" i="2"/>
  <c r="G234" i="2"/>
  <c r="F232" i="2"/>
  <c r="G232" i="2"/>
  <c r="F230" i="2"/>
  <c r="G230" i="2"/>
  <c r="F228" i="2"/>
  <c r="G228" i="2"/>
  <c r="F226" i="2"/>
  <c r="G226" i="2"/>
  <c r="F224" i="2"/>
  <c r="G224" i="2"/>
  <c r="F222" i="2"/>
  <c r="G222" i="2"/>
  <c r="F220" i="2"/>
  <c r="G220" i="2"/>
  <c r="F218" i="2"/>
  <c r="G218" i="2"/>
  <c r="F216" i="2"/>
  <c r="G216" i="2"/>
  <c r="F214" i="2"/>
  <c r="G214" i="2"/>
  <c r="F212" i="2"/>
  <c r="G212" i="2"/>
  <c r="F210" i="2"/>
  <c r="G210" i="2"/>
  <c r="F208" i="2"/>
  <c r="G208" i="2"/>
  <c r="F206" i="2"/>
  <c r="G206" i="2"/>
  <c r="F204" i="2"/>
  <c r="G204" i="2"/>
  <c r="F202" i="2"/>
  <c r="G202" i="2"/>
  <c r="F200" i="2"/>
  <c r="G200" i="2"/>
  <c r="F198" i="2"/>
  <c r="G198" i="2"/>
  <c r="F196" i="2"/>
  <c r="G196" i="2"/>
  <c r="F194" i="2"/>
  <c r="G194" i="2"/>
  <c r="F190" i="2"/>
  <c r="G190" i="2"/>
  <c r="F188" i="2"/>
  <c r="G188" i="2"/>
  <c r="F186" i="2"/>
  <c r="G186" i="2"/>
  <c r="F184" i="2"/>
  <c r="G184" i="2"/>
  <c r="F182" i="2"/>
  <c r="G182" i="2"/>
  <c r="F180" i="2"/>
  <c r="G180" i="2"/>
  <c r="F178" i="2"/>
  <c r="G178" i="2"/>
  <c r="F174" i="2"/>
  <c r="G174" i="2"/>
  <c r="F172" i="2"/>
  <c r="G172" i="2"/>
  <c r="F170" i="2"/>
  <c r="G170" i="2"/>
  <c r="F168" i="2"/>
  <c r="G168" i="2"/>
  <c r="F166" i="2"/>
  <c r="G166" i="2"/>
  <c r="F164" i="2"/>
  <c r="G164" i="2"/>
  <c r="F162" i="2"/>
  <c r="G162" i="2"/>
  <c r="F158" i="2"/>
  <c r="G158" i="2"/>
  <c r="F156" i="2"/>
  <c r="G156" i="2"/>
  <c r="F154" i="2"/>
  <c r="G154" i="2"/>
  <c r="F152" i="2"/>
  <c r="G152" i="2"/>
  <c r="F150" i="2"/>
  <c r="G150" i="2"/>
  <c r="F148" i="2"/>
  <c r="G148" i="2"/>
  <c r="F146" i="2"/>
  <c r="G146" i="2"/>
  <c r="F142" i="2"/>
  <c r="G142" i="2"/>
  <c r="F140" i="2"/>
  <c r="G140" i="2"/>
  <c r="F138" i="2"/>
  <c r="G138" i="2"/>
  <c r="F136" i="2"/>
  <c r="G136" i="2"/>
  <c r="F134" i="2"/>
  <c r="G134" i="2"/>
  <c r="F132" i="2"/>
  <c r="G132" i="2"/>
  <c r="F130" i="2"/>
  <c r="G130" i="2"/>
  <c r="F130" i="1"/>
  <c r="C129" i="2"/>
  <c r="H129" i="2"/>
  <c r="G129" i="2"/>
  <c r="F129" i="1"/>
  <c r="C128" i="2"/>
  <c r="H128" i="2"/>
  <c r="G128" i="2"/>
  <c r="F126" i="1"/>
  <c r="C125" i="2"/>
  <c r="H125" i="2"/>
  <c r="G125" i="2"/>
  <c r="F125" i="1"/>
  <c r="C124" i="2"/>
  <c r="H124" i="2"/>
  <c r="G124" i="2"/>
  <c r="F122" i="1"/>
  <c r="C121" i="2"/>
  <c r="H121" i="2"/>
  <c r="G121" i="2"/>
  <c r="F121" i="1"/>
  <c r="C120" i="2"/>
  <c r="H120" i="2"/>
  <c r="G120" i="2"/>
  <c r="F116" i="2"/>
  <c r="G116" i="2"/>
  <c r="F115" i="2"/>
  <c r="G115" i="2"/>
  <c r="F113" i="2"/>
  <c r="G113" i="2"/>
  <c r="F112" i="2"/>
  <c r="G112" i="2"/>
  <c r="F110" i="2"/>
  <c r="G110" i="2"/>
  <c r="F109" i="2"/>
  <c r="G109" i="2"/>
  <c r="F107" i="2"/>
  <c r="G107" i="2"/>
  <c r="F106" i="2"/>
  <c r="G106" i="2"/>
  <c r="F103" i="2"/>
  <c r="G103" i="2"/>
  <c r="F101" i="2"/>
  <c r="G101" i="2"/>
  <c r="F100" i="2"/>
  <c r="G100" i="2"/>
  <c r="F98" i="2"/>
  <c r="G98" i="2"/>
  <c r="F97" i="2"/>
  <c r="G97" i="2"/>
  <c r="F94" i="1"/>
  <c r="C94" i="2"/>
  <c r="H94" i="2"/>
  <c r="F94" i="2"/>
  <c r="G94" i="2"/>
  <c r="I94" i="2"/>
  <c r="F92" i="2"/>
  <c r="G92" i="2"/>
  <c r="F91" i="2"/>
  <c r="G91" i="2"/>
  <c r="F90" i="2"/>
  <c r="G90" i="2"/>
  <c r="F88" i="2"/>
  <c r="G88" i="2"/>
  <c r="F87" i="2"/>
  <c r="G87" i="2"/>
  <c r="F86" i="1"/>
  <c r="C86" i="2"/>
  <c r="H86" i="2"/>
  <c r="F86" i="2"/>
  <c r="G86" i="2"/>
  <c r="I86" i="2"/>
  <c r="F84" i="2"/>
  <c r="G84" i="2"/>
  <c r="F83" i="1"/>
  <c r="C83" i="2"/>
  <c r="H83" i="2"/>
  <c r="F83" i="2"/>
  <c r="G83" i="2"/>
  <c r="I83" i="2"/>
  <c r="F81" i="2"/>
  <c r="G81" i="2"/>
  <c r="F80" i="2"/>
  <c r="G80" i="2"/>
  <c r="F77" i="2"/>
  <c r="G77" i="2"/>
  <c r="F76" i="2"/>
  <c r="G76" i="2"/>
  <c r="F75" i="2"/>
  <c r="G75" i="2"/>
  <c r="F74" i="1"/>
  <c r="C74" i="2"/>
  <c r="H74" i="2"/>
  <c r="F74" i="2"/>
  <c r="G74" i="2"/>
  <c r="I74" i="2"/>
  <c r="F72" i="2"/>
  <c r="G72" i="2"/>
  <c r="F71" i="2"/>
  <c r="G71" i="2"/>
  <c r="F69" i="2"/>
  <c r="G69" i="2"/>
  <c r="F68" i="2"/>
  <c r="G68" i="2"/>
  <c r="F66" i="2"/>
  <c r="G66" i="2"/>
  <c r="F65" i="2"/>
  <c r="G65" i="2"/>
  <c r="F63" i="2"/>
  <c r="G63" i="2"/>
  <c r="F62" i="1"/>
  <c r="C62" i="2"/>
  <c r="H62" i="2"/>
  <c r="F62" i="2"/>
  <c r="G62" i="2"/>
  <c r="I62" i="2"/>
  <c r="F60" i="2"/>
  <c r="G60" i="2"/>
  <c r="C59" i="2"/>
  <c r="H59" i="2"/>
  <c r="F59" i="2"/>
  <c r="G59" i="2"/>
  <c r="F57" i="2"/>
  <c r="G57" i="2"/>
  <c r="F56" i="1"/>
  <c r="C56" i="2"/>
  <c r="H56" i="2"/>
  <c r="F56" i="2"/>
  <c r="G56" i="2"/>
  <c r="I56" i="2"/>
  <c r="F53" i="2"/>
  <c r="G53" i="2"/>
  <c r="F51" i="2"/>
  <c r="G51" i="2"/>
  <c r="F50" i="2"/>
  <c r="G50" i="2"/>
  <c r="F48" i="2"/>
  <c r="G48" i="2"/>
  <c r="F47" i="2"/>
  <c r="G47" i="2"/>
  <c r="F46" i="2"/>
  <c r="G46" i="2"/>
  <c r="F45" i="2"/>
  <c r="G45" i="2"/>
  <c r="F44" i="1"/>
  <c r="C44" i="2"/>
  <c r="H44" i="2"/>
  <c r="F44" i="2"/>
  <c r="G44" i="2"/>
  <c r="I44" i="2"/>
  <c r="F42" i="2"/>
  <c r="G42" i="2"/>
  <c r="F41" i="2"/>
  <c r="G41" i="2"/>
  <c r="F39" i="2"/>
  <c r="G39" i="2"/>
  <c r="F38" i="2"/>
  <c r="G38" i="2"/>
  <c r="F36" i="2"/>
  <c r="G36" i="2"/>
  <c r="F35" i="2"/>
  <c r="G35" i="2"/>
  <c r="F34" i="2"/>
  <c r="G34" i="2"/>
  <c r="F33" i="2"/>
  <c r="G33" i="2"/>
  <c r="F32" i="1"/>
  <c r="C32" i="2"/>
  <c r="H32" i="2"/>
  <c r="F32" i="2"/>
  <c r="G32" i="2"/>
  <c r="I32" i="2"/>
  <c r="F31" i="2"/>
  <c r="G31" i="2"/>
  <c r="F30" i="2"/>
  <c r="G30" i="2"/>
  <c r="F29" i="2"/>
  <c r="G29" i="2"/>
  <c r="F27" i="2"/>
  <c r="G27" i="2"/>
  <c r="F24" i="2"/>
  <c r="G24" i="2"/>
  <c r="F22" i="2"/>
  <c r="G22" i="2"/>
  <c r="F21" i="2"/>
  <c r="G21" i="2"/>
  <c r="F20" i="2"/>
  <c r="G20" i="2"/>
  <c r="F19" i="2"/>
  <c r="G19" i="2"/>
  <c r="F18" i="2"/>
  <c r="G18" i="2"/>
  <c r="F17" i="2"/>
  <c r="G17" i="2"/>
  <c r="F16" i="1"/>
  <c r="C16" i="2"/>
  <c r="H16" i="2"/>
  <c r="F16" i="2"/>
  <c r="G16" i="2"/>
  <c r="I16" i="2"/>
  <c r="H15" i="2"/>
  <c r="F15" i="2"/>
  <c r="G15" i="2"/>
  <c r="I15" i="2"/>
  <c r="F14" i="2"/>
  <c r="G14" i="2"/>
  <c r="F13" i="2"/>
  <c r="G13" i="2"/>
  <c r="F12" i="2"/>
  <c r="G12" i="2"/>
  <c r="F11" i="1"/>
  <c r="C11" i="2"/>
  <c r="H11" i="2"/>
  <c r="F11" i="2"/>
  <c r="G11" i="2"/>
  <c r="I11" i="2"/>
  <c r="F10" i="2"/>
  <c r="G10" i="2"/>
  <c r="F9" i="2"/>
  <c r="G9" i="2"/>
  <c r="F8" i="2"/>
  <c r="G8" i="2"/>
  <c r="F7" i="2"/>
  <c r="G7" i="2"/>
  <c r="F6" i="2"/>
  <c r="G6" i="2"/>
  <c r="F5" i="2"/>
  <c r="G5" i="2"/>
  <c r="F4" i="2"/>
  <c r="G4" i="2"/>
  <c r="F3" i="1"/>
  <c r="C3" i="2"/>
  <c r="H3" i="2"/>
  <c r="F3" i="2"/>
  <c r="G3" i="2"/>
  <c r="I3" i="2"/>
  <c r="G339" i="1"/>
  <c r="H339" i="1"/>
  <c r="F339" i="1"/>
  <c r="I339" i="1"/>
  <c r="J339" i="1"/>
  <c r="I338" i="1"/>
  <c r="G338" i="1"/>
  <c r="H338" i="1"/>
  <c r="J338" i="1"/>
  <c r="I337" i="1"/>
  <c r="G337" i="1"/>
  <c r="H337" i="1"/>
  <c r="G336" i="1"/>
  <c r="H336" i="1"/>
  <c r="F336" i="1"/>
  <c r="I336" i="1"/>
  <c r="J336" i="1"/>
  <c r="C336" i="2"/>
  <c r="H336" i="2"/>
  <c r="I336" i="2"/>
  <c r="G142" i="20"/>
  <c r="G335" i="1"/>
  <c r="H335" i="1"/>
  <c r="I335" i="1"/>
  <c r="J335" i="1"/>
  <c r="F334" i="1"/>
  <c r="I334" i="1"/>
  <c r="G334" i="1"/>
  <c r="H334" i="1"/>
  <c r="J334" i="1"/>
  <c r="C334" i="2"/>
  <c r="H334" i="2"/>
  <c r="I334" i="2"/>
  <c r="G141" i="20"/>
  <c r="I333" i="1"/>
  <c r="G333" i="1"/>
  <c r="H333" i="1"/>
  <c r="J333" i="1"/>
  <c r="I332" i="1"/>
  <c r="G332" i="1"/>
  <c r="H332" i="1"/>
  <c r="J332" i="1"/>
  <c r="G331" i="1"/>
  <c r="H331" i="1"/>
  <c r="F330" i="1"/>
  <c r="I330" i="1"/>
  <c r="G330" i="1"/>
  <c r="H330" i="1"/>
  <c r="J330" i="1"/>
  <c r="C330" i="2"/>
  <c r="H330" i="2"/>
  <c r="I330" i="2"/>
  <c r="G139" i="20"/>
  <c r="I329" i="1"/>
  <c r="G329" i="1"/>
  <c r="H329" i="1"/>
  <c r="J329" i="1"/>
  <c r="G328" i="1"/>
  <c r="H328" i="1"/>
  <c r="F328" i="1"/>
  <c r="C328" i="2"/>
  <c r="H328" i="2"/>
  <c r="I328" i="2"/>
  <c r="G138" i="20"/>
  <c r="G327" i="1"/>
  <c r="H327" i="1"/>
  <c r="F326" i="1"/>
  <c r="I326" i="1"/>
  <c r="G326" i="1"/>
  <c r="H326" i="1"/>
  <c r="J326" i="1"/>
  <c r="C326" i="2"/>
  <c r="H326" i="2"/>
  <c r="I326" i="2"/>
  <c r="G137" i="20"/>
  <c r="I325" i="1"/>
  <c r="G325" i="1"/>
  <c r="H325" i="1"/>
  <c r="G324" i="1"/>
  <c r="H324" i="1"/>
  <c r="F324" i="1"/>
  <c r="C324" i="2"/>
  <c r="H324" i="2"/>
  <c r="I324" i="2"/>
  <c r="G323" i="1"/>
  <c r="H323" i="1"/>
  <c r="I323" i="1"/>
  <c r="J323" i="1"/>
  <c r="F322" i="1"/>
  <c r="I322" i="1"/>
  <c r="G322" i="1"/>
  <c r="H322" i="1"/>
  <c r="J322" i="1"/>
  <c r="C322" i="2"/>
  <c r="H322" i="2"/>
  <c r="I322" i="2"/>
  <c r="G135" i="20"/>
  <c r="I321" i="1"/>
  <c r="G321" i="1"/>
  <c r="H321" i="1"/>
  <c r="G320" i="1"/>
  <c r="H320" i="1"/>
  <c r="F320" i="1"/>
  <c r="I320" i="1"/>
  <c r="J320" i="1"/>
  <c r="C320" i="2"/>
  <c r="H320" i="2"/>
  <c r="I320" i="2"/>
  <c r="G134" i="20"/>
  <c r="G319" i="1"/>
  <c r="H319" i="1"/>
  <c r="F318" i="1"/>
  <c r="I318" i="1"/>
  <c r="G318" i="1"/>
  <c r="H318" i="1"/>
  <c r="J318" i="1"/>
  <c r="C318" i="2"/>
  <c r="H318" i="2"/>
  <c r="I318" i="2"/>
  <c r="G133" i="20"/>
  <c r="I317" i="1"/>
  <c r="G317" i="1"/>
  <c r="H317" i="1"/>
  <c r="J317" i="1"/>
  <c r="F316" i="1"/>
  <c r="I316" i="1"/>
  <c r="G316" i="1"/>
  <c r="H316" i="1"/>
  <c r="J316" i="1"/>
  <c r="C316" i="2"/>
  <c r="H316" i="2"/>
  <c r="I316" i="2"/>
  <c r="G132" i="20"/>
  <c r="K132" i="20"/>
  <c r="G315" i="1"/>
  <c r="H315" i="1"/>
  <c r="I315" i="1"/>
  <c r="J315" i="1"/>
  <c r="F314" i="1"/>
  <c r="I314" i="1"/>
  <c r="G314" i="1"/>
  <c r="H314" i="1"/>
  <c r="J314" i="1"/>
  <c r="C314" i="2"/>
  <c r="H314" i="2"/>
  <c r="I314" i="2"/>
  <c r="G131" i="20"/>
  <c r="I313" i="1"/>
  <c r="G313" i="1"/>
  <c r="H313" i="1"/>
  <c r="J313" i="1"/>
  <c r="G312" i="1"/>
  <c r="H312" i="1"/>
  <c r="F312" i="1"/>
  <c r="C312" i="2"/>
  <c r="H312" i="2"/>
  <c r="I312" i="2"/>
  <c r="G130" i="20"/>
  <c r="G311" i="1"/>
  <c r="H311" i="1"/>
  <c r="F310" i="1"/>
  <c r="I310" i="1"/>
  <c r="G310" i="1"/>
  <c r="H310" i="1"/>
  <c r="J310" i="1"/>
  <c r="C310" i="2"/>
  <c r="H310" i="2"/>
  <c r="I310" i="2"/>
  <c r="G129" i="20"/>
  <c r="I309" i="1"/>
  <c r="G309" i="1"/>
  <c r="H309" i="1"/>
  <c r="G308" i="1"/>
  <c r="H308" i="1"/>
  <c r="F308" i="1"/>
  <c r="C308" i="2"/>
  <c r="H308" i="2"/>
  <c r="I308" i="2"/>
  <c r="G128" i="20"/>
  <c r="G307" i="1"/>
  <c r="H307" i="1"/>
  <c r="I307" i="1"/>
  <c r="J307" i="1"/>
  <c r="F306" i="1"/>
  <c r="I306" i="1"/>
  <c r="G306" i="1"/>
  <c r="H306" i="1"/>
  <c r="J306" i="1"/>
  <c r="C306" i="2"/>
  <c r="H306" i="2"/>
  <c r="I306" i="2"/>
  <c r="G127" i="20"/>
  <c r="F305" i="1"/>
  <c r="I305" i="1"/>
  <c r="G305" i="1"/>
  <c r="H305" i="1"/>
  <c r="C304" i="2"/>
  <c r="H304" i="2"/>
  <c r="I304" i="2"/>
  <c r="G126" i="20"/>
  <c r="G304" i="1"/>
  <c r="H304" i="1"/>
  <c r="I304" i="1"/>
  <c r="J304" i="1"/>
  <c r="G303" i="1"/>
  <c r="H303" i="1"/>
  <c r="F303" i="1"/>
  <c r="I302" i="1"/>
  <c r="G302" i="1"/>
  <c r="H302" i="1"/>
  <c r="J302" i="1"/>
  <c r="F301" i="1"/>
  <c r="I301" i="1"/>
  <c r="G301" i="1"/>
  <c r="H301" i="1"/>
  <c r="J301" i="1"/>
  <c r="C300" i="2"/>
  <c r="H300" i="2"/>
  <c r="I300" i="2"/>
  <c r="G124" i="20"/>
  <c r="I300" i="1"/>
  <c r="G300" i="1"/>
  <c r="H300" i="1"/>
  <c r="J300" i="1"/>
  <c r="G299" i="1"/>
  <c r="H299" i="1"/>
  <c r="F299" i="1"/>
  <c r="I298" i="1"/>
  <c r="G298" i="1"/>
  <c r="H298" i="1"/>
  <c r="J298" i="1"/>
  <c r="I297" i="1"/>
  <c r="G297" i="1"/>
  <c r="H297" i="1"/>
  <c r="J297" i="1"/>
  <c r="G296" i="1"/>
  <c r="H296" i="1"/>
  <c r="G295" i="1"/>
  <c r="H295" i="1"/>
  <c r="F295" i="1"/>
  <c r="I294" i="1"/>
  <c r="G294" i="1"/>
  <c r="H294" i="1"/>
  <c r="J294" i="1"/>
  <c r="F293" i="1"/>
  <c r="I293" i="1"/>
  <c r="G293" i="1"/>
  <c r="H293" i="1"/>
  <c r="C292" i="2"/>
  <c r="H292" i="2"/>
  <c r="I292" i="2"/>
  <c r="G120" i="20"/>
  <c r="G292" i="1"/>
  <c r="H292" i="1"/>
  <c r="G291" i="1"/>
  <c r="H291" i="1"/>
  <c r="F291" i="1"/>
  <c r="I290" i="1"/>
  <c r="G290" i="1"/>
  <c r="H290" i="1"/>
  <c r="J290" i="1"/>
  <c r="F289" i="1"/>
  <c r="I289" i="1"/>
  <c r="G289" i="1"/>
  <c r="H289" i="1"/>
  <c r="C288" i="2"/>
  <c r="H288" i="2"/>
  <c r="I288" i="2"/>
  <c r="G118" i="20"/>
  <c r="G288" i="1"/>
  <c r="H288" i="1"/>
  <c r="I288" i="1"/>
  <c r="J288" i="1"/>
  <c r="G287" i="1"/>
  <c r="H287" i="1"/>
  <c r="I287" i="1"/>
  <c r="J287" i="1"/>
  <c r="I286" i="1"/>
  <c r="G286" i="1"/>
  <c r="H286" i="1"/>
  <c r="J286" i="1"/>
  <c r="F285" i="1"/>
  <c r="I285" i="1"/>
  <c r="G285" i="1"/>
  <c r="H285" i="1"/>
  <c r="J285" i="1"/>
  <c r="C284" i="2"/>
  <c r="H284" i="2"/>
  <c r="I284" i="2"/>
  <c r="G116" i="20"/>
  <c r="K116" i="20"/>
  <c r="I284" i="1"/>
  <c r="G284" i="1"/>
  <c r="H284" i="1"/>
  <c r="J284" i="1"/>
  <c r="G283" i="1"/>
  <c r="H283" i="1"/>
  <c r="F283" i="1"/>
  <c r="I282" i="1"/>
  <c r="G282" i="1"/>
  <c r="H282" i="1"/>
  <c r="J282" i="1"/>
  <c r="F281" i="1"/>
  <c r="I281" i="1"/>
  <c r="G281" i="1"/>
  <c r="H281" i="1"/>
  <c r="J281" i="1"/>
  <c r="C280" i="2"/>
  <c r="H280" i="2"/>
  <c r="I280" i="2"/>
  <c r="G114" i="20"/>
  <c r="I114" i="20"/>
  <c r="G280" i="1"/>
  <c r="H280" i="1"/>
  <c r="G279" i="1"/>
  <c r="H279" i="1"/>
  <c r="F279" i="1"/>
  <c r="I278" i="1"/>
  <c r="G278" i="1"/>
  <c r="H278" i="1"/>
  <c r="J278" i="1"/>
  <c r="F277" i="1"/>
  <c r="I277" i="1"/>
  <c r="G277" i="1"/>
  <c r="H277" i="1"/>
  <c r="C276" i="2"/>
  <c r="H276" i="2"/>
  <c r="I276" i="2"/>
  <c r="G112" i="20"/>
  <c r="G276" i="1"/>
  <c r="H276" i="1"/>
  <c r="G275" i="1"/>
  <c r="H275" i="1"/>
  <c r="F275" i="1"/>
  <c r="I274" i="1"/>
  <c r="G274" i="1"/>
  <c r="H274" i="1"/>
  <c r="J274" i="1"/>
  <c r="F273" i="1"/>
  <c r="I273" i="1"/>
  <c r="G273" i="1"/>
  <c r="H273" i="1"/>
  <c r="C272" i="2"/>
  <c r="H272" i="2"/>
  <c r="I272" i="2"/>
  <c r="G110" i="20"/>
  <c r="G272" i="1"/>
  <c r="H272" i="1"/>
  <c r="I272" i="1"/>
  <c r="J272" i="1"/>
  <c r="G271" i="1"/>
  <c r="H271" i="1"/>
  <c r="I271" i="1"/>
  <c r="J271" i="1"/>
  <c r="I270" i="1"/>
  <c r="G270" i="1"/>
  <c r="H270" i="1"/>
  <c r="J270" i="1"/>
  <c r="F269" i="1"/>
  <c r="I269" i="1"/>
  <c r="G269" i="1"/>
  <c r="H269" i="1"/>
  <c r="J269" i="1"/>
  <c r="C268" i="2"/>
  <c r="H268" i="2"/>
  <c r="I268" i="2"/>
  <c r="G108" i="20"/>
  <c r="I268" i="1"/>
  <c r="G268" i="1"/>
  <c r="H268" i="1"/>
  <c r="J268" i="1"/>
  <c r="G267" i="1"/>
  <c r="H267" i="1"/>
  <c r="F267" i="1"/>
  <c r="I266" i="1"/>
  <c r="G266" i="1"/>
  <c r="H266" i="1"/>
  <c r="J266" i="1"/>
  <c r="I265" i="1"/>
  <c r="G265" i="1"/>
  <c r="H265" i="1"/>
  <c r="J265" i="1"/>
  <c r="G264" i="1"/>
  <c r="H264" i="1"/>
  <c r="F264" i="1"/>
  <c r="C263" i="2"/>
  <c r="H263" i="2"/>
  <c r="I263" i="2"/>
  <c r="H106" i="23"/>
  <c r="G263" i="1"/>
  <c r="H263" i="1"/>
  <c r="F263" i="1"/>
  <c r="F262" i="1"/>
  <c r="I262" i="1"/>
  <c r="G262" i="1"/>
  <c r="H262" i="1"/>
  <c r="J262" i="1"/>
  <c r="C261" i="2"/>
  <c r="H261" i="2"/>
  <c r="I261" i="2"/>
  <c r="H105" i="23"/>
  <c r="I261" i="1"/>
  <c r="G261" i="1"/>
  <c r="H261" i="1"/>
  <c r="G260" i="1"/>
  <c r="H260" i="1"/>
  <c r="F260" i="1"/>
  <c r="C259" i="2"/>
  <c r="H259" i="2"/>
  <c r="I259" i="2"/>
  <c r="H104" i="23"/>
  <c r="G259" i="1"/>
  <c r="H259" i="1"/>
  <c r="F259" i="1"/>
  <c r="I258" i="1"/>
  <c r="G258" i="1"/>
  <c r="H258" i="1"/>
  <c r="J258" i="1"/>
  <c r="F257" i="1"/>
  <c r="I257" i="1"/>
  <c r="G257" i="1"/>
  <c r="H257" i="1"/>
  <c r="C256" i="2"/>
  <c r="H256" i="2"/>
  <c r="I256" i="2"/>
  <c r="G102" i="20"/>
  <c r="K102" i="20"/>
  <c r="G256" i="1"/>
  <c r="H256" i="1"/>
  <c r="I256" i="1"/>
  <c r="J256" i="1"/>
  <c r="G255" i="1"/>
  <c r="H255" i="1"/>
  <c r="F255" i="1"/>
  <c r="F254" i="1"/>
  <c r="I254" i="1"/>
  <c r="G254" i="1"/>
  <c r="H254" i="1"/>
  <c r="J254" i="1"/>
  <c r="C253" i="2"/>
  <c r="H253" i="2"/>
  <c r="I253" i="2"/>
  <c r="H101" i="23"/>
  <c r="F253" i="1"/>
  <c r="I253" i="1"/>
  <c r="G253" i="1"/>
  <c r="H253" i="1"/>
  <c r="J253" i="1"/>
  <c r="C252" i="2"/>
  <c r="H252" i="2"/>
  <c r="I252" i="2"/>
  <c r="G100" i="20"/>
  <c r="F252" i="1"/>
  <c r="I252" i="1"/>
  <c r="G252" i="1"/>
  <c r="H252" i="1"/>
  <c r="J252" i="1"/>
  <c r="C251" i="2"/>
  <c r="H251" i="2"/>
  <c r="I251" i="2"/>
  <c r="H100" i="23"/>
  <c r="G251" i="1"/>
  <c r="H251" i="1"/>
  <c r="F251" i="1"/>
  <c r="I250" i="1"/>
  <c r="G250" i="1"/>
  <c r="H250" i="1"/>
  <c r="J250" i="1"/>
  <c r="F249" i="1"/>
  <c r="I249" i="1"/>
  <c r="G249" i="1"/>
  <c r="H249" i="1"/>
  <c r="J249" i="1"/>
  <c r="C248" i="2"/>
  <c r="H248" i="2"/>
  <c r="I248" i="2"/>
  <c r="G98" i="20"/>
  <c r="G248" i="1"/>
  <c r="H248" i="1"/>
  <c r="F248" i="1"/>
  <c r="C247" i="2"/>
  <c r="H247" i="2"/>
  <c r="I247" i="2"/>
  <c r="H98" i="23"/>
  <c r="G247" i="1"/>
  <c r="H247" i="1"/>
  <c r="F247" i="1"/>
  <c r="I246" i="1"/>
  <c r="G246" i="1"/>
  <c r="H246" i="1"/>
  <c r="J246" i="1"/>
  <c r="F245" i="1"/>
  <c r="I245" i="1"/>
  <c r="G245" i="1"/>
  <c r="H245" i="1"/>
  <c r="C244" i="2"/>
  <c r="H244" i="2"/>
  <c r="I244" i="2"/>
  <c r="G96" i="20"/>
  <c r="G244" i="1"/>
  <c r="H244" i="1"/>
  <c r="G243" i="1"/>
  <c r="H243" i="1"/>
  <c r="F243" i="1"/>
  <c r="I242" i="1"/>
  <c r="G242" i="1"/>
  <c r="H242" i="1"/>
  <c r="J242" i="1"/>
  <c r="F241" i="1"/>
  <c r="I241" i="1"/>
  <c r="G241" i="1"/>
  <c r="H241" i="1"/>
  <c r="C240" i="2"/>
  <c r="H240" i="2"/>
  <c r="I240" i="2"/>
  <c r="G94" i="20"/>
  <c r="G240" i="1"/>
  <c r="H240" i="1"/>
  <c r="I240" i="1"/>
  <c r="J240" i="1"/>
  <c r="G239" i="1"/>
  <c r="H239" i="1"/>
  <c r="F239" i="1"/>
  <c r="I238" i="1"/>
  <c r="G238" i="1"/>
  <c r="H238" i="1"/>
  <c r="J238" i="1"/>
  <c r="I237" i="1"/>
  <c r="G237" i="1"/>
  <c r="H237" i="1"/>
  <c r="J237" i="1"/>
  <c r="I236" i="1"/>
  <c r="G236" i="1"/>
  <c r="H236" i="1"/>
  <c r="J236" i="1"/>
  <c r="G235" i="1"/>
  <c r="H235" i="1"/>
  <c r="F235" i="1"/>
  <c r="I234" i="1"/>
  <c r="G234" i="1"/>
  <c r="H234" i="1"/>
  <c r="J234" i="1"/>
  <c r="F233" i="1"/>
  <c r="I233" i="1"/>
  <c r="G233" i="1"/>
  <c r="H233" i="1"/>
  <c r="J233" i="1"/>
  <c r="C232" i="2"/>
  <c r="H232" i="2"/>
  <c r="I232" i="2"/>
  <c r="G90" i="20"/>
  <c r="G232" i="1"/>
  <c r="H232" i="1"/>
  <c r="G231" i="1"/>
  <c r="H231" i="1"/>
  <c r="F231" i="1"/>
  <c r="I230" i="1"/>
  <c r="G230" i="1"/>
  <c r="H230" i="1"/>
  <c r="J230" i="1"/>
  <c r="F229" i="1"/>
  <c r="I229" i="1"/>
  <c r="G229" i="1"/>
  <c r="H229" i="1"/>
  <c r="C228" i="2"/>
  <c r="H228" i="2"/>
  <c r="I228" i="2"/>
  <c r="G88" i="20"/>
  <c r="K88" i="20"/>
  <c r="G228" i="1"/>
  <c r="H228" i="1"/>
  <c r="G227" i="1"/>
  <c r="H227" i="1"/>
  <c r="F227" i="1"/>
  <c r="I226" i="1"/>
  <c r="G226" i="1"/>
  <c r="H226" i="1"/>
  <c r="J226" i="1"/>
  <c r="F225" i="1"/>
  <c r="I225" i="1"/>
  <c r="G225" i="1"/>
  <c r="H225" i="1"/>
  <c r="C224" i="2"/>
  <c r="H224" i="2"/>
  <c r="I224" i="2"/>
  <c r="G86" i="20"/>
  <c r="G224" i="1"/>
  <c r="H224" i="1"/>
  <c r="I224" i="1"/>
  <c r="J224" i="1"/>
  <c r="G223" i="1"/>
  <c r="H223" i="1"/>
  <c r="F223" i="1"/>
  <c r="I222" i="1"/>
  <c r="G222" i="1"/>
  <c r="H222" i="1"/>
  <c r="J222" i="1"/>
  <c r="F221" i="1"/>
  <c r="I221" i="1"/>
  <c r="G221" i="1"/>
  <c r="H221" i="1"/>
  <c r="J221" i="1"/>
  <c r="C220" i="2"/>
  <c r="H220" i="2"/>
  <c r="I220" i="2"/>
  <c r="G84" i="20"/>
  <c r="I220" i="1"/>
  <c r="G220" i="1"/>
  <c r="H220" i="1"/>
  <c r="J220" i="1"/>
  <c r="G219" i="1"/>
  <c r="H219" i="1"/>
  <c r="F219" i="1"/>
  <c r="I218" i="1"/>
  <c r="G218" i="1"/>
  <c r="H218" i="1"/>
  <c r="J218" i="1"/>
  <c r="F217" i="1"/>
  <c r="I217" i="1"/>
  <c r="G217" i="1"/>
  <c r="H217" i="1"/>
  <c r="J217" i="1"/>
  <c r="C216" i="2"/>
  <c r="H216" i="2"/>
  <c r="I216" i="2"/>
  <c r="G82" i="20"/>
  <c r="G216" i="1"/>
  <c r="H216" i="1"/>
  <c r="G215" i="1"/>
  <c r="H215" i="1"/>
  <c r="F215" i="1"/>
  <c r="I214" i="1"/>
  <c r="G214" i="1"/>
  <c r="H214" i="1"/>
  <c r="J214" i="1"/>
  <c r="F213" i="1"/>
  <c r="I213" i="1"/>
  <c r="G213" i="1"/>
  <c r="H213" i="1"/>
  <c r="C212" i="2"/>
  <c r="H212" i="2"/>
  <c r="I212" i="2"/>
  <c r="G80" i="20"/>
  <c r="G212" i="1"/>
  <c r="H212" i="1"/>
  <c r="G211" i="1"/>
  <c r="H211" i="1"/>
  <c r="F211" i="1"/>
  <c r="I210" i="1"/>
  <c r="G210" i="1"/>
  <c r="H210" i="1"/>
  <c r="J210" i="1"/>
  <c r="F209" i="1"/>
  <c r="I209" i="1"/>
  <c r="G209" i="1"/>
  <c r="H209" i="1"/>
  <c r="C208" i="2"/>
  <c r="H208" i="2"/>
  <c r="I208" i="2"/>
  <c r="G78" i="20"/>
  <c r="G208" i="1"/>
  <c r="H208" i="1"/>
  <c r="I208" i="1"/>
  <c r="J208" i="1"/>
  <c r="G207" i="1"/>
  <c r="H207" i="1"/>
  <c r="F207" i="1"/>
  <c r="I206" i="1"/>
  <c r="G206" i="1"/>
  <c r="H206" i="1"/>
  <c r="J206" i="1"/>
  <c r="G74" i="23"/>
  <c r="F205" i="1"/>
  <c r="I205" i="1"/>
  <c r="G205" i="1"/>
  <c r="H205" i="1"/>
  <c r="J205" i="1"/>
  <c r="C204" i="2"/>
  <c r="H204" i="2"/>
  <c r="I204" i="2"/>
  <c r="G73" i="20"/>
  <c r="I204" i="1"/>
  <c r="G204" i="1"/>
  <c r="H204" i="1"/>
  <c r="J204" i="1"/>
  <c r="G203" i="1"/>
  <c r="H203" i="1"/>
  <c r="F203" i="1"/>
  <c r="I203" i="1"/>
  <c r="J203" i="1"/>
  <c r="I202" i="1"/>
  <c r="G202" i="1"/>
  <c r="H202" i="1"/>
  <c r="J202" i="1"/>
  <c r="F201" i="1"/>
  <c r="I201" i="1"/>
  <c r="G201" i="1"/>
  <c r="H201" i="1"/>
  <c r="J201" i="1"/>
  <c r="C200" i="2"/>
  <c r="H200" i="2"/>
  <c r="I200" i="2"/>
  <c r="G71" i="20"/>
  <c r="G200" i="1"/>
  <c r="H200" i="1"/>
  <c r="G199" i="1"/>
  <c r="H199" i="1"/>
  <c r="F199" i="1"/>
  <c r="I198" i="1"/>
  <c r="G198" i="1"/>
  <c r="H198" i="1"/>
  <c r="J198" i="1"/>
  <c r="F197" i="1"/>
  <c r="I197" i="1"/>
  <c r="G197" i="1"/>
  <c r="H197" i="1"/>
  <c r="C196" i="2"/>
  <c r="H196" i="2"/>
  <c r="I196" i="2"/>
  <c r="G69" i="20"/>
  <c r="G196" i="1"/>
  <c r="H196" i="1"/>
  <c r="G195" i="1"/>
  <c r="H195" i="1"/>
  <c r="F195" i="1"/>
  <c r="I194" i="1"/>
  <c r="G194" i="1"/>
  <c r="H194" i="1"/>
  <c r="J194" i="1"/>
  <c r="I193" i="1"/>
  <c r="G193" i="1"/>
  <c r="H193" i="1"/>
  <c r="G192" i="1"/>
  <c r="H192" i="1"/>
  <c r="I192" i="1"/>
  <c r="J192" i="1"/>
  <c r="G191" i="1"/>
  <c r="H191" i="1"/>
  <c r="F191" i="1"/>
  <c r="I190" i="1"/>
  <c r="G190" i="1"/>
  <c r="H190" i="1"/>
  <c r="J190" i="1"/>
  <c r="F189" i="1"/>
  <c r="I189" i="1"/>
  <c r="G189" i="1"/>
  <c r="H189" i="1"/>
  <c r="J189" i="1"/>
  <c r="C188" i="2"/>
  <c r="H188" i="2"/>
  <c r="I188" i="2"/>
  <c r="G65" i="20"/>
  <c r="I188" i="1"/>
  <c r="G188" i="1"/>
  <c r="H188" i="1"/>
  <c r="J188" i="1"/>
  <c r="G187" i="1"/>
  <c r="H187" i="1"/>
  <c r="F187" i="1"/>
  <c r="I187" i="1"/>
  <c r="J187" i="1"/>
  <c r="I186" i="1"/>
  <c r="G186" i="1"/>
  <c r="H186" i="1"/>
  <c r="J186" i="1"/>
  <c r="F185" i="1"/>
  <c r="I185" i="1"/>
  <c r="G185" i="1"/>
  <c r="H185" i="1"/>
  <c r="J185" i="1"/>
  <c r="C184" i="2"/>
  <c r="H184" i="2"/>
  <c r="I184" i="2"/>
  <c r="G63" i="20"/>
  <c r="G184" i="1"/>
  <c r="H184" i="1"/>
  <c r="G183" i="1"/>
  <c r="H183" i="1"/>
  <c r="F183" i="1"/>
  <c r="I182" i="1"/>
  <c r="G182" i="1"/>
  <c r="H182" i="1"/>
  <c r="J182" i="1"/>
  <c r="F181" i="1"/>
  <c r="I181" i="1"/>
  <c r="G181" i="1"/>
  <c r="H181" i="1"/>
  <c r="C180" i="2"/>
  <c r="H180" i="2"/>
  <c r="I180" i="2"/>
  <c r="G61" i="20"/>
  <c r="G180" i="1"/>
  <c r="H180" i="1"/>
  <c r="G179" i="1"/>
  <c r="H179" i="1"/>
  <c r="F179" i="1"/>
  <c r="I178" i="1"/>
  <c r="G178" i="1"/>
  <c r="H178" i="1"/>
  <c r="J178" i="1"/>
  <c r="I177" i="1"/>
  <c r="G177" i="1"/>
  <c r="H177" i="1"/>
  <c r="G176" i="1"/>
  <c r="H176" i="1"/>
  <c r="F176" i="1"/>
  <c r="I176" i="1"/>
  <c r="J176" i="1"/>
  <c r="G175" i="1"/>
  <c r="H175" i="1"/>
  <c r="F175" i="1"/>
  <c r="I174" i="1"/>
  <c r="G174" i="1"/>
  <c r="H174" i="1"/>
  <c r="J174" i="1"/>
  <c r="F173" i="1"/>
  <c r="I173" i="1"/>
  <c r="G173" i="1"/>
  <c r="H173" i="1"/>
  <c r="J173" i="1"/>
  <c r="C172" i="2"/>
  <c r="H172" i="2"/>
  <c r="I172" i="2"/>
  <c r="G57" i="20"/>
  <c r="I57" i="20"/>
  <c r="I172" i="1"/>
  <c r="G172" i="1"/>
  <c r="H172" i="1"/>
  <c r="J172" i="1"/>
  <c r="G171" i="1"/>
  <c r="H171" i="1"/>
  <c r="F171" i="1"/>
  <c r="I171" i="1"/>
  <c r="J171" i="1"/>
  <c r="I170" i="1"/>
  <c r="G170" i="1"/>
  <c r="H170" i="1"/>
  <c r="J170" i="1"/>
  <c r="F169" i="1"/>
  <c r="I169" i="1"/>
  <c r="G169" i="1"/>
  <c r="H169" i="1"/>
  <c r="J169" i="1"/>
  <c r="C168" i="2"/>
  <c r="H168" i="2"/>
  <c r="I168" i="2"/>
  <c r="G55" i="20"/>
  <c r="G168" i="1"/>
  <c r="H168" i="1"/>
  <c r="G167" i="1"/>
  <c r="H167" i="1"/>
  <c r="F167" i="1"/>
  <c r="I166" i="1"/>
  <c r="G166" i="1"/>
  <c r="H166" i="1"/>
  <c r="J166" i="1"/>
  <c r="F165" i="1"/>
  <c r="I165" i="1"/>
  <c r="G165" i="1"/>
  <c r="H165" i="1"/>
  <c r="C164" i="2"/>
  <c r="H164" i="2"/>
  <c r="I164" i="2"/>
  <c r="G53" i="20"/>
  <c r="G164" i="1"/>
  <c r="H164" i="1"/>
  <c r="I164" i="1"/>
  <c r="J164" i="1"/>
  <c r="G163" i="1"/>
  <c r="H163" i="1"/>
  <c r="F163" i="1"/>
  <c r="I162" i="1"/>
  <c r="G162" i="1"/>
  <c r="H162" i="1"/>
  <c r="J162" i="1"/>
  <c r="I161" i="1"/>
  <c r="G161" i="1"/>
  <c r="H161" i="1"/>
  <c r="G160" i="1"/>
  <c r="H160" i="1"/>
  <c r="I160" i="1"/>
  <c r="J160" i="1"/>
  <c r="G159" i="1"/>
  <c r="H159" i="1"/>
  <c r="F159" i="1"/>
  <c r="I158" i="1"/>
  <c r="G158" i="1"/>
  <c r="H158" i="1"/>
  <c r="J158" i="1"/>
  <c r="F157" i="1"/>
  <c r="I157" i="1"/>
  <c r="G157" i="1"/>
  <c r="H157" i="1"/>
  <c r="J157" i="1"/>
  <c r="C156" i="2"/>
  <c r="H156" i="2"/>
  <c r="I156" i="2"/>
  <c r="G49" i="20"/>
  <c r="I156" i="1"/>
  <c r="G156" i="1"/>
  <c r="H156" i="1"/>
  <c r="J156" i="1"/>
  <c r="G155" i="1"/>
  <c r="H155" i="1"/>
  <c r="F155" i="1"/>
  <c r="I155" i="1"/>
  <c r="J155" i="1"/>
  <c r="I154" i="1"/>
  <c r="G154" i="1"/>
  <c r="H154" i="1"/>
  <c r="J154" i="1"/>
  <c r="F153" i="1"/>
  <c r="I153" i="1"/>
  <c r="G153" i="1"/>
  <c r="H153" i="1"/>
  <c r="J153" i="1"/>
  <c r="C152" i="2"/>
  <c r="H152" i="2"/>
  <c r="I152" i="2"/>
  <c r="G47" i="20"/>
  <c r="G152" i="1"/>
  <c r="H152" i="1"/>
  <c r="G151" i="1"/>
  <c r="H151" i="1"/>
  <c r="F151" i="1"/>
  <c r="I150" i="1"/>
  <c r="G150" i="1"/>
  <c r="H150" i="1"/>
  <c r="J150" i="1"/>
  <c r="F149" i="1"/>
  <c r="I149" i="1"/>
  <c r="G149" i="1"/>
  <c r="H149" i="1"/>
  <c r="C148" i="2"/>
  <c r="H148" i="2"/>
  <c r="I148" i="2"/>
  <c r="G45" i="20"/>
  <c r="G148" i="1"/>
  <c r="H148" i="1"/>
  <c r="G147" i="1"/>
  <c r="H147" i="1"/>
  <c r="F147" i="1"/>
  <c r="I146" i="1"/>
  <c r="G146" i="1"/>
  <c r="H146" i="1"/>
  <c r="J146" i="1"/>
  <c r="I145" i="1"/>
  <c r="G145" i="1"/>
  <c r="H145" i="1"/>
  <c r="G144" i="1"/>
  <c r="H144" i="1"/>
  <c r="I144" i="1"/>
  <c r="J144" i="1"/>
  <c r="G143" i="1"/>
  <c r="H143" i="1"/>
  <c r="F143" i="1"/>
  <c r="I142" i="1"/>
  <c r="G142" i="1"/>
  <c r="H142" i="1"/>
  <c r="J142" i="1"/>
  <c r="F141" i="1"/>
  <c r="I141" i="1"/>
  <c r="G141" i="1"/>
  <c r="H141" i="1"/>
  <c r="J141" i="1"/>
  <c r="C140" i="2"/>
  <c r="H140" i="2"/>
  <c r="I140" i="2"/>
  <c r="G41" i="20"/>
  <c r="I140" i="1"/>
  <c r="G140" i="1"/>
  <c r="H140" i="1"/>
  <c r="J140" i="1"/>
  <c r="G139" i="1"/>
  <c r="H139" i="1"/>
  <c r="F139" i="1"/>
  <c r="I139" i="1"/>
  <c r="J139" i="1"/>
  <c r="I138" i="1"/>
  <c r="G138" i="1"/>
  <c r="H138" i="1"/>
  <c r="J138" i="1"/>
  <c r="F137" i="1"/>
  <c r="I137" i="1"/>
  <c r="G137" i="1"/>
  <c r="H137" i="1"/>
  <c r="J137" i="1"/>
  <c r="C136" i="2"/>
  <c r="H136" i="2"/>
  <c r="I136" i="2"/>
  <c r="G39" i="20"/>
  <c r="G136" i="1"/>
  <c r="H136" i="1"/>
  <c r="G135" i="1"/>
  <c r="H135" i="1"/>
  <c r="F135" i="1"/>
  <c r="I134" i="1"/>
  <c r="G134" i="1"/>
  <c r="H134" i="1"/>
  <c r="J134" i="1"/>
  <c r="F133" i="1"/>
  <c r="I133" i="1"/>
  <c r="G133" i="1"/>
  <c r="H133" i="1"/>
  <c r="C132" i="2"/>
  <c r="H132" i="2"/>
  <c r="I132" i="2"/>
  <c r="G37" i="20"/>
  <c r="G132" i="1"/>
  <c r="H132" i="1"/>
  <c r="G131" i="1"/>
  <c r="H131" i="1"/>
  <c r="F131" i="1"/>
  <c r="I130" i="1"/>
  <c r="G130" i="1"/>
  <c r="H130" i="1"/>
  <c r="J130" i="1"/>
  <c r="I129" i="1"/>
  <c r="G129" i="1"/>
  <c r="H129" i="1"/>
  <c r="G128" i="1"/>
  <c r="H128" i="1"/>
  <c r="F128" i="1"/>
  <c r="I128" i="1"/>
  <c r="J128" i="1"/>
  <c r="C127" i="2"/>
  <c r="H127" i="2"/>
  <c r="G127" i="2"/>
  <c r="G127" i="1"/>
  <c r="H127" i="1"/>
  <c r="F127" i="1"/>
  <c r="I126" i="1"/>
  <c r="G126" i="1"/>
  <c r="H126" i="1"/>
  <c r="J126" i="1"/>
  <c r="I125" i="1"/>
  <c r="G125" i="1"/>
  <c r="H125" i="1"/>
  <c r="J125" i="1"/>
  <c r="F124" i="1"/>
  <c r="I124" i="1"/>
  <c r="G124" i="1"/>
  <c r="H124" i="1"/>
  <c r="J124" i="1"/>
  <c r="C123" i="2"/>
  <c r="H123" i="2"/>
  <c r="G123" i="2"/>
  <c r="G123" i="1"/>
  <c r="H123" i="1"/>
  <c r="F123" i="1"/>
  <c r="I122" i="1"/>
  <c r="G122" i="1"/>
  <c r="H122" i="1"/>
  <c r="J122" i="1"/>
  <c r="I121" i="1"/>
  <c r="G121" i="1"/>
  <c r="H121" i="1"/>
  <c r="J121" i="1"/>
  <c r="G120" i="1"/>
  <c r="H120" i="1"/>
  <c r="F120" i="1"/>
  <c r="C119" i="2"/>
  <c r="H119" i="2"/>
  <c r="G119" i="2"/>
  <c r="G119" i="1"/>
  <c r="H119" i="1"/>
  <c r="F119" i="1"/>
  <c r="I118" i="1"/>
  <c r="G118" i="1"/>
  <c r="H118" i="1"/>
  <c r="J118" i="1"/>
  <c r="F117" i="1"/>
  <c r="I117" i="1"/>
  <c r="G117" i="1"/>
  <c r="H117" i="1"/>
  <c r="C116" i="2"/>
  <c r="H116" i="2"/>
  <c r="I116" i="2"/>
  <c r="G29" i="20"/>
  <c r="G116" i="1"/>
  <c r="H116" i="1"/>
  <c r="F116" i="1"/>
  <c r="C115" i="2"/>
  <c r="H115" i="2"/>
  <c r="I115" i="2"/>
  <c r="G115" i="1"/>
  <c r="H115" i="1"/>
  <c r="F114" i="1"/>
  <c r="I114" i="1"/>
  <c r="G114" i="1"/>
  <c r="H114" i="1"/>
  <c r="J114" i="1"/>
  <c r="C113" i="2"/>
  <c r="H113" i="2"/>
  <c r="I113" i="2"/>
  <c r="G28" i="20"/>
  <c r="F113" i="1"/>
  <c r="I113" i="1"/>
  <c r="G113" i="1"/>
  <c r="H113" i="1"/>
  <c r="C112" i="2"/>
  <c r="H112" i="2"/>
  <c r="I112" i="2"/>
  <c r="G112" i="1"/>
  <c r="H112" i="1"/>
  <c r="I112" i="1"/>
  <c r="J112" i="1"/>
  <c r="G111" i="1"/>
  <c r="H111" i="1"/>
  <c r="F111" i="1"/>
  <c r="F110" i="1"/>
  <c r="I110" i="1"/>
  <c r="G110" i="1"/>
  <c r="H110" i="1"/>
  <c r="J110" i="1"/>
  <c r="C109" i="2"/>
  <c r="H109" i="2"/>
  <c r="I109" i="2"/>
  <c r="I109" i="1"/>
  <c r="G109" i="1"/>
  <c r="H109" i="1"/>
  <c r="J109" i="1"/>
  <c r="G27" i="23"/>
  <c r="F108" i="1"/>
  <c r="I108" i="1"/>
  <c r="G108" i="1"/>
  <c r="H108" i="1"/>
  <c r="J108" i="1"/>
  <c r="C107" i="2"/>
  <c r="H107" i="2"/>
  <c r="I107" i="2"/>
  <c r="G26" i="20"/>
  <c r="G107" i="1"/>
  <c r="H107" i="1"/>
  <c r="F107" i="1"/>
  <c r="I107" i="1"/>
  <c r="J107" i="1"/>
  <c r="I106" i="1"/>
  <c r="G106" i="1"/>
  <c r="H106" i="1"/>
  <c r="J106" i="1"/>
  <c r="I105" i="1"/>
  <c r="G105" i="1"/>
  <c r="H105" i="1"/>
  <c r="J105" i="1"/>
  <c r="G104" i="1"/>
  <c r="H104" i="1"/>
  <c r="F104" i="1"/>
  <c r="I104" i="1"/>
  <c r="J104" i="1"/>
  <c r="G103" i="1"/>
  <c r="H103" i="1"/>
  <c r="F102" i="1"/>
  <c r="I102" i="1"/>
  <c r="G102" i="1"/>
  <c r="H102" i="1"/>
  <c r="J102" i="1"/>
  <c r="C101" i="2"/>
  <c r="H101" i="2"/>
  <c r="I101" i="2"/>
  <c r="G24" i="20"/>
  <c r="F101" i="1"/>
  <c r="I101" i="1"/>
  <c r="G101" i="1"/>
  <c r="H101" i="1"/>
  <c r="C100" i="2"/>
  <c r="H100" i="2"/>
  <c r="I100" i="2"/>
  <c r="G100" i="1"/>
  <c r="H100" i="1"/>
  <c r="G99" i="1"/>
  <c r="H99" i="1"/>
  <c r="F99" i="1"/>
  <c r="F98" i="1"/>
  <c r="I98" i="1"/>
  <c r="G98" i="1"/>
  <c r="H98" i="1"/>
  <c r="J98" i="1"/>
  <c r="F97" i="1"/>
  <c r="I97" i="1"/>
  <c r="G97" i="1"/>
  <c r="H97" i="1"/>
  <c r="C97" i="2"/>
  <c r="H97" i="2"/>
  <c r="I97" i="2"/>
  <c r="G96" i="1"/>
  <c r="H96" i="1"/>
  <c r="I96" i="1"/>
  <c r="J96" i="1"/>
  <c r="G95" i="1"/>
  <c r="H95" i="1"/>
  <c r="I95" i="1"/>
  <c r="J95" i="1"/>
  <c r="I94" i="1"/>
  <c r="G94" i="1"/>
  <c r="H94" i="1"/>
  <c r="G93" i="1"/>
  <c r="H93" i="1"/>
  <c r="G92" i="1"/>
  <c r="H92" i="1"/>
  <c r="F92" i="1"/>
  <c r="C92" i="2"/>
  <c r="H92" i="2"/>
  <c r="I92" i="2"/>
  <c r="G21" i="20"/>
  <c r="G91" i="1"/>
  <c r="H91" i="1"/>
  <c r="F91" i="1"/>
  <c r="I91" i="1"/>
  <c r="J91" i="1"/>
  <c r="F90" i="1"/>
  <c r="I90" i="1"/>
  <c r="G90" i="1"/>
  <c r="H90" i="1"/>
  <c r="J90" i="1"/>
  <c r="C90" i="2"/>
  <c r="H90" i="2"/>
  <c r="I90" i="2"/>
  <c r="G89" i="1"/>
  <c r="H89" i="1"/>
  <c r="G88" i="1"/>
  <c r="H88" i="1"/>
  <c r="F88" i="1"/>
  <c r="C88" i="2"/>
  <c r="H88" i="2"/>
  <c r="I88" i="2"/>
  <c r="G20" i="20"/>
  <c r="G87" i="1"/>
  <c r="H87" i="1"/>
  <c r="F87" i="1"/>
  <c r="I86" i="1"/>
  <c r="G86" i="1"/>
  <c r="H86" i="1"/>
  <c r="J86" i="1"/>
  <c r="I85" i="1"/>
  <c r="G85" i="1"/>
  <c r="H85" i="1"/>
  <c r="J85" i="1"/>
  <c r="F84" i="1"/>
  <c r="I84" i="1"/>
  <c r="G84" i="1"/>
  <c r="H84" i="1"/>
  <c r="J84" i="1"/>
  <c r="C84" i="2"/>
  <c r="H84" i="2"/>
  <c r="I84" i="2"/>
  <c r="G19" i="20"/>
  <c r="G83" i="1"/>
  <c r="H83" i="1"/>
  <c r="I83" i="1"/>
  <c r="J83" i="1"/>
  <c r="I82" i="1"/>
  <c r="G82" i="1"/>
  <c r="H82" i="1"/>
  <c r="J82" i="1"/>
  <c r="F81" i="1"/>
  <c r="I81" i="1"/>
  <c r="G81" i="1"/>
  <c r="H81" i="1"/>
  <c r="J81" i="1"/>
  <c r="C81" i="2"/>
  <c r="H81" i="2"/>
  <c r="I81" i="2"/>
  <c r="G18" i="20"/>
  <c r="G80" i="1"/>
  <c r="H80" i="1"/>
  <c r="F80" i="1"/>
  <c r="I80" i="1"/>
  <c r="J80" i="1"/>
  <c r="C80" i="2"/>
  <c r="H80" i="2"/>
  <c r="I80" i="2"/>
  <c r="G79" i="1"/>
  <c r="H79" i="1"/>
  <c r="I78" i="1"/>
  <c r="G78" i="1"/>
  <c r="H78" i="1"/>
  <c r="G77" i="1"/>
  <c r="H77" i="1"/>
  <c r="F77" i="1"/>
  <c r="C77" i="2"/>
  <c r="H77" i="2"/>
  <c r="I77" i="2"/>
  <c r="G76" i="1"/>
  <c r="H76" i="1"/>
  <c r="F76" i="1"/>
  <c r="C76" i="2"/>
  <c r="H76" i="2"/>
  <c r="I76" i="2"/>
  <c r="G75" i="1"/>
  <c r="H75" i="1"/>
  <c r="F75" i="1"/>
  <c r="I74" i="1"/>
  <c r="G74" i="1"/>
  <c r="H74" i="1"/>
  <c r="J74" i="1"/>
  <c r="G73" i="1"/>
  <c r="H73" i="1"/>
  <c r="G72" i="1"/>
  <c r="H72" i="1"/>
  <c r="F72" i="1"/>
  <c r="C72" i="2"/>
  <c r="H72" i="2"/>
  <c r="I72" i="2"/>
  <c r="G16" i="20"/>
  <c r="G71" i="1"/>
  <c r="H71" i="1"/>
  <c r="F71" i="1"/>
  <c r="I71" i="1"/>
  <c r="J71" i="1"/>
  <c r="I70" i="1"/>
  <c r="G70" i="1"/>
  <c r="H70" i="1"/>
  <c r="J70" i="1"/>
  <c r="G16" i="23"/>
  <c r="F69" i="1"/>
  <c r="I69" i="1"/>
  <c r="G69" i="1"/>
  <c r="H69" i="1"/>
  <c r="J69" i="1"/>
  <c r="C69" i="2"/>
  <c r="H69" i="2"/>
  <c r="I69" i="2"/>
  <c r="G15" i="20"/>
  <c r="F68" i="1"/>
  <c r="I68" i="1"/>
  <c r="G68" i="1"/>
  <c r="H68" i="1"/>
  <c r="J68" i="1"/>
  <c r="C68" i="2"/>
  <c r="H68" i="2"/>
  <c r="I68" i="2"/>
  <c r="G67" i="1"/>
  <c r="H67" i="1"/>
  <c r="F66" i="1"/>
  <c r="I66" i="1"/>
  <c r="G66" i="1"/>
  <c r="H66" i="1"/>
  <c r="J66" i="1"/>
  <c r="C66" i="2"/>
  <c r="H66" i="2"/>
  <c r="I66" i="2"/>
  <c r="G14" i="20"/>
  <c r="F65" i="1"/>
  <c r="I65" i="1"/>
  <c r="G65" i="1"/>
  <c r="H65" i="1"/>
  <c r="J65" i="1"/>
  <c r="C65" i="2"/>
  <c r="H65" i="2"/>
  <c r="I65" i="2"/>
  <c r="G64" i="1"/>
  <c r="H64" i="1"/>
  <c r="I64" i="1"/>
  <c r="J64" i="1"/>
  <c r="G63" i="1"/>
  <c r="H63" i="1"/>
  <c r="F63" i="1"/>
  <c r="I62" i="1"/>
  <c r="G62" i="1"/>
  <c r="H62" i="1"/>
  <c r="G61" i="1"/>
  <c r="H61" i="1"/>
  <c r="G60" i="1"/>
  <c r="H60" i="1"/>
  <c r="F60" i="1"/>
  <c r="C60" i="2"/>
  <c r="H60" i="2"/>
  <c r="I60" i="2"/>
  <c r="G12" i="20"/>
  <c r="I59" i="1"/>
  <c r="G59" i="1"/>
  <c r="H59" i="1"/>
  <c r="I58" i="1"/>
  <c r="G58" i="1"/>
  <c r="H58" i="1"/>
  <c r="J58" i="1"/>
  <c r="G57" i="1"/>
  <c r="H57" i="1"/>
  <c r="F57" i="1"/>
  <c r="I56" i="1"/>
  <c r="G56" i="1"/>
  <c r="H56" i="1"/>
  <c r="J56" i="1"/>
  <c r="I55" i="1"/>
  <c r="G55" i="1"/>
  <c r="H55" i="1"/>
  <c r="J55" i="1"/>
  <c r="G54" i="1"/>
  <c r="H54" i="1"/>
  <c r="I54" i="1"/>
  <c r="J54" i="1"/>
  <c r="G53" i="1"/>
  <c r="H53" i="1"/>
  <c r="F53" i="1"/>
  <c r="I52" i="1"/>
  <c r="G52" i="1"/>
  <c r="H52" i="1"/>
  <c r="G51" i="1"/>
  <c r="H51" i="1"/>
  <c r="F51" i="1"/>
  <c r="C51" i="2"/>
  <c r="H51" i="2"/>
  <c r="I51" i="2"/>
  <c r="G9" i="20"/>
  <c r="G50" i="1"/>
  <c r="H50" i="1"/>
  <c r="F50" i="1"/>
  <c r="C50" i="2"/>
  <c r="H50" i="2"/>
  <c r="I50" i="2"/>
  <c r="G49" i="1"/>
  <c r="H49" i="1"/>
  <c r="F48" i="1"/>
  <c r="I48" i="1"/>
  <c r="G48" i="1"/>
  <c r="H48" i="1"/>
  <c r="J48" i="1"/>
  <c r="C48" i="2"/>
  <c r="H48" i="2"/>
  <c r="I48" i="2"/>
  <c r="G8" i="20"/>
  <c r="G47" i="1"/>
  <c r="H47" i="1"/>
  <c r="F47" i="1"/>
  <c r="C47" i="2"/>
  <c r="H47" i="2"/>
  <c r="I47" i="2"/>
  <c r="G46" i="1"/>
  <c r="H46" i="1"/>
  <c r="F46" i="1"/>
  <c r="C46" i="2"/>
  <c r="H46" i="2"/>
  <c r="I46" i="2"/>
  <c r="G45" i="1"/>
  <c r="H45" i="1"/>
  <c r="F45" i="1"/>
  <c r="I45" i="1"/>
  <c r="J45" i="1"/>
  <c r="I44" i="1"/>
  <c r="G44" i="1"/>
  <c r="H44" i="1"/>
  <c r="J44" i="1"/>
  <c r="I43" i="1"/>
  <c r="G43" i="1"/>
  <c r="H43" i="1"/>
  <c r="J43" i="1"/>
  <c r="F42" i="1"/>
  <c r="I42" i="1"/>
  <c r="G42" i="1"/>
  <c r="H42" i="1"/>
  <c r="J42" i="1"/>
  <c r="C42" i="2"/>
  <c r="H42" i="2"/>
  <c r="I42" i="2"/>
  <c r="G7" i="20"/>
  <c r="G41" i="1"/>
  <c r="H41" i="1"/>
  <c r="F41" i="1"/>
  <c r="I40" i="1"/>
  <c r="G40" i="1"/>
  <c r="H40" i="1"/>
  <c r="J40" i="1"/>
  <c r="G7" i="23"/>
  <c r="F39" i="1"/>
  <c r="I39" i="1"/>
  <c r="G39" i="1"/>
  <c r="H39" i="1"/>
  <c r="J39" i="1"/>
  <c r="C39" i="2"/>
  <c r="H39" i="2"/>
  <c r="I39" i="2"/>
  <c r="G6" i="20"/>
  <c r="G38" i="1"/>
  <c r="H38" i="1"/>
  <c r="F38" i="1"/>
  <c r="I38" i="1"/>
  <c r="J38" i="1"/>
  <c r="C38" i="2"/>
  <c r="H38" i="2"/>
  <c r="I38" i="2"/>
  <c r="G37" i="1"/>
  <c r="H37" i="1"/>
  <c r="F36" i="1"/>
  <c r="I36" i="1"/>
  <c r="G36" i="1"/>
  <c r="H36" i="1"/>
  <c r="C36" i="2"/>
  <c r="H36" i="2"/>
  <c r="I36" i="2"/>
  <c r="G5" i="20"/>
  <c r="G35" i="1"/>
  <c r="H35" i="1"/>
  <c r="F35" i="1"/>
  <c r="I35" i="1"/>
  <c r="J35" i="1"/>
  <c r="G34" i="1"/>
  <c r="H34" i="1"/>
  <c r="F34" i="1"/>
  <c r="C34" i="2"/>
  <c r="H34" i="2"/>
  <c r="I34" i="2"/>
  <c r="F33" i="1"/>
  <c r="I33" i="1"/>
  <c r="G33" i="1"/>
  <c r="H33" i="1"/>
  <c r="J33" i="1"/>
  <c r="C33" i="2"/>
  <c r="H33" i="2"/>
  <c r="I33" i="2"/>
  <c r="I32" i="1"/>
  <c r="G32" i="1"/>
  <c r="H32" i="1"/>
  <c r="J32" i="1"/>
  <c r="G31" i="1"/>
  <c r="H31" i="1"/>
  <c r="F31" i="1"/>
  <c r="C31" i="2"/>
  <c r="H31" i="2"/>
  <c r="I31" i="2"/>
  <c r="G30" i="1"/>
  <c r="H30" i="1"/>
  <c r="F30" i="1"/>
  <c r="C30" i="2"/>
  <c r="H30" i="2"/>
  <c r="I30" i="2"/>
  <c r="F29" i="1"/>
  <c r="I29" i="1"/>
  <c r="G29" i="1"/>
  <c r="H29" i="1"/>
  <c r="J29" i="1"/>
  <c r="C29" i="2"/>
  <c r="H29" i="2"/>
  <c r="I29" i="2"/>
  <c r="I28" i="1"/>
  <c r="G28" i="1"/>
  <c r="H28" i="1"/>
  <c r="J28" i="1"/>
  <c r="G27" i="1"/>
  <c r="H27" i="1"/>
  <c r="F27" i="1"/>
  <c r="C27" i="2"/>
  <c r="H27" i="2"/>
  <c r="I27" i="2"/>
  <c r="G4" i="20"/>
  <c r="G25" i="1"/>
  <c r="H25" i="1"/>
  <c r="F24" i="1"/>
  <c r="I24" i="1"/>
  <c r="G24" i="1"/>
  <c r="H24" i="1"/>
  <c r="J24" i="1"/>
  <c r="C24" i="2"/>
  <c r="H24" i="2"/>
  <c r="I24" i="2"/>
  <c r="G3" i="20"/>
  <c r="I23" i="1"/>
  <c r="G23" i="1"/>
  <c r="H23" i="1"/>
  <c r="J23" i="1"/>
  <c r="G22" i="1"/>
  <c r="H22" i="1"/>
  <c r="F22" i="1"/>
  <c r="C22" i="2"/>
  <c r="H22" i="2"/>
  <c r="I22" i="2"/>
  <c r="G2" i="20"/>
  <c r="G21" i="1"/>
  <c r="H21" i="1"/>
  <c r="F21" i="1"/>
  <c r="C21" i="2"/>
  <c r="H21" i="2"/>
  <c r="I21" i="2"/>
  <c r="F20" i="1"/>
  <c r="I20" i="1"/>
  <c r="G20" i="1"/>
  <c r="H20" i="1"/>
  <c r="J20" i="1"/>
  <c r="C20" i="2"/>
  <c r="H20" i="2"/>
  <c r="I20" i="2"/>
  <c r="F19" i="1"/>
  <c r="I19" i="1"/>
  <c r="G19" i="1"/>
  <c r="H19" i="1"/>
  <c r="J19" i="1"/>
  <c r="C19" i="2"/>
  <c r="H19" i="2"/>
  <c r="I19" i="2"/>
  <c r="G18" i="1"/>
  <c r="H18" i="1"/>
  <c r="F18" i="1"/>
  <c r="C18" i="2"/>
  <c r="H18" i="2"/>
  <c r="I18" i="2"/>
  <c r="G17" i="1"/>
  <c r="H17" i="1"/>
  <c r="F17" i="1"/>
  <c r="C17" i="2"/>
  <c r="H17" i="2"/>
  <c r="I17" i="2"/>
  <c r="I16" i="1"/>
  <c r="G16" i="1"/>
  <c r="H16" i="1"/>
  <c r="J16" i="1"/>
  <c r="F15" i="1"/>
  <c r="I15" i="1"/>
  <c r="G15" i="1"/>
  <c r="H15" i="1"/>
  <c r="J15" i="1"/>
  <c r="G14" i="1"/>
  <c r="H14" i="1"/>
  <c r="F14" i="1"/>
  <c r="C14" i="2"/>
  <c r="H14" i="2"/>
  <c r="I14" i="2"/>
  <c r="G13" i="1"/>
  <c r="H13" i="1"/>
  <c r="F13" i="1"/>
  <c r="C13" i="2"/>
  <c r="H13" i="2"/>
  <c r="I13" i="2"/>
  <c r="F12" i="1"/>
  <c r="I12" i="1"/>
  <c r="G12" i="1"/>
  <c r="H12" i="1"/>
  <c r="J12" i="1"/>
  <c r="C12" i="2"/>
  <c r="H12" i="2"/>
  <c r="I12" i="2"/>
  <c r="I11" i="1"/>
  <c r="G11" i="1"/>
  <c r="H11" i="1"/>
  <c r="J11" i="1"/>
  <c r="G10" i="1"/>
  <c r="H10" i="1"/>
  <c r="F10" i="1"/>
  <c r="C10" i="2"/>
  <c r="H10" i="2"/>
  <c r="I10" i="2"/>
  <c r="G9" i="1"/>
  <c r="H9" i="1"/>
  <c r="F9" i="1"/>
  <c r="C9" i="2"/>
  <c r="H9" i="2"/>
  <c r="I9" i="2"/>
  <c r="F8" i="1"/>
  <c r="I8" i="1"/>
  <c r="G8" i="1"/>
  <c r="H8" i="1"/>
  <c r="J8" i="1"/>
  <c r="C8" i="2"/>
  <c r="H8" i="2"/>
  <c r="I8" i="2"/>
  <c r="F7" i="1"/>
  <c r="I7" i="1"/>
  <c r="G7" i="1"/>
  <c r="H7" i="1"/>
  <c r="J7" i="1"/>
  <c r="C7" i="2"/>
  <c r="H7" i="2"/>
  <c r="I7" i="2"/>
  <c r="G6" i="1"/>
  <c r="H6" i="1"/>
  <c r="F6" i="1"/>
  <c r="C6" i="2"/>
  <c r="H6" i="2"/>
  <c r="I6" i="2"/>
  <c r="G5" i="1"/>
  <c r="H5" i="1"/>
  <c r="F5" i="1"/>
  <c r="C5" i="2"/>
  <c r="H5" i="2"/>
  <c r="I5" i="2"/>
  <c r="F4" i="1"/>
  <c r="I4" i="1"/>
  <c r="G4" i="1"/>
  <c r="H4" i="1"/>
  <c r="J4" i="1"/>
  <c r="C4" i="2"/>
  <c r="H4" i="2"/>
  <c r="I4" i="2"/>
  <c r="I3" i="1"/>
  <c r="G3" i="1"/>
  <c r="H3" i="1"/>
  <c r="J3" i="1"/>
  <c r="E100" i="23"/>
  <c r="I100" i="23"/>
  <c r="J100" i="23"/>
  <c r="E99" i="23"/>
  <c r="I99" i="23"/>
  <c r="J99" i="23"/>
  <c r="E104" i="23"/>
  <c r="I104" i="23"/>
  <c r="J104" i="23"/>
  <c r="E102" i="23"/>
  <c r="J102" i="23"/>
  <c r="E105" i="23"/>
  <c r="I105" i="23"/>
  <c r="J105" i="23"/>
  <c r="E103" i="23"/>
  <c r="I103" i="23"/>
  <c r="J103" i="23"/>
  <c r="I4" i="20"/>
  <c r="J4" i="20"/>
  <c r="H4" i="20"/>
  <c r="K4" i="20"/>
  <c r="H2" i="20"/>
  <c r="I2" i="20"/>
  <c r="J2" i="20"/>
  <c r="K2" i="20"/>
  <c r="H142" i="20"/>
  <c r="K142" i="20"/>
  <c r="I142" i="20"/>
  <c r="J142" i="20"/>
  <c r="L143" i="20"/>
  <c r="K3" i="20"/>
  <c r="I3" i="20"/>
  <c r="J3" i="20"/>
  <c r="L4" i="20"/>
  <c r="H3" i="20"/>
  <c r="H141" i="20"/>
  <c r="K141" i="20"/>
  <c r="I141" i="20"/>
  <c r="J141" i="20"/>
  <c r="L142" i="20"/>
  <c r="P4" i="20"/>
  <c r="P98" i="23"/>
  <c r="P99" i="23"/>
  <c r="P100" i="23"/>
  <c r="P101" i="23"/>
  <c r="P102" i="23"/>
  <c r="P103" i="23"/>
  <c r="P104" i="23"/>
  <c r="P105" i="23"/>
  <c r="P106" i="23"/>
  <c r="P107" i="23"/>
  <c r="P108" i="23"/>
  <c r="P109" i="23"/>
  <c r="P110" i="23"/>
  <c r="P111" i="23"/>
  <c r="P112" i="23"/>
  <c r="P113" i="23"/>
  <c r="P114" i="23"/>
  <c r="P115" i="23"/>
  <c r="P116" i="23"/>
  <c r="P117" i="23"/>
  <c r="P118" i="23"/>
  <c r="P119" i="23"/>
  <c r="P120" i="23"/>
  <c r="P121" i="23"/>
  <c r="P122" i="23"/>
  <c r="P123" i="23"/>
  <c r="P124" i="23"/>
  <c r="P125" i="23"/>
  <c r="P126" i="23"/>
  <c r="P127" i="23"/>
  <c r="P128" i="23"/>
  <c r="P129" i="23"/>
  <c r="P130" i="23"/>
  <c r="P131" i="23"/>
  <c r="P132" i="23"/>
  <c r="P133" i="23"/>
  <c r="P134" i="23"/>
  <c r="P135" i="23"/>
  <c r="P136" i="23"/>
  <c r="P137" i="23"/>
  <c r="P138" i="23"/>
  <c r="P139" i="23"/>
  <c r="P140" i="23"/>
  <c r="P141" i="23"/>
  <c r="P142" i="23"/>
  <c r="P143" i="23"/>
  <c r="G143" i="23"/>
  <c r="J32" i="20"/>
  <c r="L33" i="20"/>
  <c r="J33" i="20"/>
  <c r="L34" i="20"/>
  <c r="J35" i="20"/>
  <c r="J31" i="20"/>
  <c r="L32" i="20"/>
  <c r="J57" i="20"/>
  <c r="J34" i="20"/>
  <c r="L35" i="20"/>
  <c r="F34" i="20"/>
  <c r="F30" i="20"/>
  <c r="J30" i="20"/>
  <c r="L31" i="20"/>
  <c r="J114" i="20"/>
  <c r="D106" i="23"/>
  <c r="F106" i="23"/>
  <c r="D98" i="23"/>
  <c r="F98" i="23"/>
  <c r="D101" i="23"/>
  <c r="F101" i="23"/>
  <c r="D97" i="23"/>
  <c r="F97" i="23"/>
  <c r="G68" i="23"/>
  <c r="G42" i="23"/>
  <c r="G111" i="23"/>
  <c r="G12" i="23"/>
  <c r="G37" i="23"/>
  <c r="G54" i="23"/>
  <c r="G57" i="23"/>
  <c r="G69" i="23"/>
  <c r="G82" i="23"/>
  <c r="G89" i="23"/>
  <c r="G92" i="23"/>
  <c r="K104" i="23"/>
  <c r="G104" i="23"/>
  <c r="G24" i="23"/>
  <c r="G38" i="23"/>
  <c r="G41" i="23"/>
  <c r="G50" i="23"/>
  <c r="G63" i="23"/>
  <c r="G70" i="23"/>
  <c r="G73" i="23"/>
  <c r="G88" i="23"/>
  <c r="K98" i="23"/>
  <c r="I98" i="23"/>
  <c r="G98" i="23"/>
  <c r="K105" i="23"/>
  <c r="G105" i="23"/>
  <c r="K108" i="23"/>
  <c r="G108" i="23"/>
  <c r="K112" i="23"/>
  <c r="G112" i="23"/>
  <c r="K121" i="23"/>
  <c r="G121" i="23"/>
  <c r="K124" i="23"/>
  <c r="G124" i="23"/>
  <c r="K116" i="23"/>
  <c r="G116" i="23"/>
  <c r="K107" i="23"/>
  <c r="G107" i="23"/>
  <c r="G72" i="23"/>
  <c r="G14" i="23"/>
  <c r="H82" i="20"/>
  <c r="K82" i="20"/>
  <c r="I82" i="20"/>
  <c r="J82" i="20"/>
  <c r="K137" i="20"/>
  <c r="H137" i="20"/>
  <c r="I137" i="20"/>
  <c r="J137" i="20"/>
  <c r="K3" i="23"/>
  <c r="G3" i="23"/>
  <c r="G4" i="23"/>
  <c r="G5" i="23"/>
  <c r="I5" i="20"/>
  <c r="J5" i="20"/>
  <c r="K5" i="20"/>
  <c r="H5" i="20"/>
  <c r="I12" i="20"/>
  <c r="J12" i="20"/>
  <c r="K12" i="20"/>
  <c r="H12" i="20"/>
  <c r="I19" i="20"/>
  <c r="J19" i="20"/>
  <c r="K19" i="20"/>
  <c r="H19" i="20"/>
  <c r="G22" i="23"/>
  <c r="G55" i="23"/>
  <c r="G62" i="23"/>
  <c r="G65" i="23"/>
  <c r="G80" i="23"/>
  <c r="G90" i="23"/>
  <c r="I97" i="23"/>
  <c r="G97" i="23"/>
  <c r="K100" i="23"/>
  <c r="G100" i="23"/>
  <c r="L115" i="23"/>
  <c r="K114" i="23"/>
  <c r="G114" i="23"/>
  <c r="K124" i="20"/>
  <c r="I124" i="20"/>
  <c r="J124" i="20"/>
  <c r="H124" i="20"/>
  <c r="K126" i="23"/>
  <c r="L126" i="23"/>
  <c r="G125" i="23"/>
  <c r="K125" i="23"/>
  <c r="H134" i="20"/>
  <c r="I134" i="20"/>
  <c r="J134" i="20"/>
  <c r="K135" i="20"/>
  <c r="L135" i="20"/>
  <c r="K134" i="20"/>
  <c r="K138" i="23"/>
  <c r="G138" i="23"/>
  <c r="K132" i="23"/>
  <c r="G132" i="23"/>
  <c r="K119" i="23"/>
  <c r="L119" i="23"/>
  <c r="K118" i="23"/>
  <c r="G118" i="23"/>
  <c r="G83" i="23"/>
  <c r="G48" i="23"/>
  <c r="G8" i="23"/>
  <c r="G19" i="23"/>
  <c r="K37" i="20"/>
  <c r="H37" i="20"/>
  <c r="I37" i="20"/>
  <c r="J37" i="20"/>
  <c r="I10" i="1"/>
  <c r="J10" i="1"/>
  <c r="I14" i="1"/>
  <c r="J14" i="1"/>
  <c r="I46" i="1"/>
  <c r="J46" i="1"/>
  <c r="I103" i="1"/>
  <c r="J103" i="1"/>
  <c r="I9" i="1"/>
  <c r="J9" i="1"/>
  <c r="I13" i="1"/>
  <c r="J13" i="1"/>
  <c r="I25" i="1"/>
  <c r="J25" i="1"/>
  <c r="I30" i="1"/>
  <c r="J30" i="1"/>
  <c r="I219" i="1"/>
  <c r="J219" i="1"/>
  <c r="I75" i="1"/>
  <c r="J75" i="1"/>
  <c r="I119" i="1"/>
  <c r="J119" i="1"/>
  <c r="I216" i="1"/>
  <c r="J216" i="1"/>
  <c r="I331" i="1"/>
  <c r="J331" i="1"/>
  <c r="K113" i="23"/>
  <c r="G113" i="23"/>
  <c r="K120" i="23"/>
  <c r="G120" i="23"/>
  <c r="K129" i="20"/>
  <c r="I129" i="20"/>
  <c r="J129" i="20"/>
  <c r="K130" i="20"/>
  <c r="L130" i="20"/>
  <c r="H129" i="20"/>
  <c r="G91" i="23"/>
  <c r="G56" i="23"/>
  <c r="G26" i="23"/>
  <c r="K53" i="20"/>
  <c r="I53" i="20"/>
  <c r="J53" i="20"/>
  <c r="H53" i="20"/>
  <c r="K9" i="20"/>
  <c r="H9" i="20"/>
  <c r="I9" i="20"/>
  <c r="J9" i="20"/>
  <c r="K10" i="20"/>
  <c r="L10" i="20"/>
  <c r="H15" i="20"/>
  <c r="K15" i="20"/>
  <c r="I15" i="20"/>
  <c r="J15" i="20"/>
  <c r="G21" i="23"/>
  <c r="G39" i="23"/>
  <c r="G61" i="23"/>
  <c r="G71" i="23"/>
  <c r="G81" i="23"/>
  <c r="G84" i="23"/>
  <c r="G96" i="23"/>
  <c r="K106" i="23"/>
  <c r="I106" i="23"/>
  <c r="G106" i="23"/>
  <c r="L118" i="23"/>
  <c r="G117" i="23"/>
  <c r="K117" i="23"/>
  <c r="G122" i="23"/>
  <c r="K122" i="23"/>
  <c r="G130" i="23"/>
  <c r="K130" i="23"/>
  <c r="L143" i="23"/>
  <c r="K142" i="23"/>
  <c r="G142" i="23"/>
  <c r="L100" i="23"/>
  <c r="K99" i="23"/>
  <c r="G99" i="23"/>
  <c r="G64" i="23"/>
  <c r="G28" i="23"/>
  <c r="K69" i="20"/>
  <c r="I69" i="20"/>
  <c r="J69" i="20"/>
  <c r="H69" i="20"/>
  <c r="H22" i="20"/>
  <c r="I22" i="20"/>
  <c r="J22" i="20"/>
  <c r="K22" i="20"/>
  <c r="I123" i="1"/>
  <c r="J123" i="1"/>
  <c r="I136" i="1"/>
  <c r="J136" i="1"/>
  <c r="I231" i="1"/>
  <c r="J231" i="1"/>
  <c r="I311" i="1"/>
  <c r="J311" i="1"/>
  <c r="I328" i="1"/>
  <c r="J328" i="1"/>
  <c r="I120" i="1"/>
  <c r="J120" i="1"/>
  <c r="I235" i="1"/>
  <c r="J235" i="1"/>
  <c r="I8" i="20"/>
  <c r="J8" i="20"/>
  <c r="L9" i="20"/>
  <c r="H8" i="20"/>
  <c r="K8" i="20"/>
  <c r="K29" i="20"/>
  <c r="H29" i="20"/>
  <c r="I29" i="20"/>
  <c r="J29" i="20"/>
  <c r="L30" i="20"/>
  <c r="C150" i="2"/>
  <c r="H150" i="2"/>
  <c r="I150" i="2"/>
  <c r="G46" i="20"/>
  <c r="I151" i="1"/>
  <c r="J151" i="1"/>
  <c r="C230" i="2"/>
  <c r="H230" i="2"/>
  <c r="I230" i="2"/>
  <c r="G89" i="20"/>
  <c r="C294" i="2"/>
  <c r="H294" i="2"/>
  <c r="I294" i="2"/>
  <c r="G121" i="20"/>
  <c r="I295" i="1"/>
  <c r="J295" i="1"/>
  <c r="H128" i="20"/>
  <c r="K128" i="20"/>
  <c r="I128" i="20"/>
  <c r="J128" i="20"/>
  <c r="L129" i="20"/>
  <c r="I327" i="1"/>
  <c r="J327" i="1"/>
  <c r="G43" i="23"/>
  <c r="G10" i="23"/>
  <c r="K61" i="20"/>
  <c r="I61" i="20"/>
  <c r="J61" i="20"/>
  <c r="H61" i="20"/>
  <c r="G51" i="20"/>
  <c r="G75" i="20"/>
  <c r="K25" i="20"/>
  <c r="I25" i="20"/>
  <c r="J25" i="20"/>
  <c r="K26" i="20"/>
  <c r="L26" i="20"/>
  <c r="H25" i="20"/>
  <c r="I10" i="20"/>
  <c r="J10" i="20"/>
  <c r="H10" i="20"/>
  <c r="K117" i="20"/>
  <c r="I117" i="20"/>
  <c r="J117" i="20"/>
  <c r="H117" i="20"/>
  <c r="K92" i="20"/>
  <c r="I92" i="20"/>
  <c r="J92" i="20"/>
  <c r="H92" i="20"/>
  <c r="I16" i="20"/>
  <c r="J16" i="20"/>
  <c r="H16" i="20"/>
  <c r="K16" i="20"/>
  <c r="I20" i="20"/>
  <c r="J20" i="20"/>
  <c r="H20" i="20"/>
  <c r="K20" i="20"/>
  <c r="G40" i="23"/>
  <c r="I47" i="20"/>
  <c r="J47" i="20"/>
  <c r="H47" i="20"/>
  <c r="I63" i="20"/>
  <c r="J63" i="20"/>
  <c r="K63" i="20"/>
  <c r="I71" i="20"/>
  <c r="J71" i="20"/>
  <c r="K71" i="20"/>
  <c r="H71" i="20"/>
  <c r="C234" i="2"/>
  <c r="H234" i="2"/>
  <c r="I234" i="2"/>
  <c r="G91" i="20"/>
  <c r="H98" i="20"/>
  <c r="K98" i="20"/>
  <c r="I98" i="20"/>
  <c r="J98" i="20"/>
  <c r="C266" i="2"/>
  <c r="H266" i="2"/>
  <c r="I266" i="2"/>
  <c r="G107" i="20"/>
  <c r="I267" i="1"/>
  <c r="J267" i="1"/>
  <c r="H130" i="20"/>
  <c r="I130" i="20"/>
  <c r="J130" i="20"/>
  <c r="K131" i="20"/>
  <c r="L131" i="20"/>
  <c r="H138" i="20"/>
  <c r="I138" i="20"/>
  <c r="J138" i="20"/>
  <c r="K139" i="20"/>
  <c r="L139" i="20"/>
  <c r="K138" i="20"/>
  <c r="I139" i="20"/>
  <c r="J139" i="20"/>
  <c r="H139" i="20"/>
  <c r="K140" i="23"/>
  <c r="G67" i="23"/>
  <c r="K140" i="20"/>
  <c r="I140" i="20"/>
  <c r="J140" i="20"/>
  <c r="L141" i="20"/>
  <c r="H140" i="20"/>
  <c r="K120" i="20"/>
  <c r="I120" i="20"/>
  <c r="J120" i="20"/>
  <c r="H110" i="20"/>
  <c r="I110" i="20"/>
  <c r="J110" i="20"/>
  <c r="K110" i="20"/>
  <c r="H80" i="20"/>
  <c r="K80" i="20"/>
  <c r="H18" i="20"/>
  <c r="K18" i="20"/>
  <c r="I18" i="20"/>
  <c r="J18" i="20"/>
  <c r="L19" i="20"/>
  <c r="C41" i="2"/>
  <c r="H41" i="2"/>
  <c r="I41" i="2"/>
  <c r="I41" i="1"/>
  <c r="J41" i="1"/>
  <c r="K7" i="20"/>
  <c r="I7" i="20"/>
  <c r="J7" i="20"/>
  <c r="H7" i="20"/>
  <c r="C57" i="2"/>
  <c r="H57" i="2"/>
  <c r="I57" i="2"/>
  <c r="G11" i="20"/>
  <c r="I57" i="1"/>
  <c r="J57" i="1"/>
  <c r="K14" i="20"/>
  <c r="H14" i="20"/>
  <c r="I14" i="20"/>
  <c r="J14" i="20"/>
  <c r="L15" i="20"/>
  <c r="I67" i="1"/>
  <c r="J67" i="1"/>
  <c r="H26" i="20"/>
  <c r="I26" i="20"/>
  <c r="J26" i="20"/>
  <c r="C110" i="2"/>
  <c r="H110" i="2"/>
  <c r="I110" i="2"/>
  <c r="G27" i="20"/>
  <c r="I111" i="1"/>
  <c r="J111" i="1"/>
  <c r="C126" i="2"/>
  <c r="H126" i="2"/>
  <c r="G126" i="2"/>
  <c r="I127" i="1"/>
  <c r="J127" i="1"/>
  <c r="K41" i="20"/>
  <c r="I41" i="20"/>
  <c r="J41" i="20"/>
  <c r="H41" i="20"/>
  <c r="C142" i="2"/>
  <c r="H142" i="2"/>
  <c r="I142" i="2"/>
  <c r="G42" i="20"/>
  <c r="I143" i="1"/>
  <c r="J143" i="1"/>
  <c r="K49" i="20"/>
  <c r="I49" i="20"/>
  <c r="J49" i="20"/>
  <c r="H49" i="20"/>
  <c r="C158" i="2"/>
  <c r="H158" i="2"/>
  <c r="I158" i="2"/>
  <c r="I159" i="1"/>
  <c r="J159" i="1"/>
  <c r="K57" i="20"/>
  <c r="H57" i="20"/>
  <c r="C174" i="2"/>
  <c r="H174" i="2"/>
  <c r="I174" i="2"/>
  <c r="G58" i="20"/>
  <c r="I175" i="1"/>
  <c r="J175" i="1"/>
  <c r="K65" i="20"/>
  <c r="I65" i="20"/>
  <c r="J65" i="20"/>
  <c r="H65" i="20"/>
  <c r="C190" i="2"/>
  <c r="H190" i="2"/>
  <c r="I190" i="2"/>
  <c r="G66" i="20"/>
  <c r="I191" i="1"/>
  <c r="J191" i="1"/>
  <c r="K73" i="20"/>
  <c r="H73" i="20"/>
  <c r="I73" i="20"/>
  <c r="J73" i="20"/>
  <c r="C206" i="2"/>
  <c r="H206" i="2"/>
  <c r="I206" i="2"/>
  <c r="G77" i="20"/>
  <c r="I207" i="1"/>
  <c r="J207" i="1"/>
  <c r="C222" i="2"/>
  <c r="H222" i="2"/>
  <c r="I222" i="2"/>
  <c r="G85" i="20"/>
  <c r="I223" i="1"/>
  <c r="J223" i="1"/>
  <c r="C238" i="2"/>
  <c r="H238" i="2"/>
  <c r="I238" i="2"/>
  <c r="G93" i="20"/>
  <c r="I239" i="1"/>
  <c r="J239" i="1"/>
  <c r="C254" i="2"/>
  <c r="H254" i="2"/>
  <c r="I254" i="2"/>
  <c r="G101" i="20"/>
  <c r="I255" i="1"/>
  <c r="J255" i="1"/>
  <c r="K108" i="20"/>
  <c r="I108" i="20"/>
  <c r="J108" i="20"/>
  <c r="H108" i="20"/>
  <c r="C302" i="2"/>
  <c r="H302" i="2"/>
  <c r="I302" i="2"/>
  <c r="G125" i="20"/>
  <c r="I303" i="1"/>
  <c r="J303" i="1"/>
  <c r="I132" i="20"/>
  <c r="J132" i="20"/>
  <c r="K133" i="20"/>
  <c r="L133" i="20"/>
  <c r="H132" i="20"/>
  <c r="I133" i="20"/>
  <c r="J133" i="20"/>
  <c r="L134" i="20"/>
  <c r="H133" i="20"/>
  <c r="I319" i="1"/>
  <c r="J319" i="1"/>
  <c r="G30" i="23"/>
  <c r="I59" i="20"/>
  <c r="J59" i="20"/>
  <c r="H59" i="20"/>
  <c r="K59" i="20"/>
  <c r="I43" i="20"/>
  <c r="J43" i="20"/>
  <c r="H43" i="20"/>
  <c r="K43" i="20"/>
  <c r="K17" i="20"/>
  <c r="I17" i="20"/>
  <c r="J17" i="20"/>
  <c r="L18" i="20"/>
  <c r="H17" i="20"/>
  <c r="I131" i="20"/>
  <c r="J131" i="20"/>
  <c r="L132" i="20"/>
  <c r="H131" i="20"/>
  <c r="H122" i="20"/>
  <c r="K122" i="20"/>
  <c r="I122" i="20"/>
  <c r="J122" i="20"/>
  <c r="K112" i="20"/>
  <c r="I112" i="20"/>
  <c r="J112" i="20"/>
  <c r="H112" i="20"/>
  <c r="G13" i="23"/>
  <c r="I18" i="1"/>
  <c r="J18" i="1"/>
  <c r="J36" i="1"/>
  <c r="J52" i="1"/>
  <c r="J62" i="1"/>
  <c r="I77" i="1"/>
  <c r="J77" i="1"/>
  <c r="J94" i="1"/>
  <c r="J113" i="1"/>
  <c r="J129" i="1"/>
  <c r="J209" i="1"/>
  <c r="J225" i="1"/>
  <c r="J273" i="1"/>
  <c r="J289" i="1"/>
  <c r="J321" i="1"/>
  <c r="C186" i="2"/>
  <c r="H186" i="2"/>
  <c r="I186" i="2"/>
  <c r="G64" i="20"/>
  <c r="C154" i="2"/>
  <c r="H154" i="2"/>
  <c r="I154" i="2"/>
  <c r="G48" i="20"/>
  <c r="C45" i="2"/>
  <c r="H45" i="2"/>
  <c r="I45" i="2"/>
  <c r="L112" i="23"/>
  <c r="H120" i="20"/>
  <c r="H63" i="20"/>
  <c r="I80" i="20"/>
  <c r="J80" i="20"/>
  <c r="I5" i="1"/>
  <c r="J5" i="1"/>
  <c r="I17" i="1"/>
  <c r="J17" i="1"/>
  <c r="I21" i="1"/>
  <c r="J21" i="1"/>
  <c r="I34" i="1"/>
  <c r="J34" i="1"/>
  <c r="I47" i="1"/>
  <c r="J47" i="1"/>
  <c r="I50" i="1"/>
  <c r="J50" i="1"/>
  <c r="I60" i="1"/>
  <c r="J60" i="1"/>
  <c r="I73" i="1"/>
  <c r="J73" i="1"/>
  <c r="I76" i="1"/>
  <c r="J76" i="1"/>
  <c r="I89" i="1"/>
  <c r="J89" i="1"/>
  <c r="I92" i="1"/>
  <c r="J92" i="1"/>
  <c r="I100" i="1"/>
  <c r="J100" i="1"/>
  <c r="J101" i="1"/>
  <c r="I116" i="1"/>
  <c r="J116" i="1"/>
  <c r="J117" i="1"/>
  <c r="I132" i="1"/>
  <c r="J132" i="1"/>
  <c r="J133" i="1"/>
  <c r="I148" i="1"/>
  <c r="J148" i="1"/>
  <c r="J149" i="1"/>
  <c r="J165" i="1"/>
  <c r="I180" i="1"/>
  <c r="J180" i="1"/>
  <c r="J181" i="1"/>
  <c r="I196" i="1"/>
  <c r="J196" i="1"/>
  <c r="J197" i="1"/>
  <c r="I212" i="1"/>
  <c r="J212" i="1"/>
  <c r="J213" i="1"/>
  <c r="I228" i="1"/>
  <c r="J228" i="1"/>
  <c r="J229" i="1"/>
  <c r="I244" i="1"/>
  <c r="J244" i="1"/>
  <c r="J245" i="1"/>
  <c r="I260" i="1"/>
  <c r="J260" i="1"/>
  <c r="J261" i="1"/>
  <c r="I276" i="1"/>
  <c r="J276" i="1"/>
  <c r="J277" i="1"/>
  <c r="I292" i="1"/>
  <c r="J292" i="1"/>
  <c r="J293" i="1"/>
  <c r="I308" i="1"/>
  <c r="J308" i="1"/>
  <c r="J309" i="1"/>
  <c r="I324" i="1"/>
  <c r="J324" i="1"/>
  <c r="J325" i="1"/>
  <c r="C339" i="2"/>
  <c r="G20" i="23"/>
  <c r="G49" i="23"/>
  <c r="G115" i="23"/>
  <c r="K47" i="20"/>
  <c r="I49" i="1"/>
  <c r="J49" i="1"/>
  <c r="C75" i="2"/>
  <c r="H75" i="2"/>
  <c r="I75" i="2"/>
  <c r="K21" i="20"/>
  <c r="H21" i="20"/>
  <c r="I21" i="20"/>
  <c r="J21" i="20"/>
  <c r="L22" i="20"/>
  <c r="C118" i="2"/>
  <c r="H118" i="2"/>
  <c r="G118" i="2"/>
  <c r="C134" i="2"/>
  <c r="H134" i="2"/>
  <c r="I134" i="2"/>
  <c r="G38" i="20"/>
  <c r="I135" i="1"/>
  <c r="J135" i="1"/>
  <c r="G45" i="23"/>
  <c r="C166" i="2"/>
  <c r="H166" i="2"/>
  <c r="I166" i="2"/>
  <c r="G54" i="20"/>
  <c r="I167" i="1"/>
  <c r="J167" i="1"/>
  <c r="C182" i="2"/>
  <c r="H182" i="2"/>
  <c r="I182" i="2"/>
  <c r="G62" i="20"/>
  <c r="I183" i="1"/>
  <c r="J183" i="1"/>
  <c r="C198" i="2"/>
  <c r="H198" i="2"/>
  <c r="I198" i="2"/>
  <c r="G70" i="20"/>
  <c r="I199" i="1"/>
  <c r="J199" i="1"/>
  <c r="C214" i="2"/>
  <c r="H214" i="2"/>
  <c r="I214" i="2"/>
  <c r="G81" i="20"/>
  <c r="I215" i="1"/>
  <c r="J215" i="1"/>
  <c r="I96" i="20"/>
  <c r="J96" i="20"/>
  <c r="K96" i="20"/>
  <c r="C246" i="2"/>
  <c r="H246" i="2"/>
  <c r="I246" i="2"/>
  <c r="G97" i="20"/>
  <c r="I247" i="1"/>
  <c r="J247" i="1"/>
  <c r="C262" i="2"/>
  <c r="H262" i="2"/>
  <c r="I262" i="2"/>
  <c r="G105" i="20"/>
  <c r="I263" i="1"/>
  <c r="J263" i="1"/>
  <c r="C278" i="2"/>
  <c r="H278" i="2"/>
  <c r="I278" i="2"/>
  <c r="G113" i="20"/>
  <c r="I279" i="1"/>
  <c r="J279" i="1"/>
  <c r="K134" i="23"/>
  <c r="G134" i="23"/>
  <c r="G126" i="23"/>
  <c r="K109" i="23"/>
  <c r="G109" i="23"/>
  <c r="K101" i="23"/>
  <c r="I101" i="23"/>
  <c r="G101" i="23"/>
  <c r="G85" i="23"/>
  <c r="G66" i="23"/>
  <c r="G58" i="23"/>
  <c r="H90" i="20"/>
  <c r="I90" i="20"/>
  <c r="J90" i="20"/>
  <c r="K90" i="20"/>
  <c r="I67" i="20"/>
  <c r="J67" i="20"/>
  <c r="H67" i="20"/>
  <c r="K67" i="20"/>
  <c r="K45" i="20"/>
  <c r="H45" i="20"/>
  <c r="I45" i="20"/>
  <c r="J45" i="20"/>
  <c r="H126" i="20"/>
  <c r="I126" i="20"/>
  <c r="J126" i="20"/>
  <c r="K126" i="20"/>
  <c r="I104" i="20"/>
  <c r="J104" i="20"/>
  <c r="H104" i="20"/>
  <c r="G17" i="23"/>
  <c r="C87" i="2"/>
  <c r="H87" i="2"/>
  <c r="I87" i="2"/>
  <c r="I87" i="1"/>
  <c r="J87" i="1"/>
  <c r="C122" i="2"/>
  <c r="H122" i="2"/>
  <c r="G122" i="2"/>
  <c r="I39" i="20"/>
  <c r="J39" i="20"/>
  <c r="K39" i="20"/>
  <c r="H39" i="20"/>
  <c r="G47" i="23"/>
  <c r="I55" i="20"/>
  <c r="J55" i="20"/>
  <c r="K55" i="20"/>
  <c r="H55" i="20"/>
  <c r="C218" i="2"/>
  <c r="H218" i="2"/>
  <c r="I218" i="2"/>
  <c r="G83" i="20"/>
  <c r="C250" i="2"/>
  <c r="H250" i="2"/>
  <c r="I250" i="2"/>
  <c r="G99" i="20"/>
  <c r="I251" i="1"/>
  <c r="J251" i="1"/>
  <c r="C282" i="2"/>
  <c r="H282" i="2"/>
  <c r="I282" i="2"/>
  <c r="G115" i="20"/>
  <c r="I283" i="1"/>
  <c r="J283" i="1"/>
  <c r="C298" i="2"/>
  <c r="H298" i="2"/>
  <c r="I298" i="2"/>
  <c r="G123" i="20"/>
  <c r="I299" i="1"/>
  <c r="J299" i="1"/>
  <c r="K135" i="23"/>
  <c r="K127" i="23"/>
  <c r="K102" i="23"/>
  <c r="G102" i="23"/>
  <c r="G94" i="23"/>
  <c r="G44" i="23"/>
  <c r="G11" i="23"/>
  <c r="I37" i="1"/>
  <c r="J37" i="1"/>
  <c r="I6" i="20"/>
  <c r="J6" i="20"/>
  <c r="L7" i="20"/>
  <c r="H6" i="20"/>
  <c r="K6" i="20"/>
  <c r="C53" i="2"/>
  <c r="H53" i="2"/>
  <c r="I53" i="2"/>
  <c r="I53" i="1"/>
  <c r="J53" i="1"/>
  <c r="C63" i="2"/>
  <c r="H63" i="2"/>
  <c r="I63" i="2"/>
  <c r="G13" i="20"/>
  <c r="I63" i="1"/>
  <c r="J63" i="1"/>
  <c r="I79" i="1"/>
  <c r="J79" i="1"/>
  <c r="C98" i="2"/>
  <c r="H98" i="2"/>
  <c r="I98" i="2"/>
  <c r="G23" i="20"/>
  <c r="I99" i="1"/>
  <c r="J99" i="1"/>
  <c r="I115" i="1"/>
  <c r="J115" i="1"/>
  <c r="C130" i="2"/>
  <c r="H130" i="2"/>
  <c r="I130" i="2"/>
  <c r="G36" i="20"/>
  <c r="I131" i="1"/>
  <c r="J131" i="1"/>
  <c r="C146" i="2"/>
  <c r="H146" i="2"/>
  <c r="I146" i="2"/>
  <c r="G44" i="20"/>
  <c r="I147" i="1"/>
  <c r="J147" i="1"/>
  <c r="C162" i="2"/>
  <c r="H162" i="2"/>
  <c r="I162" i="2"/>
  <c r="I163" i="1"/>
  <c r="J163" i="1"/>
  <c r="C178" i="2"/>
  <c r="H178" i="2"/>
  <c r="I178" i="2"/>
  <c r="G60" i="20"/>
  <c r="I179" i="1"/>
  <c r="J179" i="1"/>
  <c r="C194" i="2"/>
  <c r="H194" i="2"/>
  <c r="I194" i="2"/>
  <c r="G68" i="20"/>
  <c r="I195" i="1"/>
  <c r="J195" i="1"/>
  <c r="H78" i="20"/>
  <c r="K78" i="20"/>
  <c r="I78" i="20"/>
  <c r="J78" i="20"/>
  <c r="C210" i="2"/>
  <c r="H210" i="2"/>
  <c r="I210" i="2"/>
  <c r="G79" i="20"/>
  <c r="I211" i="1"/>
  <c r="J211" i="1"/>
  <c r="H86" i="20"/>
  <c r="I86" i="20"/>
  <c r="J86" i="20"/>
  <c r="K86" i="20"/>
  <c r="C226" i="2"/>
  <c r="H226" i="2"/>
  <c r="I226" i="2"/>
  <c r="G87" i="20"/>
  <c r="I227" i="1"/>
  <c r="J227" i="1"/>
  <c r="H94" i="20"/>
  <c r="K94" i="20"/>
  <c r="I94" i="20"/>
  <c r="J94" i="20"/>
  <c r="C242" i="2"/>
  <c r="H242" i="2"/>
  <c r="I242" i="2"/>
  <c r="G95" i="20"/>
  <c r="I243" i="1"/>
  <c r="J243" i="1"/>
  <c r="H102" i="20"/>
  <c r="I102" i="20"/>
  <c r="J102" i="20"/>
  <c r="C258" i="2"/>
  <c r="H258" i="2"/>
  <c r="I258" i="2"/>
  <c r="G103" i="20"/>
  <c r="I259" i="1"/>
  <c r="J259" i="1"/>
  <c r="L111" i="23"/>
  <c r="K110" i="23"/>
  <c r="G110" i="23"/>
  <c r="C274" i="2"/>
  <c r="H274" i="2"/>
  <c r="I274" i="2"/>
  <c r="G111" i="20"/>
  <c r="I275" i="1"/>
  <c r="J275" i="1"/>
  <c r="C290" i="2"/>
  <c r="H290" i="2"/>
  <c r="I290" i="2"/>
  <c r="G119" i="20"/>
  <c r="I291" i="1"/>
  <c r="J291" i="1"/>
  <c r="I127" i="20"/>
  <c r="J127" i="20"/>
  <c r="L128" i="20"/>
  <c r="K127" i="20"/>
  <c r="H127" i="20"/>
  <c r="K136" i="23"/>
  <c r="K128" i="23"/>
  <c r="L124" i="23"/>
  <c r="K123" i="23"/>
  <c r="L104" i="23"/>
  <c r="K103" i="23"/>
  <c r="G87" i="23"/>
  <c r="G79" i="23"/>
  <c r="G60" i="23"/>
  <c r="H106" i="20"/>
  <c r="K106" i="20"/>
  <c r="I106" i="20"/>
  <c r="J106" i="20"/>
  <c r="C35" i="2"/>
  <c r="H35" i="2"/>
  <c r="I35" i="2"/>
  <c r="H96" i="20"/>
  <c r="I6" i="1"/>
  <c r="J6" i="1"/>
  <c r="I22" i="1"/>
  <c r="J22" i="1"/>
  <c r="I27" i="1"/>
  <c r="J27" i="1"/>
  <c r="I31" i="1"/>
  <c r="J31" i="1"/>
  <c r="I51" i="1"/>
  <c r="J51" i="1"/>
  <c r="I61" i="1"/>
  <c r="J61" i="1"/>
  <c r="J78" i="1"/>
  <c r="I93" i="1"/>
  <c r="J93" i="1"/>
  <c r="J97" i="1"/>
  <c r="J145" i="1"/>
  <c r="J161" i="1"/>
  <c r="J177" i="1"/>
  <c r="J193" i="1"/>
  <c r="J241" i="1"/>
  <c r="J257" i="1"/>
  <c r="J305" i="1"/>
  <c r="J337" i="1"/>
  <c r="C103" i="2"/>
  <c r="H103" i="2"/>
  <c r="I103" i="2"/>
  <c r="C106" i="2"/>
  <c r="H106" i="2"/>
  <c r="I106" i="2"/>
  <c r="I72" i="1"/>
  <c r="J72" i="1"/>
  <c r="I88" i="1"/>
  <c r="J88" i="1"/>
  <c r="I152" i="1"/>
  <c r="J152" i="1"/>
  <c r="I168" i="1"/>
  <c r="J168" i="1"/>
  <c r="I184" i="1"/>
  <c r="J184" i="1"/>
  <c r="I200" i="1"/>
  <c r="J200" i="1"/>
  <c r="I232" i="1"/>
  <c r="J232" i="1"/>
  <c r="I248" i="1"/>
  <c r="J248" i="1"/>
  <c r="I264" i="1"/>
  <c r="J264" i="1"/>
  <c r="I280" i="1"/>
  <c r="J280" i="1"/>
  <c r="I296" i="1"/>
  <c r="J296" i="1"/>
  <c r="I312" i="1"/>
  <c r="J312" i="1"/>
  <c r="C71" i="2"/>
  <c r="H71" i="2"/>
  <c r="I71" i="2"/>
  <c r="C91" i="2"/>
  <c r="H91" i="2"/>
  <c r="I91" i="2"/>
  <c r="G23" i="23"/>
  <c r="G59" i="23"/>
  <c r="G78" i="23"/>
  <c r="G86" i="23"/>
  <c r="G93" i="23"/>
  <c r="G140" i="23"/>
  <c r="C202" i="2"/>
  <c r="H202" i="2"/>
  <c r="I202" i="2"/>
  <c r="G72" i="20"/>
  <c r="C170" i="2"/>
  <c r="H170" i="2"/>
  <c r="I170" i="2"/>
  <c r="G56" i="20"/>
  <c r="C138" i="2"/>
  <c r="H138" i="2"/>
  <c r="I138" i="2"/>
  <c r="G40" i="20"/>
  <c r="G109" i="20"/>
  <c r="K24" i="20"/>
  <c r="I24" i="20"/>
  <c r="J24" i="20"/>
  <c r="L25" i="20"/>
  <c r="H28" i="20"/>
  <c r="K28" i="20"/>
  <c r="I28" i="20"/>
  <c r="J28" i="20"/>
  <c r="L29" i="20"/>
  <c r="I135" i="20"/>
  <c r="J135" i="20"/>
  <c r="H135" i="20"/>
  <c r="H24" i="20"/>
  <c r="K84" i="20"/>
  <c r="I84" i="20"/>
  <c r="J84" i="20"/>
  <c r="H84" i="20"/>
  <c r="H88" i="20"/>
  <c r="I88" i="20"/>
  <c r="J88" i="20"/>
  <c r="H100" i="20"/>
  <c r="K100" i="20"/>
  <c r="H114" i="20"/>
  <c r="K114" i="20"/>
  <c r="H116" i="20"/>
  <c r="I116" i="20"/>
  <c r="J116" i="20"/>
  <c r="L117" i="20"/>
  <c r="H118" i="20"/>
  <c r="I118" i="20"/>
  <c r="J118" i="20"/>
  <c r="G136" i="20"/>
  <c r="I100" i="20"/>
  <c r="J100" i="20"/>
  <c r="K118" i="20"/>
  <c r="E94" i="23"/>
  <c r="E93" i="23"/>
  <c r="E92" i="23"/>
  <c r="E96" i="23"/>
  <c r="E91" i="23"/>
  <c r="E90" i="23"/>
  <c r="E89" i="23"/>
  <c r="E88" i="23"/>
  <c r="E87" i="23"/>
  <c r="E86" i="23"/>
  <c r="E85" i="23"/>
  <c r="E84" i="23"/>
  <c r="E83" i="23"/>
  <c r="E81" i="23"/>
  <c r="E80" i="23"/>
  <c r="E79" i="23"/>
  <c r="E72" i="23"/>
  <c r="E73" i="23"/>
  <c r="E74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3" i="23"/>
  <c r="E42" i="23"/>
  <c r="E41" i="23"/>
  <c r="E40" i="23"/>
  <c r="E39" i="23"/>
  <c r="E38" i="23"/>
  <c r="E37" i="23"/>
  <c r="E35" i="23"/>
  <c r="E34" i="23"/>
  <c r="E33" i="23"/>
  <c r="E31" i="23"/>
  <c r="E30" i="23"/>
  <c r="E29" i="23"/>
  <c r="E28" i="23"/>
  <c r="E26" i="23"/>
  <c r="E25" i="23"/>
  <c r="E24" i="23"/>
  <c r="E23" i="23"/>
  <c r="E22" i="23"/>
  <c r="E20" i="23"/>
  <c r="L106" i="23"/>
  <c r="E98" i="23"/>
  <c r="J98" i="23"/>
  <c r="L99" i="23"/>
  <c r="E101" i="23"/>
  <c r="J101" i="23"/>
  <c r="L102" i="23"/>
  <c r="E97" i="23"/>
  <c r="J97" i="23"/>
  <c r="L98" i="23"/>
  <c r="M98" i="23"/>
  <c r="E106" i="23"/>
  <c r="J106" i="23"/>
  <c r="L107" i="23"/>
  <c r="L105" i="23"/>
  <c r="K91" i="20"/>
  <c r="L91" i="20"/>
  <c r="K85" i="20"/>
  <c r="L85" i="20"/>
  <c r="L127" i="20"/>
  <c r="L114" i="23"/>
  <c r="L108" i="23"/>
  <c r="L125" i="23"/>
  <c r="K101" i="20"/>
  <c r="L101" i="20"/>
  <c r="L8" i="20"/>
  <c r="L21" i="20"/>
  <c r="L118" i="20"/>
  <c r="L5" i="20"/>
  <c r="L3" i="20"/>
  <c r="M3" i="20"/>
  <c r="M4" i="20"/>
  <c r="M5" i="20"/>
  <c r="L6" i="20"/>
  <c r="M6" i="20"/>
  <c r="M7" i="20"/>
  <c r="M8" i="20"/>
  <c r="M9" i="20"/>
  <c r="M10" i="20"/>
  <c r="K11" i="20"/>
  <c r="L11" i="20"/>
  <c r="M11" i="20"/>
  <c r="I11" i="20"/>
  <c r="J11" i="20"/>
  <c r="L12" i="20"/>
  <c r="M12" i="20"/>
  <c r="Q3" i="20"/>
  <c r="R3" i="20"/>
  <c r="K113" i="20"/>
  <c r="L113" i="20"/>
  <c r="L140" i="20"/>
  <c r="K83" i="20"/>
  <c r="L83" i="20"/>
  <c r="K46" i="20"/>
  <c r="L46" i="20"/>
  <c r="K42" i="20"/>
  <c r="L42" i="20"/>
  <c r="L17" i="20"/>
  <c r="L16" i="20"/>
  <c r="L20" i="20"/>
  <c r="L138" i="20"/>
  <c r="P5" i="20"/>
  <c r="Q4" i="20"/>
  <c r="R4" i="20"/>
  <c r="L128" i="23"/>
  <c r="L101" i="23"/>
  <c r="L122" i="23"/>
  <c r="L127" i="23"/>
  <c r="L120" i="23"/>
  <c r="L113" i="23"/>
  <c r="L116" i="23"/>
  <c r="L110" i="23"/>
  <c r="L121" i="23"/>
  <c r="L136" i="23"/>
  <c r="L135" i="23"/>
  <c r="L123" i="23"/>
  <c r="L117" i="23"/>
  <c r="L109" i="23"/>
  <c r="L103" i="23"/>
  <c r="K131" i="23"/>
  <c r="L131" i="23"/>
  <c r="L132" i="23"/>
  <c r="G131" i="23"/>
  <c r="K97" i="20"/>
  <c r="L97" i="20"/>
  <c r="I97" i="20"/>
  <c r="J97" i="20"/>
  <c r="L98" i="20"/>
  <c r="H97" i="20"/>
  <c r="H85" i="20"/>
  <c r="I85" i="20"/>
  <c r="J85" i="20"/>
  <c r="L86" i="20"/>
  <c r="I91" i="20"/>
  <c r="J91" i="20"/>
  <c r="L92" i="20"/>
  <c r="H91" i="20"/>
  <c r="H72" i="20"/>
  <c r="K72" i="20"/>
  <c r="L72" i="20"/>
  <c r="I72" i="20"/>
  <c r="J72" i="20"/>
  <c r="L73" i="20"/>
  <c r="I68" i="20"/>
  <c r="J68" i="20"/>
  <c r="L69" i="20"/>
  <c r="K68" i="20"/>
  <c r="L68" i="20"/>
  <c r="H68" i="20"/>
  <c r="K44" i="20"/>
  <c r="L44" i="20"/>
  <c r="I44" i="20"/>
  <c r="J44" i="20"/>
  <c r="L45" i="20"/>
  <c r="H44" i="20"/>
  <c r="G18" i="23"/>
  <c r="I115" i="20"/>
  <c r="J115" i="20"/>
  <c r="L116" i="20"/>
  <c r="H115" i="20"/>
  <c r="K115" i="20"/>
  <c r="L115" i="20"/>
  <c r="H70" i="20"/>
  <c r="I70" i="20"/>
  <c r="J70" i="20"/>
  <c r="L71" i="20"/>
  <c r="K70" i="20"/>
  <c r="L70" i="20"/>
  <c r="H42" i="20"/>
  <c r="I42" i="20"/>
  <c r="J42" i="20"/>
  <c r="L43" i="20"/>
  <c r="I27" i="20"/>
  <c r="J27" i="20"/>
  <c r="L28" i="20"/>
  <c r="K27" i="20"/>
  <c r="L27" i="20"/>
  <c r="H27" i="20"/>
  <c r="K129" i="23"/>
  <c r="L129" i="23"/>
  <c r="L130" i="23"/>
  <c r="G129" i="23"/>
  <c r="G25" i="23"/>
  <c r="I40" i="20"/>
  <c r="J40" i="20"/>
  <c r="L41" i="20"/>
  <c r="K40" i="20"/>
  <c r="L40" i="20"/>
  <c r="H40" i="20"/>
  <c r="I119" i="20"/>
  <c r="J119" i="20"/>
  <c r="L120" i="20"/>
  <c r="K119" i="20"/>
  <c r="L119" i="20"/>
  <c r="H119" i="20"/>
  <c r="I95" i="20"/>
  <c r="J95" i="20"/>
  <c r="L96" i="20"/>
  <c r="H95" i="20"/>
  <c r="K95" i="20"/>
  <c r="L95" i="20"/>
  <c r="I79" i="20"/>
  <c r="J79" i="20"/>
  <c r="L80" i="20"/>
  <c r="H79" i="20"/>
  <c r="K79" i="20"/>
  <c r="L79" i="20"/>
  <c r="K60" i="20"/>
  <c r="L60" i="20"/>
  <c r="I60" i="20"/>
  <c r="J60" i="20"/>
  <c r="L61" i="20"/>
  <c r="H60" i="20"/>
  <c r="G52" i="23"/>
  <c r="H36" i="20"/>
  <c r="K36" i="20"/>
  <c r="L36" i="20"/>
  <c r="I36" i="20"/>
  <c r="J36" i="20"/>
  <c r="L37" i="20"/>
  <c r="I23" i="20"/>
  <c r="J23" i="20"/>
  <c r="L24" i="20"/>
  <c r="H23" i="20"/>
  <c r="K23" i="20"/>
  <c r="L23" i="20"/>
  <c r="K13" i="20"/>
  <c r="L13" i="20"/>
  <c r="I13" i="20"/>
  <c r="J13" i="20"/>
  <c r="L14" i="20"/>
  <c r="H13" i="20"/>
  <c r="G6" i="23"/>
  <c r="I123" i="20"/>
  <c r="J123" i="20"/>
  <c r="L124" i="20"/>
  <c r="H123" i="20"/>
  <c r="K123" i="20"/>
  <c r="L123" i="20"/>
  <c r="I99" i="20"/>
  <c r="J99" i="20"/>
  <c r="L100" i="20"/>
  <c r="K99" i="20"/>
  <c r="L99" i="20"/>
  <c r="H99" i="20"/>
  <c r="K81" i="20"/>
  <c r="L81" i="20"/>
  <c r="I81" i="20"/>
  <c r="J81" i="20"/>
  <c r="L82" i="20"/>
  <c r="H81" i="20"/>
  <c r="H62" i="20"/>
  <c r="I62" i="20"/>
  <c r="J62" i="20"/>
  <c r="L63" i="20"/>
  <c r="K62" i="20"/>
  <c r="L62" i="20"/>
  <c r="L142" i="23"/>
  <c r="K141" i="23"/>
  <c r="L141" i="23"/>
  <c r="G141" i="23"/>
  <c r="L134" i="23"/>
  <c r="K133" i="23"/>
  <c r="L133" i="23"/>
  <c r="G133" i="23"/>
  <c r="G15" i="23"/>
  <c r="I75" i="20"/>
  <c r="J75" i="20"/>
  <c r="H75" i="20"/>
  <c r="K75" i="20"/>
  <c r="K137" i="23"/>
  <c r="L137" i="23"/>
  <c r="L138" i="23"/>
  <c r="G137" i="23"/>
  <c r="K121" i="20"/>
  <c r="L121" i="20"/>
  <c r="H121" i="20"/>
  <c r="I121" i="20"/>
  <c r="J121" i="20"/>
  <c r="L122" i="20"/>
  <c r="H46" i="20"/>
  <c r="I46" i="20"/>
  <c r="J46" i="20"/>
  <c r="L47" i="20"/>
  <c r="G75" i="23"/>
  <c r="K109" i="20"/>
  <c r="L109" i="20"/>
  <c r="H109" i="20"/>
  <c r="I109" i="20"/>
  <c r="J109" i="20"/>
  <c r="L110" i="20"/>
  <c r="I103" i="20"/>
  <c r="J103" i="20"/>
  <c r="L104" i="20"/>
  <c r="K103" i="20"/>
  <c r="L103" i="20"/>
  <c r="H103" i="20"/>
  <c r="G76" i="23"/>
  <c r="I113" i="20"/>
  <c r="J113" i="20"/>
  <c r="L114" i="20"/>
  <c r="H113" i="20"/>
  <c r="H38" i="20"/>
  <c r="I38" i="20"/>
  <c r="J38" i="20"/>
  <c r="L39" i="20"/>
  <c r="K38" i="20"/>
  <c r="L38" i="20"/>
  <c r="H101" i="20"/>
  <c r="I101" i="20"/>
  <c r="J101" i="20"/>
  <c r="L102" i="20"/>
  <c r="H66" i="20"/>
  <c r="K66" i="20"/>
  <c r="L66" i="20"/>
  <c r="I66" i="20"/>
  <c r="J66" i="20"/>
  <c r="L67" i="20"/>
  <c r="I111" i="20"/>
  <c r="J111" i="20"/>
  <c r="L112" i="20"/>
  <c r="K111" i="20"/>
  <c r="L111" i="20"/>
  <c r="H111" i="20"/>
  <c r="I87" i="20"/>
  <c r="J87" i="20"/>
  <c r="L88" i="20"/>
  <c r="K87" i="20"/>
  <c r="L87" i="20"/>
  <c r="H87" i="20"/>
  <c r="G76" i="20"/>
  <c r="G52" i="20"/>
  <c r="G29" i="23"/>
  <c r="L140" i="23"/>
  <c r="K139" i="23"/>
  <c r="L139" i="23"/>
  <c r="G139" i="23"/>
  <c r="I83" i="20"/>
  <c r="J83" i="20"/>
  <c r="L84" i="20"/>
  <c r="H83" i="20"/>
  <c r="H54" i="20"/>
  <c r="I54" i="20"/>
  <c r="J54" i="20"/>
  <c r="L55" i="20"/>
  <c r="K54" i="20"/>
  <c r="L54" i="20"/>
  <c r="H64" i="20"/>
  <c r="K64" i="20"/>
  <c r="L64" i="20"/>
  <c r="I64" i="20"/>
  <c r="J64" i="20"/>
  <c r="L65" i="20"/>
  <c r="G74" i="20"/>
  <c r="G50" i="20"/>
  <c r="H11" i="20"/>
  <c r="K89" i="20"/>
  <c r="L89" i="20"/>
  <c r="I89" i="20"/>
  <c r="J89" i="20"/>
  <c r="L90" i="20"/>
  <c r="H89" i="20"/>
  <c r="H136" i="20"/>
  <c r="K136" i="20"/>
  <c r="L136" i="20"/>
  <c r="I136" i="20"/>
  <c r="J136" i="20"/>
  <c r="L137" i="20"/>
  <c r="K56" i="20"/>
  <c r="L56" i="20"/>
  <c r="I56" i="20"/>
  <c r="J56" i="20"/>
  <c r="L57" i="20"/>
  <c r="H56" i="20"/>
  <c r="K105" i="20"/>
  <c r="L105" i="20"/>
  <c r="I105" i="20"/>
  <c r="J105" i="20"/>
  <c r="L106" i="20"/>
  <c r="H105" i="20"/>
  <c r="G9" i="23"/>
  <c r="K48" i="20"/>
  <c r="L48" i="20"/>
  <c r="I48" i="20"/>
  <c r="J48" i="20"/>
  <c r="L49" i="20"/>
  <c r="H48" i="20"/>
  <c r="K125" i="20"/>
  <c r="L125" i="20"/>
  <c r="I125" i="20"/>
  <c r="J125" i="20"/>
  <c r="L126" i="20"/>
  <c r="H125" i="20"/>
  <c r="K93" i="20"/>
  <c r="L93" i="20"/>
  <c r="H93" i="20"/>
  <c r="I93" i="20"/>
  <c r="J93" i="20"/>
  <c r="L94" i="20"/>
  <c r="K77" i="20"/>
  <c r="I77" i="20"/>
  <c r="J77" i="20"/>
  <c r="L78" i="20"/>
  <c r="H77" i="20"/>
  <c r="H58" i="20"/>
  <c r="K58" i="20"/>
  <c r="L58" i="20"/>
  <c r="I58" i="20"/>
  <c r="J58" i="20"/>
  <c r="L59" i="20"/>
  <c r="I107" i="20"/>
  <c r="J107" i="20"/>
  <c r="L108" i="20"/>
  <c r="H107" i="20"/>
  <c r="K107" i="20"/>
  <c r="L107" i="20"/>
  <c r="I51" i="20"/>
  <c r="J51" i="20"/>
  <c r="H51" i="20"/>
  <c r="K51" i="20"/>
  <c r="G51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Q5" i="20"/>
  <c r="P6" i="20"/>
  <c r="Q4" i="23"/>
  <c r="G53" i="23"/>
  <c r="G77" i="23"/>
  <c r="H50" i="20"/>
  <c r="K50" i="20"/>
  <c r="L50" i="20"/>
  <c r="I50" i="20"/>
  <c r="J50" i="20"/>
  <c r="L51" i="20"/>
  <c r="H52" i="20"/>
  <c r="K52" i="20"/>
  <c r="L52" i="20"/>
  <c r="I52" i="20"/>
  <c r="J52" i="20"/>
  <c r="L53" i="20"/>
  <c r="H74" i="20"/>
  <c r="I74" i="20"/>
  <c r="J74" i="20"/>
  <c r="L75" i="20"/>
  <c r="K74" i="20"/>
  <c r="L74" i="20"/>
  <c r="K76" i="20"/>
  <c r="L76" i="20"/>
  <c r="I76" i="20"/>
  <c r="J76" i="20"/>
  <c r="L77" i="20"/>
  <c r="H76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P7" i="20"/>
  <c r="Q6" i="20"/>
  <c r="Q5" i="23"/>
  <c r="R5" i="23"/>
  <c r="R4" i="23"/>
  <c r="P8" i="20"/>
  <c r="Q7" i="20"/>
  <c r="Q6" i="23"/>
  <c r="R6" i="23"/>
  <c r="P9" i="20"/>
  <c r="Q8" i="20"/>
  <c r="R5" i="20"/>
  <c r="Q8" i="23"/>
  <c r="Q7" i="23"/>
  <c r="P10" i="20"/>
  <c r="Q9" i="20"/>
  <c r="R8" i="23"/>
  <c r="R7" i="23"/>
  <c r="P11" i="20"/>
  <c r="Q10" i="20"/>
  <c r="R7" i="20"/>
  <c r="R6" i="20"/>
  <c r="Q9" i="23"/>
  <c r="P12" i="20"/>
  <c r="Q11" i="20"/>
  <c r="Q10" i="23"/>
  <c r="R10" i="23"/>
  <c r="R9" i="23"/>
  <c r="P13" i="20"/>
  <c r="Q12" i="20"/>
  <c r="R8" i="20"/>
  <c r="Q11" i="23"/>
  <c r="P14" i="20"/>
  <c r="Q13" i="20"/>
  <c r="R9" i="20"/>
  <c r="R11" i="23"/>
  <c r="Q12" i="23"/>
  <c r="R12" i="23"/>
  <c r="P15" i="20"/>
  <c r="Q14" i="20"/>
  <c r="R10" i="20"/>
  <c r="Q13" i="23"/>
  <c r="R13" i="23"/>
  <c r="P16" i="20"/>
  <c r="Q15" i="20"/>
  <c r="R11" i="20"/>
  <c r="Q14" i="23"/>
  <c r="R14" i="23"/>
  <c r="P17" i="20"/>
  <c r="Q16" i="20"/>
  <c r="R12" i="20"/>
  <c r="Q15" i="23"/>
  <c r="R15" i="23"/>
  <c r="P18" i="20"/>
  <c r="Q17" i="20"/>
  <c r="R13" i="20"/>
  <c r="Q16" i="23"/>
  <c r="R16" i="23"/>
  <c r="P19" i="20"/>
  <c r="Q18" i="20"/>
  <c r="R14" i="20"/>
  <c r="Q17" i="23"/>
  <c r="R17" i="23"/>
  <c r="P20" i="20"/>
  <c r="Q19" i="20"/>
  <c r="R15" i="20"/>
  <c r="P21" i="20"/>
  <c r="Q20" i="20"/>
  <c r="R16" i="20"/>
  <c r="Q18" i="23"/>
  <c r="R18" i="23"/>
  <c r="P22" i="20"/>
  <c r="Q21" i="20"/>
  <c r="Q19" i="23"/>
  <c r="R19" i="23"/>
  <c r="P23" i="20"/>
  <c r="Q22" i="20"/>
  <c r="R17" i="20"/>
  <c r="Q20" i="23"/>
  <c r="R20" i="23"/>
  <c r="P24" i="20"/>
  <c r="Q23" i="20"/>
  <c r="R18" i="20"/>
  <c r="Q21" i="23"/>
  <c r="R21" i="23"/>
  <c r="P25" i="20"/>
  <c r="Q24" i="20"/>
  <c r="R19" i="20"/>
  <c r="Q22" i="23"/>
  <c r="R22" i="23"/>
  <c r="P26" i="20"/>
  <c r="Q25" i="20"/>
  <c r="R20" i="20"/>
  <c r="Q23" i="23"/>
  <c r="R23" i="23"/>
  <c r="P27" i="20"/>
  <c r="Q26" i="20"/>
  <c r="R21" i="20"/>
  <c r="Q24" i="23"/>
  <c r="R24" i="23"/>
  <c r="P28" i="20"/>
  <c r="Q27" i="20"/>
  <c r="R22" i="20"/>
  <c r="Q25" i="23"/>
  <c r="R25" i="23"/>
  <c r="P29" i="20"/>
  <c r="Q28" i="20"/>
  <c r="R23" i="20"/>
  <c r="Q26" i="23"/>
  <c r="R26" i="23"/>
  <c r="P30" i="20"/>
  <c r="Q29" i="20"/>
  <c r="R24" i="20"/>
  <c r="Q27" i="23"/>
  <c r="R27" i="23"/>
  <c r="P31" i="20"/>
  <c r="Q30" i="20"/>
  <c r="R25" i="20"/>
  <c r="Q28" i="23"/>
  <c r="R28" i="23"/>
  <c r="P32" i="20"/>
  <c r="Q31" i="20"/>
  <c r="R26" i="20"/>
  <c r="Q29" i="23"/>
  <c r="R29" i="23"/>
  <c r="P33" i="20"/>
  <c r="Q32" i="20"/>
  <c r="R27" i="20"/>
  <c r="Q30" i="23"/>
  <c r="R30" i="23"/>
  <c r="P34" i="20"/>
  <c r="Q33" i="20"/>
  <c r="R28" i="20"/>
  <c r="Q31" i="23"/>
  <c r="R31" i="23"/>
  <c r="P35" i="20"/>
  <c r="Q34" i="20"/>
  <c r="R29" i="20"/>
  <c r="Q32" i="23"/>
  <c r="R32" i="23"/>
  <c r="P36" i="20"/>
  <c r="Q35" i="20"/>
  <c r="R30" i="20"/>
  <c r="Q33" i="23"/>
  <c r="R33" i="23"/>
  <c r="P37" i="20"/>
  <c r="Q36" i="20"/>
  <c r="R31" i="20"/>
  <c r="Q34" i="23"/>
  <c r="R34" i="23"/>
  <c r="P38" i="20"/>
  <c r="Q37" i="20"/>
  <c r="R32" i="20"/>
  <c r="Q35" i="23"/>
  <c r="R35" i="23"/>
  <c r="P39" i="20"/>
  <c r="Q38" i="20"/>
  <c r="R33" i="20"/>
  <c r="Q36" i="23"/>
  <c r="R36" i="23"/>
  <c r="P40" i="20"/>
  <c r="Q39" i="20"/>
  <c r="R34" i="20"/>
  <c r="Q37" i="23"/>
  <c r="R37" i="23"/>
  <c r="P41" i="20"/>
  <c r="Q40" i="20"/>
  <c r="R35" i="20"/>
  <c r="Q38" i="23"/>
  <c r="R38" i="23"/>
  <c r="P42" i="20"/>
  <c r="Q41" i="20"/>
  <c r="R36" i="20"/>
  <c r="Q39" i="23"/>
  <c r="R39" i="23"/>
  <c r="P43" i="20"/>
  <c r="Q42" i="20"/>
  <c r="R37" i="20"/>
  <c r="Q40" i="23"/>
  <c r="R40" i="23"/>
  <c r="P44" i="20"/>
  <c r="Q43" i="20"/>
  <c r="R38" i="20"/>
  <c r="Q41" i="23"/>
  <c r="R41" i="23"/>
  <c r="P45" i="20"/>
  <c r="Q44" i="20"/>
  <c r="R39" i="20"/>
  <c r="Q43" i="23"/>
  <c r="Q42" i="23"/>
  <c r="R42" i="23"/>
  <c r="P46" i="20"/>
  <c r="Q45" i="20"/>
  <c r="R40" i="20"/>
  <c r="R43" i="23"/>
  <c r="P47" i="20"/>
  <c r="Q46" i="20"/>
  <c r="R41" i="20"/>
  <c r="Q44" i="23"/>
  <c r="R44" i="23"/>
  <c r="P48" i="20"/>
  <c r="Q47" i="20"/>
  <c r="R42" i="20"/>
  <c r="Q45" i="23"/>
  <c r="R45" i="23"/>
  <c r="P49" i="20"/>
  <c r="Q48" i="20"/>
  <c r="R43" i="20"/>
  <c r="Q47" i="23"/>
  <c r="Q46" i="23"/>
  <c r="R46" i="23"/>
  <c r="P50" i="20"/>
  <c r="Q49" i="20"/>
  <c r="R44" i="20"/>
  <c r="R47" i="23"/>
  <c r="P51" i="20"/>
  <c r="Q50" i="20"/>
  <c r="R45" i="20"/>
  <c r="Q48" i="23"/>
  <c r="R48" i="23"/>
  <c r="P52" i="20"/>
  <c r="Q51" i="20"/>
  <c r="R46" i="20"/>
  <c r="Q49" i="23"/>
  <c r="R49" i="23"/>
  <c r="P53" i="20"/>
  <c r="Q52" i="20"/>
  <c r="R47" i="20"/>
  <c r="Q50" i="23"/>
  <c r="R50" i="23"/>
  <c r="P54" i="20"/>
  <c r="Q53" i="20"/>
  <c r="R48" i="20"/>
  <c r="Q51" i="23"/>
  <c r="R51" i="23"/>
  <c r="P55" i="20"/>
  <c r="Q54" i="20"/>
  <c r="R49" i="20"/>
  <c r="Q52" i="23"/>
  <c r="R52" i="23"/>
  <c r="P56" i="20"/>
  <c r="Q55" i="20"/>
  <c r="R50" i="20"/>
  <c r="Q53" i="23"/>
  <c r="R53" i="23"/>
  <c r="P57" i="20"/>
  <c r="Q56" i="20"/>
  <c r="R51" i="20"/>
  <c r="Q54" i="23"/>
  <c r="R54" i="23"/>
  <c r="P58" i="20"/>
  <c r="Q57" i="20"/>
  <c r="R52" i="20"/>
  <c r="Q55" i="23"/>
  <c r="R55" i="23"/>
  <c r="P59" i="20"/>
  <c r="Q58" i="20"/>
  <c r="R53" i="20"/>
  <c r="Q57" i="23"/>
  <c r="Q56" i="23"/>
  <c r="R56" i="23"/>
  <c r="P60" i="20"/>
  <c r="Q59" i="20"/>
  <c r="R54" i="20"/>
  <c r="R57" i="23"/>
  <c r="P61" i="20"/>
  <c r="Q60" i="20"/>
  <c r="R55" i="20"/>
  <c r="Q58" i="23"/>
  <c r="R58" i="23"/>
  <c r="P62" i="20"/>
  <c r="Q61" i="20"/>
  <c r="R56" i="20"/>
  <c r="Q59" i="23"/>
  <c r="R59" i="23"/>
  <c r="P63" i="20"/>
  <c r="Q62" i="20"/>
  <c r="R57" i="20"/>
  <c r="Q60" i="23"/>
  <c r="R60" i="23"/>
  <c r="P64" i="20"/>
  <c r="Q63" i="20"/>
  <c r="R58" i="20"/>
  <c r="Q61" i="23"/>
  <c r="R61" i="23"/>
  <c r="P65" i="20"/>
  <c r="Q64" i="20"/>
  <c r="R59" i="20"/>
  <c r="Q62" i="23"/>
  <c r="R62" i="23"/>
  <c r="P66" i="20"/>
  <c r="Q65" i="20"/>
  <c r="R60" i="20"/>
  <c r="Q63" i="23"/>
  <c r="R63" i="23"/>
  <c r="P67" i="20"/>
  <c r="Q66" i="20"/>
  <c r="R61" i="20"/>
  <c r="Q64" i="23"/>
  <c r="R64" i="23"/>
  <c r="P68" i="20"/>
  <c r="Q67" i="20"/>
  <c r="R62" i="20"/>
  <c r="Q65" i="23"/>
  <c r="R65" i="23"/>
  <c r="P69" i="20"/>
  <c r="Q68" i="20"/>
  <c r="R63" i="20"/>
  <c r="Q66" i="23"/>
  <c r="R66" i="23"/>
  <c r="P70" i="20"/>
  <c r="Q69" i="20"/>
  <c r="R64" i="20"/>
  <c r="Q67" i="23"/>
  <c r="R67" i="23"/>
  <c r="P71" i="20"/>
  <c r="Q70" i="20"/>
  <c r="R65" i="20"/>
  <c r="Q68" i="23"/>
  <c r="R68" i="23"/>
  <c r="P72" i="20"/>
  <c r="Q71" i="20"/>
  <c r="R66" i="20"/>
  <c r="Q69" i="23"/>
  <c r="R69" i="23"/>
  <c r="P73" i="20"/>
  <c r="Q72" i="20"/>
  <c r="R67" i="20"/>
  <c r="Q70" i="23"/>
  <c r="R70" i="23"/>
  <c r="P74" i="20"/>
  <c r="Q73" i="20"/>
  <c r="R68" i="20"/>
  <c r="Q71" i="23"/>
  <c r="R71" i="23"/>
  <c r="P75" i="20"/>
  <c r="Q74" i="20"/>
  <c r="R69" i="20"/>
  <c r="Q72" i="23"/>
  <c r="R72" i="23"/>
  <c r="P76" i="20"/>
  <c r="Q75" i="20"/>
  <c r="R70" i="20"/>
  <c r="Q73" i="23"/>
  <c r="R73" i="23"/>
  <c r="P77" i="20"/>
  <c r="Q76" i="20"/>
  <c r="R71" i="20"/>
  <c r="Q74" i="23"/>
  <c r="R74" i="23"/>
  <c r="P78" i="20"/>
  <c r="Q77" i="20"/>
  <c r="R72" i="20"/>
  <c r="Q75" i="23"/>
  <c r="R75" i="23"/>
  <c r="P79" i="20"/>
  <c r="Q78" i="20"/>
  <c r="R73" i="20"/>
  <c r="Q76" i="23"/>
  <c r="R76" i="23"/>
  <c r="P80" i="20"/>
  <c r="Q79" i="20"/>
  <c r="R74" i="20"/>
  <c r="Q77" i="23"/>
  <c r="R77" i="23"/>
  <c r="P81" i="20"/>
  <c r="Q80" i="20"/>
  <c r="R75" i="20"/>
  <c r="Q78" i="23"/>
  <c r="R78" i="23"/>
  <c r="P82" i="20"/>
  <c r="Q81" i="20"/>
  <c r="R76" i="20"/>
  <c r="Q79" i="23"/>
  <c r="R79" i="23"/>
  <c r="P83" i="20"/>
  <c r="Q82" i="20"/>
  <c r="R77" i="20"/>
  <c r="Q80" i="23"/>
  <c r="R80" i="23"/>
  <c r="P84" i="20"/>
  <c r="Q83" i="20"/>
  <c r="R78" i="20"/>
  <c r="Q81" i="23"/>
  <c r="R81" i="23"/>
  <c r="P85" i="20"/>
  <c r="Q84" i="20"/>
  <c r="R79" i="20"/>
  <c r="Q82" i="23"/>
  <c r="R82" i="23"/>
  <c r="P86" i="20"/>
  <c r="Q85" i="20"/>
  <c r="R80" i="20"/>
  <c r="Q83" i="23"/>
  <c r="R83" i="23"/>
  <c r="P87" i="20"/>
  <c r="Q86" i="20"/>
  <c r="R81" i="20"/>
  <c r="Q84" i="23"/>
  <c r="R84" i="23"/>
  <c r="P88" i="20"/>
  <c r="Q87" i="20"/>
  <c r="R82" i="20"/>
  <c r="Q85" i="23"/>
  <c r="R85" i="23"/>
  <c r="P89" i="20"/>
  <c r="Q88" i="20"/>
  <c r="R83" i="20"/>
  <c r="Q86" i="23"/>
  <c r="R86" i="23"/>
  <c r="P90" i="20"/>
  <c r="Q89" i="20"/>
  <c r="R84" i="20"/>
  <c r="Q87" i="23"/>
  <c r="R87" i="23"/>
  <c r="P91" i="20"/>
  <c r="Q90" i="20"/>
  <c r="R85" i="20"/>
  <c r="Q88" i="23"/>
  <c r="R88" i="23"/>
  <c r="P92" i="20"/>
  <c r="Q91" i="20"/>
  <c r="R86" i="20"/>
  <c r="Q89" i="23"/>
  <c r="R89" i="23"/>
  <c r="P93" i="20"/>
  <c r="Q92" i="20"/>
  <c r="R87" i="20"/>
  <c r="Q90" i="23"/>
  <c r="R90" i="23"/>
  <c r="P94" i="20"/>
  <c r="Q93" i="20"/>
  <c r="R88" i="20"/>
  <c r="Q91" i="23"/>
  <c r="R91" i="23"/>
  <c r="P95" i="20"/>
  <c r="Q94" i="20"/>
  <c r="R89" i="20"/>
  <c r="Q92" i="23"/>
  <c r="R92" i="23"/>
  <c r="P96" i="20"/>
  <c r="Q95" i="20"/>
  <c r="R90" i="20"/>
  <c r="Q93" i="23"/>
  <c r="R93" i="23"/>
  <c r="P97" i="20"/>
  <c r="Q96" i="20"/>
  <c r="R91" i="20"/>
  <c r="Q94" i="23"/>
  <c r="R94" i="23"/>
  <c r="P98" i="20"/>
  <c r="Q97" i="20"/>
  <c r="R92" i="20"/>
  <c r="Q95" i="23"/>
  <c r="R95" i="23"/>
  <c r="P99" i="20"/>
  <c r="Q98" i="20"/>
  <c r="R93" i="20"/>
  <c r="Q96" i="23"/>
  <c r="R96" i="23"/>
  <c r="P100" i="20"/>
  <c r="Q99" i="20"/>
  <c r="R94" i="20"/>
  <c r="Q97" i="23"/>
  <c r="R97" i="23"/>
  <c r="P101" i="20"/>
  <c r="Q100" i="20"/>
  <c r="R95" i="20"/>
  <c r="Q98" i="23"/>
  <c r="R98" i="23"/>
  <c r="P102" i="20"/>
  <c r="Q101" i="20"/>
  <c r="R96" i="20"/>
  <c r="Q99" i="23"/>
  <c r="R99" i="23"/>
  <c r="P103" i="20"/>
  <c r="Q102" i="20"/>
  <c r="R97" i="20"/>
  <c r="Q100" i="23"/>
  <c r="R100" i="23"/>
  <c r="P104" i="20"/>
  <c r="Q103" i="20"/>
  <c r="R98" i="20"/>
  <c r="Q101" i="23"/>
  <c r="R101" i="23"/>
  <c r="P105" i="20"/>
  <c r="Q104" i="20"/>
  <c r="R99" i="20"/>
  <c r="Q102" i="23"/>
  <c r="R102" i="23"/>
  <c r="P106" i="20"/>
  <c r="Q105" i="20"/>
  <c r="R100" i="20"/>
  <c r="Q103" i="23"/>
  <c r="R103" i="23"/>
  <c r="P107" i="20"/>
  <c r="Q106" i="20"/>
  <c r="R101" i="20"/>
  <c r="Q104" i="23"/>
  <c r="R104" i="23"/>
  <c r="P108" i="20"/>
  <c r="Q107" i="20"/>
  <c r="R102" i="20"/>
  <c r="Q105" i="23"/>
  <c r="R105" i="23"/>
  <c r="P109" i="20"/>
  <c r="Q108" i="20"/>
  <c r="R103" i="20"/>
  <c r="Q106" i="23"/>
  <c r="R106" i="23"/>
  <c r="P110" i="20"/>
  <c r="Q109" i="20"/>
  <c r="R104" i="20"/>
  <c r="Q107" i="23"/>
  <c r="R107" i="23"/>
  <c r="P111" i="20"/>
  <c r="Q110" i="20"/>
  <c r="R105" i="20"/>
  <c r="Q108" i="23"/>
  <c r="R108" i="23"/>
  <c r="P112" i="20"/>
  <c r="Q111" i="20"/>
  <c r="R106" i="20"/>
  <c r="Q109" i="23"/>
  <c r="R109" i="23"/>
  <c r="P113" i="20"/>
  <c r="Q112" i="20"/>
  <c r="R107" i="20"/>
  <c r="Q110" i="23"/>
  <c r="R110" i="23"/>
  <c r="P114" i="20"/>
  <c r="Q113" i="20"/>
  <c r="R108" i="20"/>
  <c r="Q111" i="23"/>
  <c r="R111" i="23"/>
  <c r="P115" i="20"/>
  <c r="Q114" i="20"/>
  <c r="R109" i="20"/>
  <c r="Q112" i="23"/>
  <c r="R112" i="23"/>
  <c r="P116" i="20"/>
  <c r="Q115" i="20"/>
  <c r="R110" i="20"/>
  <c r="Q113" i="23"/>
  <c r="R113" i="23"/>
  <c r="P117" i="20"/>
  <c r="Q116" i="20"/>
  <c r="R111" i="20"/>
  <c r="Q114" i="23"/>
  <c r="R114" i="23"/>
  <c r="P118" i="20"/>
  <c r="Q117" i="20"/>
  <c r="R112" i="20"/>
  <c r="Q115" i="23"/>
  <c r="R115" i="23"/>
  <c r="P119" i="20"/>
  <c r="Q118" i="20"/>
  <c r="R113" i="20"/>
  <c r="Q116" i="23"/>
  <c r="R116" i="23"/>
  <c r="P120" i="20"/>
  <c r="Q119" i="20"/>
  <c r="R114" i="20"/>
  <c r="Q117" i="23"/>
  <c r="R117" i="23"/>
  <c r="P121" i="20"/>
  <c r="Q120" i="20"/>
  <c r="R115" i="20"/>
  <c r="Q118" i="23"/>
  <c r="R118" i="23"/>
  <c r="P122" i="20"/>
  <c r="Q121" i="20"/>
  <c r="R116" i="20"/>
  <c r="Q119" i="23"/>
  <c r="R119" i="23"/>
  <c r="P123" i="20"/>
  <c r="Q122" i="20"/>
  <c r="R117" i="20"/>
  <c r="Q120" i="23"/>
  <c r="R120" i="23"/>
  <c r="P124" i="20"/>
  <c r="Q123" i="20"/>
  <c r="R118" i="20"/>
  <c r="Q121" i="23"/>
  <c r="R121" i="23"/>
  <c r="P125" i="20"/>
  <c r="Q124" i="20"/>
  <c r="R119" i="20"/>
  <c r="Q122" i="23"/>
  <c r="R122" i="23"/>
  <c r="P126" i="20"/>
  <c r="Q125" i="20"/>
  <c r="R120" i="20"/>
  <c r="Q123" i="23"/>
  <c r="R123" i="23"/>
  <c r="P127" i="20"/>
  <c r="Q126" i="20"/>
  <c r="R121" i="20"/>
  <c r="Q124" i="23"/>
  <c r="R124" i="23"/>
  <c r="P128" i="20"/>
  <c r="Q127" i="20"/>
  <c r="R122" i="20"/>
  <c r="Q125" i="23"/>
  <c r="R125" i="23"/>
  <c r="P129" i="20"/>
  <c r="Q128" i="20"/>
  <c r="R123" i="20"/>
  <c r="Q126" i="23"/>
  <c r="R126" i="23"/>
  <c r="P130" i="20"/>
  <c r="Q129" i="20"/>
  <c r="R124" i="20"/>
  <c r="Q127" i="23"/>
  <c r="R127" i="23"/>
  <c r="P131" i="20"/>
  <c r="Q130" i="20"/>
  <c r="R125" i="20"/>
  <c r="Q128" i="23"/>
  <c r="R128" i="23"/>
  <c r="P132" i="20"/>
  <c r="Q131" i="20"/>
  <c r="R126" i="20"/>
  <c r="Q129" i="23"/>
  <c r="R129" i="23"/>
  <c r="P133" i="20"/>
  <c r="Q132" i="20"/>
  <c r="R127" i="20"/>
  <c r="Q130" i="23"/>
  <c r="R130" i="23"/>
  <c r="P134" i="20"/>
  <c r="Q133" i="20"/>
  <c r="R128" i="20"/>
  <c r="Q131" i="23"/>
  <c r="R131" i="23"/>
  <c r="P135" i="20"/>
  <c r="Q134" i="20"/>
  <c r="R129" i="20"/>
  <c r="Q132" i="23"/>
  <c r="R132" i="23"/>
  <c r="P136" i="20"/>
  <c r="Q135" i="20"/>
  <c r="R130" i="20"/>
  <c r="Q133" i="23"/>
  <c r="R133" i="23"/>
  <c r="P137" i="20"/>
  <c r="Q136" i="20"/>
  <c r="R131" i="20"/>
  <c r="Q134" i="23"/>
  <c r="R134" i="23"/>
  <c r="P138" i="20"/>
  <c r="Q137" i="20"/>
  <c r="R132" i="20"/>
  <c r="Q135" i="23"/>
  <c r="R135" i="23"/>
  <c r="P139" i="20"/>
  <c r="Q138" i="20"/>
  <c r="R133" i="20"/>
  <c r="Q136" i="23"/>
  <c r="R136" i="23"/>
  <c r="P140" i="20"/>
  <c r="Q139" i="20"/>
  <c r="R134" i="20"/>
  <c r="Q137" i="23"/>
  <c r="R137" i="23"/>
  <c r="P141" i="20"/>
  <c r="Q140" i="20"/>
  <c r="R135" i="20"/>
  <c r="Q138" i="23"/>
  <c r="P142" i="20"/>
  <c r="Q141" i="20"/>
  <c r="R136" i="20"/>
  <c r="R138" i="23"/>
  <c r="Q139" i="23"/>
  <c r="R139" i="23"/>
  <c r="P143" i="20"/>
  <c r="Q143" i="20"/>
  <c r="R143" i="20"/>
  <c r="Q142" i="20"/>
  <c r="R137" i="20"/>
  <c r="Q140" i="23"/>
  <c r="R140" i="23"/>
  <c r="R138" i="20"/>
  <c r="Q141" i="23"/>
  <c r="R141" i="23"/>
  <c r="R139" i="20"/>
  <c r="Q143" i="23"/>
  <c r="Q142" i="23"/>
  <c r="R142" i="23"/>
  <c r="R143" i="23"/>
  <c r="R141" i="20"/>
  <c r="R140" i="20"/>
  <c r="R142" i="20"/>
</calcChain>
</file>

<file path=xl/sharedStrings.xml><?xml version="1.0" encoding="utf-8"?>
<sst xmlns="http://schemas.openxmlformats.org/spreadsheetml/2006/main" count="1631" uniqueCount="232">
  <si>
    <t>A1</t>
  </si>
  <si>
    <t>A2</t>
  </si>
  <si>
    <t>A3</t>
  </si>
  <si>
    <t>date</t>
  </si>
  <si>
    <t>initial wt</t>
  </si>
  <si>
    <t>Final wt</t>
  </si>
  <si>
    <t>Solids Wt (mg)</t>
  </si>
  <si>
    <t>∆Wt (g)</t>
  </si>
  <si>
    <t>solids wt (mg)</t>
  </si>
  <si>
    <t>reactor</t>
  </si>
  <si>
    <t>vol (ml)</t>
  </si>
  <si>
    <t>vol(L)</t>
  </si>
  <si>
    <t>Date</t>
  </si>
  <si>
    <t>Reactor</t>
  </si>
  <si>
    <t>Initial Wt (g)</t>
  </si>
  <si>
    <t>Final Wt (g)</t>
  </si>
  <si>
    <t>Beaker Wt (g)</t>
  </si>
  <si>
    <t>∆ Wt (g)</t>
  </si>
  <si>
    <t>Solids Wt (g)</t>
  </si>
  <si>
    <t>Vol (L)</t>
  </si>
  <si>
    <t>[TS] mg/L</t>
  </si>
  <si>
    <t>pH</t>
  </si>
  <si>
    <t>CH4 (ml)</t>
  </si>
  <si>
    <t>CO2 (ml)</t>
  </si>
  <si>
    <t>%CH4</t>
  </si>
  <si>
    <t>%O2</t>
  </si>
  <si>
    <t>%CO2</t>
  </si>
  <si>
    <t>gas yield at stp</t>
  </si>
  <si>
    <t>O2 (ml)</t>
  </si>
  <si>
    <t>work on air conditioning and fume hoods</t>
  </si>
  <si>
    <t>R1</t>
  </si>
  <si>
    <t>R2</t>
  </si>
  <si>
    <t>TS fed in (g)</t>
  </si>
  <si>
    <t>Volatile solids in reactor,mg</t>
  </si>
  <si>
    <t>∆VS</t>
  </si>
  <si>
    <t>Vsout  (mg/L)</t>
  </si>
  <si>
    <t>Vsin  (mg)</t>
  </si>
  <si>
    <t>VS fed in  (g)</t>
  </si>
  <si>
    <t>VS(mg/L)</t>
  </si>
  <si>
    <t>CH4</t>
  </si>
  <si>
    <t>sum VS, mg</t>
  </si>
  <si>
    <t>sum CH4, ml</t>
  </si>
  <si>
    <t>ml/gVS</t>
  </si>
  <si>
    <t>Vleft in rxtor  (mg)</t>
  </si>
  <si>
    <t>Vsout (mg)</t>
  </si>
  <si>
    <t>end of dayVs</t>
  </si>
  <si>
    <t>ml/gVs</t>
  </si>
  <si>
    <t>ft3/lb</t>
  </si>
  <si>
    <t>Vsout, mg</t>
  </si>
  <si>
    <t>Vsleft in rxter  (mg)</t>
  </si>
  <si>
    <t>End of day VS, mg</t>
  </si>
  <si>
    <t>ft3/lb vs</t>
  </si>
  <si>
    <t>CH4, L</t>
  </si>
  <si>
    <t>Ch4, L</t>
  </si>
  <si>
    <t xml:space="preserve"> </t>
  </si>
  <si>
    <t>Vsin, mg/L</t>
  </si>
  <si>
    <t>R3</t>
  </si>
  <si>
    <t>R4</t>
  </si>
  <si>
    <t>Results for Votal solids for fresh fed (R1) and dry fed (R2) digesters, Sep 2009 - Nov 2010</t>
  </si>
  <si>
    <t>obtained by using the average TS/VS ratio of all results</t>
  </si>
  <si>
    <t>Introduced culture from anaerobic digester and a third digester R3 as a control</t>
  </si>
  <si>
    <t xml:space="preserve"> R3 container broke so was never considered</t>
  </si>
  <si>
    <t>R3 container broke so was never considered</t>
  </si>
  <si>
    <r>
      <t xml:space="preserve">temp, </t>
    </r>
    <r>
      <rPr>
        <b/>
        <vertAlign val="superscript"/>
        <sz val="11"/>
        <color indexed="8"/>
        <rFont val="Calibri"/>
        <family val="2"/>
      </rPr>
      <t>o</t>
    </r>
    <r>
      <rPr>
        <b/>
        <sz val="11"/>
        <color indexed="8"/>
        <rFont val="Calibri"/>
        <family val="2"/>
      </rPr>
      <t>C</t>
    </r>
  </si>
  <si>
    <t>total gas yeild, ml</t>
  </si>
  <si>
    <t>Results for gas volume and composition for fresh fed (R1) and dry fed (R2) digesters, Sep 2009 - Nov 2010</t>
  </si>
  <si>
    <t>pressure, mmHg</t>
  </si>
  <si>
    <t>moisture content</t>
  </si>
  <si>
    <t>wet wt + dish</t>
  </si>
  <si>
    <t>dry wt +dish</t>
  </si>
  <si>
    <t>dish</t>
  </si>
  <si>
    <t>dry wt</t>
  </si>
  <si>
    <t xml:space="preserve">wet wt </t>
  </si>
  <si>
    <t>solids</t>
  </si>
  <si>
    <t>% solids</t>
  </si>
  <si>
    <t>%moisture</t>
  </si>
  <si>
    <t>batch 1</t>
  </si>
  <si>
    <t>batch 2</t>
  </si>
  <si>
    <t>batch 3</t>
  </si>
  <si>
    <t>batch 4</t>
  </si>
  <si>
    <t>batch 5</t>
  </si>
  <si>
    <t>batch 6</t>
  </si>
  <si>
    <t>starch test</t>
  </si>
  <si>
    <t>mon</t>
  </si>
  <si>
    <t>fri</t>
  </si>
  <si>
    <t>Confirmation of moisture content for Starch</t>
  </si>
  <si>
    <t>DAY 6 results</t>
  </si>
  <si>
    <t>wet samples</t>
  </si>
  <si>
    <t>dry samples</t>
  </si>
  <si>
    <t>DDW</t>
  </si>
  <si>
    <t>starch dry</t>
  </si>
  <si>
    <t>wet starch</t>
  </si>
  <si>
    <t>Duckweed</t>
  </si>
  <si>
    <t>starch</t>
  </si>
  <si>
    <t>duckweed</t>
  </si>
  <si>
    <t>duckweed (day 1)</t>
  </si>
  <si>
    <t>duckweed(day 5)</t>
  </si>
  <si>
    <t>duckweed (day 8)</t>
  </si>
  <si>
    <t>day 8 after grinding</t>
  </si>
  <si>
    <t>cooked duckweed solids</t>
  </si>
  <si>
    <t>woffia 1</t>
  </si>
  <si>
    <t>woffia 2</t>
  </si>
  <si>
    <t>Lemna 1</t>
  </si>
  <si>
    <t>Lemna 2</t>
  </si>
  <si>
    <t>old starch</t>
  </si>
  <si>
    <t>wet DW</t>
  </si>
  <si>
    <t>air dried DW</t>
  </si>
  <si>
    <t>starch(dry 100mg)</t>
  </si>
  <si>
    <t>oven dried</t>
  </si>
  <si>
    <t>air dried</t>
  </si>
  <si>
    <t>wet Duckweed</t>
  </si>
  <si>
    <t>W1</t>
  </si>
  <si>
    <t>W2</t>
  </si>
  <si>
    <t>Wet DW</t>
  </si>
  <si>
    <t>Air Dry  DW</t>
  </si>
  <si>
    <t>Oven dry DW</t>
  </si>
  <si>
    <t>Dry samples</t>
  </si>
  <si>
    <t>Wt@103</t>
  </si>
  <si>
    <t>wt @ 105</t>
  </si>
  <si>
    <t>DW</t>
  </si>
  <si>
    <t>dish wt</t>
  </si>
  <si>
    <t>VSS%</t>
  </si>
  <si>
    <t>wt@103</t>
  </si>
  <si>
    <t>wt@105</t>
  </si>
  <si>
    <t>Beaker</t>
  </si>
  <si>
    <t>WWTP</t>
  </si>
  <si>
    <t>Soln</t>
  </si>
  <si>
    <t>sol</t>
  </si>
  <si>
    <t>batch 21</t>
  </si>
  <si>
    <t>batch 22</t>
  </si>
  <si>
    <t>batch 23</t>
  </si>
  <si>
    <t>ddw</t>
  </si>
  <si>
    <t>batch 24</t>
  </si>
  <si>
    <t>batch 25</t>
  </si>
  <si>
    <t>batch 26</t>
  </si>
  <si>
    <t>batch 27</t>
  </si>
  <si>
    <t>batch 28</t>
  </si>
  <si>
    <t>batch 29</t>
  </si>
  <si>
    <t>batch 30</t>
  </si>
  <si>
    <t>batch 31</t>
  </si>
  <si>
    <t>batch 32</t>
  </si>
  <si>
    <t>RDW</t>
  </si>
  <si>
    <t>% P coming in</t>
  </si>
  <si>
    <t>loading, g/d</t>
  </si>
  <si>
    <t>total P in, g/d</t>
  </si>
  <si>
    <t>liquid effluent, mg/L</t>
  </si>
  <si>
    <t>volume out, L/d</t>
  </si>
  <si>
    <t>P out in liquid, g/d</t>
  </si>
  <si>
    <t>% P in digestate</t>
  </si>
  <si>
    <t>TS out, mg/L</t>
  </si>
  <si>
    <t>volume out, L</t>
  </si>
  <si>
    <t>P out in solids, g/d</t>
  </si>
  <si>
    <t>in rxter</t>
  </si>
  <si>
    <t>total P/7</t>
  </si>
  <si>
    <t>%unaccounted for</t>
  </si>
  <si>
    <t>g/d</t>
  </si>
  <si>
    <t>% unaccounted</t>
  </si>
  <si>
    <t>days</t>
  </si>
  <si>
    <t>g unaccounted</t>
  </si>
  <si>
    <t>MC</t>
  </si>
  <si>
    <t>wet wt</t>
  </si>
  <si>
    <t>loading</t>
  </si>
  <si>
    <t>14th may - 23rd june</t>
  </si>
  <si>
    <t>25th june - 30th june</t>
  </si>
  <si>
    <t>3rd jul - 12 july</t>
  </si>
  <si>
    <t>14th july - 19th july</t>
  </si>
  <si>
    <t>21st july - 6th aug</t>
  </si>
  <si>
    <t>9th aug- 29th oct</t>
  </si>
  <si>
    <t>P in</t>
  </si>
  <si>
    <t>P out (liquid)</t>
  </si>
  <si>
    <t>P out (solids)</t>
  </si>
  <si>
    <t>P recovery eff</t>
  </si>
  <si>
    <t>Assume:  Q = 15 MGD, effluent P = 1 mg/L, 1 wt% P in duckweed</t>
    <phoneticPr fontId="4" type="noConversion"/>
  </si>
  <si>
    <t>Area needed at given Duckweed Density</t>
    <phoneticPr fontId="4" type="noConversion"/>
  </si>
  <si>
    <t>@ 20 d HRT</t>
    <phoneticPr fontId="4" type="noConversion"/>
  </si>
  <si>
    <t>800 lb/Ac</t>
    <phoneticPr fontId="4" type="noConversion"/>
  </si>
  <si>
    <t>1000 lb/Ac</t>
    <phoneticPr fontId="4" type="noConversion"/>
  </si>
  <si>
    <t>2000 lb/Ac</t>
    <phoneticPr fontId="4" type="noConversion"/>
  </si>
  <si>
    <t>Digester Vol</t>
    <phoneticPr fontId="4" type="noConversion"/>
  </si>
  <si>
    <t>Influent P, mg/L</t>
    <phoneticPr fontId="4" type="noConversion"/>
  </si>
  <si>
    <t>∆ P, mg/L</t>
    <phoneticPr fontId="4" type="noConversion"/>
  </si>
  <si>
    <t>∆ P, lb/d</t>
    <phoneticPr fontId="4" type="noConversion"/>
  </si>
  <si>
    <t>Duckweed, lb/d</t>
    <phoneticPr fontId="4" type="noConversion"/>
  </si>
  <si>
    <t>Acres/d</t>
    <phoneticPr fontId="4" type="noConversion"/>
  </si>
  <si>
    <t>Acres</t>
    <phoneticPr fontId="4" type="noConversion"/>
  </si>
  <si>
    <t>ft3</t>
    <phoneticPr fontId="4" type="noConversion"/>
  </si>
  <si>
    <t>gal</t>
    <phoneticPr fontId="4" type="noConversion"/>
  </si>
  <si>
    <t>Height</t>
    <phoneticPr fontId="4" type="noConversion"/>
  </si>
  <si>
    <t>Diameter</t>
    <phoneticPr fontId="4" type="noConversion"/>
  </si>
  <si>
    <t>ft</t>
    <phoneticPr fontId="4" type="noConversion"/>
  </si>
  <si>
    <t>g/L</t>
    <phoneticPr fontId="4" type="noConversion"/>
  </si>
  <si>
    <t>wet</t>
    <phoneticPr fontId="4" type="noConversion"/>
  </si>
  <si>
    <t>Area</t>
    <phoneticPr fontId="4" type="noConversion"/>
  </si>
  <si>
    <t>ft2</t>
    <phoneticPr fontId="4" type="noConversion"/>
  </si>
  <si>
    <t>lb/L</t>
    <phoneticPr fontId="4" type="noConversion"/>
  </si>
  <si>
    <t>dry</t>
    <phoneticPr fontId="4" type="noConversion"/>
  </si>
  <si>
    <t>lb/gal</t>
    <phoneticPr fontId="4" type="noConversion"/>
  </si>
  <si>
    <t>Feed</t>
    <phoneticPr fontId="4" type="noConversion"/>
  </si>
  <si>
    <t>lb/ft3</t>
    <phoneticPr fontId="4" type="noConversion"/>
  </si>
  <si>
    <t>IN</t>
    <phoneticPr fontId="4" type="noConversion"/>
  </si>
  <si>
    <t>OUT</t>
    <phoneticPr fontId="4" type="noConversion"/>
  </si>
  <si>
    <t>28% of TS removed</t>
    <phoneticPr fontId="4" type="noConversion"/>
  </si>
  <si>
    <t>lb/d</t>
    <phoneticPr fontId="4" type="noConversion"/>
  </si>
  <si>
    <t>lbs TS After Digestion</t>
    <phoneticPr fontId="4" type="noConversion"/>
  </si>
  <si>
    <t>ft3/d</t>
    <phoneticPr fontId="4" type="noConversion"/>
  </si>
  <si>
    <t>Digested Sludge</t>
    <phoneticPr fontId="4" type="noConversion"/>
  </si>
  <si>
    <t>∆TS/d</t>
    <phoneticPr fontId="4" type="noConversion"/>
  </si>
  <si>
    <t>lb TS/d</t>
    <phoneticPr fontId="4" type="noConversion"/>
  </si>
  <si>
    <t>ft3 CH4/d</t>
    <phoneticPr fontId="4" type="noConversion"/>
  </si>
  <si>
    <t>Methane Produced L/g ∆TS</t>
    <phoneticPr fontId="4" type="noConversion"/>
  </si>
  <si>
    <t>L/g</t>
    <phoneticPr fontId="4" type="noConversion"/>
  </si>
  <si>
    <t>Btu/ft3 CH4</t>
    <phoneticPr fontId="4" type="noConversion"/>
  </si>
  <si>
    <t>ft3/g</t>
    <phoneticPr fontId="4" type="noConversion"/>
  </si>
  <si>
    <t>Btu/d Produced</t>
    <phoneticPr fontId="4" type="noConversion"/>
  </si>
  <si>
    <t>ft3/lb destroyed</t>
    <phoneticPr fontId="4" type="noConversion"/>
  </si>
  <si>
    <t>Btu/min</t>
    <phoneticPr fontId="4" type="noConversion"/>
  </si>
  <si>
    <t>MW equivalent</t>
    <phoneticPr fontId="4" type="noConversion"/>
  </si>
  <si>
    <t>P in liquid calculation</t>
    <phoneticPr fontId="4" type="noConversion"/>
  </si>
  <si>
    <t>abs</t>
  </si>
  <si>
    <t>ug-P/l</t>
  </si>
  <si>
    <t>mg-P/10ml</t>
  </si>
  <si>
    <t>mg-P/mg-solid</t>
  </si>
  <si>
    <t>%-P</t>
  </si>
  <si>
    <t>mass</t>
  </si>
  <si>
    <t>mass/10ml</t>
  </si>
  <si>
    <t>dillution</t>
  </si>
  <si>
    <t>%P</t>
  </si>
  <si>
    <t>Residuals</t>
  </si>
  <si>
    <t>Residuals %</t>
  </si>
  <si>
    <t>Avg % difference</t>
  </si>
  <si>
    <t>over range</t>
  </si>
  <si>
    <t>Ran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</si>
</sst>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0.0"/>
    <numFmt numFmtId="165" formatCode="0.0000"/>
    <numFmt numFmtId="166" formatCode="0.000"/>
    <numFmt numFmtId="167" formatCode="0.00000"/>
    <numFmt numFmtId="168" formatCode="_(* #,##0_);_(* \(#,##0\);_(* &quot;-&quot;??_);_(@_)"/>
  </numFmts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Verdana"/>
    </font>
    <font>
      <sz val="10"/>
      <name val="Verdana"/>
      <family val="2"/>
    </font>
    <font>
      <sz val="10"/>
      <color rgb="FFFF0000"/>
      <name val="Verdana"/>
      <family val="2"/>
    </font>
    <font>
      <b/>
      <sz val="10"/>
      <name val="Verdana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1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14" fillId="0" borderId="0"/>
    <xf numFmtId="43" fontId="14" fillId="0" borderId="0" applyFont="0" applyFill="0" applyBorder="0" applyAlignment="0" applyProtection="0"/>
  </cellStyleXfs>
  <cellXfs count="217">
    <xf numFmtId="0" fontId="0" fillId="0" borderId="0" xfId="0"/>
    <xf numFmtId="16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wrapText="1"/>
    </xf>
    <xf numFmtId="16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2" xfId="0" applyBorder="1"/>
    <xf numFmtId="164" fontId="0" fillId="0" borderId="0" xfId="0" applyNumberFormat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3" borderId="0" xfId="0" applyFill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2" fontId="0" fillId="0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/>
    <xf numFmtId="0" fontId="4" fillId="0" borderId="1" xfId="0" applyFont="1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 wrapText="1"/>
    </xf>
    <xf numFmtId="2" fontId="0" fillId="0" borderId="1" xfId="0" applyNumberFormat="1" applyFill="1" applyBorder="1" applyAlignment="1">
      <alignment horizontal="center"/>
    </xf>
    <xf numFmtId="0" fontId="6" fillId="0" borderId="0" xfId="0" applyFont="1" applyFill="1"/>
    <xf numFmtId="16" fontId="0" fillId="0" borderId="1" xfId="0" applyNumberFormat="1" applyFont="1" applyBorder="1" applyAlignment="1">
      <alignment horizontal="left" vertical="center"/>
    </xf>
    <xf numFmtId="2" fontId="12" fillId="0" borderId="0" xfId="3" applyNumberFormat="1" applyFont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/>
    </xf>
    <xf numFmtId="2" fontId="4" fillId="0" borderId="0" xfId="0" applyNumberFormat="1" applyFont="1" applyFill="1" applyAlignment="1">
      <alignment horizontal="center" vertical="center"/>
    </xf>
    <xf numFmtId="0" fontId="0" fillId="0" borderId="2" xfId="0" applyFill="1" applyBorder="1"/>
    <xf numFmtId="0" fontId="6" fillId="0" borderId="0" xfId="0" applyFont="1" applyAlignment="1">
      <alignment horizontal="center" vertical="center"/>
    </xf>
    <xf numFmtId="0" fontId="0" fillId="0" borderId="0" xfId="0" applyFill="1" applyBorder="1"/>
    <xf numFmtId="2" fontId="4" fillId="2" borderId="1" xfId="0" applyNumberFormat="1" applyFont="1" applyFill="1" applyBorder="1" applyAlignment="1">
      <alignment horizontal="center" vertic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ont="1" applyAlignment="1">
      <alignment horizontal="center" vertical="center" wrapText="1"/>
    </xf>
    <xf numFmtId="164" fontId="0" fillId="0" borderId="0" xfId="0" applyNumberFormat="1" applyFont="1" applyAlignment="1">
      <alignment horizontal="center" wrapText="1"/>
    </xf>
    <xf numFmtId="2" fontId="0" fillId="2" borderId="0" xfId="0" applyNumberFormat="1" applyFont="1" applyFill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" fontId="0" fillId="0" borderId="0" xfId="0" applyNumberFormat="1" applyBorder="1"/>
    <xf numFmtId="0" fontId="0" fillId="0" borderId="0" xfId="0" applyBorder="1"/>
    <xf numFmtId="1" fontId="0" fillId="0" borderId="0" xfId="0" applyNumberFormat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/>
    <xf numFmtId="16" fontId="0" fillId="0" borderId="0" xfId="0" applyNumberFormat="1" applyFill="1"/>
    <xf numFmtId="0" fontId="6" fillId="0" borderId="1" xfId="0" applyFont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16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4" applyBorder="1"/>
    <xf numFmtId="165" fontId="1" fillId="0" borderId="1" xfId="4" applyNumberFormat="1" applyBorder="1" applyAlignment="1">
      <alignment horizontal="center" vertical="center"/>
    </xf>
    <xf numFmtId="2" fontId="1" fillId="0" borderId="1" xfId="4" applyNumberFormat="1" applyBorder="1" applyAlignment="1">
      <alignment horizontal="center" vertical="center"/>
    </xf>
    <xf numFmtId="10" fontId="1" fillId="0" borderId="1" xfId="4" applyNumberFormat="1" applyBorder="1" applyAlignment="1">
      <alignment horizontal="center" vertical="center"/>
    </xf>
    <xf numFmtId="0" fontId="1" fillId="0" borderId="0" xfId="4"/>
    <xf numFmtId="165" fontId="4" fillId="0" borderId="1" xfId="4" applyNumberFormat="1" applyFont="1" applyBorder="1" applyAlignment="1">
      <alignment horizontal="center" vertical="center"/>
    </xf>
    <xf numFmtId="2" fontId="4" fillId="0" borderId="1" xfId="4" applyNumberFormat="1" applyFont="1" applyBorder="1" applyAlignment="1">
      <alignment horizontal="center" vertical="center"/>
    </xf>
    <xf numFmtId="10" fontId="4" fillId="0" borderId="1" xfId="4" applyNumberFormat="1" applyFont="1" applyBorder="1" applyAlignment="1">
      <alignment horizontal="center" vertical="center"/>
    </xf>
    <xf numFmtId="10" fontId="1" fillId="0" borderId="0" xfId="4" applyNumberFormat="1"/>
    <xf numFmtId="15" fontId="1" fillId="0" borderId="1" xfId="4" applyNumberFormat="1" applyBorder="1"/>
    <xf numFmtId="165" fontId="1" fillId="0" borderId="0" xfId="4" applyNumberFormat="1" applyAlignment="1">
      <alignment horizontal="center" vertical="center"/>
    </xf>
    <xf numFmtId="2" fontId="1" fillId="0" borderId="0" xfId="4" applyNumberFormat="1" applyAlignment="1">
      <alignment horizontal="center" vertical="center"/>
    </xf>
    <xf numFmtId="10" fontId="1" fillId="0" borderId="0" xfId="4" applyNumberFormat="1" applyAlignment="1">
      <alignment horizontal="center" vertical="center"/>
    </xf>
    <xf numFmtId="0" fontId="4" fillId="0" borderId="0" xfId="4" applyFont="1"/>
    <xf numFmtId="15" fontId="1" fillId="0" borderId="0" xfId="4" applyNumberFormat="1"/>
    <xf numFmtId="16" fontId="1" fillId="0" borderId="0" xfId="4" applyNumberFormat="1"/>
    <xf numFmtId="165" fontId="1" fillId="0" borderId="0" xfId="4" applyNumberFormat="1"/>
    <xf numFmtId="165" fontId="1" fillId="0" borderId="0" xfId="4" applyNumberFormat="1" applyAlignment="1">
      <alignment horizontal="center"/>
    </xf>
    <xf numFmtId="2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0" fontId="6" fillId="0" borderId="0" xfId="2" applyFont="1" applyAlignment="1" applyProtection="1"/>
    <xf numFmtId="0" fontId="5" fillId="0" borderId="0" xfId="2" applyAlignment="1" applyProtection="1"/>
    <xf numFmtId="166" fontId="1" fillId="0" borderId="0" xfId="4" applyNumberFormat="1"/>
    <xf numFmtId="164" fontId="1" fillId="0" borderId="0" xfId="4" applyNumberFormat="1"/>
    <xf numFmtId="2" fontId="1" fillId="0" borderId="0" xfId="4" applyNumberFormat="1"/>
    <xf numFmtId="0" fontId="14" fillId="0" borderId="0" xfId="5"/>
    <xf numFmtId="0" fontId="14" fillId="0" borderId="0" xfId="5" applyAlignment="1">
      <alignment horizontal="center" vertical="center" wrapText="1"/>
    </xf>
    <xf numFmtId="0" fontId="14" fillId="0" borderId="0" xfId="5" applyAlignment="1">
      <alignment horizontal="center" wrapText="1"/>
    </xf>
    <xf numFmtId="0" fontId="14" fillId="0" borderId="0" xfId="5" applyAlignment="1">
      <alignment horizontal="center"/>
    </xf>
    <xf numFmtId="0" fontId="15" fillId="0" borderId="0" xfId="5" applyFont="1" applyAlignment="1">
      <alignment horizontal="center" vertical="center" wrapText="1"/>
    </xf>
    <xf numFmtId="165" fontId="14" fillId="0" borderId="0" xfId="5" applyNumberFormat="1" applyAlignment="1">
      <alignment horizontal="center" vertical="center"/>
    </xf>
    <xf numFmtId="0" fontId="14" fillId="0" borderId="0" xfId="5" applyAlignment="1">
      <alignment horizontal="center" vertical="center"/>
    </xf>
    <xf numFmtId="0" fontId="15" fillId="0" borderId="0" xfId="5" applyFont="1"/>
    <xf numFmtId="2" fontId="14" fillId="0" borderId="0" xfId="5" applyNumberFormat="1"/>
    <xf numFmtId="0" fontId="15" fillId="0" borderId="0" xfId="5" applyFont="1" applyAlignment="1">
      <alignment horizontal="center"/>
    </xf>
    <xf numFmtId="2" fontId="14" fillId="0" borderId="0" xfId="5" applyNumberFormat="1" applyAlignment="1">
      <alignment horizontal="center"/>
    </xf>
    <xf numFmtId="0" fontId="14" fillId="2" borderId="0" xfId="5" applyFill="1"/>
    <xf numFmtId="165" fontId="14" fillId="2" borderId="0" xfId="5" applyNumberFormat="1" applyFill="1" applyAlignment="1">
      <alignment horizontal="center" vertical="center"/>
    </xf>
    <xf numFmtId="2" fontId="14" fillId="2" borderId="0" xfId="5" applyNumberFormat="1" applyFill="1" applyAlignment="1">
      <alignment horizontal="center" vertical="center"/>
    </xf>
    <xf numFmtId="167" fontId="14" fillId="2" borderId="0" xfId="5" applyNumberFormat="1" applyFill="1" applyAlignment="1">
      <alignment horizontal="center" vertical="center"/>
    </xf>
    <xf numFmtId="0" fontId="14" fillId="2" borderId="0" xfId="5" applyFill="1" applyAlignment="1">
      <alignment horizontal="center"/>
    </xf>
    <xf numFmtId="167" fontId="14" fillId="2" borderId="0" xfId="5" applyNumberFormat="1" applyFill="1" applyAlignment="1">
      <alignment horizontal="center"/>
    </xf>
    <xf numFmtId="165" fontId="14" fillId="2" borderId="0" xfId="5" applyNumberFormat="1" applyFill="1" applyAlignment="1">
      <alignment horizontal="center"/>
    </xf>
    <xf numFmtId="166" fontId="14" fillId="2" borderId="0" xfId="5" applyNumberFormat="1" applyFill="1" applyAlignment="1">
      <alignment horizontal="center"/>
    </xf>
    <xf numFmtId="2" fontId="14" fillId="2" borderId="0" xfId="5" applyNumberFormat="1" applyFill="1"/>
    <xf numFmtId="0" fontId="14" fillId="0" borderId="0" xfId="5" applyFill="1"/>
    <xf numFmtId="165" fontId="14" fillId="0" borderId="0" xfId="5" applyNumberFormat="1" applyFill="1" applyAlignment="1">
      <alignment horizontal="center" vertical="center"/>
    </xf>
    <xf numFmtId="2" fontId="14" fillId="0" borderId="0" xfId="5" applyNumberFormat="1" applyFill="1" applyAlignment="1">
      <alignment horizontal="center" vertical="center"/>
    </xf>
    <xf numFmtId="167" fontId="14" fillId="0" borderId="0" xfId="5" applyNumberFormat="1" applyFill="1" applyAlignment="1">
      <alignment horizontal="center" vertical="center"/>
    </xf>
    <xf numFmtId="0" fontId="14" fillId="0" borderId="0" xfId="5" applyFill="1" applyAlignment="1">
      <alignment horizontal="center"/>
    </xf>
    <xf numFmtId="167" fontId="14" fillId="0" borderId="0" xfId="5" applyNumberFormat="1" applyFill="1" applyAlignment="1">
      <alignment horizontal="center"/>
    </xf>
    <xf numFmtId="165" fontId="14" fillId="0" borderId="0" xfId="5" applyNumberFormat="1" applyFill="1" applyAlignment="1">
      <alignment horizontal="center"/>
    </xf>
    <xf numFmtId="166" fontId="14" fillId="0" borderId="0" xfId="5" applyNumberFormat="1" applyFill="1" applyAlignment="1">
      <alignment horizontal="center"/>
    </xf>
    <xf numFmtId="2" fontId="14" fillId="0" borderId="0" xfId="5" applyNumberFormat="1" applyFill="1"/>
    <xf numFmtId="0" fontId="16" fillId="2" borderId="0" xfId="5" applyFont="1" applyFill="1" applyAlignment="1">
      <alignment horizontal="center"/>
    </xf>
    <xf numFmtId="0" fontId="16" fillId="0" borderId="0" xfId="5" applyFont="1" applyFill="1" applyAlignment="1">
      <alignment horizontal="center"/>
    </xf>
    <xf numFmtId="0" fontId="15" fillId="2" borderId="0" xfId="5" applyFont="1" applyFill="1"/>
    <xf numFmtId="0" fontId="14" fillId="0" borderId="0" xfId="5" applyFont="1" applyFill="1"/>
    <xf numFmtId="2" fontId="14" fillId="0" borderId="0" xfId="5" applyNumberFormat="1" applyAlignment="1">
      <alignment horizontal="center" vertical="center"/>
    </xf>
    <xf numFmtId="0" fontId="14" fillId="0" borderId="0" xfId="5" applyNumberFormat="1" applyAlignment="1">
      <alignment horizontal="right"/>
    </xf>
    <xf numFmtId="0" fontId="14" fillId="0" borderId="0" xfId="5" applyNumberFormat="1" applyFill="1"/>
    <xf numFmtId="0" fontId="14" fillId="0" borderId="0" xfId="5" applyNumberFormat="1" applyFill="1" applyAlignment="1">
      <alignment horizontal="center" vertical="center"/>
    </xf>
    <xf numFmtId="0" fontId="14" fillId="0" borderId="0" xfId="5" applyNumberFormat="1" applyFill="1" applyAlignment="1">
      <alignment horizontal="center"/>
    </xf>
    <xf numFmtId="0" fontId="14" fillId="0" borderId="0" xfId="5" applyFill="1" applyAlignment="1">
      <alignment horizontal="center" vertical="center"/>
    </xf>
    <xf numFmtId="0" fontId="15" fillId="0" borderId="0" xfId="5" applyFont="1" applyFill="1"/>
    <xf numFmtId="167" fontId="14" fillId="0" borderId="0" xfId="5" applyNumberFormat="1" applyAlignment="1">
      <alignment horizontal="center" vertical="center"/>
    </xf>
    <xf numFmtId="0" fontId="14" fillId="5" borderId="0" xfId="5" applyFill="1" applyAlignment="1">
      <alignment horizontal="center"/>
    </xf>
    <xf numFmtId="164" fontId="14" fillId="0" borderId="0" xfId="5" applyNumberFormat="1" applyAlignment="1">
      <alignment horizontal="center"/>
    </xf>
    <xf numFmtId="168" fontId="0" fillId="0" borderId="0" xfId="6" applyNumberFormat="1" applyFont="1"/>
    <xf numFmtId="168" fontId="14" fillId="5" borderId="0" xfId="5" applyNumberFormat="1" applyFill="1" applyAlignment="1">
      <alignment horizontal="center"/>
    </xf>
    <xf numFmtId="43" fontId="14" fillId="0" borderId="0" xfId="5" applyNumberFormat="1"/>
    <xf numFmtId="168" fontId="14" fillId="0" borderId="0" xfId="5" applyNumberFormat="1" applyAlignment="1">
      <alignment horizontal="center"/>
    </xf>
    <xf numFmtId="1" fontId="14" fillId="0" borderId="0" xfId="5" applyNumberFormat="1"/>
    <xf numFmtId="2" fontId="14" fillId="5" borderId="0" xfId="5" applyNumberFormat="1" applyFill="1"/>
    <xf numFmtId="168" fontId="0" fillId="5" borderId="0" xfId="6" applyNumberFormat="1" applyFont="1" applyFill="1"/>
    <xf numFmtId="168" fontId="14" fillId="0" borderId="0" xfId="5" applyNumberFormat="1"/>
    <xf numFmtId="168" fontId="14" fillId="5" borderId="0" xfId="5" applyNumberFormat="1" applyFill="1"/>
    <xf numFmtId="0" fontId="14" fillId="5" borderId="0" xfId="5" applyFill="1"/>
    <xf numFmtId="164" fontId="14" fillId="5" borderId="0" xfId="5" applyNumberFormat="1" applyFill="1"/>
    <xf numFmtId="0" fontId="17" fillId="0" borderId="0" xfId="5" applyFont="1"/>
    <xf numFmtId="16" fontId="17" fillId="0" borderId="0" xfId="5" applyNumberFormat="1" applyFont="1"/>
    <xf numFmtId="2" fontId="17" fillId="0" borderId="0" xfId="5" applyNumberFormat="1" applyFont="1"/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0" xfId="4" applyFont="1" applyAlignment="1">
      <alignment horizontal="center"/>
    </xf>
    <xf numFmtId="0" fontId="14" fillId="0" borderId="0" xfId="5" applyAlignment="1">
      <alignment horizontal="center"/>
    </xf>
    <xf numFmtId="0" fontId="14" fillId="0" borderId="0" xfId="5" quotePrefix="1" applyAlignment="1">
      <alignment horizontal="center"/>
    </xf>
  </cellXfs>
  <cellStyles count="7">
    <cellStyle name="Comma" xfId="1" builtinId="3"/>
    <cellStyle name="Comma 2" xfId="6"/>
    <cellStyle name="Hyperlink" xfId="2" builtinId="8"/>
    <cellStyle name="Normal" xfId="0" builtinId="0"/>
    <cellStyle name="Normal 2" xfId="3"/>
    <cellStyle name="Normal 3" xfId="4"/>
    <cellStyle name="Normal 4" xf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02741646404674"/>
          <c:y val="0.0643035094731987"/>
          <c:w val="0.630307113828978"/>
          <c:h val="0.82357956363750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0.4431610087347"/>
                  <c:y val="0.13135877658712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en-US"/>
                </a:p>
              </c:txPr>
            </c:trendlineLbl>
          </c:trendline>
          <c:xVal>
            <c:numRef>
              <c:f>petiole!$D$3:$D$6</c:f>
              <c:numCache>
                <c:formatCode>General</c:formatCode>
                <c:ptCount val="4"/>
                <c:pt idx="0">
                  <c:v>0.0</c:v>
                </c:pt>
                <c:pt idx="1">
                  <c:v>25.0</c:v>
                </c:pt>
                <c:pt idx="2">
                  <c:v>250.0</c:v>
                </c:pt>
                <c:pt idx="3">
                  <c:v>500.0</c:v>
                </c:pt>
              </c:numCache>
            </c:numRef>
          </c:xVal>
          <c:yVal>
            <c:numRef>
              <c:f>petiole!$E$3:$E$6</c:f>
              <c:numCache>
                <c:formatCode>General</c:formatCode>
                <c:ptCount val="4"/>
                <c:pt idx="0">
                  <c:v>0.0</c:v>
                </c:pt>
                <c:pt idx="1">
                  <c:v>0.023</c:v>
                </c:pt>
                <c:pt idx="2">
                  <c:v>0.2</c:v>
                </c:pt>
                <c:pt idx="3">
                  <c:v>0.395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701336"/>
        <c:axId val="590704632"/>
      </c:scatterChart>
      <c:valAx>
        <c:axId val="590701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90704632"/>
        <c:crosses val="autoZero"/>
        <c:crossBetween val="midCat"/>
      </c:valAx>
      <c:valAx>
        <c:axId val="590704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9070133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88219741763"/>
          <c:y val="0.422919218431029"/>
          <c:w val="0.225685443165758"/>
          <c:h val="0.10634799437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Residuals--Variation from 0.38%-P in Grape Petiole leaves</a:t>
            </a:r>
          </a:p>
        </c:rich>
      </c:tx>
      <c:layout>
        <c:manualLayout>
          <c:xMode val="edge"/>
          <c:yMode val="edge"/>
          <c:x val="0.124920171004825"/>
          <c:y val="0.0321517007343779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2543823430051"/>
          <c:y val="0.242374766475902"/>
          <c:w val="0.720693667655119"/>
          <c:h val="0.56636552574471"/>
        </c:manualLayout>
      </c:layout>
      <c:scatterChart>
        <c:scatterStyle val="lineMarker"/>
        <c:varyColors val="0"/>
        <c:ser>
          <c:idx val="0"/>
          <c:order val="0"/>
          <c:tx>
            <c:v>Value difference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petiole!$F$9:$F$17</c:f>
              <c:numCache>
                <c:formatCode>0.00</c:formatCode>
                <c:ptCount val="9"/>
                <c:pt idx="0">
                  <c:v>-0.0641204037490988</c:v>
                </c:pt>
                <c:pt idx="2">
                  <c:v>-0.111712218649518</c:v>
                </c:pt>
                <c:pt idx="3">
                  <c:v>0.015</c:v>
                </c:pt>
                <c:pt idx="4">
                  <c:v>-0.0477415275670208</c:v>
                </c:pt>
                <c:pt idx="5">
                  <c:v>0.0122382005899699</c:v>
                </c:pt>
                <c:pt idx="6">
                  <c:v>0.0240221579961546</c:v>
                </c:pt>
                <c:pt idx="7">
                  <c:v>-0.03</c:v>
                </c:pt>
                <c:pt idx="8">
                  <c:v>-0.01</c:v>
                </c:pt>
              </c:numCache>
            </c:numRef>
          </c:yVal>
          <c:smooth val="0"/>
        </c:ser>
        <c:ser>
          <c:idx val="1"/>
          <c:order val="1"/>
          <c:tx>
            <c:v>Percent difference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petiole!$G$9:$G$17</c:f>
              <c:numCache>
                <c:formatCode>General</c:formatCode>
                <c:ptCount val="9"/>
                <c:pt idx="0">
                  <c:v>-0.168737904602892</c:v>
                </c:pt>
                <c:pt idx="2">
                  <c:v>-0.293979522761889</c:v>
                </c:pt>
                <c:pt idx="3">
                  <c:v>0.0394736842105263</c:v>
                </c:pt>
                <c:pt idx="4">
                  <c:v>-0.125635598860581</c:v>
                </c:pt>
                <c:pt idx="5">
                  <c:v>0.0322057910262367</c:v>
                </c:pt>
                <c:pt idx="6">
                  <c:v>0.0632162052530385</c:v>
                </c:pt>
                <c:pt idx="7">
                  <c:v>-0.0789473684210527</c:v>
                </c:pt>
                <c:pt idx="8">
                  <c:v>-0.0263157894736842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660952"/>
        <c:axId val="590667576"/>
      </c:scatterChart>
      <c:valAx>
        <c:axId val="590660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Sample</a:t>
                </a:r>
              </a:p>
            </c:rich>
          </c:tx>
          <c:layout>
            <c:manualLayout>
              <c:xMode val="edge"/>
              <c:yMode val="edge"/>
              <c:x val="0.534274318330296"/>
              <c:y val="0.8359455446857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90667576"/>
        <c:crosses val="autoZero"/>
        <c:crossBetween val="midCat"/>
      </c:valAx>
      <c:valAx>
        <c:axId val="590667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Residual differences by value and percentage
</a:t>
                </a:r>
              </a:p>
            </c:rich>
          </c:tx>
          <c:layout>
            <c:manualLayout>
              <c:xMode val="edge"/>
              <c:yMode val="edge"/>
              <c:x val="0.0307496934062282"/>
              <c:y val="0.309151356080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906609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3440176964779"/>
          <c:y val="0.922508019830854"/>
          <c:w val="0.515055759951403"/>
          <c:h val="0.05935708793976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44</xdr:row>
      <xdr:rowOff>38100</xdr:rowOff>
    </xdr:from>
    <xdr:to>
      <xdr:col>12</xdr:col>
      <xdr:colOff>771525</xdr:colOff>
      <xdr:row>67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800100</xdr:colOff>
      <xdr:row>19</xdr:row>
      <xdr:rowOff>66675</xdr:rowOff>
    </xdr:from>
    <xdr:to>
      <xdr:col>7</xdr:col>
      <xdr:colOff>133350</xdr:colOff>
      <xdr:row>42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Wt@103" TargetMode="External"/><Relationship Id="rId2" Type="http://schemas.openxmlformats.org/officeDocument/2006/relationships/hyperlink" Target="mailto:wt@103" TargetMode="External"/><Relationship Id="rId3" Type="http://schemas.openxmlformats.org/officeDocument/2006/relationships/hyperlink" Target="mailto:wt@10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Sheet1" enableFormatConditionsCalculation="0"/>
  <dimension ref="A2:L339"/>
  <sheetViews>
    <sheetView workbookViewId="0">
      <selection activeCell="D360" sqref="D360"/>
    </sheetView>
  </sheetViews>
  <sheetFormatPr baseColWidth="10" defaultColWidth="7.6640625" defaultRowHeight="14" x14ac:dyDescent="0"/>
  <cols>
    <col min="1" max="1" width="7.1640625" style="46" customWidth="1"/>
    <col min="2" max="2" width="7.1640625" style="41" customWidth="1"/>
    <col min="3" max="3" width="10.5" style="42" customWidth="1"/>
    <col min="4" max="4" width="9.83203125" style="42" customWidth="1"/>
    <col min="5" max="5" width="9.5" style="42" customWidth="1"/>
    <col min="6" max="6" width="9.83203125" style="42" customWidth="1"/>
    <col min="7" max="7" width="10" style="42" customWidth="1"/>
    <col min="8" max="8" width="12.1640625" style="42" customWidth="1"/>
    <col min="9" max="9" width="7.6640625" style="42"/>
    <col min="10" max="10" width="11.5" style="42" customWidth="1"/>
  </cols>
  <sheetData>
    <row r="2" spans="1:10" s="2" customFormat="1">
      <c r="A2" s="44" t="s">
        <v>12</v>
      </c>
      <c r="B2" s="34" t="s">
        <v>13</v>
      </c>
      <c r="C2" s="35" t="s">
        <v>14</v>
      </c>
      <c r="D2" s="35" t="s">
        <v>15</v>
      </c>
      <c r="E2" s="35" t="s">
        <v>16</v>
      </c>
      <c r="F2" s="35" t="s">
        <v>17</v>
      </c>
      <c r="G2" s="35" t="s">
        <v>18</v>
      </c>
      <c r="H2" s="35" t="s">
        <v>6</v>
      </c>
      <c r="I2" s="35" t="s">
        <v>19</v>
      </c>
      <c r="J2" s="35" t="s">
        <v>20</v>
      </c>
    </row>
    <row r="3" spans="1:10" s="2" customFormat="1">
      <c r="A3" s="45">
        <v>38621</v>
      </c>
      <c r="B3" s="36" t="s">
        <v>30</v>
      </c>
      <c r="C3" s="37">
        <v>110.2</v>
      </c>
      <c r="D3" s="37">
        <v>49.5</v>
      </c>
      <c r="E3" s="37">
        <v>48.7</v>
      </c>
      <c r="F3" s="37">
        <f>C3-D3</f>
        <v>60.7</v>
      </c>
      <c r="G3" s="37">
        <f>D3-E3</f>
        <v>0.79999999999999716</v>
      </c>
      <c r="H3" s="37">
        <f>G3*1000</f>
        <v>799.99999999999716</v>
      </c>
      <c r="I3" s="37">
        <f>F3/1000</f>
        <v>6.0700000000000004E-2</v>
      </c>
      <c r="J3" s="37">
        <f>H3/I3</f>
        <v>13179.571663920875</v>
      </c>
    </row>
    <row r="4" spans="1:10" s="2" customFormat="1">
      <c r="A4" s="43"/>
      <c r="B4" s="36" t="s">
        <v>31</v>
      </c>
      <c r="C4" s="37">
        <v>131.5</v>
      </c>
      <c r="D4" s="37">
        <v>51.8</v>
      </c>
      <c r="E4" s="37">
        <v>51.1</v>
      </c>
      <c r="F4" s="37">
        <f t="shared" ref="F4:F15" si="0">C4-D4</f>
        <v>79.7</v>
      </c>
      <c r="G4" s="37">
        <f t="shared" ref="G4:G15" si="1">D4-E4</f>
        <v>0.69999999999999574</v>
      </c>
      <c r="H4" s="37">
        <f t="shared" ref="H4:H15" si="2">G4*1000</f>
        <v>699.99999999999568</v>
      </c>
      <c r="I4" s="37">
        <f t="shared" ref="I4:I15" si="3">F4/1000</f>
        <v>7.9700000000000007E-2</v>
      </c>
      <c r="J4" s="37">
        <f t="shared" ref="J4:J14" si="4">H4/I4</f>
        <v>8782.936010037587</v>
      </c>
    </row>
    <row r="5" spans="1:10" s="2" customFormat="1">
      <c r="A5" s="45">
        <v>38622</v>
      </c>
      <c r="B5" s="36" t="s">
        <v>30</v>
      </c>
      <c r="C5" s="37">
        <v>154.9</v>
      </c>
      <c r="D5" s="37">
        <v>73.3</v>
      </c>
      <c r="E5" s="37">
        <v>72.5</v>
      </c>
      <c r="F5" s="37">
        <f t="shared" si="0"/>
        <v>81.600000000000009</v>
      </c>
      <c r="G5" s="37">
        <f t="shared" si="1"/>
        <v>0.79999999999999716</v>
      </c>
      <c r="H5" s="37">
        <f t="shared" si="2"/>
        <v>799.99999999999716</v>
      </c>
      <c r="I5" s="37">
        <f t="shared" si="3"/>
        <v>8.1600000000000006E-2</v>
      </c>
      <c r="J5" s="37">
        <f t="shared" si="4"/>
        <v>9803.9215686274147</v>
      </c>
    </row>
    <row r="6" spans="1:10" s="2" customFormat="1">
      <c r="A6" s="43"/>
      <c r="B6" s="36" t="s">
        <v>31</v>
      </c>
      <c r="C6" s="37">
        <v>152.4</v>
      </c>
      <c r="D6" s="37">
        <v>61.2</v>
      </c>
      <c r="E6" s="37">
        <v>60.4</v>
      </c>
      <c r="F6" s="37">
        <f t="shared" si="0"/>
        <v>91.2</v>
      </c>
      <c r="G6" s="37">
        <f t="shared" si="1"/>
        <v>0.80000000000000426</v>
      </c>
      <c r="H6" s="37">
        <f t="shared" si="2"/>
        <v>800.00000000000432</v>
      </c>
      <c r="I6" s="37">
        <f t="shared" si="3"/>
        <v>9.1200000000000003E-2</v>
      </c>
      <c r="J6" s="37">
        <f t="shared" si="4"/>
        <v>8771.92982456145</v>
      </c>
    </row>
    <row r="7" spans="1:10" s="2" customFormat="1">
      <c r="A7" s="45">
        <v>38625</v>
      </c>
      <c r="B7" s="36" t="s">
        <v>30</v>
      </c>
      <c r="C7" s="37">
        <v>125.3</v>
      </c>
      <c r="D7" s="37">
        <v>50.3</v>
      </c>
      <c r="E7" s="37">
        <v>49.8</v>
      </c>
      <c r="F7" s="37">
        <f t="shared" si="0"/>
        <v>75</v>
      </c>
      <c r="G7" s="37">
        <f t="shared" si="1"/>
        <v>0.5</v>
      </c>
      <c r="H7" s="37">
        <f t="shared" si="2"/>
        <v>500</v>
      </c>
      <c r="I7" s="37">
        <f t="shared" si="3"/>
        <v>7.4999999999999997E-2</v>
      </c>
      <c r="J7" s="37">
        <f t="shared" si="4"/>
        <v>6666.666666666667</v>
      </c>
    </row>
    <row r="8" spans="1:10" s="2" customFormat="1">
      <c r="A8" s="43"/>
      <c r="B8" s="36" t="s">
        <v>31</v>
      </c>
      <c r="C8" s="37">
        <v>146.4</v>
      </c>
      <c r="D8" s="37">
        <v>61.1</v>
      </c>
      <c r="E8" s="37">
        <v>60.3</v>
      </c>
      <c r="F8" s="37">
        <f t="shared" si="0"/>
        <v>85.300000000000011</v>
      </c>
      <c r="G8" s="37">
        <f t="shared" si="1"/>
        <v>0.80000000000000426</v>
      </c>
      <c r="H8" s="37">
        <f t="shared" si="2"/>
        <v>800.00000000000432</v>
      </c>
      <c r="I8" s="37">
        <f t="shared" si="3"/>
        <v>8.5300000000000015E-2</v>
      </c>
      <c r="J8" s="37">
        <f t="shared" si="4"/>
        <v>9378.6635404455355</v>
      </c>
    </row>
    <row r="9" spans="1:10" s="2" customFormat="1">
      <c r="A9" s="45">
        <v>38626</v>
      </c>
      <c r="B9" s="36" t="s">
        <v>30</v>
      </c>
      <c r="C9" s="37">
        <v>104.6</v>
      </c>
      <c r="D9" s="37">
        <v>79.900000000000006</v>
      </c>
      <c r="E9" s="37">
        <v>79.599999999999994</v>
      </c>
      <c r="F9" s="37">
        <f t="shared" si="0"/>
        <v>24.699999999999989</v>
      </c>
      <c r="G9" s="37">
        <f t="shared" si="1"/>
        <v>0.30000000000001137</v>
      </c>
      <c r="H9" s="37">
        <f t="shared" si="2"/>
        <v>300.00000000001137</v>
      </c>
      <c r="I9" s="37">
        <f t="shared" si="3"/>
        <v>2.4699999999999989E-2</v>
      </c>
      <c r="J9" s="37">
        <f t="shared" si="4"/>
        <v>12145.748987854717</v>
      </c>
    </row>
    <row r="10" spans="1:10" s="2" customFormat="1">
      <c r="A10" s="43"/>
      <c r="B10" s="36" t="s">
        <v>31</v>
      </c>
      <c r="C10" s="37">
        <v>109.2</v>
      </c>
      <c r="D10" s="37">
        <v>82.6</v>
      </c>
      <c r="E10" s="37">
        <v>82.4</v>
      </c>
      <c r="F10" s="37">
        <f t="shared" si="0"/>
        <v>26.600000000000009</v>
      </c>
      <c r="G10" s="37">
        <f t="shared" si="1"/>
        <v>0.19999999999998863</v>
      </c>
      <c r="H10" s="37">
        <f t="shared" si="2"/>
        <v>199.99999999998863</v>
      </c>
      <c r="I10" s="37">
        <f t="shared" si="3"/>
        <v>2.6600000000000009E-2</v>
      </c>
      <c r="J10" s="37">
        <f t="shared" si="4"/>
        <v>7518.796992480773</v>
      </c>
    </row>
    <row r="11" spans="1:10" s="2" customFormat="1">
      <c r="A11" s="45">
        <v>38627</v>
      </c>
      <c r="B11" s="36" t="s">
        <v>30</v>
      </c>
      <c r="C11" s="37">
        <v>105.7</v>
      </c>
      <c r="D11" s="37">
        <v>50.2</v>
      </c>
      <c r="E11" s="37">
        <v>49.8</v>
      </c>
      <c r="F11" s="37">
        <f t="shared" si="0"/>
        <v>55.5</v>
      </c>
      <c r="G11" s="37">
        <f t="shared" si="1"/>
        <v>0.40000000000000568</v>
      </c>
      <c r="H11" s="37">
        <f t="shared" si="2"/>
        <v>400.00000000000568</v>
      </c>
      <c r="I11" s="37">
        <f t="shared" si="3"/>
        <v>5.5500000000000001E-2</v>
      </c>
      <c r="J11" s="37">
        <f t="shared" si="4"/>
        <v>7207.2072072073097</v>
      </c>
    </row>
    <row r="12" spans="1:10" s="2" customFormat="1">
      <c r="A12" s="43"/>
      <c r="B12" s="36" t="s">
        <v>31</v>
      </c>
      <c r="C12" s="37">
        <v>113.8</v>
      </c>
      <c r="D12" s="37">
        <v>60.1</v>
      </c>
      <c r="E12" s="37">
        <v>59.8</v>
      </c>
      <c r="F12" s="37">
        <f t="shared" si="0"/>
        <v>53.699999999999996</v>
      </c>
      <c r="G12" s="37">
        <f t="shared" si="1"/>
        <v>0.30000000000000426</v>
      </c>
      <c r="H12" s="37">
        <f t="shared" si="2"/>
        <v>300.00000000000426</v>
      </c>
      <c r="I12" s="37">
        <f t="shared" si="3"/>
        <v>5.3699999999999998E-2</v>
      </c>
      <c r="J12" s="37">
        <f t="shared" si="4"/>
        <v>5586.5921787710295</v>
      </c>
    </row>
    <row r="13" spans="1:10" s="2" customFormat="1">
      <c r="A13" s="45">
        <v>38629</v>
      </c>
      <c r="B13" s="36" t="s">
        <v>30</v>
      </c>
      <c r="C13" s="37">
        <v>158.4</v>
      </c>
      <c r="D13" s="37">
        <v>82.8</v>
      </c>
      <c r="E13" s="37">
        <v>82.4</v>
      </c>
      <c r="F13" s="37">
        <f t="shared" si="0"/>
        <v>75.600000000000009</v>
      </c>
      <c r="G13" s="37">
        <f t="shared" si="1"/>
        <v>0.39999999999999147</v>
      </c>
      <c r="H13" s="37">
        <f t="shared" si="2"/>
        <v>399.99999999999147</v>
      </c>
      <c r="I13" s="37">
        <f t="shared" si="3"/>
        <v>7.5600000000000014E-2</v>
      </c>
      <c r="J13" s="37">
        <f t="shared" si="4"/>
        <v>5291.0052910051772</v>
      </c>
    </row>
    <row r="14" spans="1:10" s="2" customFormat="1">
      <c r="A14" s="43"/>
      <c r="B14" s="36" t="s">
        <v>31</v>
      </c>
      <c r="C14" s="37">
        <v>162.19999999999999</v>
      </c>
      <c r="D14" s="37">
        <v>80.099999999999994</v>
      </c>
      <c r="E14" s="37">
        <v>79.599999999999994</v>
      </c>
      <c r="F14" s="37">
        <f t="shared" si="0"/>
        <v>82.1</v>
      </c>
      <c r="G14" s="37">
        <f t="shared" si="1"/>
        <v>0.5</v>
      </c>
      <c r="H14" s="37">
        <f t="shared" si="2"/>
        <v>500</v>
      </c>
      <c r="I14" s="37">
        <f t="shared" si="3"/>
        <v>8.2099999999999992E-2</v>
      </c>
      <c r="J14" s="37">
        <f t="shared" si="4"/>
        <v>6090.1339829476256</v>
      </c>
    </row>
    <row r="15" spans="1:10">
      <c r="A15" s="45">
        <v>38637</v>
      </c>
      <c r="B15" s="36" t="s">
        <v>30</v>
      </c>
      <c r="C15" s="37">
        <v>160.19999999999999</v>
      </c>
      <c r="D15" s="37">
        <v>73.3</v>
      </c>
      <c r="E15" s="37">
        <v>73</v>
      </c>
      <c r="F15" s="37">
        <f t="shared" si="0"/>
        <v>86.899999999999991</v>
      </c>
      <c r="G15" s="37">
        <f t="shared" si="1"/>
        <v>0.29999999999999716</v>
      </c>
      <c r="H15" s="37">
        <f t="shared" si="2"/>
        <v>299.99999999999716</v>
      </c>
      <c r="I15" s="37">
        <f t="shared" si="3"/>
        <v>8.6899999999999991E-2</v>
      </c>
      <c r="J15" s="38">
        <f t="shared" ref="J15:J98" si="5">H15/I15</f>
        <v>3452.2439585730403</v>
      </c>
    </row>
    <row r="16" spans="1:10">
      <c r="A16" s="45">
        <v>38640</v>
      </c>
      <c r="B16" s="36" t="s">
        <v>30</v>
      </c>
      <c r="C16" s="37">
        <v>125</v>
      </c>
      <c r="D16" s="37">
        <v>51.3</v>
      </c>
      <c r="E16" s="37">
        <v>50.1</v>
      </c>
      <c r="F16" s="37">
        <f t="shared" ref="F16:F98" si="6">C16-D16</f>
        <v>73.7</v>
      </c>
      <c r="G16" s="37">
        <f t="shared" ref="G16:G121" si="7">D16-E16</f>
        <v>1.1999999999999957</v>
      </c>
      <c r="H16" s="37">
        <f t="shared" ref="H16:H121" si="8">G16*1000</f>
        <v>1199.9999999999957</v>
      </c>
      <c r="I16" s="37">
        <f t="shared" ref="I16:I98" si="9">F16/1000</f>
        <v>7.3700000000000002E-2</v>
      </c>
      <c r="J16" s="38">
        <f t="shared" si="5"/>
        <v>16282.22523744906</v>
      </c>
    </row>
    <row r="17" spans="1:11">
      <c r="A17" s="43"/>
      <c r="B17" s="36" t="s">
        <v>31</v>
      </c>
      <c r="C17" s="37">
        <v>118.7</v>
      </c>
      <c r="D17" s="37">
        <v>51.5</v>
      </c>
      <c r="E17" s="37">
        <v>50.8</v>
      </c>
      <c r="F17" s="37">
        <f t="shared" si="6"/>
        <v>67.2</v>
      </c>
      <c r="G17" s="37">
        <f t="shared" si="7"/>
        <v>0.70000000000000284</v>
      </c>
      <c r="H17" s="37">
        <f t="shared" si="8"/>
        <v>700.00000000000284</v>
      </c>
      <c r="I17" s="37">
        <f t="shared" si="9"/>
        <v>6.720000000000001E-2</v>
      </c>
      <c r="J17" s="38">
        <f t="shared" si="5"/>
        <v>10416.666666666708</v>
      </c>
    </row>
    <row r="18" spans="1:11">
      <c r="A18" s="45">
        <v>38643</v>
      </c>
      <c r="B18" s="36" t="s">
        <v>30</v>
      </c>
      <c r="C18" s="37">
        <v>118.8</v>
      </c>
      <c r="D18" s="37">
        <v>50.7</v>
      </c>
      <c r="E18" s="37">
        <v>49.6</v>
      </c>
      <c r="F18" s="37">
        <f t="shared" si="6"/>
        <v>68.099999999999994</v>
      </c>
      <c r="G18" s="37">
        <f t="shared" si="7"/>
        <v>1.1000000000000014</v>
      </c>
      <c r="H18" s="37">
        <f t="shared" si="8"/>
        <v>1100.0000000000014</v>
      </c>
      <c r="I18" s="37">
        <f t="shared" si="9"/>
        <v>6.8099999999999994E-2</v>
      </c>
      <c r="J18" s="38">
        <f t="shared" si="5"/>
        <v>16152.71659324525</v>
      </c>
    </row>
    <row r="19" spans="1:11">
      <c r="A19" s="43"/>
      <c r="B19" s="36" t="s">
        <v>31</v>
      </c>
      <c r="C19" s="37">
        <v>106.2</v>
      </c>
      <c r="D19" s="37">
        <v>50.4</v>
      </c>
      <c r="E19" s="37">
        <v>49.8</v>
      </c>
      <c r="F19" s="37">
        <f t="shared" si="6"/>
        <v>55.800000000000004</v>
      </c>
      <c r="G19" s="37">
        <f t="shared" si="7"/>
        <v>0.60000000000000142</v>
      </c>
      <c r="H19" s="37">
        <f t="shared" si="8"/>
        <v>600.00000000000136</v>
      </c>
      <c r="I19" s="37">
        <f t="shared" si="9"/>
        <v>5.5800000000000002E-2</v>
      </c>
      <c r="J19" s="38">
        <f t="shared" si="5"/>
        <v>10752.688172043036</v>
      </c>
    </row>
    <row r="20" spans="1:11">
      <c r="A20" s="45">
        <v>38645</v>
      </c>
      <c r="B20" s="36" t="s">
        <v>30</v>
      </c>
      <c r="C20" s="37">
        <v>120.1</v>
      </c>
      <c r="D20" s="37">
        <v>51.7</v>
      </c>
      <c r="E20" s="37">
        <v>50.6</v>
      </c>
      <c r="F20" s="37">
        <f t="shared" si="6"/>
        <v>68.399999999999991</v>
      </c>
      <c r="G20" s="37">
        <f t="shared" si="7"/>
        <v>1.1000000000000014</v>
      </c>
      <c r="H20" s="37">
        <f t="shared" si="8"/>
        <v>1100.0000000000014</v>
      </c>
      <c r="I20" s="37">
        <f t="shared" si="9"/>
        <v>6.8399999999999989E-2</v>
      </c>
      <c r="J20" s="38">
        <f t="shared" si="5"/>
        <v>16081.871345029262</v>
      </c>
    </row>
    <row r="21" spans="1:11">
      <c r="A21" s="43"/>
      <c r="B21" s="36" t="s">
        <v>31</v>
      </c>
      <c r="C21" s="37">
        <v>140.4</v>
      </c>
      <c r="D21" s="37">
        <v>51.8</v>
      </c>
      <c r="E21" s="37">
        <v>50.8</v>
      </c>
      <c r="F21" s="37">
        <f t="shared" si="6"/>
        <v>88.600000000000009</v>
      </c>
      <c r="G21" s="37">
        <f t="shared" si="7"/>
        <v>1</v>
      </c>
      <c r="H21" s="37">
        <f t="shared" si="8"/>
        <v>1000</v>
      </c>
      <c r="I21" s="37">
        <f t="shared" si="9"/>
        <v>8.8600000000000012E-2</v>
      </c>
      <c r="J21" s="38">
        <f t="shared" si="5"/>
        <v>11286.68171557562</v>
      </c>
    </row>
    <row r="22" spans="1:11">
      <c r="A22" s="45">
        <v>38647</v>
      </c>
      <c r="B22" s="36" t="s">
        <v>30</v>
      </c>
      <c r="C22" s="37">
        <v>112.6</v>
      </c>
      <c r="D22" s="37">
        <v>62.4</v>
      </c>
      <c r="E22" s="37">
        <v>61.6</v>
      </c>
      <c r="F22" s="37">
        <f t="shared" si="6"/>
        <v>50.199999999999996</v>
      </c>
      <c r="G22" s="37">
        <f t="shared" si="7"/>
        <v>0.79999999999999716</v>
      </c>
      <c r="H22" s="37">
        <f t="shared" si="8"/>
        <v>799.99999999999716</v>
      </c>
      <c r="I22" s="37">
        <f t="shared" si="9"/>
        <v>5.0199999999999995E-2</v>
      </c>
      <c r="J22" s="38">
        <f t="shared" si="5"/>
        <v>15936.254980079626</v>
      </c>
    </row>
    <row r="23" spans="1:11">
      <c r="A23" s="43"/>
      <c r="B23" s="36" t="s">
        <v>31</v>
      </c>
      <c r="C23" s="37">
        <v>152.30000000000001</v>
      </c>
      <c r="D23" s="37">
        <v>68.5</v>
      </c>
      <c r="E23" s="37">
        <v>67.599999999999994</v>
      </c>
      <c r="F23" s="37">
        <f t="shared" si="6"/>
        <v>83.800000000000011</v>
      </c>
      <c r="G23" s="37">
        <f t="shared" si="7"/>
        <v>0.90000000000000568</v>
      </c>
      <c r="H23" s="37">
        <f t="shared" si="8"/>
        <v>900.00000000000568</v>
      </c>
      <c r="I23" s="37">
        <f t="shared" si="9"/>
        <v>8.3800000000000013E-2</v>
      </c>
      <c r="J23" s="38">
        <f t="shared" si="5"/>
        <v>10739.856801909375</v>
      </c>
    </row>
    <row r="24" spans="1:11">
      <c r="A24" s="45">
        <v>38649</v>
      </c>
      <c r="B24" s="36" t="s">
        <v>30</v>
      </c>
      <c r="C24" s="37">
        <v>130.9</v>
      </c>
      <c r="D24" s="37">
        <v>51.4</v>
      </c>
      <c r="E24" s="37">
        <v>50.1</v>
      </c>
      <c r="F24" s="37">
        <f t="shared" si="6"/>
        <v>79.5</v>
      </c>
      <c r="G24" s="37">
        <f t="shared" si="7"/>
        <v>1.2999999999999972</v>
      </c>
      <c r="H24" s="37">
        <f t="shared" si="8"/>
        <v>1299.9999999999973</v>
      </c>
      <c r="I24" s="37">
        <f t="shared" si="9"/>
        <v>7.9500000000000001E-2</v>
      </c>
      <c r="J24" s="38">
        <f t="shared" si="5"/>
        <v>16352.201257861601</v>
      </c>
    </row>
    <row r="25" spans="1:11">
      <c r="A25" s="43"/>
      <c r="B25" s="36" t="s">
        <v>31</v>
      </c>
      <c r="C25" s="37">
        <v>147.19999999999999</v>
      </c>
      <c r="D25" s="37">
        <v>52.1</v>
      </c>
      <c r="E25" s="37">
        <v>51</v>
      </c>
      <c r="F25" s="37">
        <f t="shared" si="6"/>
        <v>95.1</v>
      </c>
      <c r="G25" s="37">
        <f t="shared" si="7"/>
        <v>1.1000000000000014</v>
      </c>
      <c r="H25" s="37">
        <f t="shared" si="8"/>
        <v>1100.0000000000014</v>
      </c>
      <c r="I25" s="37">
        <f t="shared" si="9"/>
        <v>9.509999999999999E-2</v>
      </c>
      <c r="J25" s="38">
        <f t="shared" si="5"/>
        <v>11566.771819137764</v>
      </c>
    </row>
    <row r="26" spans="1:11" s="54" customFormat="1">
      <c r="A26" s="205" t="s">
        <v>60</v>
      </c>
      <c r="B26" s="206"/>
      <c r="C26" s="206"/>
      <c r="D26" s="206"/>
      <c r="E26" s="206"/>
      <c r="F26" s="206"/>
      <c r="G26" s="206"/>
      <c r="H26" s="206"/>
      <c r="I26" s="206"/>
      <c r="J26" s="207"/>
      <c r="K26" s="54" t="s">
        <v>62</v>
      </c>
    </row>
    <row r="27" spans="1:11">
      <c r="A27" s="45">
        <v>38651</v>
      </c>
      <c r="B27" s="36" t="s">
        <v>30</v>
      </c>
      <c r="C27" s="37">
        <v>297</v>
      </c>
      <c r="D27" s="37">
        <v>106.4</v>
      </c>
      <c r="E27" s="37">
        <v>103.9</v>
      </c>
      <c r="F27" s="37">
        <f t="shared" si="6"/>
        <v>190.6</v>
      </c>
      <c r="G27" s="37">
        <f t="shared" si="7"/>
        <v>2.5</v>
      </c>
      <c r="H27" s="37">
        <f t="shared" si="8"/>
        <v>2500</v>
      </c>
      <c r="I27" s="37">
        <f t="shared" si="9"/>
        <v>0.19059999999999999</v>
      </c>
      <c r="J27" s="38">
        <f t="shared" si="5"/>
        <v>13116.474291710389</v>
      </c>
    </row>
    <row r="28" spans="1:11">
      <c r="A28" s="43"/>
      <c r="B28" s="36" t="s">
        <v>31</v>
      </c>
      <c r="C28" s="37">
        <v>314.89999999999998</v>
      </c>
      <c r="D28" s="37">
        <v>107.4</v>
      </c>
      <c r="E28" s="37">
        <v>105.2</v>
      </c>
      <c r="F28" s="37">
        <f t="shared" si="6"/>
        <v>207.49999999999997</v>
      </c>
      <c r="G28" s="37">
        <f t="shared" si="7"/>
        <v>2.2000000000000028</v>
      </c>
      <c r="H28" s="37">
        <f t="shared" si="8"/>
        <v>2200.0000000000027</v>
      </c>
      <c r="I28" s="37">
        <f t="shared" si="9"/>
        <v>0.20749999999999996</v>
      </c>
      <c r="J28" s="38">
        <f t="shared" si="5"/>
        <v>10602.409638554233</v>
      </c>
    </row>
    <row r="29" spans="1:11">
      <c r="A29" s="43"/>
      <c r="B29" s="36" t="s">
        <v>56</v>
      </c>
      <c r="C29" s="37">
        <v>293.2</v>
      </c>
      <c r="D29" s="37">
        <v>107.9</v>
      </c>
      <c r="E29" s="37">
        <v>106.8</v>
      </c>
      <c r="F29" s="37">
        <f t="shared" si="6"/>
        <v>185.29999999999998</v>
      </c>
      <c r="G29" s="37">
        <f t="shared" si="7"/>
        <v>1.1000000000000085</v>
      </c>
      <c r="H29" s="37">
        <f t="shared" si="8"/>
        <v>1100.0000000000086</v>
      </c>
      <c r="I29" s="37">
        <f t="shared" si="9"/>
        <v>0.18529999999999999</v>
      </c>
      <c r="J29" s="38">
        <f t="shared" si="5"/>
        <v>5936.3194819212558</v>
      </c>
    </row>
    <row r="30" spans="1:11">
      <c r="A30" s="45">
        <v>38652</v>
      </c>
      <c r="B30" s="36" t="s">
        <v>30</v>
      </c>
      <c r="C30" s="37">
        <v>197.6</v>
      </c>
      <c r="D30" s="37">
        <v>67.3</v>
      </c>
      <c r="E30" s="37">
        <v>64.7</v>
      </c>
      <c r="F30" s="37">
        <f t="shared" si="6"/>
        <v>130.30000000000001</v>
      </c>
      <c r="G30" s="37">
        <f t="shared" si="7"/>
        <v>2.5999999999999943</v>
      </c>
      <c r="H30" s="37">
        <f t="shared" si="8"/>
        <v>2599.9999999999945</v>
      </c>
      <c r="I30" s="37">
        <f t="shared" si="9"/>
        <v>0.1303</v>
      </c>
      <c r="J30" s="38">
        <f t="shared" si="5"/>
        <v>19953.95241749804</v>
      </c>
    </row>
    <row r="31" spans="1:11">
      <c r="A31" s="43"/>
      <c r="B31" s="36" t="s">
        <v>31</v>
      </c>
      <c r="C31" s="37">
        <v>209.5</v>
      </c>
      <c r="D31" s="37">
        <v>69</v>
      </c>
      <c r="E31" s="37">
        <v>67.599999999999994</v>
      </c>
      <c r="F31" s="37">
        <f t="shared" si="6"/>
        <v>140.5</v>
      </c>
      <c r="G31" s="37">
        <f t="shared" si="7"/>
        <v>1.4000000000000057</v>
      </c>
      <c r="H31" s="37">
        <f t="shared" si="8"/>
        <v>1400.0000000000057</v>
      </c>
      <c r="I31" s="37">
        <f t="shared" si="9"/>
        <v>0.14050000000000001</v>
      </c>
      <c r="J31" s="38">
        <f t="shared" si="5"/>
        <v>9964.4128113879397</v>
      </c>
    </row>
    <row r="32" spans="1:11">
      <c r="A32" s="43"/>
      <c r="B32" s="36" t="s">
        <v>56</v>
      </c>
      <c r="C32" s="37">
        <v>198.9</v>
      </c>
      <c r="D32" s="37">
        <v>69.3</v>
      </c>
      <c r="E32" s="37">
        <v>68.900000000000006</v>
      </c>
      <c r="F32" s="37">
        <f t="shared" si="6"/>
        <v>129.60000000000002</v>
      </c>
      <c r="G32" s="37">
        <f t="shared" si="7"/>
        <v>0.39999999999999147</v>
      </c>
      <c r="H32" s="37">
        <f t="shared" si="8"/>
        <v>399.99999999999147</v>
      </c>
      <c r="I32" s="37">
        <f t="shared" si="9"/>
        <v>0.12960000000000002</v>
      </c>
      <c r="J32" s="38">
        <f t="shared" si="5"/>
        <v>3086.4197530863535</v>
      </c>
    </row>
    <row r="33" spans="1:10">
      <c r="A33" s="45">
        <v>38654</v>
      </c>
      <c r="B33" s="36" t="s">
        <v>30</v>
      </c>
      <c r="C33" s="37">
        <v>126.9</v>
      </c>
      <c r="D33" s="37">
        <v>51.3</v>
      </c>
      <c r="E33" s="37">
        <v>50.5</v>
      </c>
      <c r="F33" s="37">
        <f t="shared" si="6"/>
        <v>75.600000000000009</v>
      </c>
      <c r="G33" s="37">
        <f t="shared" si="7"/>
        <v>0.79999999999999716</v>
      </c>
      <c r="H33" s="37">
        <f t="shared" si="8"/>
        <v>799.99999999999716</v>
      </c>
      <c r="I33" s="37">
        <f t="shared" si="9"/>
        <v>7.5600000000000014E-2</v>
      </c>
      <c r="J33" s="38">
        <f t="shared" si="5"/>
        <v>10582.010582010542</v>
      </c>
    </row>
    <row r="34" spans="1:10">
      <c r="A34" s="43"/>
      <c r="B34" s="36" t="s">
        <v>31</v>
      </c>
      <c r="C34" s="37">
        <v>126.5</v>
      </c>
      <c r="D34" s="37">
        <v>51.2</v>
      </c>
      <c r="E34" s="37">
        <v>50.6</v>
      </c>
      <c r="F34" s="37">
        <f t="shared" si="6"/>
        <v>75.3</v>
      </c>
      <c r="G34" s="37">
        <f t="shared" si="7"/>
        <v>0.60000000000000142</v>
      </c>
      <c r="H34" s="37">
        <f t="shared" si="8"/>
        <v>600.00000000000136</v>
      </c>
      <c r="I34" s="37">
        <f t="shared" si="9"/>
        <v>7.5299999999999992E-2</v>
      </c>
      <c r="J34" s="38">
        <f t="shared" si="5"/>
        <v>7968.1274900398594</v>
      </c>
    </row>
    <row r="35" spans="1:10">
      <c r="A35" s="43"/>
      <c r="B35" s="36" t="s">
        <v>56</v>
      </c>
      <c r="C35" s="37">
        <v>125.6</v>
      </c>
      <c r="D35" s="37">
        <v>49.1</v>
      </c>
      <c r="E35" s="37">
        <v>48.7</v>
      </c>
      <c r="F35" s="37">
        <f t="shared" si="6"/>
        <v>76.5</v>
      </c>
      <c r="G35" s="37">
        <f t="shared" si="7"/>
        <v>0.39999999999999858</v>
      </c>
      <c r="H35" s="37">
        <f t="shared" si="8"/>
        <v>399.99999999999858</v>
      </c>
      <c r="I35" s="37">
        <f t="shared" si="9"/>
        <v>7.6499999999999999E-2</v>
      </c>
      <c r="J35" s="38">
        <f t="shared" si="5"/>
        <v>5228.7581699346219</v>
      </c>
    </row>
    <row r="36" spans="1:10">
      <c r="A36" s="45">
        <v>38657</v>
      </c>
      <c r="B36" s="36" t="s">
        <v>30</v>
      </c>
      <c r="C36" s="37">
        <v>127.4</v>
      </c>
      <c r="D36" s="37">
        <v>50.8</v>
      </c>
      <c r="E36" s="37">
        <v>50</v>
      </c>
      <c r="F36" s="37">
        <f t="shared" si="6"/>
        <v>76.600000000000009</v>
      </c>
      <c r="G36" s="37">
        <f t="shared" si="7"/>
        <v>0.79999999999999716</v>
      </c>
      <c r="H36" s="37">
        <f t="shared" si="8"/>
        <v>799.99999999999716</v>
      </c>
      <c r="I36" s="37">
        <f t="shared" si="9"/>
        <v>7.6600000000000015E-2</v>
      </c>
      <c r="J36" s="38">
        <f t="shared" si="5"/>
        <v>10443.864229764973</v>
      </c>
    </row>
    <row r="37" spans="1:10">
      <c r="A37" s="43"/>
      <c r="B37" s="36" t="s">
        <v>31</v>
      </c>
      <c r="C37" s="37">
        <v>132.9</v>
      </c>
      <c r="D37" s="37">
        <v>48.4</v>
      </c>
      <c r="E37" s="37">
        <v>47.7</v>
      </c>
      <c r="F37" s="37">
        <f t="shared" si="6"/>
        <v>84.5</v>
      </c>
      <c r="G37" s="37">
        <f t="shared" si="7"/>
        <v>0.69999999999999574</v>
      </c>
      <c r="H37" s="37">
        <f t="shared" si="8"/>
        <v>699.99999999999568</v>
      </c>
      <c r="I37" s="37">
        <f t="shared" si="9"/>
        <v>8.4500000000000006E-2</v>
      </c>
      <c r="J37" s="38">
        <f t="shared" si="5"/>
        <v>8284.0236686390017</v>
      </c>
    </row>
    <row r="38" spans="1:10">
      <c r="A38" s="43"/>
      <c r="B38" s="36" t="s">
        <v>56</v>
      </c>
      <c r="C38" s="37">
        <v>136.6</v>
      </c>
      <c r="D38" s="37">
        <v>50.4</v>
      </c>
      <c r="E38" s="37">
        <v>49.9</v>
      </c>
      <c r="F38" s="37">
        <f t="shared" si="6"/>
        <v>86.199999999999989</v>
      </c>
      <c r="G38" s="37">
        <f t="shared" si="7"/>
        <v>0.5</v>
      </c>
      <c r="H38" s="37">
        <f t="shared" si="8"/>
        <v>500</v>
      </c>
      <c r="I38" s="37">
        <f t="shared" si="9"/>
        <v>8.6199999999999985E-2</v>
      </c>
      <c r="J38" s="38">
        <f t="shared" si="5"/>
        <v>5800.4640371229707</v>
      </c>
    </row>
    <row r="39" spans="1:10">
      <c r="A39" s="45">
        <v>38659</v>
      </c>
      <c r="B39" s="36" t="s">
        <v>30</v>
      </c>
      <c r="C39" s="37">
        <v>106.9</v>
      </c>
      <c r="D39" s="37">
        <v>50.2</v>
      </c>
      <c r="E39" s="37">
        <v>49.7</v>
      </c>
      <c r="F39" s="37">
        <f t="shared" si="6"/>
        <v>56.7</v>
      </c>
      <c r="G39" s="37">
        <f t="shared" si="7"/>
        <v>0.5</v>
      </c>
      <c r="H39" s="37">
        <f t="shared" si="8"/>
        <v>500</v>
      </c>
      <c r="I39" s="37">
        <f t="shared" si="9"/>
        <v>5.67E-2</v>
      </c>
      <c r="J39" s="38">
        <f t="shared" si="5"/>
        <v>8818.3421516754843</v>
      </c>
    </row>
    <row r="40" spans="1:10">
      <c r="A40" s="43"/>
      <c r="B40" s="39" t="s">
        <v>31</v>
      </c>
      <c r="C40" s="37">
        <v>115.6</v>
      </c>
      <c r="D40" s="37">
        <v>50.3</v>
      </c>
      <c r="E40" s="37">
        <v>49.8</v>
      </c>
      <c r="F40" s="37">
        <f t="shared" si="6"/>
        <v>65.3</v>
      </c>
      <c r="G40" s="37">
        <f t="shared" si="7"/>
        <v>0.5</v>
      </c>
      <c r="H40" s="37">
        <f t="shared" si="8"/>
        <v>500</v>
      </c>
      <c r="I40" s="37">
        <f t="shared" si="9"/>
        <v>6.5299999999999997E-2</v>
      </c>
      <c r="J40" s="38">
        <f t="shared" si="5"/>
        <v>7656.9678407350693</v>
      </c>
    </row>
    <row r="41" spans="1:10">
      <c r="A41" s="43"/>
      <c r="B41" s="36" t="s">
        <v>56</v>
      </c>
      <c r="C41" s="37">
        <v>116.4</v>
      </c>
      <c r="D41" s="37">
        <v>50.3</v>
      </c>
      <c r="E41" s="37">
        <v>49.9</v>
      </c>
      <c r="F41" s="37">
        <f t="shared" si="6"/>
        <v>66.100000000000009</v>
      </c>
      <c r="G41" s="37">
        <f t="shared" si="7"/>
        <v>0.39999999999999858</v>
      </c>
      <c r="H41" s="37">
        <f t="shared" si="8"/>
        <v>399.99999999999858</v>
      </c>
      <c r="I41" s="37">
        <f t="shared" si="9"/>
        <v>6.6100000000000006E-2</v>
      </c>
      <c r="J41" s="38">
        <f t="shared" si="5"/>
        <v>6051.4372163388589</v>
      </c>
    </row>
    <row r="42" spans="1:10">
      <c r="A42" s="45">
        <v>38661</v>
      </c>
      <c r="B42" s="36" t="s">
        <v>30</v>
      </c>
      <c r="C42" s="37">
        <v>128</v>
      </c>
      <c r="D42" s="37">
        <v>51.5</v>
      </c>
      <c r="E42" s="37">
        <v>50.8</v>
      </c>
      <c r="F42" s="37">
        <f t="shared" si="6"/>
        <v>76.5</v>
      </c>
      <c r="G42" s="37">
        <f t="shared" si="7"/>
        <v>0.70000000000000284</v>
      </c>
      <c r="H42" s="37">
        <f t="shared" si="8"/>
        <v>700.00000000000284</v>
      </c>
      <c r="I42" s="37">
        <f t="shared" si="9"/>
        <v>7.6499999999999999E-2</v>
      </c>
      <c r="J42" s="38">
        <f t="shared" si="5"/>
        <v>9150.3267973856582</v>
      </c>
    </row>
    <row r="43" spans="1:10">
      <c r="A43" s="43"/>
      <c r="B43" s="36" t="s">
        <v>31</v>
      </c>
      <c r="C43" s="37">
        <v>153.30000000000001</v>
      </c>
      <c r="D43" s="37">
        <v>73.099999999999994</v>
      </c>
      <c r="E43" s="37">
        <v>72.5</v>
      </c>
      <c r="F43" s="37">
        <f t="shared" si="6"/>
        <v>80.200000000000017</v>
      </c>
      <c r="G43" s="37">
        <f t="shared" si="7"/>
        <v>0.59999999999999432</v>
      </c>
      <c r="H43" s="37">
        <f t="shared" si="8"/>
        <v>599.99999999999432</v>
      </c>
      <c r="I43" s="37">
        <f t="shared" si="9"/>
        <v>8.0200000000000021E-2</v>
      </c>
      <c r="J43" s="38">
        <f t="shared" si="5"/>
        <v>7481.2967581046651</v>
      </c>
    </row>
    <row r="44" spans="1:10">
      <c r="A44" s="43"/>
      <c r="B44" s="36" t="s">
        <v>56</v>
      </c>
      <c r="C44" s="37">
        <v>153.19999999999999</v>
      </c>
      <c r="D44" s="37">
        <v>51</v>
      </c>
      <c r="E44" s="37">
        <v>50.6</v>
      </c>
      <c r="F44" s="37">
        <f t="shared" si="6"/>
        <v>102.19999999999999</v>
      </c>
      <c r="G44" s="37">
        <f t="shared" si="7"/>
        <v>0.39999999999999858</v>
      </c>
      <c r="H44" s="37">
        <f t="shared" si="8"/>
        <v>399.99999999999858</v>
      </c>
      <c r="I44" s="37">
        <f t="shared" si="9"/>
        <v>0.10219999999999999</v>
      </c>
      <c r="J44" s="38">
        <f t="shared" si="5"/>
        <v>3913.8943248532155</v>
      </c>
    </row>
    <row r="45" spans="1:10">
      <c r="A45" s="45">
        <v>38664</v>
      </c>
      <c r="B45" s="36" t="s">
        <v>30</v>
      </c>
      <c r="C45" s="37">
        <v>107.1</v>
      </c>
      <c r="D45" s="37">
        <v>60.2</v>
      </c>
      <c r="E45" s="37">
        <v>59.7</v>
      </c>
      <c r="F45" s="37">
        <f t="shared" si="6"/>
        <v>46.899999999999991</v>
      </c>
      <c r="G45" s="37">
        <f t="shared" si="7"/>
        <v>0.5</v>
      </c>
      <c r="H45" s="37">
        <f t="shared" si="8"/>
        <v>500</v>
      </c>
      <c r="I45" s="37">
        <f t="shared" si="9"/>
        <v>4.689999999999999E-2</v>
      </c>
      <c r="J45" s="38">
        <f t="shared" si="5"/>
        <v>10660.980810234543</v>
      </c>
    </row>
    <row r="46" spans="1:10">
      <c r="A46" s="43"/>
      <c r="B46" s="36" t="s">
        <v>31</v>
      </c>
      <c r="C46" s="37">
        <v>107.4</v>
      </c>
      <c r="D46" s="37">
        <v>51.3</v>
      </c>
      <c r="E46" s="37">
        <v>50.8</v>
      </c>
      <c r="F46" s="37">
        <f t="shared" si="6"/>
        <v>56.100000000000009</v>
      </c>
      <c r="G46" s="37">
        <f t="shared" si="7"/>
        <v>0.5</v>
      </c>
      <c r="H46" s="37">
        <f t="shared" si="8"/>
        <v>500</v>
      </c>
      <c r="I46" s="37">
        <f t="shared" si="9"/>
        <v>5.6100000000000011E-2</v>
      </c>
      <c r="J46" s="38">
        <f t="shared" si="5"/>
        <v>8912.6559714794985</v>
      </c>
    </row>
    <row r="47" spans="1:10">
      <c r="A47" s="43"/>
      <c r="B47" s="36" t="s">
        <v>56</v>
      </c>
      <c r="C47" s="37">
        <v>91.2</v>
      </c>
      <c r="D47" s="37">
        <v>60.4</v>
      </c>
      <c r="E47" s="37">
        <v>60.3</v>
      </c>
      <c r="F47" s="37">
        <f t="shared" si="6"/>
        <v>30.800000000000004</v>
      </c>
      <c r="G47" s="37">
        <f t="shared" si="7"/>
        <v>0.10000000000000142</v>
      </c>
      <c r="H47" s="37">
        <f t="shared" si="8"/>
        <v>100.00000000000142</v>
      </c>
      <c r="I47" s="37">
        <f t="shared" si="9"/>
        <v>3.0800000000000004E-2</v>
      </c>
      <c r="J47" s="38">
        <f t="shared" si="5"/>
        <v>3246.7532467532924</v>
      </c>
    </row>
    <row r="48" spans="1:10">
      <c r="A48" s="45">
        <v>38668</v>
      </c>
      <c r="B48" s="36" t="s">
        <v>30</v>
      </c>
      <c r="C48" s="37">
        <v>76.400000000000006</v>
      </c>
      <c r="D48" s="37">
        <v>50</v>
      </c>
      <c r="E48" s="37">
        <v>49.8</v>
      </c>
      <c r="F48" s="37">
        <f t="shared" si="6"/>
        <v>26.400000000000006</v>
      </c>
      <c r="G48" s="37">
        <f t="shared" si="7"/>
        <v>0.20000000000000284</v>
      </c>
      <c r="H48" s="37">
        <f t="shared" si="8"/>
        <v>200.00000000000284</v>
      </c>
      <c r="I48" s="37">
        <f t="shared" si="9"/>
        <v>2.6400000000000007E-2</v>
      </c>
      <c r="J48" s="38">
        <f t="shared" si="5"/>
        <v>7575.7575757576815</v>
      </c>
    </row>
    <row r="49" spans="1:10">
      <c r="A49" s="43"/>
      <c r="B49" s="36" t="s">
        <v>31</v>
      </c>
      <c r="C49" s="37">
        <v>101.7</v>
      </c>
      <c r="D49" s="37">
        <v>72.7</v>
      </c>
      <c r="E49" s="37">
        <v>72.5</v>
      </c>
      <c r="F49" s="37">
        <f t="shared" si="6"/>
        <v>29</v>
      </c>
      <c r="G49" s="37">
        <f t="shared" si="7"/>
        <v>0.20000000000000284</v>
      </c>
      <c r="H49" s="37">
        <f t="shared" si="8"/>
        <v>200.00000000000284</v>
      </c>
      <c r="I49" s="37">
        <f t="shared" si="9"/>
        <v>2.9000000000000001E-2</v>
      </c>
      <c r="J49" s="38">
        <f t="shared" si="5"/>
        <v>6896.5517241380285</v>
      </c>
    </row>
    <row r="50" spans="1:10">
      <c r="A50" s="43"/>
      <c r="B50" s="36" t="s">
        <v>56</v>
      </c>
      <c r="C50" s="37">
        <v>84</v>
      </c>
      <c r="D50" s="37">
        <v>50.7</v>
      </c>
      <c r="E50" s="37">
        <v>50.6</v>
      </c>
      <c r="F50" s="37">
        <f t="shared" si="6"/>
        <v>33.299999999999997</v>
      </c>
      <c r="G50" s="37">
        <f t="shared" si="7"/>
        <v>0.10000000000000142</v>
      </c>
      <c r="H50" s="37">
        <f t="shared" si="8"/>
        <v>100.00000000000142</v>
      </c>
      <c r="I50" s="37">
        <f t="shared" si="9"/>
        <v>3.3299999999999996E-2</v>
      </c>
      <c r="J50" s="38">
        <f t="shared" si="5"/>
        <v>3003.0030030030462</v>
      </c>
    </row>
    <row r="51" spans="1:10">
      <c r="A51" s="45">
        <v>38671</v>
      </c>
      <c r="B51" s="36" t="s">
        <v>30</v>
      </c>
      <c r="C51" s="37">
        <v>89.9</v>
      </c>
      <c r="D51" s="37">
        <v>49.4</v>
      </c>
      <c r="E51" s="37">
        <v>49</v>
      </c>
      <c r="F51" s="37">
        <f t="shared" si="6"/>
        <v>40.500000000000007</v>
      </c>
      <c r="G51" s="37">
        <f t="shared" si="7"/>
        <v>0.39999999999999858</v>
      </c>
      <c r="H51" s="37">
        <f t="shared" si="8"/>
        <v>399.99999999999858</v>
      </c>
      <c r="I51" s="37">
        <f t="shared" si="9"/>
        <v>4.0500000000000008E-2</v>
      </c>
      <c r="J51" s="38">
        <f t="shared" si="5"/>
        <v>9876.5432098765068</v>
      </c>
    </row>
    <row r="52" spans="1:10">
      <c r="A52" s="43"/>
      <c r="B52" s="36" t="s">
        <v>31</v>
      </c>
      <c r="C52" s="37">
        <v>91.3</v>
      </c>
      <c r="D52" s="37">
        <v>51.1</v>
      </c>
      <c r="E52" s="37">
        <v>50.8</v>
      </c>
      <c r="F52" s="37">
        <f t="shared" si="6"/>
        <v>40.199999999999996</v>
      </c>
      <c r="G52" s="37">
        <f t="shared" si="7"/>
        <v>0.30000000000000426</v>
      </c>
      <c r="H52" s="37">
        <f t="shared" si="8"/>
        <v>300.00000000000426</v>
      </c>
      <c r="I52" s="37">
        <f t="shared" si="9"/>
        <v>4.0199999999999993E-2</v>
      </c>
      <c r="J52" s="38">
        <f t="shared" si="5"/>
        <v>7462.6865671642863</v>
      </c>
    </row>
    <row r="53" spans="1:10">
      <c r="A53" s="43"/>
      <c r="B53" s="36" t="s">
        <v>56</v>
      </c>
      <c r="C53" s="37">
        <v>94</v>
      </c>
      <c r="D53" s="37">
        <v>50</v>
      </c>
      <c r="E53" s="37">
        <v>49.8</v>
      </c>
      <c r="F53" s="37">
        <f t="shared" si="6"/>
        <v>44</v>
      </c>
      <c r="G53" s="37">
        <f t="shared" si="7"/>
        <v>0.20000000000000284</v>
      </c>
      <c r="H53" s="37">
        <f t="shared" si="8"/>
        <v>200.00000000000284</v>
      </c>
      <c r="I53" s="37">
        <f t="shared" si="9"/>
        <v>4.3999999999999997E-2</v>
      </c>
      <c r="J53" s="38">
        <f t="shared" si="5"/>
        <v>4545.4545454546105</v>
      </c>
    </row>
    <row r="54" spans="1:10">
      <c r="A54" s="45">
        <v>38673</v>
      </c>
      <c r="B54" s="36" t="s">
        <v>30</v>
      </c>
      <c r="C54" s="37">
        <v>146.4</v>
      </c>
      <c r="D54" s="37">
        <v>50.8</v>
      </c>
      <c r="E54" s="37">
        <v>50.1</v>
      </c>
      <c r="F54" s="37">
        <f t="shared" si="6"/>
        <v>95.600000000000009</v>
      </c>
      <c r="G54" s="37">
        <f t="shared" si="7"/>
        <v>0.69999999999999574</v>
      </c>
      <c r="H54" s="37">
        <f t="shared" si="8"/>
        <v>699.99999999999568</v>
      </c>
      <c r="I54" s="37">
        <f t="shared" si="9"/>
        <v>9.5600000000000004E-2</v>
      </c>
      <c r="J54" s="38">
        <f t="shared" si="5"/>
        <v>7322.1757322175281</v>
      </c>
    </row>
    <row r="55" spans="1:10">
      <c r="A55" s="43"/>
      <c r="B55" s="36" t="s">
        <v>31</v>
      </c>
      <c r="C55" s="37">
        <v>143.30000000000001</v>
      </c>
      <c r="D55" s="37">
        <v>73.599999999999994</v>
      </c>
      <c r="E55" s="37">
        <v>72.900000000000006</v>
      </c>
      <c r="F55" s="37">
        <f t="shared" si="6"/>
        <v>69.700000000000017</v>
      </c>
      <c r="G55" s="37">
        <f t="shared" si="7"/>
        <v>0.69999999999998863</v>
      </c>
      <c r="H55" s="37">
        <f t="shared" si="8"/>
        <v>699.99999999998863</v>
      </c>
      <c r="I55" s="37">
        <f t="shared" si="9"/>
        <v>6.9700000000000012E-2</v>
      </c>
      <c r="J55" s="38">
        <f t="shared" si="5"/>
        <v>10043.041606886492</v>
      </c>
    </row>
    <row r="56" spans="1:10">
      <c r="A56" s="43"/>
      <c r="B56" s="36" t="s">
        <v>56</v>
      </c>
      <c r="C56" s="37">
        <v>142.69999999999999</v>
      </c>
      <c r="D56" s="37">
        <v>70.099999999999994</v>
      </c>
      <c r="E56" s="37">
        <v>69.7</v>
      </c>
      <c r="F56" s="37">
        <f t="shared" si="6"/>
        <v>72.599999999999994</v>
      </c>
      <c r="G56" s="37">
        <f t="shared" si="7"/>
        <v>0.39999999999999147</v>
      </c>
      <c r="H56" s="37">
        <f t="shared" si="8"/>
        <v>399.99999999999147</v>
      </c>
      <c r="I56" s="37">
        <f t="shared" si="9"/>
        <v>7.2599999999999998E-2</v>
      </c>
      <c r="J56" s="38">
        <f t="shared" si="5"/>
        <v>5509.6418732781194</v>
      </c>
    </row>
    <row r="57" spans="1:10">
      <c r="A57" s="45">
        <v>38675</v>
      </c>
      <c r="B57" s="36" t="s">
        <v>30</v>
      </c>
      <c r="C57" s="52">
        <v>128</v>
      </c>
      <c r="D57" s="37">
        <v>51.5</v>
      </c>
      <c r="E57" s="37">
        <v>50.8</v>
      </c>
      <c r="F57" s="52">
        <f t="shared" si="6"/>
        <v>76.5</v>
      </c>
      <c r="G57" s="37">
        <f t="shared" si="7"/>
        <v>0.70000000000000284</v>
      </c>
      <c r="H57" s="37">
        <f t="shared" si="8"/>
        <v>700.00000000000284</v>
      </c>
      <c r="I57" s="52">
        <f t="shared" si="9"/>
        <v>7.6499999999999999E-2</v>
      </c>
      <c r="J57" s="101">
        <f t="shared" si="5"/>
        <v>9150.3267973856582</v>
      </c>
    </row>
    <row r="58" spans="1:10">
      <c r="A58" s="43"/>
      <c r="B58" s="36" t="s">
        <v>31</v>
      </c>
      <c r="C58" s="52">
        <v>128</v>
      </c>
      <c r="D58" s="37">
        <v>50.5</v>
      </c>
      <c r="E58" s="37">
        <v>49.8</v>
      </c>
      <c r="F58" s="37">
        <f t="shared" si="6"/>
        <v>77.5</v>
      </c>
      <c r="G58" s="37">
        <f t="shared" si="7"/>
        <v>0.70000000000000284</v>
      </c>
      <c r="H58" s="37">
        <f t="shared" si="8"/>
        <v>700.00000000000284</v>
      </c>
      <c r="I58" s="52">
        <f t="shared" si="9"/>
        <v>7.7499999999999999E-2</v>
      </c>
      <c r="J58" s="101">
        <f t="shared" si="5"/>
        <v>9032.2580645161652</v>
      </c>
    </row>
    <row r="59" spans="1:10">
      <c r="A59" s="43"/>
      <c r="B59" s="36" t="s">
        <v>56</v>
      </c>
      <c r="C59" s="37"/>
      <c r="D59" s="37">
        <v>72.8</v>
      </c>
      <c r="E59" s="37">
        <v>72.5</v>
      </c>
      <c r="F59" s="37"/>
      <c r="G59" s="37">
        <f t="shared" si="7"/>
        <v>0.29999999999999716</v>
      </c>
      <c r="H59" s="37">
        <f t="shared" si="8"/>
        <v>299.99999999999716</v>
      </c>
      <c r="I59" s="37">
        <f t="shared" si="9"/>
        <v>0</v>
      </c>
      <c r="J59" s="38"/>
    </row>
    <row r="60" spans="1:10">
      <c r="A60" s="45">
        <v>38687</v>
      </c>
      <c r="B60" s="36" t="s">
        <v>30</v>
      </c>
      <c r="C60" s="37">
        <v>140</v>
      </c>
      <c r="D60" s="37">
        <v>62.4</v>
      </c>
      <c r="E60" s="37">
        <v>61.9</v>
      </c>
      <c r="F60" s="37">
        <f t="shared" si="6"/>
        <v>77.599999999999994</v>
      </c>
      <c r="G60" s="37">
        <f t="shared" si="7"/>
        <v>0.5</v>
      </c>
      <c r="H60" s="37">
        <f t="shared" si="8"/>
        <v>500</v>
      </c>
      <c r="I60" s="37">
        <f t="shared" si="9"/>
        <v>7.7599999999999988E-2</v>
      </c>
      <c r="J60" s="38">
        <f t="shared" si="5"/>
        <v>6443.2989690721661</v>
      </c>
    </row>
    <row r="61" spans="1:10">
      <c r="A61" s="43"/>
      <c r="B61" s="36" t="s">
        <v>31</v>
      </c>
      <c r="C61" s="37">
        <v>154</v>
      </c>
      <c r="D61" s="37">
        <v>63.5</v>
      </c>
      <c r="E61" s="37">
        <v>62.9</v>
      </c>
      <c r="F61" s="37">
        <f t="shared" si="6"/>
        <v>90.5</v>
      </c>
      <c r="G61" s="37">
        <f t="shared" si="7"/>
        <v>0.60000000000000142</v>
      </c>
      <c r="H61" s="37">
        <f t="shared" si="8"/>
        <v>600.00000000000136</v>
      </c>
      <c r="I61" s="37">
        <f t="shared" si="9"/>
        <v>9.0499999999999997E-2</v>
      </c>
      <c r="J61" s="38">
        <f t="shared" si="5"/>
        <v>6629.8342541436614</v>
      </c>
    </row>
    <row r="62" spans="1:10">
      <c r="A62" s="43"/>
      <c r="B62" s="36" t="s">
        <v>56</v>
      </c>
      <c r="C62" s="37">
        <v>152.80000000000001</v>
      </c>
      <c r="D62" s="37">
        <v>63.1</v>
      </c>
      <c r="E62" s="37">
        <v>62.7</v>
      </c>
      <c r="F62" s="37">
        <f t="shared" si="6"/>
        <v>89.700000000000017</v>
      </c>
      <c r="G62" s="37">
        <f t="shared" si="7"/>
        <v>0.39999999999999858</v>
      </c>
      <c r="H62" s="37">
        <f t="shared" si="8"/>
        <v>399.99999999999858</v>
      </c>
      <c r="I62" s="37">
        <f t="shared" si="9"/>
        <v>8.9700000000000016E-2</v>
      </c>
      <c r="J62" s="38">
        <f t="shared" si="5"/>
        <v>4459.3088071348775</v>
      </c>
    </row>
    <row r="63" spans="1:10">
      <c r="A63" s="45">
        <v>38689</v>
      </c>
      <c r="B63" s="36" t="s">
        <v>30</v>
      </c>
      <c r="C63" s="37">
        <v>129.80000000000001</v>
      </c>
      <c r="D63" s="37">
        <v>50.7</v>
      </c>
      <c r="E63" s="37">
        <v>50.1</v>
      </c>
      <c r="F63" s="37">
        <f t="shared" si="6"/>
        <v>79.100000000000009</v>
      </c>
      <c r="G63" s="37">
        <f t="shared" si="7"/>
        <v>0.60000000000000142</v>
      </c>
      <c r="H63" s="37">
        <f t="shared" si="8"/>
        <v>600.00000000000136</v>
      </c>
      <c r="I63" s="37">
        <f t="shared" si="9"/>
        <v>7.9100000000000004E-2</v>
      </c>
      <c r="J63" s="38">
        <f t="shared" si="5"/>
        <v>7585.3350189633547</v>
      </c>
    </row>
    <row r="64" spans="1:10">
      <c r="A64" s="43"/>
      <c r="B64" s="36" t="s">
        <v>31</v>
      </c>
      <c r="C64" s="37">
        <v>127.7</v>
      </c>
      <c r="D64" s="37">
        <v>50.9</v>
      </c>
      <c r="E64" s="37">
        <v>50.3</v>
      </c>
      <c r="F64" s="37">
        <f t="shared" si="6"/>
        <v>76.800000000000011</v>
      </c>
      <c r="G64" s="37">
        <f t="shared" si="7"/>
        <v>0.60000000000000142</v>
      </c>
      <c r="H64" s="37">
        <f t="shared" si="8"/>
        <v>600.00000000000136</v>
      </c>
      <c r="I64" s="37">
        <f t="shared" si="9"/>
        <v>7.6800000000000007E-2</v>
      </c>
      <c r="J64" s="38">
        <f t="shared" si="5"/>
        <v>7812.5000000000173</v>
      </c>
    </row>
    <row r="65" spans="1:10">
      <c r="A65" s="43"/>
      <c r="B65" s="36" t="s">
        <v>56</v>
      </c>
      <c r="C65" s="37">
        <v>129.6</v>
      </c>
      <c r="D65" s="37">
        <v>50.5</v>
      </c>
      <c r="E65" s="37">
        <v>50.2</v>
      </c>
      <c r="F65" s="37">
        <f t="shared" si="6"/>
        <v>79.099999999999994</v>
      </c>
      <c r="G65" s="37">
        <f t="shared" si="7"/>
        <v>0.29999999999999716</v>
      </c>
      <c r="H65" s="37">
        <f t="shared" si="8"/>
        <v>299.99999999999716</v>
      </c>
      <c r="I65" s="37">
        <f t="shared" si="9"/>
        <v>7.909999999999999E-2</v>
      </c>
      <c r="J65" s="38">
        <f t="shared" si="5"/>
        <v>3792.6675094816333</v>
      </c>
    </row>
    <row r="66" spans="1:10">
      <c r="A66" s="45">
        <v>38692</v>
      </c>
      <c r="B66" s="36" t="s">
        <v>30</v>
      </c>
      <c r="C66" s="37">
        <v>198.6</v>
      </c>
      <c r="D66" s="37">
        <v>62.8</v>
      </c>
      <c r="E66" s="37">
        <v>61.8</v>
      </c>
      <c r="F66" s="37">
        <f t="shared" si="6"/>
        <v>135.80000000000001</v>
      </c>
      <c r="G66" s="37">
        <f t="shared" si="7"/>
        <v>1</v>
      </c>
      <c r="H66" s="37">
        <f t="shared" si="8"/>
        <v>1000</v>
      </c>
      <c r="I66" s="37">
        <f t="shared" si="9"/>
        <v>0.1358</v>
      </c>
      <c r="J66" s="38">
        <f t="shared" si="5"/>
        <v>7363.7702503681885</v>
      </c>
    </row>
    <row r="67" spans="1:10">
      <c r="A67" s="43"/>
      <c r="B67" s="36" t="s">
        <v>31</v>
      </c>
      <c r="C67" s="37">
        <v>200.1</v>
      </c>
      <c r="D67" s="37">
        <v>68.900000000000006</v>
      </c>
      <c r="E67" s="37">
        <v>67.8</v>
      </c>
      <c r="F67" s="37">
        <f t="shared" si="6"/>
        <v>131.19999999999999</v>
      </c>
      <c r="G67" s="37">
        <f t="shared" si="7"/>
        <v>1.1000000000000085</v>
      </c>
      <c r="H67" s="37">
        <f t="shared" si="8"/>
        <v>1100.0000000000086</v>
      </c>
      <c r="I67" s="37">
        <f t="shared" si="9"/>
        <v>0.13119999999999998</v>
      </c>
      <c r="J67" s="38">
        <f t="shared" si="5"/>
        <v>8384.1463414634818</v>
      </c>
    </row>
    <row r="68" spans="1:10">
      <c r="A68" s="43"/>
      <c r="B68" s="36" t="s">
        <v>56</v>
      </c>
      <c r="C68" s="37">
        <v>194.7</v>
      </c>
      <c r="D68" s="37">
        <v>69.3</v>
      </c>
      <c r="E68" s="37">
        <v>68.8</v>
      </c>
      <c r="F68" s="37">
        <f t="shared" si="6"/>
        <v>125.39999999999999</v>
      </c>
      <c r="G68" s="37">
        <f t="shared" si="7"/>
        <v>0.5</v>
      </c>
      <c r="H68" s="37">
        <f t="shared" si="8"/>
        <v>500</v>
      </c>
      <c r="I68" s="37">
        <f t="shared" si="9"/>
        <v>0.12539999999999998</v>
      </c>
      <c r="J68" s="38">
        <f t="shared" si="5"/>
        <v>3987.2408293460931</v>
      </c>
    </row>
    <row r="69" spans="1:10">
      <c r="A69" s="45">
        <v>38696</v>
      </c>
      <c r="B69" s="36" t="s">
        <v>30</v>
      </c>
      <c r="C69" s="37">
        <v>173.7</v>
      </c>
      <c r="D69" s="37">
        <v>68.400000000000006</v>
      </c>
      <c r="E69" s="37">
        <v>67.5</v>
      </c>
      <c r="F69" s="37">
        <f t="shared" si="6"/>
        <v>105.29999999999998</v>
      </c>
      <c r="G69" s="37">
        <f t="shared" si="7"/>
        <v>0.90000000000000568</v>
      </c>
      <c r="H69" s="37">
        <f t="shared" si="8"/>
        <v>900.00000000000568</v>
      </c>
      <c r="I69" s="37">
        <f t="shared" si="9"/>
        <v>0.10529999999999998</v>
      </c>
      <c r="J69" s="38">
        <f t="shared" si="5"/>
        <v>8547.0085470086033</v>
      </c>
    </row>
    <row r="70" spans="1:10">
      <c r="A70" s="43"/>
      <c r="B70" s="36" t="s">
        <v>31</v>
      </c>
      <c r="C70" s="37">
        <v>170.2</v>
      </c>
      <c r="D70" s="37">
        <v>62.8</v>
      </c>
      <c r="E70" s="37">
        <v>61.9</v>
      </c>
      <c r="F70" s="37">
        <f t="shared" si="6"/>
        <v>107.39999999999999</v>
      </c>
      <c r="G70" s="37">
        <f t="shared" si="7"/>
        <v>0.89999999999999858</v>
      </c>
      <c r="H70" s="37">
        <f t="shared" si="8"/>
        <v>899.99999999999864</v>
      </c>
      <c r="I70" s="37">
        <f t="shared" si="9"/>
        <v>0.1074</v>
      </c>
      <c r="J70" s="38">
        <f t="shared" si="5"/>
        <v>8379.8882681564119</v>
      </c>
    </row>
    <row r="71" spans="1:10">
      <c r="A71" s="43"/>
      <c r="B71" s="36" t="s">
        <v>56</v>
      </c>
      <c r="C71" s="37">
        <v>186.6</v>
      </c>
      <c r="D71" s="37">
        <v>62.4</v>
      </c>
      <c r="E71" s="37">
        <v>61.9</v>
      </c>
      <c r="F71" s="37">
        <f t="shared" si="6"/>
        <v>124.19999999999999</v>
      </c>
      <c r="G71" s="37">
        <f t="shared" si="7"/>
        <v>0.5</v>
      </c>
      <c r="H71" s="37">
        <f t="shared" si="8"/>
        <v>500</v>
      </c>
      <c r="I71" s="37">
        <f t="shared" si="9"/>
        <v>0.12419999999999999</v>
      </c>
      <c r="J71" s="38">
        <f t="shared" si="5"/>
        <v>4025.7648953301132</v>
      </c>
    </row>
    <row r="72" spans="1:10">
      <c r="A72" s="45">
        <v>38699</v>
      </c>
      <c r="B72" s="36" t="s">
        <v>30</v>
      </c>
      <c r="C72" s="37">
        <v>116.3</v>
      </c>
      <c r="D72" s="37">
        <v>50.8</v>
      </c>
      <c r="E72" s="37">
        <v>50.3</v>
      </c>
      <c r="F72" s="37">
        <f t="shared" si="6"/>
        <v>65.5</v>
      </c>
      <c r="G72" s="37">
        <f t="shared" si="7"/>
        <v>0.5</v>
      </c>
      <c r="H72" s="37">
        <f t="shared" si="8"/>
        <v>500</v>
      </c>
      <c r="I72" s="37">
        <f t="shared" si="9"/>
        <v>6.5500000000000003E-2</v>
      </c>
      <c r="J72" s="38">
        <f t="shared" si="5"/>
        <v>7633.5877862595416</v>
      </c>
    </row>
    <row r="73" spans="1:10">
      <c r="A73" s="43"/>
      <c r="B73" s="36" t="s">
        <v>31</v>
      </c>
      <c r="C73" s="37">
        <v>99.3</v>
      </c>
      <c r="D73" s="37">
        <v>50.1</v>
      </c>
      <c r="E73" s="37">
        <v>49.7</v>
      </c>
      <c r="F73" s="37">
        <f t="shared" si="6"/>
        <v>49.199999999999996</v>
      </c>
      <c r="G73" s="37">
        <f t="shared" si="7"/>
        <v>0.39999999999999858</v>
      </c>
      <c r="H73" s="37">
        <f t="shared" si="8"/>
        <v>399.99999999999858</v>
      </c>
      <c r="I73" s="37">
        <f t="shared" si="9"/>
        <v>4.9199999999999994E-2</v>
      </c>
      <c r="J73" s="38">
        <f t="shared" si="5"/>
        <v>8130.0813008129799</v>
      </c>
    </row>
    <row r="74" spans="1:10">
      <c r="A74" s="43"/>
      <c r="B74" s="36" t="s">
        <v>56</v>
      </c>
      <c r="C74" s="37">
        <v>137.6</v>
      </c>
      <c r="D74" s="37">
        <v>50.5</v>
      </c>
      <c r="E74" s="37">
        <v>50.1</v>
      </c>
      <c r="F74" s="37">
        <f t="shared" si="6"/>
        <v>87.1</v>
      </c>
      <c r="G74" s="37">
        <f t="shared" si="7"/>
        <v>0.39999999999999858</v>
      </c>
      <c r="H74" s="37">
        <f t="shared" si="8"/>
        <v>399.99999999999858</v>
      </c>
      <c r="I74" s="37">
        <f t="shared" si="9"/>
        <v>8.7099999999999997E-2</v>
      </c>
      <c r="J74" s="38">
        <f t="shared" si="5"/>
        <v>4592.4225028702476</v>
      </c>
    </row>
    <row r="75" spans="1:10">
      <c r="A75" s="45">
        <v>38700</v>
      </c>
      <c r="B75" s="36" t="s">
        <v>30</v>
      </c>
      <c r="C75" s="37">
        <v>125.5</v>
      </c>
      <c r="D75" s="37">
        <v>51.5</v>
      </c>
      <c r="E75" s="37">
        <v>51</v>
      </c>
      <c r="F75" s="37">
        <f t="shared" si="6"/>
        <v>74</v>
      </c>
      <c r="G75" s="37">
        <f t="shared" si="7"/>
        <v>0.5</v>
      </c>
      <c r="H75" s="37">
        <f t="shared" si="8"/>
        <v>500</v>
      </c>
      <c r="I75" s="37">
        <f t="shared" si="9"/>
        <v>7.3999999999999996E-2</v>
      </c>
      <c r="J75" s="38">
        <f t="shared" si="5"/>
        <v>6756.7567567567567</v>
      </c>
    </row>
    <row r="76" spans="1:10">
      <c r="A76" s="43"/>
      <c r="B76" s="36" t="s">
        <v>31</v>
      </c>
      <c r="C76" s="37">
        <v>125.4</v>
      </c>
      <c r="D76" s="37">
        <v>57.8</v>
      </c>
      <c r="E76" s="37">
        <v>57.1</v>
      </c>
      <c r="F76" s="37">
        <f t="shared" si="6"/>
        <v>67.600000000000009</v>
      </c>
      <c r="G76" s="37">
        <f t="shared" si="7"/>
        <v>0.69999999999999574</v>
      </c>
      <c r="H76" s="37">
        <f t="shared" si="8"/>
        <v>699.99999999999568</v>
      </c>
      <c r="I76" s="37">
        <f t="shared" si="9"/>
        <v>6.7600000000000007E-2</v>
      </c>
      <c r="J76" s="38">
        <f t="shared" si="5"/>
        <v>10355.029585798751</v>
      </c>
    </row>
    <row r="77" spans="1:10">
      <c r="A77" s="43"/>
      <c r="B77" s="36" t="s">
        <v>56</v>
      </c>
      <c r="C77" s="37">
        <v>136.80000000000001</v>
      </c>
      <c r="D77" s="37">
        <v>60.1</v>
      </c>
      <c r="E77" s="37">
        <v>59.8</v>
      </c>
      <c r="F77" s="37">
        <f t="shared" si="6"/>
        <v>76.700000000000017</v>
      </c>
      <c r="G77" s="37">
        <f t="shared" si="7"/>
        <v>0.30000000000000426</v>
      </c>
      <c r="H77" s="37">
        <f t="shared" si="8"/>
        <v>300.00000000000426</v>
      </c>
      <c r="I77" s="37">
        <f t="shared" si="9"/>
        <v>7.6700000000000018E-2</v>
      </c>
      <c r="J77" s="38">
        <f t="shared" si="5"/>
        <v>3911.3428943937965</v>
      </c>
    </row>
    <row r="78" spans="1:10">
      <c r="A78" s="45">
        <v>38701</v>
      </c>
      <c r="B78" s="36" t="s">
        <v>30</v>
      </c>
      <c r="C78" s="37">
        <v>112.7</v>
      </c>
      <c r="D78" s="37">
        <v>50.4</v>
      </c>
      <c r="E78" s="37">
        <v>50</v>
      </c>
      <c r="F78" s="37">
        <f t="shared" si="6"/>
        <v>62.300000000000004</v>
      </c>
      <c r="G78" s="37">
        <f t="shared" si="7"/>
        <v>0.39999999999999858</v>
      </c>
      <c r="H78" s="37">
        <f t="shared" si="8"/>
        <v>399.99999999999858</v>
      </c>
      <c r="I78" s="37">
        <f t="shared" si="9"/>
        <v>6.2300000000000001E-2</v>
      </c>
      <c r="J78" s="38">
        <f t="shared" si="5"/>
        <v>6420.5457463884204</v>
      </c>
    </row>
    <row r="79" spans="1:10">
      <c r="A79" s="43"/>
      <c r="B79" s="36" t="s">
        <v>31</v>
      </c>
      <c r="C79" s="37">
        <v>117</v>
      </c>
      <c r="D79" s="37">
        <v>50.2</v>
      </c>
      <c r="E79" s="37">
        <v>49.8</v>
      </c>
      <c r="F79" s="37">
        <f t="shared" si="6"/>
        <v>66.8</v>
      </c>
      <c r="G79" s="37">
        <f t="shared" si="7"/>
        <v>0.40000000000000568</v>
      </c>
      <c r="H79" s="37">
        <f t="shared" si="8"/>
        <v>400.00000000000568</v>
      </c>
      <c r="I79" s="37">
        <f t="shared" si="9"/>
        <v>6.6799999999999998E-2</v>
      </c>
      <c r="J79" s="38">
        <f t="shared" si="5"/>
        <v>5988.0239520958939</v>
      </c>
    </row>
    <row r="80" spans="1:10">
      <c r="A80" s="43"/>
      <c r="B80" s="36" t="s">
        <v>56</v>
      </c>
      <c r="C80" s="37">
        <v>125.2</v>
      </c>
      <c r="D80" s="37">
        <v>49.4</v>
      </c>
      <c r="E80" s="37">
        <v>49</v>
      </c>
      <c r="F80" s="37">
        <f t="shared" si="6"/>
        <v>75.800000000000011</v>
      </c>
      <c r="G80" s="37">
        <f t="shared" si="7"/>
        <v>0.39999999999999858</v>
      </c>
      <c r="H80" s="37">
        <f t="shared" si="8"/>
        <v>399.99999999999858</v>
      </c>
      <c r="I80" s="37">
        <f t="shared" si="9"/>
        <v>7.5800000000000006E-2</v>
      </c>
      <c r="J80" s="38">
        <f t="shared" si="5"/>
        <v>5277.0448548812474</v>
      </c>
    </row>
    <row r="81" spans="1:10">
      <c r="A81" s="45">
        <v>38720</v>
      </c>
      <c r="B81" s="36" t="s">
        <v>30</v>
      </c>
      <c r="C81" s="37">
        <v>147.9</v>
      </c>
      <c r="D81" s="37">
        <v>62.4</v>
      </c>
      <c r="E81" s="37">
        <v>61.8</v>
      </c>
      <c r="F81" s="37">
        <f t="shared" si="6"/>
        <v>85.5</v>
      </c>
      <c r="G81" s="37">
        <f t="shared" si="7"/>
        <v>0.60000000000000142</v>
      </c>
      <c r="H81" s="37">
        <f t="shared" si="8"/>
        <v>600.00000000000136</v>
      </c>
      <c r="I81" s="37">
        <f t="shared" si="9"/>
        <v>8.5500000000000007E-2</v>
      </c>
      <c r="J81" s="37">
        <f t="shared" si="5"/>
        <v>7017.5438596491385</v>
      </c>
    </row>
    <row r="82" spans="1:10">
      <c r="A82" s="43"/>
      <c r="B82" s="36" t="s">
        <v>31</v>
      </c>
      <c r="C82" s="37">
        <v>157.69999999999999</v>
      </c>
      <c r="D82" s="37">
        <v>62.5</v>
      </c>
      <c r="E82" s="37">
        <v>61.9</v>
      </c>
      <c r="F82" s="37">
        <f t="shared" si="6"/>
        <v>95.199999999999989</v>
      </c>
      <c r="G82" s="37">
        <f t="shared" si="7"/>
        <v>0.60000000000000142</v>
      </c>
      <c r="H82" s="37">
        <f t="shared" si="8"/>
        <v>600.00000000000136</v>
      </c>
      <c r="I82" s="37">
        <f t="shared" si="9"/>
        <v>9.5199999999999993E-2</v>
      </c>
      <c r="J82" s="37">
        <f t="shared" si="5"/>
        <v>6302.5210084033761</v>
      </c>
    </row>
    <row r="83" spans="1:10">
      <c r="A83" s="43"/>
      <c r="B83" s="36" t="s">
        <v>56</v>
      </c>
      <c r="C83" s="37">
        <v>169.3</v>
      </c>
      <c r="D83" s="37">
        <v>68.2</v>
      </c>
      <c r="E83" s="37">
        <v>67.8</v>
      </c>
      <c r="F83" s="37">
        <f t="shared" si="6"/>
        <v>101.10000000000001</v>
      </c>
      <c r="G83" s="37">
        <f t="shared" si="7"/>
        <v>0.40000000000000568</v>
      </c>
      <c r="H83" s="37">
        <f t="shared" si="8"/>
        <v>400.00000000000568</v>
      </c>
      <c r="I83" s="37">
        <f t="shared" si="9"/>
        <v>0.10110000000000001</v>
      </c>
      <c r="J83" s="37">
        <f t="shared" si="5"/>
        <v>3956.478733926861</v>
      </c>
    </row>
    <row r="84" spans="1:10">
      <c r="A84" s="45">
        <v>38722</v>
      </c>
      <c r="B84" s="36" t="s">
        <v>30</v>
      </c>
      <c r="C84" s="37">
        <v>114.2</v>
      </c>
      <c r="D84" s="37">
        <v>69.900000000000006</v>
      </c>
      <c r="E84" s="37">
        <v>69.7</v>
      </c>
      <c r="F84" s="37">
        <f t="shared" si="6"/>
        <v>44.3</v>
      </c>
      <c r="G84" s="37">
        <f t="shared" si="7"/>
        <v>0.20000000000000284</v>
      </c>
      <c r="H84" s="37">
        <f t="shared" si="8"/>
        <v>200.00000000000284</v>
      </c>
      <c r="I84" s="37">
        <f t="shared" si="9"/>
        <v>4.4299999999999999E-2</v>
      </c>
      <c r="J84" s="37">
        <f t="shared" si="5"/>
        <v>4514.6726862303121</v>
      </c>
    </row>
    <row r="85" spans="1:10">
      <c r="A85" s="43"/>
      <c r="B85" s="36" t="s">
        <v>31</v>
      </c>
      <c r="C85" s="37">
        <v>86.6</v>
      </c>
      <c r="D85" s="37">
        <v>50</v>
      </c>
      <c r="E85" s="37">
        <v>49.6</v>
      </c>
      <c r="F85" s="37">
        <f t="shared" si="6"/>
        <v>36.599999999999994</v>
      </c>
      <c r="G85" s="37">
        <f t="shared" si="7"/>
        <v>0.39999999999999858</v>
      </c>
      <c r="H85" s="37">
        <f t="shared" si="8"/>
        <v>399.99999999999858</v>
      </c>
      <c r="I85" s="37">
        <f t="shared" si="9"/>
        <v>3.6599999999999994E-2</v>
      </c>
      <c r="J85" s="37">
        <f t="shared" si="5"/>
        <v>10928.961748633843</v>
      </c>
    </row>
    <row r="86" spans="1:10">
      <c r="A86" s="43"/>
      <c r="B86" s="36" t="s">
        <v>56</v>
      </c>
      <c r="C86" s="37">
        <v>122.5</v>
      </c>
      <c r="D86" s="37">
        <v>51.3</v>
      </c>
      <c r="E86" s="37">
        <v>51</v>
      </c>
      <c r="F86" s="37">
        <f t="shared" si="6"/>
        <v>71.2</v>
      </c>
      <c r="G86" s="37">
        <f t="shared" si="7"/>
        <v>0.29999999999999716</v>
      </c>
      <c r="H86" s="37">
        <f t="shared" si="8"/>
        <v>299.99999999999716</v>
      </c>
      <c r="I86" s="37">
        <f t="shared" si="9"/>
        <v>7.1199999999999999E-2</v>
      </c>
      <c r="J86" s="37">
        <f t="shared" si="5"/>
        <v>4213.4831460673759</v>
      </c>
    </row>
    <row r="87" spans="1:10">
      <c r="A87" s="43"/>
      <c r="B87" s="36" t="s">
        <v>57</v>
      </c>
      <c r="C87" s="37">
        <v>92.7</v>
      </c>
      <c r="D87" s="37">
        <v>50.3</v>
      </c>
      <c r="E87" s="37">
        <v>49.9</v>
      </c>
      <c r="F87" s="37">
        <f t="shared" si="6"/>
        <v>42.400000000000006</v>
      </c>
      <c r="G87" s="37">
        <f t="shared" si="7"/>
        <v>0.39999999999999858</v>
      </c>
      <c r="H87" s="37">
        <f t="shared" si="8"/>
        <v>399.99999999999858</v>
      </c>
      <c r="I87" s="37">
        <f t="shared" si="9"/>
        <v>4.2400000000000007E-2</v>
      </c>
      <c r="J87" s="37">
        <f t="shared" si="5"/>
        <v>9433.9622641509086</v>
      </c>
    </row>
    <row r="88" spans="1:10">
      <c r="A88" s="45">
        <v>38724</v>
      </c>
      <c r="B88" s="36" t="s">
        <v>30</v>
      </c>
      <c r="C88" s="37">
        <v>108.6</v>
      </c>
      <c r="D88" s="37">
        <v>69</v>
      </c>
      <c r="E88" s="37">
        <v>68.8</v>
      </c>
      <c r="F88" s="37">
        <f t="shared" si="6"/>
        <v>39.599999999999994</v>
      </c>
      <c r="G88" s="37">
        <f t="shared" si="7"/>
        <v>0.20000000000000284</v>
      </c>
      <c r="H88" s="37">
        <f t="shared" si="8"/>
        <v>200.00000000000284</v>
      </c>
      <c r="I88" s="37">
        <f t="shared" si="9"/>
        <v>3.9599999999999996E-2</v>
      </c>
      <c r="J88" s="37">
        <f t="shared" si="5"/>
        <v>5050.5050505051231</v>
      </c>
    </row>
    <row r="89" spans="1:10">
      <c r="A89" s="43"/>
      <c r="B89" s="36" t="s">
        <v>31</v>
      </c>
      <c r="C89" s="37">
        <v>104.7</v>
      </c>
      <c r="D89" s="37">
        <v>62.1</v>
      </c>
      <c r="E89" s="37">
        <v>61.9</v>
      </c>
      <c r="F89" s="37">
        <f t="shared" si="6"/>
        <v>42.6</v>
      </c>
      <c r="G89" s="37">
        <f t="shared" si="7"/>
        <v>0.20000000000000284</v>
      </c>
      <c r="H89" s="37">
        <f t="shared" si="8"/>
        <v>200.00000000000284</v>
      </c>
      <c r="I89" s="37">
        <f t="shared" si="9"/>
        <v>4.2599999999999999E-2</v>
      </c>
      <c r="J89" s="37">
        <f t="shared" si="5"/>
        <v>4694.8356807512409</v>
      </c>
    </row>
    <row r="90" spans="1:10">
      <c r="A90" s="43"/>
      <c r="B90" s="36" t="s">
        <v>56</v>
      </c>
      <c r="C90" s="37">
        <v>117.2</v>
      </c>
      <c r="D90" s="37">
        <v>67.3</v>
      </c>
      <c r="E90" s="37">
        <v>67.2</v>
      </c>
      <c r="F90" s="37">
        <f t="shared" si="6"/>
        <v>49.900000000000006</v>
      </c>
      <c r="G90" s="37">
        <f t="shared" si="7"/>
        <v>9.9999999999994316E-2</v>
      </c>
      <c r="H90" s="37">
        <f t="shared" si="8"/>
        <v>99.999999999994316</v>
      </c>
      <c r="I90" s="37">
        <f t="shared" si="9"/>
        <v>4.9900000000000007E-2</v>
      </c>
      <c r="J90" s="37">
        <f t="shared" si="5"/>
        <v>2004.0080160319499</v>
      </c>
    </row>
    <row r="91" spans="1:10">
      <c r="A91" s="43"/>
      <c r="B91" s="36" t="s">
        <v>57</v>
      </c>
      <c r="C91" s="37">
        <v>101.8</v>
      </c>
      <c r="D91" s="37">
        <v>67.599999999999994</v>
      </c>
      <c r="E91" s="37">
        <v>67.5</v>
      </c>
      <c r="F91" s="37">
        <f t="shared" si="6"/>
        <v>34.200000000000003</v>
      </c>
      <c r="G91" s="37">
        <f t="shared" si="7"/>
        <v>9.9999999999994316E-2</v>
      </c>
      <c r="H91" s="37">
        <f t="shared" si="8"/>
        <v>99.999999999994316</v>
      </c>
      <c r="I91" s="37">
        <f t="shared" si="9"/>
        <v>3.4200000000000001E-2</v>
      </c>
      <c r="J91" s="37">
        <f t="shared" si="5"/>
        <v>2923.9766081869684</v>
      </c>
    </row>
    <row r="92" spans="1:10">
      <c r="A92" s="45">
        <v>38727</v>
      </c>
      <c r="B92" s="36" t="s">
        <v>30</v>
      </c>
      <c r="C92" s="37">
        <v>97.1</v>
      </c>
      <c r="D92" s="37">
        <v>50.2</v>
      </c>
      <c r="E92" s="37">
        <v>49.9</v>
      </c>
      <c r="F92" s="37">
        <f t="shared" si="6"/>
        <v>46.899999999999991</v>
      </c>
      <c r="G92" s="37">
        <f t="shared" si="7"/>
        <v>0.30000000000000426</v>
      </c>
      <c r="H92" s="37">
        <f t="shared" si="8"/>
        <v>300.00000000000426</v>
      </c>
      <c r="I92" s="37">
        <f t="shared" si="9"/>
        <v>4.689999999999999E-2</v>
      </c>
      <c r="J92" s="37">
        <f t="shared" si="5"/>
        <v>6396.5884861408176</v>
      </c>
    </row>
    <row r="93" spans="1:10">
      <c r="A93" s="43"/>
      <c r="B93" s="36" t="s">
        <v>31</v>
      </c>
      <c r="C93" s="37">
        <v>91.9</v>
      </c>
      <c r="D93" s="37">
        <v>50.1</v>
      </c>
      <c r="E93" s="37">
        <v>49.9</v>
      </c>
      <c r="F93" s="37">
        <f t="shared" si="6"/>
        <v>41.800000000000004</v>
      </c>
      <c r="G93" s="37">
        <f t="shared" si="7"/>
        <v>0.20000000000000284</v>
      </c>
      <c r="H93" s="37">
        <f t="shared" si="8"/>
        <v>200.00000000000284</v>
      </c>
      <c r="I93" s="37">
        <f t="shared" si="9"/>
        <v>4.1800000000000004E-2</v>
      </c>
      <c r="J93" s="37">
        <f t="shared" si="5"/>
        <v>4784.6889952153788</v>
      </c>
    </row>
    <row r="94" spans="1:10">
      <c r="A94" s="43"/>
      <c r="B94" s="36" t="s">
        <v>56</v>
      </c>
      <c r="C94" s="37">
        <v>135.80000000000001</v>
      </c>
      <c r="D94" s="37">
        <v>48.1</v>
      </c>
      <c r="E94" s="37">
        <v>47.7</v>
      </c>
      <c r="F94" s="37">
        <f t="shared" si="6"/>
        <v>87.700000000000017</v>
      </c>
      <c r="G94" s="37">
        <f t="shared" si="7"/>
        <v>0.39999999999999858</v>
      </c>
      <c r="H94" s="37">
        <f t="shared" si="8"/>
        <v>399.99999999999858</v>
      </c>
      <c r="I94" s="37">
        <f t="shared" si="9"/>
        <v>8.7700000000000014E-2</v>
      </c>
      <c r="J94" s="37">
        <f t="shared" si="5"/>
        <v>4561.0034207525487</v>
      </c>
    </row>
    <row r="95" spans="1:10">
      <c r="A95" s="45">
        <v>38729</v>
      </c>
      <c r="B95" s="36" t="s">
        <v>30</v>
      </c>
      <c r="C95" s="37">
        <v>94.2</v>
      </c>
      <c r="D95" s="37">
        <v>49.6</v>
      </c>
      <c r="E95" s="37">
        <v>49.3</v>
      </c>
      <c r="F95" s="37">
        <f t="shared" si="6"/>
        <v>44.6</v>
      </c>
      <c r="G95" s="37">
        <f t="shared" si="7"/>
        <v>0.30000000000000426</v>
      </c>
      <c r="H95" s="37">
        <f t="shared" si="8"/>
        <v>300.00000000000426</v>
      </c>
      <c r="I95" s="37">
        <f t="shared" si="9"/>
        <v>4.4600000000000001E-2</v>
      </c>
      <c r="J95" s="37">
        <f t="shared" si="5"/>
        <v>6726.4573991032348</v>
      </c>
    </row>
    <row r="96" spans="1:10">
      <c r="A96" s="43"/>
      <c r="B96" s="36" t="s">
        <v>31</v>
      </c>
      <c r="C96" s="37">
        <v>95</v>
      </c>
      <c r="D96" s="37">
        <v>51.1</v>
      </c>
      <c r="E96" s="37">
        <v>50.8</v>
      </c>
      <c r="F96" s="37">
        <f t="shared" si="6"/>
        <v>43.9</v>
      </c>
      <c r="G96" s="37">
        <f t="shared" si="7"/>
        <v>0.30000000000000426</v>
      </c>
      <c r="H96" s="37">
        <f t="shared" si="8"/>
        <v>300.00000000000426</v>
      </c>
      <c r="I96" s="37">
        <f t="shared" si="9"/>
        <v>4.3900000000000002E-2</v>
      </c>
      <c r="J96" s="37">
        <f t="shared" si="5"/>
        <v>6833.7129840547668</v>
      </c>
    </row>
    <row r="97" spans="1:10">
      <c r="A97" s="43"/>
      <c r="B97" s="36" t="s">
        <v>56</v>
      </c>
      <c r="C97" s="37">
        <v>94.6</v>
      </c>
      <c r="D97" s="37">
        <v>49.8</v>
      </c>
      <c r="E97" s="37">
        <v>49.6</v>
      </c>
      <c r="F97" s="37">
        <f t="shared" si="6"/>
        <v>44.8</v>
      </c>
      <c r="G97" s="37">
        <f t="shared" si="7"/>
        <v>0.19999999999999574</v>
      </c>
      <c r="H97" s="37">
        <f t="shared" si="8"/>
        <v>199.99999999999574</v>
      </c>
      <c r="I97" s="37">
        <f t="shared" si="9"/>
        <v>4.48E-2</v>
      </c>
      <c r="J97" s="37">
        <f t="shared" si="5"/>
        <v>4464.2857142856192</v>
      </c>
    </row>
    <row r="98" spans="1:10">
      <c r="A98" s="43"/>
      <c r="B98" s="36" t="s">
        <v>57</v>
      </c>
      <c r="C98" s="37">
        <v>104.2</v>
      </c>
      <c r="D98" s="37">
        <v>63.2</v>
      </c>
      <c r="E98" s="37">
        <v>63</v>
      </c>
      <c r="F98" s="37">
        <f t="shared" si="6"/>
        <v>41</v>
      </c>
      <c r="G98" s="37">
        <f t="shared" si="7"/>
        <v>0.20000000000000284</v>
      </c>
      <c r="H98" s="37">
        <f t="shared" si="8"/>
        <v>200.00000000000284</v>
      </c>
      <c r="I98" s="37">
        <f t="shared" si="9"/>
        <v>4.1000000000000002E-2</v>
      </c>
      <c r="J98" s="37">
        <f t="shared" si="5"/>
        <v>4878.048780487874</v>
      </c>
    </row>
    <row r="99" spans="1:10">
      <c r="A99" s="45">
        <v>38731</v>
      </c>
      <c r="B99" s="36" t="s">
        <v>30</v>
      </c>
      <c r="C99" s="37">
        <v>118.8</v>
      </c>
      <c r="D99" s="37">
        <v>50.2</v>
      </c>
      <c r="E99" s="37">
        <v>49.9</v>
      </c>
      <c r="F99" s="37">
        <f t="shared" ref="F99:F119" si="10">C99-D99</f>
        <v>68.599999999999994</v>
      </c>
      <c r="G99" s="37">
        <f t="shared" si="7"/>
        <v>0.30000000000000426</v>
      </c>
      <c r="H99" s="37">
        <f t="shared" si="8"/>
        <v>300.00000000000426</v>
      </c>
      <c r="I99" s="37">
        <f t="shared" ref="I99:I177" si="11">F99/1000</f>
        <v>6.8599999999999994E-2</v>
      </c>
      <c r="J99" s="37">
        <f t="shared" ref="J99:J176" si="12">H99/I99</f>
        <v>4373.1778425656603</v>
      </c>
    </row>
    <row r="100" spans="1:10">
      <c r="A100" s="43"/>
      <c r="B100" s="36" t="s">
        <v>31</v>
      </c>
      <c r="C100" s="37">
        <v>106.6</v>
      </c>
      <c r="D100" s="37">
        <v>50.6</v>
      </c>
      <c r="E100" s="37">
        <v>50.3</v>
      </c>
      <c r="F100" s="37">
        <f t="shared" si="10"/>
        <v>55.999999999999993</v>
      </c>
      <c r="G100" s="37">
        <f t="shared" si="7"/>
        <v>0.30000000000000426</v>
      </c>
      <c r="H100" s="37">
        <f t="shared" si="8"/>
        <v>300.00000000000426</v>
      </c>
      <c r="I100" s="37">
        <f t="shared" si="11"/>
        <v>5.5999999999999994E-2</v>
      </c>
      <c r="J100" s="37">
        <f t="shared" si="12"/>
        <v>5357.1428571429342</v>
      </c>
    </row>
    <row r="101" spans="1:10">
      <c r="A101" s="43"/>
      <c r="B101" s="36" t="s">
        <v>56</v>
      </c>
      <c r="C101" s="37">
        <v>114.4</v>
      </c>
      <c r="D101" s="37">
        <v>50.6</v>
      </c>
      <c r="E101" s="37">
        <v>50.4</v>
      </c>
      <c r="F101" s="37">
        <f t="shared" si="10"/>
        <v>63.800000000000004</v>
      </c>
      <c r="G101" s="37">
        <f t="shared" si="7"/>
        <v>0.20000000000000284</v>
      </c>
      <c r="H101" s="37">
        <f t="shared" si="8"/>
        <v>200.00000000000284</v>
      </c>
      <c r="I101" s="37">
        <f t="shared" si="11"/>
        <v>6.3800000000000009E-2</v>
      </c>
      <c r="J101" s="37">
        <f t="shared" si="12"/>
        <v>3134.796238244558</v>
      </c>
    </row>
    <row r="102" spans="1:10">
      <c r="A102" s="45">
        <v>38734</v>
      </c>
      <c r="B102" s="36" t="s">
        <v>30</v>
      </c>
      <c r="C102" s="37">
        <v>108.3</v>
      </c>
      <c r="D102" s="37">
        <v>57.4</v>
      </c>
      <c r="E102" s="37">
        <v>57.1</v>
      </c>
      <c r="F102" s="37">
        <f t="shared" si="10"/>
        <v>50.9</v>
      </c>
      <c r="G102" s="37">
        <f t="shared" si="7"/>
        <v>0.29999999999999716</v>
      </c>
      <c r="H102" s="37">
        <f t="shared" si="8"/>
        <v>299.99999999999716</v>
      </c>
      <c r="I102" s="37">
        <f t="shared" si="11"/>
        <v>5.0900000000000001E-2</v>
      </c>
      <c r="J102" s="37">
        <f t="shared" si="12"/>
        <v>5893.9096267190007</v>
      </c>
    </row>
    <row r="103" spans="1:10">
      <c r="A103" s="43"/>
      <c r="B103" s="36" t="s">
        <v>31</v>
      </c>
      <c r="C103" s="37">
        <v>101.8</v>
      </c>
      <c r="D103" s="37">
        <v>50.3</v>
      </c>
      <c r="E103" s="37">
        <v>50.1</v>
      </c>
      <c r="F103" s="37">
        <f t="shared" si="10"/>
        <v>51.5</v>
      </c>
      <c r="G103" s="37">
        <f t="shared" si="7"/>
        <v>0.19999999999999574</v>
      </c>
      <c r="H103" s="37">
        <f t="shared" si="8"/>
        <v>199.99999999999574</v>
      </c>
      <c r="I103" s="37">
        <f t="shared" si="11"/>
        <v>5.1499999999999997E-2</v>
      </c>
      <c r="J103" s="37">
        <f t="shared" si="12"/>
        <v>3883.4951456309855</v>
      </c>
    </row>
    <row r="104" spans="1:10">
      <c r="A104" s="43"/>
      <c r="B104" s="36" t="s">
        <v>56</v>
      </c>
      <c r="C104" s="37">
        <v>104</v>
      </c>
      <c r="D104" s="37">
        <v>50.2</v>
      </c>
      <c r="E104" s="37">
        <v>50</v>
      </c>
      <c r="F104" s="37">
        <f t="shared" si="10"/>
        <v>53.8</v>
      </c>
      <c r="G104" s="37">
        <f t="shared" si="7"/>
        <v>0.20000000000000284</v>
      </c>
      <c r="H104" s="37">
        <f t="shared" si="8"/>
        <v>200.00000000000284</v>
      </c>
      <c r="I104" s="37">
        <f t="shared" si="11"/>
        <v>5.3800000000000001E-2</v>
      </c>
      <c r="J104" s="37">
        <f t="shared" si="12"/>
        <v>3717.4721189591605</v>
      </c>
    </row>
    <row r="105" spans="1:10">
      <c r="A105" s="45">
        <v>38736</v>
      </c>
      <c r="B105" s="36" t="s">
        <v>30</v>
      </c>
      <c r="C105" s="37">
        <v>144.19999999999999</v>
      </c>
      <c r="D105" s="37">
        <v>49.1</v>
      </c>
      <c r="E105" s="37">
        <v>48.6</v>
      </c>
      <c r="F105" s="37">
        <f t="shared" si="10"/>
        <v>95.1</v>
      </c>
      <c r="G105" s="37">
        <f t="shared" si="7"/>
        <v>0.5</v>
      </c>
      <c r="H105" s="37">
        <f t="shared" si="8"/>
        <v>500</v>
      </c>
      <c r="I105" s="37">
        <f t="shared" si="11"/>
        <v>9.509999999999999E-2</v>
      </c>
      <c r="J105" s="37">
        <f t="shared" si="12"/>
        <v>5257.6235541535234</v>
      </c>
    </row>
    <row r="106" spans="1:10">
      <c r="A106" s="43"/>
      <c r="B106" s="36" t="s">
        <v>31</v>
      </c>
      <c r="C106" s="37">
        <v>157.30000000000001</v>
      </c>
      <c r="D106" s="37">
        <v>63.4</v>
      </c>
      <c r="E106" s="37">
        <v>63</v>
      </c>
      <c r="F106" s="37">
        <f t="shared" si="10"/>
        <v>93.9</v>
      </c>
      <c r="G106" s="37">
        <f t="shared" si="7"/>
        <v>0.39999999999999858</v>
      </c>
      <c r="H106" s="37">
        <f t="shared" si="8"/>
        <v>399.99999999999858</v>
      </c>
      <c r="I106" s="37">
        <f t="shared" si="11"/>
        <v>9.3900000000000011E-2</v>
      </c>
      <c r="J106" s="37">
        <f t="shared" si="12"/>
        <v>4259.8509052183017</v>
      </c>
    </row>
    <row r="107" spans="1:10">
      <c r="A107" s="43"/>
      <c r="B107" s="36" t="s">
        <v>56</v>
      </c>
      <c r="C107" s="37">
        <v>154.4</v>
      </c>
      <c r="D107" s="37">
        <v>51.3</v>
      </c>
      <c r="E107" s="37">
        <v>50.8</v>
      </c>
      <c r="F107" s="37">
        <f t="shared" si="10"/>
        <v>103.10000000000001</v>
      </c>
      <c r="G107" s="37">
        <f t="shared" si="7"/>
        <v>0.5</v>
      </c>
      <c r="H107" s="37">
        <f t="shared" si="8"/>
        <v>500</v>
      </c>
      <c r="I107" s="37">
        <f t="shared" si="11"/>
        <v>0.10310000000000001</v>
      </c>
      <c r="J107" s="37">
        <f t="shared" si="12"/>
        <v>4849.6605237633357</v>
      </c>
    </row>
    <row r="108" spans="1:10">
      <c r="A108" s="45">
        <v>38738</v>
      </c>
      <c r="B108" s="36" t="s">
        <v>30</v>
      </c>
      <c r="C108" s="37">
        <v>144</v>
      </c>
      <c r="D108" s="37">
        <v>50.4</v>
      </c>
      <c r="E108" s="37">
        <v>49.9</v>
      </c>
      <c r="F108" s="37">
        <f t="shared" si="10"/>
        <v>93.6</v>
      </c>
      <c r="G108" s="37">
        <f t="shared" si="7"/>
        <v>0.5</v>
      </c>
      <c r="H108" s="37">
        <f t="shared" si="8"/>
        <v>500</v>
      </c>
      <c r="I108" s="37">
        <f t="shared" si="11"/>
        <v>9.3599999999999989E-2</v>
      </c>
      <c r="J108" s="37">
        <f t="shared" si="12"/>
        <v>5341.8803418803427</v>
      </c>
    </row>
    <row r="109" spans="1:10">
      <c r="A109" s="43"/>
      <c r="B109" s="36" t="s">
        <v>31</v>
      </c>
      <c r="C109" s="37">
        <v>148.69999999999999</v>
      </c>
      <c r="D109" s="37">
        <v>50.1</v>
      </c>
      <c r="E109" s="37">
        <v>49.6</v>
      </c>
      <c r="F109" s="37">
        <f t="shared" si="10"/>
        <v>98.6</v>
      </c>
      <c r="G109" s="37">
        <f t="shared" si="7"/>
        <v>0.5</v>
      </c>
      <c r="H109" s="37">
        <f t="shared" si="8"/>
        <v>500</v>
      </c>
      <c r="I109" s="37">
        <f t="shared" si="11"/>
        <v>9.8599999999999993E-2</v>
      </c>
      <c r="J109" s="37">
        <f t="shared" si="12"/>
        <v>5070.9939148073026</v>
      </c>
    </row>
    <row r="110" spans="1:10">
      <c r="A110" s="43"/>
      <c r="B110" s="36" t="s">
        <v>56</v>
      </c>
      <c r="C110" s="37">
        <v>157.4</v>
      </c>
      <c r="D110" s="37">
        <v>57.5</v>
      </c>
      <c r="E110" s="37">
        <v>57.1</v>
      </c>
      <c r="F110" s="37">
        <f t="shared" si="10"/>
        <v>99.9</v>
      </c>
      <c r="G110" s="37">
        <f t="shared" si="7"/>
        <v>0.39999999999999858</v>
      </c>
      <c r="H110" s="37">
        <f t="shared" si="8"/>
        <v>399.99999999999858</v>
      </c>
      <c r="I110" s="37">
        <f t="shared" si="11"/>
        <v>9.9900000000000003E-2</v>
      </c>
      <c r="J110" s="37">
        <f t="shared" si="12"/>
        <v>4004.0040040039898</v>
      </c>
    </row>
    <row r="111" spans="1:10">
      <c r="A111" s="45">
        <v>38741</v>
      </c>
      <c r="B111" s="36" t="s">
        <v>30</v>
      </c>
      <c r="C111" s="37">
        <v>149.9</v>
      </c>
      <c r="D111" s="37">
        <v>50.8</v>
      </c>
      <c r="E111" s="37">
        <v>50.4</v>
      </c>
      <c r="F111" s="37">
        <f t="shared" si="10"/>
        <v>99.100000000000009</v>
      </c>
      <c r="G111" s="37">
        <f t="shared" si="7"/>
        <v>0.39999999999999858</v>
      </c>
      <c r="H111" s="37">
        <f t="shared" si="8"/>
        <v>399.99999999999858</v>
      </c>
      <c r="I111" s="37">
        <f t="shared" si="11"/>
        <v>9.9100000000000008E-2</v>
      </c>
      <c r="J111" s="37">
        <f t="shared" si="12"/>
        <v>4036.3269424823266</v>
      </c>
    </row>
    <row r="112" spans="1:10">
      <c r="A112" s="43"/>
      <c r="B112" s="36" t="s">
        <v>31</v>
      </c>
      <c r="C112" s="37">
        <v>138.4</v>
      </c>
      <c r="D112" s="37">
        <v>48.1</v>
      </c>
      <c r="E112" s="37">
        <v>47.7</v>
      </c>
      <c r="F112" s="37">
        <f t="shared" si="10"/>
        <v>90.300000000000011</v>
      </c>
      <c r="G112" s="37">
        <f t="shared" si="7"/>
        <v>0.39999999999999858</v>
      </c>
      <c r="H112" s="37">
        <f t="shared" si="8"/>
        <v>399.99999999999858</v>
      </c>
      <c r="I112" s="37">
        <f t="shared" si="11"/>
        <v>9.0300000000000005E-2</v>
      </c>
      <c r="J112" s="37">
        <f t="shared" si="12"/>
        <v>4429.6788482834836</v>
      </c>
    </row>
    <row r="113" spans="1:12">
      <c r="A113" s="43"/>
      <c r="B113" s="36" t="s">
        <v>56</v>
      </c>
      <c r="C113" s="37">
        <v>141.80000000000001</v>
      </c>
      <c r="D113" s="37">
        <v>50.4</v>
      </c>
      <c r="E113" s="37">
        <v>50.1</v>
      </c>
      <c r="F113" s="37">
        <f t="shared" si="10"/>
        <v>91.4</v>
      </c>
      <c r="G113" s="37">
        <f t="shared" si="7"/>
        <v>0.29999999999999716</v>
      </c>
      <c r="H113" s="37">
        <f t="shared" si="8"/>
        <v>299.99999999999716</v>
      </c>
      <c r="I113" s="37">
        <f t="shared" si="11"/>
        <v>9.1400000000000009E-2</v>
      </c>
      <c r="J113" s="37">
        <f t="shared" si="12"/>
        <v>3282.2757111597061</v>
      </c>
    </row>
    <row r="114" spans="1:12">
      <c r="A114" s="45">
        <v>38743</v>
      </c>
      <c r="B114" s="36" t="s">
        <v>30</v>
      </c>
      <c r="C114" s="37">
        <v>144</v>
      </c>
      <c r="D114" s="37">
        <v>50</v>
      </c>
      <c r="E114" s="37">
        <v>49.6</v>
      </c>
      <c r="F114" s="37">
        <f t="shared" si="10"/>
        <v>94</v>
      </c>
      <c r="G114" s="37">
        <f t="shared" si="7"/>
        <v>0.39999999999999858</v>
      </c>
      <c r="H114" s="37">
        <f t="shared" si="8"/>
        <v>399.99999999999858</v>
      </c>
      <c r="I114" s="37">
        <f t="shared" si="11"/>
        <v>9.4E-2</v>
      </c>
      <c r="J114" s="37">
        <f t="shared" si="12"/>
        <v>4255.3191489361552</v>
      </c>
    </row>
    <row r="115" spans="1:12">
      <c r="A115" s="43"/>
      <c r="B115" s="36" t="s">
        <v>31</v>
      </c>
      <c r="C115" s="37">
        <v>158.19999999999999</v>
      </c>
      <c r="D115" s="37">
        <v>72.8</v>
      </c>
      <c r="E115" s="37">
        <v>72.400000000000006</v>
      </c>
      <c r="F115" s="37">
        <f t="shared" si="10"/>
        <v>85.399999999999991</v>
      </c>
      <c r="G115" s="37">
        <f t="shared" si="7"/>
        <v>0.39999999999999147</v>
      </c>
      <c r="H115" s="37">
        <f t="shared" si="8"/>
        <v>399.99999999999147</v>
      </c>
      <c r="I115" s="37">
        <f t="shared" si="11"/>
        <v>8.539999999999999E-2</v>
      </c>
      <c r="J115" s="37">
        <f t="shared" si="12"/>
        <v>4683.8407494144203</v>
      </c>
      <c r="L115" s="4"/>
    </row>
    <row r="116" spans="1:12">
      <c r="A116" s="43"/>
      <c r="B116" s="36" t="s">
        <v>56</v>
      </c>
      <c r="C116" s="37">
        <v>152.9</v>
      </c>
      <c r="D116" s="37">
        <v>63.3</v>
      </c>
      <c r="E116" s="37">
        <v>63</v>
      </c>
      <c r="F116" s="37">
        <f t="shared" si="10"/>
        <v>89.600000000000009</v>
      </c>
      <c r="G116" s="37">
        <f t="shared" si="7"/>
        <v>0.29999999999999716</v>
      </c>
      <c r="H116" s="37">
        <f t="shared" si="8"/>
        <v>299.99999999999716</v>
      </c>
      <c r="I116" s="37">
        <f t="shared" si="11"/>
        <v>8.9600000000000013E-2</v>
      </c>
      <c r="J116" s="37">
        <f t="shared" si="12"/>
        <v>3348.2142857142535</v>
      </c>
    </row>
    <row r="117" spans="1:12">
      <c r="A117" s="45">
        <v>38745</v>
      </c>
      <c r="B117" s="36" t="s">
        <v>30</v>
      </c>
      <c r="C117" s="37">
        <v>135.6</v>
      </c>
      <c r="D117" s="37">
        <v>48.1</v>
      </c>
      <c r="E117" s="37">
        <v>47.7</v>
      </c>
      <c r="F117" s="37">
        <f t="shared" si="10"/>
        <v>87.5</v>
      </c>
      <c r="G117" s="37">
        <f t="shared" si="7"/>
        <v>0.39999999999999858</v>
      </c>
      <c r="H117" s="37">
        <f t="shared" si="8"/>
        <v>399.99999999999858</v>
      </c>
      <c r="I117" s="37">
        <f t="shared" si="11"/>
        <v>8.7499999999999994E-2</v>
      </c>
      <c r="J117" s="37">
        <f t="shared" si="12"/>
        <v>4571.4285714285552</v>
      </c>
    </row>
    <row r="118" spans="1:12">
      <c r="A118" s="43"/>
      <c r="B118" s="36" t="s">
        <v>31</v>
      </c>
      <c r="C118" s="37">
        <v>143.4</v>
      </c>
      <c r="D118" s="37">
        <v>50.5</v>
      </c>
      <c r="E118" s="37">
        <v>50.1</v>
      </c>
      <c r="F118" s="37">
        <f t="shared" si="10"/>
        <v>92.9</v>
      </c>
      <c r="G118" s="37">
        <f t="shared" si="7"/>
        <v>0.39999999999999858</v>
      </c>
      <c r="H118" s="37">
        <f t="shared" si="8"/>
        <v>399.99999999999858</v>
      </c>
      <c r="I118" s="37">
        <f t="shared" si="11"/>
        <v>9.290000000000001E-2</v>
      </c>
      <c r="J118" s="37">
        <f t="shared" si="12"/>
        <v>4305.7050592034284</v>
      </c>
    </row>
    <row r="119" spans="1:12">
      <c r="A119" s="45">
        <v>38748</v>
      </c>
      <c r="B119" s="36" t="s">
        <v>30</v>
      </c>
      <c r="C119" s="37">
        <v>162</v>
      </c>
      <c r="D119" s="37">
        <v>72.8</v>
      </c>
      <c r="E119" s="37">
        <v>72.400000000000006</v>
      </c>
      <c r="F119" s="37">
        <f t="shared" si="10"/>
        <v>89.2</v>
      </c>
      <c r="G119" s="37">
        <f t="shared" si="7"/>
        <v>0.39999999999999147</v>
      </c>
      <c r="H119" s="37">
        <f t="shared" si="8"/>
        <v>399.99999999999147</v>
      </c>
      <c r="I119" s="37">
        <f t="shared" si="11"/>
        <v>8.9200000000000002E-2</v>
      </c>
      <c r="J119" s="37">
        <f t="shared" si="12"/>
        <v>4484.3049327353301</v>
      </c>
    </row>
    <row r="120" spans="1:12">
      <c r="A120" s="43"/>
      <c r="B120" s="36" t="s">
        <v>31</v>
      </c>
      <c r="C120" s="37">
        <v>152.1</v>
      </c>
      <c r="D120" s="37">
        <v>63.4</v>
      </c>
      <c r="E120" s="37">
        <v>63</v>
      </c>
      <c r="F120" s="37">
        <f>C120-D120</f>
        <v>88.699999999999989</v>
      </c>
      <c r="G120" s="37">
        <f t="shared" si="7"/>
        <v>0.39999999999999858</v>
      </c>
      <c r="H120" s="37">
        <f t="shared" si="8"/>
        <v>399.99999999999858</v>
      </c>
      <c r="I120" s="37">
        <f t="shared" si="11"/>
        <v>8.8699999999999987E-2</v>
      </c>
      <c r="J120" s="37">
        <f t="shared" si="12"/>
        <v>4509.582863585103</v>
      </c>
    </row>
    <row r="121" spans="1:12">
      <c r="A121" s="45">
        <v>38750</v>
      </c>
      <c r="B121" s="36" t="s">
        <v>30</v>
      </c>
      <c r="C121" s="37">
        <v>138.69999999999999</v>
      </c>
      <c r="D121" s="37">
        <v>49</v>
      </c>
      <c r="E121" s="37">
        <v>48.6</v>
      </c>
      <c r="F121" s="37">
        <f t="shared" ref="F121:G177" si="13">C121-D121</f>
        <v>89.699999999999989</v>
      </c>
      <c r="G121" s="37">
        <f t="shared" si="7"/>
        <v>0.39999999999999858</v>
      </c>
      <c r="H121" s="37">
        <f t="shared" si="8"/>
        <v>399.99999999999858</v>
      </c>
      <c r="I121" s="37">
        <f t="shared" si="11"/>
        <v>8.9699999999999988E-2</v>
      </c>
      <c r="J121" s="37">
        <f t="shared" si="12"/>
        <v>4459.3088071348784</v>
      </c>
    </row>
    <row r="122" spans="1:12">
      <c r="A122" s="43"/>
      <c r="B122" s="36" t="s">
        <v>31</v>
      </c>
      <c r="C122" s="37">
        <v>148.1</v>
      </c>
      <c r="D122" s="37">
        <v>50</v>
      </c>
      <c r="E122" s="37">
        <v>49.6</v>
      </c>
      <c r="F122" s="37">
        <f t="shared" si="13"/>
        <v>98.1</v>
      </c>
      <c r="G122" s="37">
        <f t="shared" si="13"/>
        <v>0.39999999999999858</v>
      </c>
      <c r="H122" s="37">
        <f t="shared" ref="H122:H178" si="14">G122*1000</f>
        <v>399.99999999999858</v>
      </c>
      <c r="I122" s="37">
        <f t="shared" si="11"/>
        <v>9.8099999999999993E-2</v>
      </c>
      <c r="J122" s="37">
        <f t="shared" si="12"/>
        <v>4077.4719673802101</v>
      </c>
    </row>
    <row r="123" spans="1:12">
      <c r="A123" s="45">
        <v>38752</v>
      </c>
      <c r="B123" s="36" t="s">
        <v>30</v>
      </c>
      <c r="C123" s="37">
        <v>166.4</v>
      </c>
      <c r="D123" s="37">
        <v>72.900000000000006</v>
      </c>
      <c r="E123" s="37">
        <v>72.400000000000006</v>
      </c>
      <c r="F123" s="37">
        <f t="shared" si="13"/>
        <v>93.5</v>
      </c>
      <c r="G123" s="37">
        <f t="shared" si="13"/>
        <v>0.5</v>
      </c>
      <c r="H123" s="37">
        <f t="shared" si="14"/>
        <v>500</v>
      </c>
      <c r="I123" s="37">
        <f t="shared" si="11"/>
        <v>9.35E-2</v>
      </c>
      <c r="J123" s="37">
        <f t="shared" si="12"/>
        <v>5347.5935828877009</v>
      </c>
    </row>
    <row r="124" spans="1:12">
      <c r="A124" s="43"/>
      <c r="B124" s="36" t="s">
        <v>31</v>
      </c>
      <c r="C124" s="37">
        <v>144.1</v>
      </c>
      <c r="D124" s="37">
        <v>50.3</v>
      </c>
      <c r="E124" s="37">
        <v>49.9</v>
      </c>
      <c r="F124" s="37">
        <f t="shared" si="13"/>
        <v>93.8</v>
      </c>
      <c r="G124" s="37">
        <f t="shared" si="13"/>
        <v>0.39999999999999858</v>
      </c>
      <c r="H124" s="37">
        <f t="shared" si="14"/>
        <v>399.99999999999858</v>
      </c>
      <c r="I124" s="37">
        <f t="shared" si="11"/>
        <v>9.3799999999999994E-2</v>
      </c>
      <c r="J124" s="37">
        <f t="shared" si="12"/>
        <v>4264.392324093802</v>
      </c>
    </row>
    <row r="125" spans="1:12">
      <c r="A125" s="45">
        <v>38755</v>
      </c>
      <c r="B125" s="36" t="s">
        <v>30</v>
      </c>
      <c r="C125" s="37">
        <v>144.30000000000001</v>
      </c>
      <c r="D125" s="37">
        <v>50.5</v>
      </c>
      <c r="E125" s="37">
        <v>50</v>
      </c>
      <c r="F125" s="37">
        <f t="shared" si="13"/>
        <v>93.800000000000011</v>
      </c>
      <c r="G125" s="37">
        <f t="shared" si="13"/>
        <v>0.5</v>
      </c>
      <c r="H125" s="37">
        <f t="shared" si="14"/>
        <v>500</v>
      </c>
      <c r="I125" s="37">
        <f t="shared" si="11"/>
        <v>9.3800000000000008E-2</v>
      </c>
      <c r="J125" s="37">
        <f t="shared" si="12"/>
        <v>5330.4904051172707</v>
      </c>
    </row>
    <row r="126" spans="1:12">
      <c r="A126" s="43"/>
      <c r="B126" s="36" t="s">
        <v>31</v>
      </c>
      <c r="C126" s="37">
        <v>152.9</v>
      </c>
      <c r="D126" s="37">
        <v>51.4</v>
      </c>
      <c r="E126" s="37">
        <v>51</v>
      </c>
      <c r="F126" s="37">
        <f t="shared" si="13"/>
        <v>101.5</v>
      </c>
      <c r="G126" s="37">
        <f t="shared" si="13"/>
        <v>0.39999999999999858</v>
      </c>
      <c r="H126" s="37">
        <f t="shared" si="14"/>
        <v>399.99999999999858</v>
      </c>
      <c r="I126" s="37">
        <f t="shared" si="11"/>
        <v>0.10150000000000001</v>
      </c>
      <c r="J126" s="37">
        <f t="shared" si="12"/>
        <v>3940.8866995073749</v>
      </c>
    </row>
    <row r="127" spans="1:12">
      <c r="A127" s="45">
        <v>38757</v>
      </c>
      <c r="B127" s="36" t="s">
        <v>30</v>
      </c>
      <c r="C127" s="37">
        <v>153.16999999999999</v>
      </c>
      <c r="D127" s="37">
        <v>50.2</v>
      </c>
      <c r="E127" s="37">
        <v>49.8</v>
      </c>
      <c r="F127" s="37">
        <f t="shared" si="13"/>
        <v>102.96999999999998</v>
      </c>
      <c r="G127" s="37">
        <f t="shared" si="13"/>
        <v>0.40000000000000568</v>
      </c>
      <c r="H127" s="37">
        <f t="shared" si="14"/>
        <v>400.00000000000568</v>
      </c>
      <c r="I127" s="37">
        <f t="shared" si="11"/>
        <v>0.10296999999999998</v>
      </c>
      <c r="J127" s="37">
        <f t="shared" si="12"/>
        <v>3884.6265902690666</v>
      </c>
    </row>
    <row r="128" spans="1:12">
      <c r="A128" s="43"/>
      <c r="B128" s="36" t="s">
        <v>31</v>
      </c>
      <c r="C128" s="37">
        <v>139.82</v>
      </c>
      <c r="D128" s="37">
        <v>49.9</v>
      </c>
      <c r="E128" s="37">
        <v>49.7</v>
      </c>
      <c r="F128" s="37">
        <f t="shared" si="13"/>
        <v>89.919999999999987</v>
      </c>
      <c r="G128" s="37">
        <f t="shared" si="13"/>
        <v>0.19999999999999574</v>
      </c>
      <c r="H128" s="37">
        <f t="shared" si="14"/>
        <v>199.99999999999574</v>
      </c>
      <c r="I128" s="37">
        <f t="shared" si="11"/>
        <v>8.9919999999999986E-2</v>
      </c>
      <c r="J128" s="37">
        <f t="shared" si="12"/>
        <v>2224.1992882561808</v>
      </c>
    </row>
    <row r="129" spans="1:10">
      <c r="A129" s="45">
        <v>38759</v>
      </c>
      <c r="B129" s="36" t="s">
        <v>30</v>
      </c>
      <c r="C129" s="37">
        <v>151.13999999999999</v>
      </c>
      <c r="D129" s="37">
        <v>50.5</v>
      </c>
      <c r="E129" s="37">
        <v>50</v>
      </c>
      <c r="F129" s="37">
        <f t="shared" si="13"/>
        <v>100.63999999999999</v>
      </c>
      <c r="G129" s="37">
        <f t="shared" si="13"/>
        <v>0.5</v>
      </c>
      <c r="H129" s="37">
        <f t="shared" si="14"/>
        <v>500</v>
      </c>
      <c r="I129" s="37">
        <f t="shared" si="11"/>
        <v>0.10063999999999998</v>
      </c>
      <c r="J129" s="37">
        <f t="shared" si="12"/>
        <v>4968.2034976152636</v>
      </c>
    </row>
    <row r="130" spans="1:10">
      <c r="A130" s="43"/>
      <c r="B130" s="36" t="s">
        <v>31</v>
      </c>
      <c r="C130" s="37">
        <v>150.30000000000001</v>
      </c>
      <c r="D130" s="37">
        <v>57.5</v>
      </c>
      <c r="E130" s="37">
        <v>57.1</v>
      </c>
      <c r="F130" s="37">
        <f t="shared" si="13"/>
        <v>92.800000000000011</v>
      </c>
      <c r="G130" s="37">
        <f t="shared" si="13"/>
        <v>0.39999999999999858</v>
      </c>
      <c r="H130" s="37">
        <f t="shared" si="14"/>
        <v>399.99999999999858</v>
      </c>
      <c r="I130" s="37">
        <f t="shared" si="11"/>
        <v>9.2800000000000007E-2</v>
      </c>
      <c r="J130" s="37">
        <f t="shared" si="12"/>
        <v>4310.3448275861911</v>
      </c>
    </row>
    <row r="131" spans="1:10">
      <c r="A131" s="45">
        <v>38762</v>
      </c>
      <c r="B131" s="36" t="s">
        <v>30</v>
      </c>
      <c r="C131" s="37">
        <v>162</v>
      </c>
      <c r="D131" s="37">
        <v>72.900000000000006</v>
      </c>
      <c r="E131" s="37">
        <v>72.5</v>
      </c>
      <c r="F131" s="37">
        <f t="shared" si="13"/>
        <v>89.1</v>
      </c>
      <c r="G131" s="37">
        <f t="shared" si="13"/>
        <v>0.40000000000000568</v>
      </c>
      <c r="H131" s="37">
        <f t="shared" si="14"/>
        <v>400.00000000000568</v>
      </c>
      <c r="I131" s="37">
        <f t="shared" si="11"/>
        <v>8.9099999999999999E-2</v>
      </c>
      <c r="J131" s="37">
        <f t="shared" si="12"/>
        <v>4489.3378226712202</v>
      </c>
    </row>
    <row r="132" spans="1:10">
      <c r="A132" s="43"/>
      <c r="B132" s="36" t="s">
        <v>31</v>
      </c>
      <c r="C132" s="37">
        <v>152</v>
      </c>
      <c r="D132" s="37">
        <v>51.3</v>
      </c>
      <c r="E132" s="37">
        <v>51</v>
      </c>
      <c r="F132" s="37">
        <f t="shared" si="13"/>
        <v>100.7</v>
      </c>
      <c r="G132" s="37">
        <f t="shared" si="13"/>
        <v>0.29999999999999716</v>
      </c>
      <c r="H132" s="37">
        <f t="shared" si="14"/>
        <v>299.99999999999716</v>
      </c>
      <c r="I132" s="37">
        <f t="shared" si="11"/>
        <v>0.1007</v>
      </c>
      <c r="J132" s="37">
        <f t="shared" si="12"/>
        <v>2979.1459781529015</v>
      </c>
    </row>
    <row r="133" spans="1:10">
      <c r="A133" s="45">
        <v>38764</v>
      </c>
      <c r="B133" s="36" t="s">
        <v>30</v>
      </c>
      <c r="C133" s="37">
        <v>143.30000000000001</v>
      </c>
      <c r="D133" s="37">
        <v>51.2</v>
      </c>
      <c r="E133" s="37">
        <v>50.8</v>
      </c>
      <c r="F133" s="37">
        <f t="shared" si="13"/>
        <v>92.100000000000009</v>
      </c>
      <c r="G133" s="37">
        <f t="shared" si="13"/>
        <v>0.40000000000000568</v>
      </c>
      <c r="H133" s="37">
        <f t="shared" si="14"/>
        <v>400.00000000000568</v>
      </c>
      <c r="I133" s="37">
        <f t="shared" si="11"/>
        <v>9.2100000000000015E-2</v>
      </c>
      <c r="J133" s="37">
        <f t="shared" si="12"/>
        <v>4343.1053203040783</v>
      </c>
    </row>
    <row r="134" spans="1:10">
      <c r="A134" s="43"/>
      <c r="B134" s="36" t="s">
        <v>31</v>
      </c>
      <c r="C134" s="37">
        <v>152.5</v>
      </c>
      <c r="D134" s="37">
        <v>50.7</v>
      </c>
      <c r="E134" s="37">
        <v>50.3</v>
      </c>
      <c r="F134" s="37">
        <f t="shared" si="13"/>
        <v>101.8</v>
      </c>
      <c r="G134" s="37">
        <f t="shared" si="13"/>
        <v>0.40000000000000568</v>
      </c>
      <c r="H134" s="37">
        <f t="shared" si="14"/>
        <v>400.00000000000568</v>
      </c>
      <c r="I134" s="37">
        <f t="shared" si="11"/>
        <v>0.1018</v>
      </c>
      <c r="J134" s="37">
        <f t="shared" si="12"/>
        <v>3929.2730844794269</v>
      </c>
    </row>
    <row r="135" spans="1:10">
      <c r="A135" s="45">
        <v>38766</v>
      </c>
      <c r="B135" s="36" t="s">
        <v>30</v>
      </c>
      <c r="C135" s="37">
        <v>152.69999999999999</v>
      </c>
      <c r="D135" s="37">
        <v>51.4</v>
      </c>
      <c r="E135" s="37">
        <v>51</v>
      </c>
      <c r="F135" s="37">
        <f t="shared" si="13"/>
        <v>101.29999999999998</v>
      </c>
      <c r="G135" s="37">
        <f t="shared" si="13"/>
        <v>0.39999999999999858</v>
      </c>
      <c r="H135" s="37">
        <f t="shared" si="14"/>
        <v>399.99999999999858</v>
      </c>
      <c r="I135" s="37">
        <f t="shared" si="11"/>
        <v>0.10129999999999999</v>
      </c>
      <c r="J135" s="37">
        <f t="shared" si="12"/>
        <v>3948.667324777874</v>
      </c>
    </row>
    <row r="136" spans="1:10">
      <c r="A136" s="43"/>
      <c r="B136" s="36" t="s">
        <v>31</v>
      </c>
      <c r="C136" s="37">
        <v>145.5</v>
      </c>
      <c r="D136" s="37">
        <v>50.2</v>
      </c>
      <c r="E136" s="37">
        <v>49.9</v>
      </c>
      <c r="F136" s="37">
        <f t="shared" si="13"/>
        <v>95.3</v>
      </c>
      <c r="G136" s="37">
        <f t="shared" si="13"/>
        <v>0.30000000000000426</v>
      </c>
      <c r="H136" s="37">
        <f t="shared" si="14"/>
        <v>300.00000000000426</v>
      </c>
      <c r="I136" s="37">
        <f t="shared" si="11"/>
        <v>9.5299999999999996E-2</v>
      </c>
      <c r="J136" s="37">
        <f t="shared" si="12"/>
        <v>3147.9538300105382</v>
      </c>
    </row>
    <row r="137" spans="1:10">
      <c r="A137" s="45">
        <v>38771</v>
      </c>
      <c r="B137" s="36" t="s">
        <v>30</v>
      </c>
      <c r="C137" s="37">
        <v>155.9</v>
      </c>
      <c r="D137" s="37">
        <v>72.8</v>
      </c>
      <c r="E137" s="37">
        <v>72.400000000000006</v>
      </c>
      <c r="F137" s="37">
        <f t="shared" si="13"/>
        <v>83.100000000000009</v>
      </c>
      <c r="G137" s="37">
        <f t="shared" si="13"/>
        <v>0.39999999999999147</v>
      </c>
      <c r="H137" s="37">
        <f t="shared" si="14"/>
        <v>399.99999999999147</v>
      </c>
      <c r="I137" s="37">
        <f t="shared" si="11"/>
        <v>8.3100000000000007E-2</v>
      </c>
      <c r="J137" s="37">
        <f t="shared" si="12"/>
        <v>4813.4777376653601</v>
      </c>
    </row>
    <row r="138" spans="1:10">
      <c r="A138" s="43"/>
      <c r="B138" s="36" t="s">
        <v>31</v>
      </c>
      <c r="C138" s="37">
        <v>145.5</v>
      </c>
      <c r="D138" s="37">
        <v>51.2</v>
      </c>
      <c r="E138" s="37">
        <v>50.8</v>
      </c>
      <c r="F138" s="37">
        <f t="shared" si="13"/>
        <v>94.3</v>
      </c>
      <c r="G138" s="37">
        <f t="shared" si="13"/>
        <v>0.40000000000000568</v>
      </c>
      <c r="H138" s="37">
        <f t="shared" si="14"/>
        <v>400.00000000000568</v>
      </c>
      <c r="I138" s="37">
        <f t="shared" si="11"/>
        <v>9.4299999999999995E-2</v>
      </c>
      <c r="J138" s="37">
        <f t="shared" si="12"/>
        <v>4241.7815482503256</v>
      </c>
    </row>
    <row r="139" spans="1:10">
      <c r="A139" s="45">
        <v>38773</v>
      </c>
      <c r="B139" s="36" t="s">
        <v>30</v>
      </c>
      <c r="C139" s="37">
        <v>136.30000000000001</v>
      </c>
      <c r="D139" s="37">
        <v>50.7</v>
      </c>
      <c r="E139" s="37">
        <v>50.3</v>
      </c>
      <c r="F139" s="37">
        <f t="shared" si="13"/>
        <v>85.600000000000009</v>
      </c>
      <c r="G139" s="37">
        <f t="shared" si="13"/>
        <v>0.40000000000000568</v>
      </c>
      <c r="H139" s="37">
        <f t="shared" si="14"/>
        <v>400.00000000000568</v>
      </c>
      <c r="I139" s="37">
        <f t="shared" si="11"/>
        <v>8.5600000000000009E-2</v>
      </c>
      <c r="J139" s="37">
        <f t="shared" si="12"/>
        <v>4672.8971962617479</v>
      </c>
    </row>
    <row r="140" spans="1:10">
      <c r="A140" s="43"/>
      <c r="B140" s="36" t="s">
        <v>31</v>
      </c>
      <c r="C140" s="37">
        <v>143.9</v>
      </c>
      <c r="D140" s="37">
        <v>50.4</v>
      </c>
      <c r="E140" s="37">
        <v>50</v>
      </c>
      <c r="F140" s="37">
        <f t="shared" si="13"/>
        <v>93.5</v>
      </c>
      <c r="G140" s="37">
        <f t="shared" si="13"/>
        <v>0.39999999999999858</v>
      </c>
      <c r="H140" s="37">
        <f t="shared" si="14"/>
        <v>399.99999999999858</v>
      </c>
      <c r="I140" s="37">
        <f t="shared" si="11"/>
        <v>9.35E-2</v>
      </c>
      <c r="J140" s="37">
        <f t="shared" si="12"/>
        <v>4278.0748663101449</v>
      </c>
    </row>
    <row r="141" spans="1:10">
      <c r="A141" s="45">
        <v>38776</v>
      </c>
      <c r="B141" s="36" t="s">
        <v>30</v>
      </c>
      <c r="C141" s="37">
        <v>157</v>
      </c>
      <c r="D141" s="37">
        <v>72.8</v>
      </c>
      <c r="E141" s="37">
        <v>72.5</v>
      </c>
      <c r="F141" s="37">
        <f t="shared" si="13"/>
        <v>84.2</v>
      </c>
      <c r="G141" s="37">
        <f t="shared" si="13"/>
        <v>0.29999999999999716</v>
      </c>
      <c r="H141" s="37">
        <f t="shared" si="14"/>
        <v>299.99999999999716</v>
      </c>
      <c r="I141" s="37">
        <f t="shared" si="11"/>
        <v>8.4199999999999997E-2</v>
      </c>
      <c r="J141" s="37">
        <f t="shared" si="12"/>
        <v>3562.9453681709879</v>
      </c>
    </row>
    <row r="142" spans="1:10">
      <c r="A142" s="43"/>
      <c r="B142" s="36" t="s">
        <v>31</v>
      </c>
      <c r="C142" s="37">
        <v>140.69999999999999</v>
      </c>
      <c r="D142" s="37">
        <v>51.1</v>
      </c>
      <c r="E142" s="37">
        <v>50.8</v>
      </c>
      <c r="F142" s="37">
        <f t="shared" si="13"/>
        <v>89.6</v>
      </c>
      <c r="G142" s="37">
        <f t="shared" si="13"/>
        <v>0.30000000000000426</v>
      </c>
      <c r="H142" s="37">
        <f t="shared" si="14"/>
        <v>300.00000000000426</v>
      </c>
      <c r="I142" s="37">
        <f t="shared" si="11"/>
        <v>8.9599999999999999E-2</v>
      </c>
      <c r="J142" s="37">
        <f t="shared" si="12"/>
        <v>3348.2142857143335</v>
      </c>
    </row>
    <row r="143" spans="1:10">
      <c r="A143" s="45">
        <v>38778</v>
      </c>
      <c r="B143" s="36" t="s">
        <v>30</v>
      </c>
      <c r="C143" s="37">
        <v>145.1</v>
      </c>
      <c r="D143" s="37">
        <v>50.3</v>
      </c>
      <c r="E143" s="37">
        <v>49.9</v>
      </c>
      <c r="F143" s="37">
        <f t="shared" si="13"/>
        <v>94.8</v>
      </c>
      <c r="G143" s="37">
        <f t="shared" si="13"/>
        <v>0.39999999999999858</v>
      </c>
      <c r="H143" s="37">
        <f t="shared" si="14"/>
        <v>399.99999999999858</v>
      </c>
      <c r="I143" s="37">
        <f t="shared" si="11"/>
        <v>9.4799999999999995E-2</v>
      </c>
      <c r="J143" s="37">
        <f t="shared" si="12"/>
        <v>4219.4092827004069</v>
      </c>
    </row>
    <row r="144" spans="1:10">
      <c r="A144" s="43"/>
      <c r="B144" s="36" t="s">
        <v>31</v>
      </c>
      <c r="C144" s="37">
        <v>150.5</v>
      </c>
      <c r="D144" s="37">
        <v>57.5</v>
      </c>
      <c r="E144" s="37">
        <v>57.1</v>
      </c>
      <c r="F144" s="37">
        <f t="shared" si="13"/>
        <v>93</v>
      </c>
      <c r="G144" s="37">
        <f t="shared" si="13"/>
        <v>0.39999999999999858</v>
      </c>
      <c r="H144" s="37">
        <f t="shared" si="14"/>
        <v>399.99999999999858</v>
      </c>
      <c r="I144" s="37">
        <f t="shared" si="11"/>
        <v>9.2999999999999999E-2</v>
      </c>
      <c r="J144" s="37">
        <f t="shared" si="12"/>
        <v>4301.0752688171888</v>
      </c>
    </row>
    <row r="145" spans="1:10">
      <c r="A145" s="45">
        <v>38780</v>
      </c>
      <c r="B145" s="36" t="s">
        <v>30</v>
      </c>
      <c r="C145" s="37">
        <v>143.30000000000001</v>
      </c>
      <c r="D145" s="37">
        <v>50.11</v>
      </c>
      <c r="E145" s="37">
        <v>49.8</v>
      </c>
      <c r="F145" s="37">
        <f t="shared" si="13"/>
        <v>93.190000000000012</v>
      </c>
      <c r="G145" s="37">
        <f t="shared" si="13"/>
        <v>0.31000000000000227</v>
      </c>
      <c r="H145" s="37">
        <f t="shared" si="14"/>
        <v>310.00000000000227</v>
      </c>
      <c r="I145" s="37">
        <f t="shared" si="11"/>
        <v>9.3190000000000009E-2</v>
      </c>
      <c r="J145" s="37">
        <f t="shared" si="12"/>
        <v>3326.5371821011081</v>
      </c>
    </row>
    <row r="146" spans="1:10">
      <c r="A146" s="43"/>
      <c r="B146" s="36" t="s">
        <v>31</v>
      </c>
      <c r="C146" s="37">
        <v>149.30000000000001</v>
      </c>
      <c r="D146" s="37">
        <v>50.28</v>
      </c>
      <c r="E146" s="37">
        <v>49.9</v>
      </c>
      <c r="F146" s="37">
        <f t="shared" si="13"/>
        <v>99.02000000000001</v>
      </c>
      <c r="G146" s="37">
        <f t="shared" si="13"/>
        <v>0.38000000000000256</v>
      </c>
      <c r="H146" s="37">
        <f t="shared" si="14"/>
        <v>380.00000000000256</v>
      </c>
      <c r="I146" s="37">
        <f t="shared" si="11"/>
        <v>9.9020000000000011E-2</v>
      </c>
      <c r="J146" s="37">
        <f t="shared" si="12"/>
        <v>3837.6085639265048</v>
      </c>
    </row>
    <row r="147" spans="1:10">
      <c r="A147" s="45">
        <v>38783</v>
      </c>
      <c r="B147" s="36" t="s">
        <v>30</v>
      </c>
      <c r="C147" s="37">
        <v>139.6</v>
      </c>
      <c r="D147" s="37">
        <v>50.4</v>
      </c>
      <c r="E147" s="37">
        <v>50.08</v>
      </c>
      <c r="F147" s="37">
        <f t="shared" si="13"/>
        <v>89.199999999999989</v>
      </c>
      <c r="G147" s="37">
        <f t="shared" si="13"/>
        <v>0.32000000000000028</v>
      </c>
      <c r="H147" s="37">
        <f t="shared" si="14"/>
        <v>320.00000000000028</v>
      </c>
      <c r="I147" s="37">
        <f t="shared" si="11"/>
        <v>8.9199999999999988E-2</v>
      </c>
      <c r="J147" s="37">
        <f t="shared" si="12"/>
        <v>3587.4439461883444</v>
      </c>
    </row>
    <row r="148" spans="1:10">
      <c r="A148" s="43"/>
      <c r="B148" s="36" t="s">
        <v>31</v>
      </c>
      <c r="C148" s="37">
        <v>146.5</v>
      </c>
      <c r="D148" s="37">
        <v>51.1</v>
      </c>
      <c r="E148" s="37">
        <v>50.85</v>
      </c>
      <c r="F148" s="37">
        <f t="shared" si="13"/>
        <v>95.4</v>
      </c>
      <c r="G148" s="37">
        <f t="shared" si="13"/>
        <v>0.25</v>
      </c>
      <c r="H148" s="37">
        <f t="shared" si="14"/>
        <v>250</v>
      </c>
      <c r="I148" s="37">
        <f t="shared" si="11"/>
        <v>9.5400000000000013E-2</v>
      </c>
      <c r="J148" s="37">
        <f t="shared" si="12"/>
        <v>2620.5450733752618</v>
      </c>
    </row>
    <row r="149" spans="1:10">
      <c r="A149" s="45">
        <v>38785</v>
      </c>
      <c r="B149" s="36" t="s">
        <v>30</v>
      </c>
      <c r="C149" s="37">
        <v>152.9</v>
      </c>
      <c r="D149" s="37">
        <v>57.4</v>
      </c>
      <c r="E149" s="37">
        <v>57.2</v>
      </c>
      <c r="F149" s="37">
        <f t="shared" si="13"/>
        <v>95.5</v>
      </c>
      <c r="G149" s="37">
        <f t="shared" si="13"/>
        <v>0.19999999999999574</v>
      </c>
      <c r="H149" s="37">
        <f t="shared" si="14"/>
        <v>199.99999999999574</v>
      </c>
      <c r="I149" s="37">
        <f t="shared" si="11"/>
        <v>9.5500000000000002E-2</v>
      </c>
      <c r="J149" s="37">
        <f t="shared" si="12"/>
        <v>2094.2408376962903</v>
      </c>
    </row>
    <row r="150" spans="1:10">
      <c r="A150" s="43"/>
      <c r="B150" s="36" t="s">
        <v>31</v>
      </c>
      <c r="C150" s="37">
        <v>147.9</v>
      </c>
      <c r="D150" s="37">
        <v>50.2</v>
      </c>
      <c r="E150" s="37">
        <v>49.9</v>
      </c>
      <c r="F150" s="37">
        <f t="shared" si="13"/>
        <v>97.7</v>
      </c>
      <c r="G150" s="37">
        <f t="shared" si="13"/>
        <v>0.30000000000000426</v>
      </c>
      <c r="H150" s="37">
        <f t="shared" si="14"/>
        <v>300.00000000000426</v>
      </c>
      <c r="I150" s="37">
        <f t="shared" si="11"/>
        <v>9.7700000000000009E-2</v>
      </c>
      <c r="J150" s="37">
        <f t="shared" si="12"/>
        <v>3070.6243602866348</v>
      </c>
    </row>
    <row r="151" spans="1:10">
      <c r="A151" s="45">
        <v>38787</v>
      </c>
      <c r="B151" s="36" t="s">
        <v>30</v>
      </c>
      <c r="C151" s="37">
        <v>147.9</v>
      </c>
      <c r="D151" s="37">
        <v>50.3</v>
      </c>
      <c r="E151" s="37">
        <v>50</v>
      </c>
      <c r="F151" s="37">
        <f t="shared" si="13"/>
        <v>97.600000000000009</v>
      </c>
      <c r="G151" s="37">
        <f t="shared" si="13"/>
        <v>0.29999999999999716</v>
      </c>
      <c r="H151" s="37">
        <f t="shared" si="14"/>
        <v>299.99999999999716</v>
      </c>
      <c r="I151" s="37">
        <f t="shared" si="11"/>
        <v>9.7600000000000006E-2</v>
      </c>
      <c r="J151" s="37">
        <f t="shared" si="12"/>
        <v>3073.7704918032496</v>
      </c>
    </row>
    <row r="152" spans="1:10">
      <c r="A152" s="43"/>
      <c r="B152" s="36" t="s">
        <v>31</v>
      </c>
      <c r="C152" s="37">
        <v>141.19999999999999</v>
      </c>
      <c r="D152" s="37">
        <v>50.4</v>
      </c>
      <c r="E152" s="37">
        <v>50.1</v>
      </c>
      <c r="F152" s="37">
        <f t="shared" si="13"/>
        <v>90.799999999999983</v>
      </c>
      <c r="G152" s="37">
        <f t="shared" si="13"/>
        <v>0.29999999999999716</v>
      </c>
      <c r="H152" s="37">
        <f t="shared" si="14"/>
        <v>299.99999999999716</v>
      </c>
      <c r="I152" s="37">
        <f t="shared" si="11"/>
        <v>9.0799999999999978E-2</v>
      </c>
      <c r="J152" s="37">
        <f t="shared" si="12"/>
        <v>3303.9647577092205</v>
      </c>
    </row>
    <row r="153" spans="1:10">
      <c r="A153" s="45">
        <v>38790</v>
      </c>
      <c r="B153" s="36" t="s">
        <v>30</v>
      </c>
      <c r="C153" s="37">
        <v>141.80000000000001</v>
      </c>
      <c r="D153" s="37">
        <v>51.2</v>
      </c>
      <c r="E153" s="37">
        <v>50.8</v>
      </c>
      <c r="F153" s="37">
        <f t="shared" si="13"/>
        <v>90.600000000000009</v>
      </c>
      <c r="G153" s="37">
        <f t="shared" si="13"/>
        <v>0.40000000000000568</v>
      </c>
      <c r="H153" s="37">
        <f t="shared" si="14"/>
        <v>400.00000000000568</v>
      </c>
      <c r="I153" s="37">
        <f t="shared" si="11"/>
        <v>9.0600000000000014E-2</v>
      </c>
      <c r="J153" s="37">
        <f t="shared" si="12"/>
        <v>4415.0110375276563</v>
      </c>
    </row>
    <row r="154" spans="1:10">
      <c r="A154" s="43"/>
      <c r="B154" s="36" t="s">
        <v>31</v>
      </c>
      <c r="C154" s="37">
        <v>146.9</v>
      </c>
      <c r="D154" s="37">
        <v>49.9</v>
      </c>
      <c r="E154" s="37">
        <v>49.6</v>
      </c>
      <c r="F154" s="37">
        <f t="shared" si="13"/>
        <v>97</v>
      </c>
      <c r="G154" s="37">
        <f t="shared" si="13"/>
        <v>0.29999999999999716</v>
      </c>
      <c r="H154" s="37">
        <f t="shared" si="14"/>
        <v>299.99999999999716</v>
      </c>
      <c r="I154" s="37">
        <f t="shared" si="11"/>
        <v>9.7000000000000003E-2</v>
      </c>
      <c r="J154" s="37">
        <f t="shared" si="12"/>
        <v>3092.7835051546099</v>
      </c>
    </row>
    <row r="155" spans="1:10">
      <c r="A155" s="45">
        <v>38793</v>
      </c>
      <c r="B155" s="36" t="s">
        <v>30</v>
      </c>
      <c r="C155" s="37">
        <v>140.80000000000001</v>
      </c>
      <c r="D155" s="37">
        <v>51.4</v>
      </c>
      <c r="E155" s="37">
        <v>51</v>
      </c>
      <c r="F155" s="37">
        <f t="shared" si="13"/>
        <v>89.4</v>
      </c>
      <c r="G155" s="37">
        <f t="shared" si="13"/>
        <v>0.39999999999999858</v>
      </c>
      <c r="H155" s="37">
        <f t="shared" si="14"/>
        <v>399.99999999999858</v>
      </c>
      <c r="I155" s="37">
        <f t="shared" si="11"/>
        <v>8.9400000000000007E-2</v>
      </c>
      <c r="J155" s="37">
        <f t="shared" si="12"/>
        <v>4474.2729306487536</v>
      </c>
    </row>
    <row r="156" spans="1:10">
      <c r="A156" s="43"/>
      <c r="B156" s="36" t="s">
        <v>31</v>
      </c>
      <c r="C156" s="37">
        <v>148.1</v>
      </c>
      <c r="D156" s="37">
        <v>50.2</v>
      </c>
      <c r="E156" s="37">
        <v>49.9</v>
      </c>
      <c r="F156" s="37">
        <f t="shared" si="13"/>
        <v>97.899999999999991</v>
      </c>
      <c r="G156" s="37">
        <f t="shared" si="13"/>
        <v>0.30000000000000426</v>
      </c>
      <c r="H156" s="37">
        <f t="shared" si="14"/>
        <v>300.00000000000426</v>
      </c>
      <c r="I156" s="37">
        <f t="shared" si="11"/>
        <v>9.7899999999999987E-2</v>
      </c>
      <c r="J156" s="37">
        <f t="shared" si="12"/>
        <v>3064.3513789581643</v>
      </c>
    </row>
    <row r="157" spans="1:10">
      <c r="A157" s="45">
        <v>38797</v>
      </c>
      <c r="B157" s="36" t="s">
        <v>30</v>
      </c>
      <c r="C157" s="37">
        <v>136.30000000000001</v>
      </c>
      <c r="D157" s="37">
        <v>51.2</v>
      </c>
      <c r="E157" s="37">
        <v>50.9</v>
      </c>
      <c r="F157" s="37">
        <f t="shared" si="13"/>
        <v>85.100000000000009</v>
      </c>
      <c r="G157" s="37">
        <f t="shared" si="13"/>
        <v>0.30000000000000426</v>
      </c>
      <c r="H157" s="37">
        <f t="shared" si="14"/>
        <v>300.00000000000426</v>
      </c>
      <c r="I157" s="37">
        <f t="shared" si="11"/>
        <v>8.5100000000000009E-2</v>
      </c>
      <c r="J157" s="37">
        <f t="shared" si="12"/>
        <v>3525.2643948296618</v>
      </c>
    </row>
    <row r="158" spans="1:10">
      <c r="A158" s="43"/>
      <c r="B158" s="36" t="s">
        <v>31</v>
      </c>
      <c r="C158" s="37">
        <v>138.19999999999999</v>
      </c>
      <c r="D158" s="37">
        <v>50.2</v>
      </c>
      <c r="E158" s="37">
        <v>49.9</v>
      </c>
      <c r="F158" s="37">
        <f t="shared" si="13"/>
        <v>87.999999999999986</v>
      </c>
      <c r="G158" s="37">
        <f t="shared" si="13"/>
        <v>0.30000000000000426</v>
      </c>
      <c r="H158" s="37">
        <f t="shared" si="14"/>
        <v>300.00000000000426</v>
      </c>
      <c r="I158" s="37">
        <f t="shared" si="11"/>
        <v>8.7999999999999981E-2</v>
      </c>
      <c r="J158" s="37">
        <f t="shared" si="12"/>
        <v>3409.0909090909581</v>
      </c>
    </row>
    <row r="159" spans="1:10">
      <c r="A159" s="45">
        <v>38799</v>
      </c>
      <c r="B159" s="36" t="s">
        <v>30</v>
      </c>
      <c r="C159" s="37">
        <v>142.6</v>
      </c>
      <c r="D159" s="37">
        <v>50</v>
      </c>
      <c r="E159" s="37">
        <v>49.6</v>
      </c>
      <c r="F159" s="37">
        <f t="shared" si="13"/>
        <v>92.6</v>
      </c>
      <c r="G159" s="37">
        <f t="shared" si="13"/>
        <v>0.39999999999999858</v>
      </c>
      <c r="H159" s="37">
        <f t="shared" si="14"/>
        <v>399.99999999999858</v>
      </c>
      <c r="I159" s="37">
        <f t="shared" si="11"/>
        <v>9.2599999999999988E-2</v>
      </c>
      <c r="J159" s="37">
        <f t="shared" si="12"/>
        <v>4319.6544276457735</v>
      </c>
    </row>
    <row r="160" spans="1:10">
      <c r="A160" s="43"/>
      <c r="B160" s="36" t="s">
        <v>31</v>
      </c>
      <c r="C160" s="37">
        <v>144.5</v>
      </c>
      <c r="D160" s="37">
        <v>50.2</v>
      </c>
      <c r="E160" s="37">
        <v>49.9</v>
      </c>
      <c r="F160" s="37">
        <f t="shared" si="13"/>
        <v>94.3</v>
      </c>
      <c r="G160" s="37">
        <f t="shared" si="13"/>
        <v>0.30000000000000426</v>
      </c>
      <c r="H160" s="37">
        <f t="shared" si="14"/>
        <v>300.00000000000426</v>
      </c>
      <c r="I160" s="37">
        <f t="shared" si="11"/>
        <v>9.4299999999999995E-2</v>
      </c>
      <c r="J160" s="37">
        <f t="shared" si="12"/>
        <v>3181.3361611877444</v>
      </c>
    </row>
    <row r="161" spans="1:10">
      <c r="A161" s="45">
        <v>38801</v>
      </c>
      <c r="B161" s="36" t="s">
        <v>30</v>
      </c>
      <c r="C161" s="37">
        <v>152.69999999999999</v>
      </c>
      <c r="D161" s="37">
        <v>57.5</v>
      </c>
      <c r="E161" s="37">
        <v>57.1</v>
      </c>
      <c r="F161" s="37">
        <f t="shared" si="13"/>
        <v>95.199999999999989</v>
      </c>
      <c r="G161" s="37">
        <f t="shared" si="13"/>
        <v>0.39999999999999858</v>
      </c>
      <c r="H161" s="37">
        <f t="shared" si="14"/>
        <v>399.99999999999858</v>
      </c>
      <c r="I161" s="37">
        <f t="shared" si="11"/>
        <v>9.5199999999999993E-2</v>
      </c>
      <c r="J161" s="37">
        <f t="shared" si="12"/>
        <v>4201.6806722688925</v>
      </c>
    </row>
    <row r="162" spans="1:10">
      <c r="A162" s="43"/>
      <c r="B162" s="36" t="s">
        <v>31</v>
      </c>
      <c r="C162" s="37">
        <v>138.4</v>
      </c>
      <c r="D162" s="37">
        <v>51.1</v>
      </c>
      <c r="E162" s="37">
        <v>50.8</v>
      </c>
      <c r="F162" s="37">
        <f t="shared" si="13"/>
        <v>87.300000000000011</v>
      </c>
      <c r="G162" s="37">
        <f t="shared" si="13"/>
        <v>0.30000000000000426</v>
      </c>
      <c r="H162" s="37">
        <f t="shared" si="14"/>
        <v>300.00000000000426</v>
      </c>
      <c r="I162" s="37">
        <f t="shared" si="11"/>
        <v>8.7300000000000016E-2</v>
      </c>
      <c r="J162" s="37">
        <f t="shared" si="12"/>
        <v>3436.426116838536</v>
      </c>
    </row>
    <row r="163" spans="1:10">
      <c r="A163" s="45">
        <v>38804</v>
      </c>
      <c r="B163" s="36" t="s">
        <v>30</v>
      </c>
      <c r="C163" s="37">
        <v>154.69999999999999</v>
      </c>
      <c r="D163" s="37">
        <v>72.8</v>
      </c>
      <c r="E163" s="37">
        <v>72.5</v>
      </c>
      <c r="F163" s="37">
        <f t="shared" si="13"/>
        <v>81.899999999999991</v>
      </c>
      <c r="G163" s="37">
        <f t="shared" si="13"/>
        <v>0.29999999999999716</v>
      </c>
      <c r="H163" s="37">
        <f t="shared" si="14"/>
        <v>299.99999999999716</v>
      </c>
      <c r="I163" s="37">
        <f t="shared" si="11"/>
        <v>8.1899999999999987E-2</v>
      </c>
      <c r="J163" s="37">
        <f t="shared" si="12"/>
        <v>3663.0036630036288</v>
      </c>
    </row>
    <row r="164" spans="1:10">
      <c r="A164" s="43"/>
      <c r="B164" s="36" t="s">
        <v>31</v>
      </c>
      <c r="C164" s="37">
        <v>136.1</v>
      </c>
      <c r="D164" s="37">
        <v>50.7</v>
      </c>
      <c r="E164" s="37">
        <v>50.3</v>
      </c>
      <c r="F164" s="37">
        <f t="shared" si="13"/>
        <v>85.399999999999991</v>
      </c>
      <c r="G164" s="37">
        <f t="shared" si="13"/>
        <v>0.40000000000000568</v>
      </c>
      <c r="H164" s="37">
        <f t="shared" si="14"/>
        <v>400.00000000000568</v>
      </c>
      <c r="I164" s="37">
        <f t="shared" si="11"/>
        <v>8.539999999999999E-2</v>
      </c>
      <c r="J164" s="37">
        <f t="shared" si="12"/>
        <v>4683.8407494145868</v>
      </c>
    </row>
    <row r="165" spans="1:10">
      <c r="A165" s="45">
        <v>38806</v>
      </c>
      <c r="B165" s="36" t="s">
        <v>30</v>
      </c>
      <c r="C165" s="37">
        <v>140.6</v>
      </c>
      <c r="D165" s="37">
        <v>50.4</v>
      </c>
      <c r="E165" s="37">
        <v>50.1</v>
      </c>
      <c r="F165" s="37">
        <f t="shared" si="13"/>
        <v>90.199999999999989</v>
      </c>
      <c r="G165" s="37">
        <f t="shared" si="13"/>
        <v>0.29999999999999716</v>
      </c>
      <c r="H165" s="37">
        <f t="shared" si="14"/>
        <v>299.99999999999716</v>
      </c>
      <c r="I165" s="37">
        <f t="shared" si="11"/>
        <v>9.0199999999999989E-2</v>
      </c>
      <c r="J165" s="37">
        <f t="shared" si="12"/>
        <v>3325.9423503325634</v>
      </c>
    </row>
    <row r="166" spans="1:10">
      <c r="A166" s="43"/>
      <c r="B166" s="36" t="s">
        <v>31</v>
      </c>
      <c r="C166" s="37">
        <v>138.6</v>
      </c>
      <c r="D166" s="37">
        <v>50.2</v>
      </c>
      <c r="E166" s="37">
        <v>49.9</v>
      </c>
      <c r="F166" s="37">
        <f t="shared" si="13"/>
        <v>88.399999999999991</v>
      </c>
      <c r="G166" s="37">
        <f t="shared" si="13"/>
        <v>0.30000000000000426</v>
      </c>
      <c r="H166" s="37">
        <f t="shared" si="14"/>
        <v>300.00000000000426</v>
      </c>
      <c r="I166" s="37">
        <f t="shared" si="11"/>
        <v>8.8399999999999992E-2</v>
      </c>
      <c r="J166" s="37">
        <f t="shared" si="12"/>
        <v>3393.6651583710891</v>
      </c>
    </row>
    <row r="167" spans="1:10">
      <c r="A167" s="45">
        <v>38808</v>
      </c>
      <c r="B167" s="36" t="s">
        <v>30</v>
      </c>
      <c r="C167" s="37">
        <v>138.69999999999999</v>
      </c>
      <c r="D167" s="37">
        <v>48.1</v>
      </c>
      <c r="E167" s="37">
        <v>47.7</v>
      </c>
      <c r="F167" s="37">
        <f t="shared" si="13"/>
        <v>90.6</v>
      </c>
      <c r="G167" s="37">
        <f t="shared" si="13"/>
        <v>0.39999999999999858</v>
      </c>
      <c r="H167" s="37">
        <f t="shared" si="14"/>
        <v>399.99999999999858</v>
      </c>
      <c r="I167" s="37">
        <f t="shared" si="11"/>
        <v>9.06E-2</v>
      </c>
      <c r="J167" s="37">
        <f t="shared" si="12"/>
        <v>4415.0110375275781</v>
      </c>
    </row>
    <row r="168" spans="1:10">
      <c r="A168" s="43"/>
      <c r="B168" s="36" t="s">
        <v>31</v>
      </c>
      <c r="C168" s="37">
        <v>155.4</v>
      </c>
      <c r="D168" s="37">
        <v>57.5</v>
      </c>
      <c r="E168" s="37">
        <v>57.1</v>
      </c>
      <c r="F168" s="37">
        <f t="shared" si="13"/>
        <v>97.9</v>
      </c>
      <c r="G168" s="37">
        <f t="shared" si="13"/>
        <v>0.39999999999999858</v>
      </c>
      <c r="H168" s="37">
        <f t="shared" si="14"/>
        <v>399.99999999999858</v>
      </c>
      <c r="I168" s="37">
        <f t="shared" si="11"/>
        <v>9.7900000000000001E-2</v>
      </c>
      <c r="J168" s="37">
        <f t="shared" si="12"/>
        <v>4085.8018386108129</v>
      </c>
    </row>
    <row r="169" spans="1:10">
      <c r="A169" s="45">
        <v>38811</v>
      </c>
      <c r="B169" s="36" t="s">
        <v>30</v>
      </c>
      <c r="C169" s="37">
        <v>144.69999999999999</v>
      </c>
      <c r="D169" s="37">
        <v>50</v>
      </c>
      <c r="E169" s="37">
        <v>49.6</v>
      </c>
      <c r="F169" s="37">
        <f t="shared" si="13"/>
        <v>94.699999999999989</v>
      </c>
      <c r="G169" s="37">
        <f t="shared" si="13"/>
        <v>0.39999999999999858</v>
      </c>
      <c r="H169" s="37">
        <f t="shared" si="14"/>
        <v>399.99999999999858</v>
      </c>
      <c r="I169" s="37">
        <f t="shared" si="11"/>
        <v>9.4699999999999993E-2</v>
      </c>
      <c r="J169" s="37">
        <f t="shared" si="12"/>
        <v>4223.8648363252232</v>
      </c>
    </row>
    <row r="170" spans="1:10">
      <c r="A170" s="43"/>
      <c r="B170" s="36" t="s">
        <v>31</v>
      </c>
      <c r="C170" s="37">
        <v>145.6</v>
      </c>
      <c r="D170" s="37">
        <v>50.1</v>
      </c>
      <c r="E170" s="37">
        <v>49.8</v>
      </c>
      <c r="F170" s="37">
        <f t="shared" si="13"/>
        <v>95.5</v>
      </c>
      <c r="G170" s="37">
        <f t="shared" si="13"/>
        <v>0.30000000000000426</v>
      </c>
      <c r="H170" s="37">
        <f t="shared" si="14"/>
        <v>300.00000000000426</v>
      </c>
      <c r="I170" s="37">
        <f t="shared" si="11"/>
        <v>9.5500000000000002E-2</v>
      </c>
      <c r="J170" s="37">
        <f t="shared" si="12"/>
        <v>3141.3612565445474</v>
      </c>
    </row>
    <row r="171" spans="1:10">
      <c r="A171" s="45">
        <v>38813</v>
      </c>
      <c r="B171" s="36" t="s">
        <v>30</v>
      </c>
      <c r="C171" s="37">
        <v>159.19999999999999</v>
      </c>
      <c r="D171" s="37">
        <v>72.900000000000006</v>
      </c>
      <c r="E171" s="37">
        <v>72.5</v>
      </c>
      <c r="F171" s="37">
        <f t="shared" si="13"/>
        <v>86.299999999999983</v>
      </c>
      <c r="G171" s="37">
        <f t="shared" si="13"/>
        <v>0.40000000000000568</v>
      </c>
      <c r="H171" s="37">
        <f t="shared" si="14"/>
        <v>400.00000000000568</v>
      </c>
      <c r="I171" s="37">
        <f t="shared" si="11"/>
        <v>8.6299999999999988E-2</v>
      </c>
      <c r="J171" s="37">
        <f t="shared" si="12"/>
        <v>4634.9942062573091</v>
      </c>
    </row>
    <row r="172" spans="1:10">
      <c r="A172" s="43"/>
      <c r="B172" s="36" t="s">
        <v>31</v>
      </c>
      <c r="C172" s="37">
        <v>134.6</v>
      </c>
      <c r="D172" s="37">
        <v>50.8</v>
      </c>
      <c r="E172" s="37">
        <v>50.4</v>
      </c>
      <c r="F172" s="37">
        <f t="shared" si="13"/>
        <v>83.8</v>
      </c>
      <c r="G172" s="37">
        <f t="shared" si="13"/>
        <v>0.39999999999999858</v>
      </c>
      <c r="H172" s="37">
        <f t="shared" si="14"/>
        <v>399.99999999999858</v>
      </c>
      <c r="I172" s="37">
        <f t="shared" si="11"/>
        <v>8.3799999999999999E-2</v>
      </c>
      <c r="J172" s="37">
        <f t="shared" si="12"/>
        <v>4773.2696897374535</v>
      </c>
    </row>
    <row r="173" spans="1:10">
      <c r="A173" s="45">
        <v>38815</v>
      </c>
      <c r="B173" s="36" t="s">
        <v>30</v>
      </c>
      <c r="C173" s="37">
        <v>148.19999999999999</v>
      </c>
      <c r="D173" s="37">
        <v>57.6</v>
      </c>
      <c r="E173" s="37">
        <v>57.1</v>
      </c>
      <c r="F173" s="37">
        <f t="shared" si="13"/>
        <v>90.6</v>
      </c>
      <c r="G173" s="37">
        <f t="shared" si="13"/>
        <v>0.5</v>
      </c>
      <c r="H173" s="37">
        <f t="shared" si="14"/>
        <v>500</v>
      </c>
      <c r="I173" s="37">
        <f t="shared" si="11"/>
        <v>9.06E-2</v>
      </c>
      <c r="J173" s="37">
        <f t="shared" si="12"/>
        <v>5518.7637969094922</v>
      </c>
    </row>
    <row r="174" spans="1:10">
      <c r="A174" s="43"/>
      <c r="B174" s="36" t="s">
        <v>31</v>
      </c>
      <c r="C174" s="37">
        <v>137</v>
      </c>
      <c r="D174" s="37">
        <v>48.1</v>
      </c>
      <c r="E174" s="37">
        <v>47.7</v>
      </c>
      <c r="F174" s="37">
        <f t="shared" si="13"/>
        <v>88.9</v>
      </c>
      <c r="G174" s="37">
        <f t="shared" si="13"/>
        <v>0.39999999999999858</v>
      </c>
      <c r="H174" s="37">
        <f t="shared" si="14"/>
        <v>399.99999999999858</v>
      </c>
      <c r="I174" s="37">
        <f t="shared" si="11"/>
        <v>8.8900000000000007E-2</v>
      </c>
      <c r="J174" s="37">
        <f t="shared" si="12"/>
        <v>4499.4375703036958</v>
      </c>
    </row>
    <row r="175" spans="1:10">
      <c r="A175" s="45">
        <v>38820</v>
      </c>
      <c r="B175" s="36" t="s">
        <v>30</v>
      </c>
      <c r="C175" s="37">
        <v>151.6</v>
      </c>
      <c r="D175" s="37">
        <v>73</v>
      </c>
      <c r="E175" s="37">
        <v>72.5</v>
      </c>
      <c r="F175" s="37">
        <f t="shared" si="13"/>
        <v>78.599999999999994</v>
      </c>
      <c r="G175" s="37">
        <f t="shared" si="13"/>
        <v>0.5</v>
      </c>
      <c r="H175" s="37">
        <f t="shared" si="14"/>
        <v>500</v>
      </c>
      <c r="I175" s="37">
        <f t="shared" si="11"/>
        <v>7.8599999999999989E-2</v>
      </c>
      <c r="J175" s="37">
        <f t="shared" si="12"/>
        <v>6361.3231552162861</v>
      </c>
    </row>
    <row r="176" spans="1:10">
      <c r="A176" s="43"/>
      <c r="B176" s="36" t="s">
        <v>31</v>
      </c>
      <c r="C176" s="37">
        <v>144.69999999999999</v>
      </c>
      <c r="D176" s="37">
        <v>50.1</v>
      </c>
      <c r="E176" s="37">
        <v>49.7</v>
      </c>
      <c r="F176" s="37">
        <f t="shared" si="13"/>
        <v>94.6</v>
      </c>
      <c r="G176" s="37">
        <f t="shared" si="13"/>
        <v>0.39999999999999858</v>
      </c>
      <c r="H176" s="37">
        <f t="shared" si="14"/>
        <v>399.99999999999858</v>
      </c>
      <c r="I176" s="37">
        <f t="shared" si="11"/>
        <v>9.459999999999999E-2</v>
      </c>
      <c r="J176" s="37">
        <f t="shared" si="12"/>
        <v>4228.3298097251436</v>
      </c>
    </row>
    <row r="177" spans="1:10">
      <c r="A177" s="45">
        <v>38822</v>
      </c>
      <c r="B177" s="36" t="s">
        <v>30</v>
      </c>
      <c r="C177" s="37">
        <v>153.80000000000001</v>
      </c>
      <c r="D177" s="37">
        <v>51.3</v>
      </c>
      <c r="E177" s="37">
        <v>50.8</v>
      </c>
      <c r="F177" s="37">
        <f t="shared" ref="F177:G219" si="15">C177-D177</f>
        <v>102.50000000000001</v>
      </c>
      <c r="G177" s="37">
        <f t="shared" si="13"/>
        <v>0.5</v>
      </c>
      <c r="H177" s="37">
        <f t="shared" si="14"/>
        <v>500</v>
      </c>
      <c r="I177" s="37">
        <f t="shared" si="11"/>
        <v>0.10250000000000001</v>
      </c>
      <c r="J177" s="37">
        <f t="shared" ref="J177:J220" si="16">H177/I177</f>
        <v>4878.0487804878048</v>
      </c>
    </row>
    <row r="178" spans="1:10">
      <c r="A178" s="43"/>
      <c r="B178" s="36" t="s">
        <v>31</v>
      </c>
      <c r="C178" s="37">
        <v>129.6</v>
      </c>
      <c r="D178" s="37">
        <v>50.2</v>
      </c>
      <c r="E178" s="37">
        <v>49.9</v>
      </c>
      <c r="F178" s="37">
        <f t="shared" si="15"/>
        <v>79.399999999999991</v>
      </c>
      <c r="G178" s="37">
        <f t="shared" si="15"/>
        <v>0.30000000000000426</v>
      </c>
      <c r="H178" s="37">
        <f t="shared" si="14"/>
        <v>300.00000000000426</v>
      </c>
      <c r="I178" s="37">
        <f t="shared" ref="I178:I220" si="17">F178/1000</f>
        <v>7.9399999999999998E-2</v>
      </c>
      <c r="J178" s="37">
        <f t="shared" si="16"/>
        <v>3778.3375314862001</v>
      </c>
    </row>
    <row r="179" spans="1:10">
      <c r="A179" s="45">
        <v>38825</v>
      </c>
      <c r="B179" s="36" t="s">
        <v>30</v>
      </c>
      <c r="C179" s="37">
        <v>149.4</v>
      </c>
      <c r="D179" s="37">
        <v>50.2</v>
      </c>
      <c r="E179" s="37">
        <v>49.7</v>
      </c>
      <c r="F179" s="37">
        <f t="shared" si="15"/>
        <v>99.2</v>
      </c>
      <c r="G179" s="37">
        <f t="shared" si="15"/>
        <v>0.5</v>
      </c>
      <c r="H179" s="37">
        <f t="shared" ref="H179:H232" si="18">G179*1000</f>
        <v>500</v>
      </c>
      <c r="I179" s="37">
        <f t="shared" si="17"/>
        <v>9.9199999999999997E-2</v>
      </c>
      <c r="J179" s="37">
        <f t="shared" si="16"/>
        <v>5040.3225806451619</v>
      </c>
    </row>
    <row r="180" spans="1:10">
      <c r="A180" s="43"/>
      <c r="B180" s="36" t="s">
        <v>31</v>
      </c>
      <c r="C180" s="37">
        <v>160.19999999999999</v>
      </c>
      <c r="D180" s="37">
        <v>72.8</v>
      </c>
      <c r="E180" s="37">
        <v>72.5</v>
      </c>
      <c r="F180" s="37">
        <f t="shared" si="15"/>
        <v>87.399999999999991</v>
      </c>
      <c r="G180" s="37">
        <f t="shared" si="15"/>
        <v>0.29999999999999716</v>
      </c>
      <c r="H180" s="37">
        <f t="shared" si="18"/>
        <v>299.99999999999716</v>
      </c>
      <c r="I180" s="37">
        <f t="shared" si="17"/>
        <v>8.7399999999999992E-2</v>
      </c>
      <c r="J180" s="37">
        <f t="shared" si="16"/>
        <v>3432.4942791761691</v>
      </c>
    </row>
    <row r="181" spans="1:10">
      <c r="A181" s="45">
        <v>38827</v>
      </c>
      <c r="B181" s="36" t="s">
        <v>30</v>
      </c>
      <c r="C181" s="37">
        <v>142.4</v>
      </c>
      <c r="D181" s="37">
        <v>50.78</v>
      </c>
      <c r="E181" s="37">
        <v>50.3</v>
      </c>
      <c r="F181" s="37">
        <f t="shared" si="15"/>
        <v>91.62</v>
      </c>
      <c r="G181" s="37">
        <f t="shared" si="15"/>
        <v>0.48000000000000398</v>
      </c>
      <c r="H181" s="37">
        <f t="shared" si="18"/>
        <v>480.00000000000398</v>
      </c>
      <c r="I181" s="37">
        <f t="shared" si="17"/>
        <v>9.1620000000000007E-2</v>
      </c>
      <c r="J181" s="37">
        <f t="shared" si="16"/>
        <v>5239.0307793058719</v>
      </c>
    </row>
    <row r="182" spans="1:10">
      <c r="A182" s="43"/>
      <c r="B182" s="36" t="s">
        <v>31</v>
      </c>
      <c r="C182" s="37">
        <v>151.6</v>
      </c>
      <c r="D182" s="37">
        <v>58.16</v>
      </c>
      <c r="E182" s="37">
        <v>57.8</v>
      </c>
      <c r="F182" s="37">
        <f t="shared" si="15"/>
        <v>93.44</v>
      </c>
      <c r="G182" s="37">
        <f t="shared" si="15"/>
        <v>0.35999999999999943</v>
      </c>
      <c r="H182" s="37">
        <f t="shared" si="18"/>
        <v>359.99999999999943</v>
      </c>
      <c r="I182" s="37">
        <f t="shared" si="17"/>
        <v>9.3439999999999995E-2</v>
      </c>
      <c r="J182" s="37">
        <f t="shared" si="16"/>
        <v>3852.7397260273915</v>
      </c>
    </row>
    <row r="183" spans="1:10">
      <c r="A183" s="45">
        <v>38829</v>
      </c>
      <c r="B183" s="36" t="s">
        <v>30</v>
      </c>
      <c r="C183" s="37">
        <v>136.34</v>
      </c>
      <c r="D183" s="37">
        <v>48.06</v>
      </c>
      <c r="E183" s="37">
        <v>47.72</v>
      </c>
      <c r="F183" s="37">
        <f t="shared" si="15"/>
        <v>88.28</v>
      </c>
      <c r="G183" s="37">
        <f t="shared" si="15"/>
        <v>0.34000000000000341</v>
      </c>
      <c r="H183" s="37">
        <f t="shared" si="18"/>
        <v>340.00000000000341</v>
      </c>
      <c r="I183" s="37">
        <f t="shared" si="17"/>
        <v>8.8279999999999997E-2</v>
      </c>
      <c r="J183" s="37">
        <f t="shared" si="16"/>
        <v>3851.3819664703606</v>
      </c>
    </row>
    <row r="184" spans="1:10">
      <c r="A184" s="43"/>
      <c r="B184" s="36" t="s">
        <v>31</v>
      </c>
      <c r="C184" s="37">
        <v>148.25</v>
      </c>
      <c r="D184" s="37">
        <v>50.3</v>
      </c>
      <c r="E184" s="37">
        <v>49.94</v>
      </c>
      <c r="F184" s="37">
        <f t="shared" si="15"/>
        <v>97.95</v>
      </c>
      <c r="G184" s="37">
        <f t="shared" si="15"/>
        <v>0.35999999999999943</v>
      </c>
      <c r="H184" s="37">
        <f t="shared" si="18"/>
        <v>359.99999999999943</v>
      </c>
      <c r="I184" s="37">
        <f t="shared" si="17"/>
        <v>9.7950000000000009E-2</v>
      </c>
      <c r="J184" s="37">
        <f t="shared" si="16"/>
        <v>3675.3445635528269</v>
      </c>
    </row>
    <row r="185" spans="1:10">
      <c r="A185" s="45">
        <v>38832</v>
      </c>
      <c r="B185" s="36" t="s">
        <v>30</v>
      </c>
      <c r="C185" s="37">
        <v>138.58000000000001</v>
      </c>
      <c r="D185" s="37">
        <v>50.47</v>
      </c>
      <c r="E185" s="37">
        <v>50.06</v>
      </c>
      <c r="F185" s="37">
        <f t="shared" si="15"/>
        <v>88.110000000000014</v>
      </c>
      <c r="G185" s="37">
        <f t="shared" si="15"/>
        <v>0.40999999999999659</v>
      </c>
      <c r="H185" s="37">
        <f t="shared" si="18"/>
        <v>409.99999999999659</v>
      </c>
      <c r="I185" s="37">
        <f t="shared" si="17"/>
        <v>8.8110000000000008E-2</v>
      </c>
      <c r="J185" s="37">
        <f t="shared" si="16"/>
        <v>4653.274316195625</v>
      </c>
    </row>
    <row r="186" spans="1:10">
      <c r="A186" s="43"/>
      <c r="B186" s="36" t="s">
        <v>31</v>
      </c>
      <c r="C186" s="37">
        <v>142.5</v>
      </c>
      <c r="D186" s="37">
        <v>50.25</v>
      </c>
      <c r="E186" s="37">
        <v>49.94</v>
      </c>
      <c r="F186" s="37">
        <f t="shared" si="15"/>
        <v>92.25</v>
      </c>
      <c r="G186" s="37">
        <f t="shared" si="15"/>
        <v>0.31000000000000227</v>
      </c>
      <c r="H186" s="37">
        <f t="shared" si="18"/>
        <v>310.00000000000227</v>
      </c>
      <c r="I186" s="37">
        <f t="shared" si="17"/>
        <v>9.2249999999999999E-2</v>
      </c>
      <c r="J186" s="37">
        <f t="shared" si="16"/>
        <v>3360.4336043360681</v>
      </c>
    </row>
    <row r="187" spans="1:10">
      <c r="A187" s="45">
        <v>38834</v>
      </c>
      <c r="B187" s="36" t="s">
        <v>30</v>
      </c>
      <c r="C187" s="37">
        <v>135.41999999999999</v>
      </c>
      <c r="D187" s="37">
        <v>51.23</v>
      </c>
      <c r="E187" s="37">
        <v>50.85</v>
      </c>
      <c r="F187" s="37">
        <f t="shared" si="15"/>
        <v>84.19</v>
      </c>
      <c r="G187" s="37">
        <f t="shared" si="15"/>
        <v>0.37999999999999545</v>
      </c>
      <c r="H187" s="37">
        <f t="shared" si="18"/>
        <v>379.99999999999545</v>
      </c>
      <c r="I187" s="37">
        <f t="shared" si="17"/>
        <v>8.4190000000000001E-2</v>
      </c>
      <c r="J187" s="37">
        <f t="shared" si="16"/>
        <v>4513.6001900462697</v>
      </c>
    </row>
    <row r="188" spans="1:10">
      <c r="A188" s="43"/>
      <c r="B188" s="36" t="s">
        <v>31</v>
      </c>
      <c r="C188" s="37">
        <v>141.76</v>
      </c>
      <c r="D188" s="37">
        <v>50.69</v>
      </c>
      <c r="E188" s="37">
        <v>50.34</v>
      </c>
      <c r="F188" s="37">
        <f t="shared" si="15"/>
        <v>91.07</v>
      </c>
      <c r="G188" s="37">
        <f t="shared" si="15"/>
        <v>0.34999999999999432</v>
      </c>
      <c r="H188" s="37">
        <f t="shared" si="18"/>
        <v>349.99999999999432</v>
      </c>
      <c r="I188" s="37">
        <f t="shared" si="17"/>
        <v>9.1069999999999998E-2</v>
      </c>
      <c r="J188" s="37">
        <f t="shared" si="16"/>
        <v>3843.1975403535116</v>
      </c>
    </row>
    <row r="189" spans="1:10">
      <c r="A189" s="45">
        <v>38836</v>
      </c>
      <c r="B189" s="36" t="s">
        <v>30</v>
      </c>
      <c r="C189" s="37">
        <v>138.83000000000001</v>
      </c>
      <c r="D189" s="37">
        <v>50.3</v>
      </c>
      <c r="E189" s="37">
        <v>49.91</v>
      </c>
      <c r="F189" s="37">
        <f t="shared" si="15"/>
        <v>88.530000000000015</v>
      </c>
      <c r="G189" s="37">
        <f t="shared" si="15"/>
        <v>0.39000000000000057</v>
      </c>
      <c r="H189" s="37">
        <f t="shared" si="18"/>
        <v>390.00000000000057</v>
      </c>
      <c r="I189" s="37">
        <f t="shared" si="17"/>
        <v>8.8530000000000011E-2</v>
      </c>
      <c r="J189" s="37">
        <f t="shared" si="16"/>
        <v>4405.2863436123407</v>
      </c>
    </row>
    <row r="190" spans="1:10">
      <c r="A190" s="43"/>
      <c r="B190" s="36" t="s">
        <v>31</v>
      </c>
      <c r="C190" s="37">
        <v>145.57</v>
      </c>
      <c r="D190" s="37">
        <v>50.4</v>
      </c>
      <c r="E190" s="37">
        <v>50.05</v>
      </c>
      <c r="F190" s="37">
        <f t="shared" si="15"/>
        <v>95.169999999999987</v>
      </c>
      <c r="G190" s="37">
        <f t="shared" si="15"/>
        <v>0.35000000000000142</v>
      </c>
      <c r="H190" s="37">
        <f t="shared" si="18"/>
        <v>350.00000000000142</v>
      </c>
      <c r="I190" s="37">
        <f t="shared" si="17"/>
        <v>9.5169999999999991E-2</v>
      </c>
      <c r="J190" s="37">
        <f t="shared" si="16"/>
        <v>3677.6295050961589</v>
      </c>
    </row>
    <row r="191" spans="1:10">
      <c r="A191" s="45">
        <v>38839</v>
      </c>
      <c r="B191" s="36" t="s">
        <v>30</v>
      </c>
      <c r="C191" s="37">
        <v>146.72999999999999</v>
      </c>
      <c r="D191" s="37">
        <v>50.28</v>
      </c>
      <c r="E191" s="37">
        <v>49.77</v>
      </c>
      <c r="F191" s="37">
        <f t="shared" si="15"/>
        <v>96.449999999999989</v>
      </c>
      <c r="G191" s="37">
        <f t="shared" si="15"/>
        <v>0.50999999999999801</v>
      </c>
      <c r="H191" s="37">
        <f t="shared" si="18"/>
        <v>509.99999999999801</v>
      </c>
      <c r="I191" s="37">
        <f t="shared" si="17"/>
        <v>9.6449999999999994E-2</v>
      </c>
      <c r="J191" s="37">
        <f t="shared" si="16"/>
        <v>5287.7138413685643</v>
      </c>
    </row>
    <row r="192" spans="1:10">
      <c r="A192" s="43"/>
      <c r="B192" s="36" t="s">
        <v>31</v>
      </c>
      <c r="C192" s="37">
        <v>160.37</v>
      </c>
      <c r="D192" s="37">
        <v>72.77</v>
      </c>
      <c r="E192" s="37">
        <v>72.5</v>
      </c>
      <c r="F192" s="37">
        <f t="shared" si="15"/>
        <v>87.600000000000009</v>
      </c>
      <c r="G192" s="37">
        <f t="shared" si="15"/>
        <v>0.26999999999999602</v>
      </c>
      <c r="H192" s="37">
        <f t="shared" si="18"/>
        <v>269.99999999999602</v>
      </c>
      <c r="I192" s="37">
        <f t="shared" si="17"/>
        <v>8.7600000000000011E-2</v>
      </c>
      <c r="J192" s="37">
        <f t="shared" si="16"/>
        <v>3082.1917808218718</v>
      </c>
    </row>
    <row r="193" spans="1:10">
      <c r="A193" s="45">
        <v>38841</v>
      </c>
      <c r="B193" s="36" t="s">
        <v>30</v>
      </c>
      <c r="C193" s="37">
        <v>139.44999999999999</v>
      </c>
      <c r="D193" s="37">
        <v>51.3</v>
      </c>
      <c r="E193" s="37">
        <v>50.79</v>
      </c>
      <c r="F193" s="37">
        <f>C193-D193</f>
        <v>88.149999999999991</v>
      </c>
      <c r="G193" s="37">
        <f t="shared" si="15"/>
        <v>0.50999999999999801</v>
      </c>
      <c r="H193" s="37">
        <f t="shared" si="18"/>
        <v>509.99999999999801</v>
      </c>
      <c r="I193" s="37">
        <f t="shared" si="17"/>
        <v>8.8149999999999992E-2</v>
      </c>
      <c r="J193" s="37">
        <f t="shared" si="16"/>
        <v>5785.5927396483048</v>
      </c>
    </row>
    <row r="194" spans="1:10">
      <c r="A194" s="43"/>
      <c r="B194" s="36" t="s">
        <v>31</v>
      </c>
      <c r="C194" s="37">
        <v>132.51</v>
      </c>
      <c r="D194" s="37">
        <v>50.25</v>
      </c>
      <c r="E194" s="37">
        <v>49.94</v>
      </c>
      <c r="F194" s="37">
        <f t="shared" si="15"/>
        <v>82.259999999999991</v>
      </c>
      <c r="G194" s="37">
        <f t="shared" si="15"/>
        <v>0.31000000000000227</v>
      </c>
      <c r="H194" s="37">
        <f t="shared" si="18"/>
        <v>310.00000000000227</v>
      </c>
      <c r="I194" s="37">
        <f t="shared" si="17"/>
        <v>8.2259999999999986E-2</v>
      </c>
      <c r="J194" s="37">
        <f t="shared" si="16"/>
        <v>3768.5387794797266</v>
      </c>
    </row>
    <row r="195" spans="1:10">
      <c r="A195" s="45">
        <v>38846</v>
      </c>
      <c r="B195" s="36" t="s">
        <v>30</v>
      </c>
      <c r="C195" s="37">
        <v>156.19</v>
      </c>
      <c r="D195" s="37">
        <v>63.45</v>
      </c>
      <c r="E195" s="37">
        <v>62.99</v>
      </c>
      <c r="F195" s="37">
        <f t="shared" si="15"/>
        <v>92.74</v>
      </c>
      <c r="G195" s="37">
        <f t="shared" si="15"/>
        <v>0.46000000000000085</v>
      </c>
      <c r="H195" s="37">
        <f t="shared" si="18"/>
        <v>460.00000000000085</v>
      </c>
      <c r="I195" s="37">
        <f t="shared" si="17"/>
        <v>9.2739999999999989E-2</v>
      </c>
      <c r="J195" s="37">
        <f t="shared" si="16"/>
        <v>4960.1035152038057</v>
      </c>
    </row>
    <row r="196" spans="1:10">
      <c r="A196" s="43"/>
      <c r="B196" s="36" t="s">
        <v>31</v>
      </c>
      <c r="C196" s="37">
        <v>128.62</v>
      </c>
      <c r="D196" s="37">
        <v>50.61</v>
      </c>
      <c r="E196" s="37">
        <v>50.38</v>
      </c>
      <c r="F196" s="37">
        <f t="shared" si="15"/>
        <v>78.010000000000005</v>
      </c>
      <c r="G196" s="37">
        <f t="shared" si="15"/>
        <v>0.22999999999999687</v>
      </c>
      <c r="H196" s="37">
        <f t="shared" si="18"/>
        <v>229.99999999999687</v>
      </c>
      <c r="I196" s="37">
        <f t="shared" si="17"/>
        <v>7.801000000000001E-2</v>
      </c>
      <c r="J196" s="37">
        <f t="shared" si="16"/>
        <v>2948.3399564158035</v>
      </c>
    </row>
    <row r="197" spans="1:10">
      <c r="A197" s="45">
        <v>38848</v>
      </c>
      <c r="B197" s="36" t="s">
        <v>30</v>
      </c>
      <c r="C197" s="37">
        <v>170.22</v>
      </c>
      <c r="D197" s="37">
        <v>72.98</v>
      </c>
      <c r="E197" s="37">
        <v>72.45</v>
      </c>
      <c r="F197" s="37">
        <f t="shared" si="15"/>
        <v>97.24</v>
      </c>
      <c r="G197" s="37">
        <f t="shared" si="15"/>
        <v>0.53000000000000114</v>
      </c>
      <c r="H197" s="37">
        <f t="shared" si="18"/>
        <v>530.00000000000114</v>
      </c>
      <c r="I197" s="37">
        <f t="shared" si="17"/>
        <v>9.7239999999999993E-2</v>
      </c>
      <c r="J197" s="37">
        <f t="shared" si="16"/>
        <v>5450.4319210201684</v>
      </c>
    </row>
    <row r="198" spans="1:10">
      <c r="A198" s="43"/>
      <c r="B198" s="36" t="s">
        <v>31</v>
      </c>
      <c r="C198" s="37">
        <v>148.58000000000001</v>
      </c>
      <c r="D198" s="37">
        <v>51.18</v>
      </c>
      <c r="E198" s="37">
        <v>50.82</v>
      </c>
      <c r="F198" s="37">
        <f t="shared" si="15"/>
        <v>97.4</v>
      </c>
      <c r="G198" s="37">
        <f t="shared" si="15"/>
        <v>0.35999999999999943</v>
      </c>
      <c r="H198" s="37">
        <f t="shared" si="18"/>
        <v>359.99999999999943</v>
      </c>
      <c r="I198" s="37">
        <f t="shared" si="17"/>
        <v>9.74E-2</v>
      </c>
      <c r="J198" s="37">
        <f t="shared" si="16"/>
        <v>3696.0985626283309</v>
      </c>
    </row>
    <row r="199" spans="1:10">
      <c r="A199" s="45">
        <v>38850</v>
      </c>
      <c r="B199" s="36" t="s">
        <v>30</v>
      </c>
      <c r="C199" s="37">
        <v>147.9</v>
      </c>
      <c r="D199" s="37">
        <v>50.12</v>
      </c>
      <c r="E199" s="37">
        <v>49.62</v>
      </c>
      <c r="F199" s="37">
        <f t="shared" si="15"/>
        <v>97.78</v>
      </c>
      <c r="G199" s="37">
        <f t="shared" si="15"/>
        <v>0.5</v>
      </c>
      <c r="H199" s="37">
        <f t="shared" si="18"/>
        <v>500</v>
      </c>
      <c r="I199" s="37">
        <f t="shared" si="17"/>
        <v>9.7780000000000006E-2</v>
      </c>
      <c r="J199" s="37">
        <f t="shared" si="16"/>
        <v>5113.5201472693798</v>
      </c>
    </row>
    <row r="200" spans="1:10">
      <c r="A200" s="43"/>
      <c r="B200" s="36" t="s">
        <v>31</v>
      </c>
      <c r="C200" s="37">
        <v>122.8</v>
      </c>
      <c r="D200" s="37">
        <v>51.05</v>
      </c>
      <c r="E200" s="37">
        <v>50.79</v>
      </c>
      <c r="F200" s="37">
        <f t="shared" si="15"/>
        <v>71.75</v>
      </c>
      <c r="G200" s="37">
        <f t="shared" si="15"/>
        <v>0.25999999999999801</v>
      </c>
      <c r="H200" s="37">
        <f t="shared" si="18"/>
        <v>259.99999999999801</v>
      </c>
      <c r="I200" s="37">
        <f t="shared" si="17"/>
        <v>7.1749999999999994E-2</v>
      </c>
      <c r="J200" s="37">
        <f t="shared" si="16"/>
        <v>3623.6933797909132</v>
      </c>
    </row>
    <row r="201" spans="1:10">
      <c r="A201" s="45">
        <v>38853</v>
      </c>
      <c r="B201" s="36" t="s">
        <v>30</v>
      </c>
      <c r="C201" s="37">
        <v>148.4</v>
      </c>
      <c r="D201" s="37">
        <v>50.85</v>
      </c>
      <c r="E201" s="37">
        <v>50.34</v>
      </c>
      <c r="F201" s="37">
        <f t="shared" si="15"/>
        <v>97.550000000000011</v>
      </c>
      <c r="G201" s="37">
        <f t="shared" si="15"/>
        <v>0.50999999999999801</v>
      </c>
      <c r="H201" s="37">
        <f t="shared" si="18"/>
        <v>509.99999999999801</v>
      </c>
      <c r="I201" s="37">
        <f t="shared" si="17"/>
        <v>9.7550000000000012E-2</v>
      </c>
      <c r="J201" s="37">
        <f t="shared" si="16"/>
        <v>5228.0881599179702</v>
      </c>
    </row>
    <row r="202" spans="1:10">
      <c r="A202" s="43"/>
      <c r="B202" s="36" t="s">
        <v>31</v>
      </c>
      <c r="C202" s="37">
        <v>142.4</v>
      </c>
      <c r="D202" s="37">
        <v>50.25</v>
      </c>
      <c r="E202" s="37">
        <v>49.91</v>
      </c>
      <c r="F202" s="37">
        <f t="shared" si="15"/>
        <v>92.15</v>
      </c>
      <c r="G202" s="37">
        <f t="shared" si="15"/>
        <v>0.34000000000000341</v>
      </c>
      <c r="H202" s="37">
        <f t="shared" si="18"/>
        <v>340.00000000000341</v>
      </c>
      <c r="I202" s="37">
        <f t="shared" si="17"/>
        <v>9.215000000000001E-2</v>
      </c>
      <c r="J202" s="37">
        <f t="shared" si="16"/>
        <v>3689.6364622897818</v>
      </c>
    </row>
    <row r="203" spans="1:10">
      <c r="A203" s="45">
        <v>38855</v>
      </c>
      <c r="B203" s="36" t="s">
        <v>30</v>
      </c>
      <c r="C203" s="37">
        <v>147</v>
      </c>
      <c r="D203" s="37">
        <v>50.13</v>
      </c>
      <c r="E203" s="37">
        <v>49.66</v>
      </c>
      <c r="F203" s="37">
        <f t="shared" si="15"/>
        <v>96.87</v>
      </c>
      <c r="G203" s="37">
        <f t="shared" si="15"/>
        <v>0.47000000000000597</v>
      </c>
      <c r="H203" s="37">
        <f t="shared" si="18"/>
        <v>470.00000000000597</v>
      </c>
      <c r="I203" s="37">
        <f t="shared" si="17"/>
        <v>9.6869999999999998E-2</v>
      </c>
      <c r="J203" s="37">
        <f t="shared" si="16"/>
        <v>4851.8633219779704</v>
      </c>
    </row>
    <row r="204" spans="1:10">
      <c r="A204" s="43"/>
      <c r="B204" s="36" t="s">
        <v>31</v>
      </c>
      <c r="C204" s="37">
        <v>140.4</v>
      </c>
      <c r="D204" s="37">
        <v>51.11</v>
      </c>
      <c r="E204" s="37">
        <v>50.85</v>
      </c>
      <c r="F204" s="37">
        <f t="shared" si="15"/>
        <v>89.29</v>
      </c>
      <c r="G204" s="37">
        <f t="shared" si="15"/>
        <v>0.25999999999999801</v>
      </c>
      <c r="H204" s="37">
        <f t="shared" si="18"/>
        <v>259.99999999999801</v>
      </c>
      <c r="I204" s="37">
        <f t="shared" si="17"/>
        <v>8.9290000000000008E-2</v>
      </c>
      <c r="J204" s="37">
        <f t="shared" si="16"/>
        <v>2911.8602307089036</v>
      </c>
    </row>
    <row r="205" spans="1:10">
      <c r="A205" s="45">
        <v>38857</v>
      </c>
      <c r="B205" s="36" t="s">
        <v>30</v>
      </c>
      <c r="C205" s="37">
        <v>150.66999999999999</v>
      </c>
      <c r="D205" s="37">
        <v>51.35</v>
      </c>
      <c r="E205" s="37">
        <v>50.83</v>
      </c>
      <c r="F205" s="37">
        <f t="shared" si="15"/>
        <v>99.32</v>
      </c>
      <c r="G205" s="37">
        <f t="shared" si="15"/>
        <v>0.52000000000000313</v>
      </c>
      <c r="H205" s="37">
        <f t="shared" si="18"/>
        <v>520.00000000000318</v>
      </c>
      <c r="I205" s="37">
        <f t="shared" si="17"/>
        <v>9.9319999999999992E-2</v>
      </c>
      <c r="J205" s="37">
        <f t="shared" si="16"/>
        <v>5235.6020942408704</v>
      </c>
    </row>
    <row r="206" spans="1:10">
      <c r="A206" s="43"/>
      <c r="B206" s="36" t="s">
        <v>31</v>
      </c>
      <c r="C206" s="37">
        <v>150.24</v>
      </c>
      <c r="D206" s="37">
        <v>49.96</v>
      </c>
      <c r="E206" s="37">
        <v>49.77</v>
      </c>
      <c r="F206" s="37">
        <f t="shared" si="15"/>
        <v>100.28</v>
      </c>
      <c r="G206" s="37">
        <f t="shared" si="15"/>
        <v>0.18999999999999773</v>
      </c>
      <c r="H206" s="37">
        <f t="shared" si="18"/>
        <v>189.99999999999773</v>
      </c>
      <c r="I206" s="37">
        <f t="shared" si="17"/>
        <v>0.10028000000000001</v>
      </c>
      <c r="J206" s="37">
        <f t="shared" si="16"/>
        <v>1894.6948544076358</v>
      </c>
    </row>
    <row r="207" spans="1:10">
      <c r="A207" s="45">
        <v>38867</v>
      </c>
      <c r="B207" s="36" t="s">
        <v>30</v>
      </c>
      <c r="C207" s="37">
        <v>149.52000000000001</v>
      </c>
      <c r="D207" s="37">
        <v>50.34</v>
      </c>
      <c r="E207" s="37">
        <v>49.9</v>
      </c>
      <c r="F207" s="37">
        <f t="shared" si="15"/>
        <v>99.18</v>
      </c>
      <c r="G207" s="37">
        <f t="shared" si="15"/>
        <v>0.44000000000000483</v>
      </c>
      <c r="H207" s="37">
        <f t="shared" si="18"/>
        <v>440.00000000000483</v>
      </c>
      <c r="I207" s="37">
        <f t="shared" si="17"/>
        <v>9.9180000000000004E-2</v>
      </c>
      <c r="J207" s="37">
        <f t="shared" si="16"/>
        <v>4436.3783020770798</v>
      </c>
    </row>
    <row r="208" spans="1:10">
      <c r="A208" s="43"/>
      <c r="B208" s="36" t="s">
        <v>31</v>
      </c>
      <c r="C208" s="37">
        <v>139.4</v>
      </c>
      <c r="D208" s="37">
        <v>51.09</v>
      </c>
      <c r="E208" s="37">
        <v>50.8</v>
      </c>
      <c r="F208" s="37">
        <f t="shared" si="15"/>
        <v>88.31</v>
      </c>
      <c r="G208" s="37">
        <f t="shared" si="15"/>
        <v>0.29000000000000625</v>
      </c>
      <c r="H208" s="37">
        <f t="shared" si="18"/>
        <v>290.00000000000625</v>
      </c>
      <c r="I208" s="37">
        <f t="shared" si="17"/>
        <v>8.831E-2</v>
      </c>
      <c r="J208" s="37">
        <f t="shared" si="16"/>
        <v>3283.8863095912834</v>
      </c>
    </row>
    <row r="209" spans="1:10">
      <c r="A209" s="45">
        <v>38869</v>
      </c>
      <c r="B209" s="36" t="s">
        <v>30</v>
      </c>
      <c r="C209" s="37">
        <v>147.69</v>
      </c>
      <c r="D209" s="37">
        <v>51.29</v>
      </c>
      <c r="E209" s="37">
        <v>50.83</v>
      </c>
      <c r="F209" s="37">
        <f t="shared" si="15"/>
        <v>96.4</v>
      </c>
      <c r="G209" s="37">
        <f t="shared" si="15"/>
        <v>0.46000000000000085</v>
      </c>
      <c r="H209" s="37">
        <f t="shared" si="18"/>
        <v>460.00000000000085</v>
      </c>
      <c r="I209" s="37">
        <f t="shared" si="17"/>
        <v>9.64E-2</v>
      </c>
      <c r="J209" s="37">
        <f t="shared" si="16"/>
        <v>4771.7842323651539</v>
      </c>
    </row>
    <row r="210" spans="1:10">
      <c r="A210" s="43"/>
      <c r="B210" s="36" t="s">
        <v>31</v>
      </c>
      <c r="C210" s="37">
        <v>148.53</v>
      </c>
      <c r="D210" s="37">
        <v>50.01</v>
      </c>
      <c r="E210" s="37">
        <v>49.57</v>
      </c>
      <c r="F210" s="37">
        <f t="shared" si="15"/>
        <v>98.52000000000001</v>
      </c>
      <c r="G210" s="37">
        <f t="shared" si="15"/>
        <v>0.43999999999999773</v>
      </c>
      <c r="H210" s="37">
        <f t="shared" si="18"/>
        <v>439.99999999999773</v>
      </c>
      <c r="I210" s="37">
        <f t="shared" si="17"/>
        <v>9.852000000000001E-2</v>
      </c>
      <c r="J210" s="37">
        <f t="shared" si="16"/>
        <v>4466.0982541615676</v>
      </c>
    </row>
    <row r="211" spans="1:10">
      <c r="A211" s="45">
        <v>38871</v>
      </c>
      <c r="B211" s="36" t="s">
        <v>30</v>
      </c>
      <c r="C211" s="37">
        <v>163.18</v>
      </c>
      <c r="D211" s="37">
        <v>72.900000000000006</v>
      </c>
      <c r="E211" s="37">
        <v>72.45</v>
      </c>
      <c r="F211" s="37">
        <f t="shared" si="15"/>
        <v>90.28</v>
      </c>
      <c r="G211" s="37">
        <f t="shared" si="15"/>
        <v>0.45000000000000284</v>
      </c>
      <c r="H211" s="37">
        <f t="shared" si="18"/>
        <v>450.00000000000284</v>
      </c>
      <c r="I211" s="37">
        <f t="shared" si="17"/>
        <v>9.0279999999999999E-2</v>
      </c>
      <c r="J211" s="37">
        <f t="shared" si="16"/>
        <v>4984.4926894107539</v>
      </c>
    </row>
    <row r="212" spans="1:10">
      <c r="A212" s="43"/>
      <c r="B212" s="36" t="s">
        <v>31</v>
      </c>
      <c r="C212" s="37">
        <v>143.11000000000001</v>
      </c>
      <c r="D212" s="37">
        <v>50.44</v>
      </c>
      <c r="E212" s="37">
        <v>50.04</v>
      </c>
      <c r="F212" s="37">
        <f t="shared" si="15"/>
        <v>92.670000000000016</v>
      </c>
      <c r="G212" s="37">
        <f t="shared" si="15"/>
        <v>0.39999999999999858</v>
      </c>
      <c r="H212" s="37">
        <f t="shared" si="18"/>
        <v>399.99999999999858</v>
      </c>
      <c r="I212" s="37">
        <f t="shared" si="17"/>
        <v>9.2670000000000016E-2</v>
      </c>
      <c r="J212" s="37">
        <f t="shared" si="16"/>
        <v>4316.3914967087358</v>
      </c>
    </row>
    <row r="213" spans="1:10">
      <c r="A213" s="45">
        <v>38874</v>
      </c>
      <c r="B213" s="36" t="s">
        <v>30</v>
      </c>
      <c r="C213" s="37">
        <v>148.5</v>
      </c>
      <c r="D213" s="37">
        <v>51.35</v>
      </c>
      <c r="E213" s="37">
        <v>50.87</v>
      </c>
      <c r="F213" s="37">
        <f t="shared" si="15"/>
        <v>97.15</v>
      </c>
      <c r="G213" s="37">
        <f t="shared" si="15"/>
        <v>0.48000000000000398</v>
      </c>
      <c r="H213" s="37">
        <f t="shared" si="18"/>
        <v>480.00000000000398</v>
      </c>
      <c r="I213" s="37">
        <f t="shared" si="17"/>
        <v>9.715E-2</v>
      </c>
      <c r="J213" s="52">
        <f t="shared" si="16"/>
        <v>4940.8131755018421</v>
      </c>
    </row>
    <row r="214" spans="1:10">
      <c r="A214" s="43"/>
      <c r="B214" s="36" t="s">
        <v>31</v>
      </c>
      <c r="C214" s="37">
        <v>148.13999999999999</v>
      </c>
      <c r="D214" s="37">
        <v>50.04</v>
      </c>
      <c r="E214" s="37">
        <v>49.64</v>
      </c>
      <c r="F214" s="37">
        <f t="shared" si="15"/>
        <v>98.1</v>
      </c>
      <c r="G214" s="37">
        <f t="shared" si="15"/>
        <v>0.39999999999999858</v>
      </c>
      <c r="H214" s="37">
        <f t="shared" si="18"/>
        <v>399.99999999999858</v>
      </c>
      <c r="I214" s="37">
        <f t="shared" si="17"/>
        <v>9.8099999999999993E-2</v>
      </c>
      <c r="J214" s="52">
        <f t="shared" si="16"/>
        <v>4077.4719673802101</v>
      </c>
    </row>
    <row r="215" spans="1:10">
      <c r="A215" s="45">
        <v>38876</v>
      </c>
      <c r="B215" s="36" t="s">
        <v>30</v>
      </c>
      <c r="C215" s="37">
        <v>147.15</v>
      </c>
      <c r="D215" s="37">
        <v>50.41</v>
      </c>
      <c r="E215" s="37">
        <v>49.92</v>
      </c>
      <c r="F215" s="37">
        <f t="shared" si="15"/>
        <v>96.740000000000009</v>
      </c>
      <c r="G215" s="37">
        <f t="shared" si="15"/>
        <v>0.48999999999999488</v>
      </c>
      <c r="H215" s="37">
        <f t="shared" si="18"/>
        <v>489.99999999999488</v>
      </c>
      <c r="I215" s="37">
        <f t="shared" si="17"/>
        <v>9.6740000000000007E-2</v>
      </c>
      <c r="J215" s="52">
        <f t="shared" si="16"/>
        <v>5065.1230101301926</v>
      </c>
    </row>
    <row r="216" spans="1:10">
      <c r="A216" s="43"/>
      <c r="B216" s="36" t="s">
        <v>31</v>
      </c>
      <c r="C216" s="37">
        <v>143.62</v>
      </c>
      <c r="D216" s="37">
        <v>51.18</v>
      </c>
      <c r="E216" s="37">
        <v>50.8</v>
      </c>
      <c r="F216" s="37">
        <f t="shared" si="15"/>
        <v>92.44</v>
      </c>
      <c r="G216" s="37">
        <f t="shared" si="15"/>
        <v>0.38000000000000256</v>
      </c>
      <c r="H216" s="37">
        <f t="shared" si="18"/>
        <v>380.00000000000256</v>
      </c>
      <c r="I216" s="37">
        <f t="shared" si="17"/>
        <v>9.2439999999999994E-2</v>
      </c>
      <c r="J216" s="52">
        <f t="shared" si="16"/>
        <v>4110.7745564690886</v>
      </c>
    </row>
    <row r="217" spans="1:10">
      <c r="A217" s="45">
        <v>38878</v>
      </c>
      <c r="B217" s="36" t="s">
        <v>30</v>
      </c>
      <c r="C217" s="37">
        <v>143.34</v>
      </c>
      <c r="D217" s="37">
        <v>50.74</v>
      </c>
      <c r="E217" s="37">
        <v>50.34</v>
      </c>
      <c r="F217" s="37">
        <f t="shared" si="15"/>
        <v>92.6</v>
      </c>
      <c r="G217" s="37">
        <f t="shared" si="15"/>
        <v>0.39999999999999858</v>
      </c>
      <c r="H217" s="37">
        <f t="shared" si="18"/>
        <v>399.99999999999858</v>
      </c>
      <c r="I217" s="37">
        <f t="shared" si="17"/>
        <v>9.2599999999999988E-2</v>
      </c>
      <c r="J217" s="52">
        <f t="shared" si="16"/>
        <v>4319.6544276457735</v>
      </c>
    </row>
    <row r="218" spans="1:10">
      <c r="A218" s="43"/>
      <c r="B218" s="36" t="s">
        <v>31</v>
      </c>
      <c r="C218" s="37">
        <v>146.36000000000001</v>
      </c>
      <c r="D218" s="37">
        <v>50.41</v>
      </c>
      <c r="E218" s="37">
        <v>50.02</v>
      </c>
      <c r="F218" s="37">
        <f t="shared" si="15"/>
        <v>95.950000000000017</v>
      </c>
      <c r="G218" s="37">
        <f t="shared" si="15"/>
        <v>0.38999999999999346</v>
      </c>
      <c r="H218" s="37">
        <f t="shared" si="18"/>
        <v>389.99999999999346</v>
      </c>
      <c r="I218" s="37">
        <f t="shared" si="17"/>
        <v>9.5950000000000021E-2</v>
      </c>
      <c r="J218" s="52">
        <f t="shared" si="16"/>
        <v>4064.6169880145221</v>
      </c>
    </row>
    <row r="219" spans="1:10">
      <c r="A219" s="45">
        <v>38881</v>
      </c>
      <c r="B219" s="36" t="s">
        <v>30</v>
      </c>
      <c r="C219" s="37">
        <v>144.12</v>
      </c>
      <c r="D219" s="37">
        <v>50.09</v>
      </c>
      <c r="E219" s="40">
        <v>49.6</v>
      </c>
      <c r="F219" s="37">
        <f t="shared" si="15"/>
        <v>94.03</v>
      </c>
      <c r="G219" s="37">
        <f t="shared" si="15"/>
        <v>0.49000000000000199</v>
      </c>
      <c r="H219" s="37">
        <f t="shared" si="18"/>
        <v>490.00000000000199</v>
      </c>
      <c r="I219" s="37">
        <f t="shared" si="17"/>
        <v>9.4030000000000002E-2</v>
      </c>
      <c r="J219" s="52">
        <f t="shared" si="16"/>
        <v>5211.1028395193234</v>
      </c>
    </row>
    <row r="220" spans="1:10">
      <c r="A220" s="43"/>
      <c r="B220" s="36" t="s">
        <v>31</v>
      </c>
      <c r="C220" s="37">
        <v>139.47999999999999</v>
      </c>
      <c r="D220" s="37">
        <v>51.16</v>
      </c>
      <c r="E220" s="40">
        <v>50.75</v>
      </c>
      <c r="F220" s="37">
        <f>C220-D220</f>
        <v>88.32</v>
      </c>
      <c r="G220" s="37">
        <f>D220-E220</f>
        <v>0.40999999999999659</v>
      </c>
      <c r="H220" s="37">
        <f t="shared" si="18"/>
        <v>409.99999999999659</v>
      </c>
      <c r="I220" s="37">
        <f t="shared" si="17"/>
        <v>8.8319999999999996E-2</v>
      </c>
      <c r="J220" s="52">
        <f t="shared" si="16"/>
        <v>4642.2101449274978</v>
      </c>
    </row>
    <row r="221" spans="1:10">
      <c r="A221" s="45">
        <v>38883</v>
      </c>
      <c r="B221" s="36" t="s">
        <v>30</v>
      </c>
      <c r="C221" s="37">
        <v>143.5</v>
      </c>
      <c r="D221" s="37">
        <v>50.47</v>
      </c>
      <c r="E221" s="102">
        <v>50.06</v>
      </c>
      <c r="F221" s="37">
        <f t="shared" ref="F221:G263" si="19">C221-D221</f>
        <v>93.03</v>
      </c>
      <c r="G221" s="37">
        <f t="shared" si="19"/>
        <v>0.40999999999999659</v>
      </c>
      <c r="H221" s="37">
        <f t="shared" si="18"/>
        <v>409.99999999999659</v>
      </c>
      <c r="I221" s="37">
        <f t="shared" ref="I221:I298" si="20">F221/1000</f>
        <v>9.3030000000000002E-2</v>
      </c>
      <c r="J221" s="52">
        <f t="shared" ref="J221:J339" si="21">H221/I221</f>
        <v>4407.1804794152058</v>
      </c>
    </row>
    <row r="222" spans="1:10">
      <c r="A222" s="43"/>
      <c r="B222" s="36" t="s">
        <v>31</v>
      </c>
      <c r="C222" s="37">
        <v>141.4</v>
      </c>
      <c r="D222" s="37">
        <v>50.69</v>
      </c>
      <c r="E222" s="102">
        <v>50.3</v>
      </c>
      <c r="F222" s="37">
        <f t="shared" si="19"/>
        <v>90.710000000000008</v>
      </c>
      <c r="G222" s="37">
        <f t="shared" si="19"/>
        <v>0.39000000000000057</v>
      </c>
      <c r="H222" s="37">
        <f t="shared" si="18"/>
        <v>390.00000000000057</v>
      </c>
      <c r="I222" s="37">
        <f t="shared" si="20"/>
        <v>9.0710000000000013E-2</v>
      </c>
      <c r="J222" s="52">
        <f t="shared" si="21"/>
        <v>4299.4157204277426</v>
      </c>
    </row>
    <row r="223" spans="1:10">
      <c r="A223" s="45">
        <v>38885</v>
      </c>
      <c r="B223" s="36" t="s">
        <v>30</v>
      </c>
      <c r="C223" s="37">
        <v>142.69999999999999</v>
      </c>
      <c r="D223" s="37">
        <v>50.38</v>
      </c>
      <c r="E223" s="102">
        <v>50.08</v>
      </c>
      <c r="F223" s="37">
        <f t="shared" si="19"/>
        <v>92.32</v>
      </c>
      <c r="G223" s="37">
        <f t="shared" si="19"/>
        <v>0.30000000000000426</v>
      </c>
      <c r="H223" s="37">
        <f t="shared" si="18"/>
        <v>300.00000000000426</v>
      </c>
      <c r="I223" s="37">
        <f t="shared" si="20"/>
        <v>9.2319999999999999E-2</v>
      </c>
      <c r="J223" s="52">
        <f t="shared" si="21"/>
        <v>3249.5667244367878</v>
      </c>
    </row>
    <row r="224" spans="1:10">
      <c r="A224" s="43"/>
      <c r="B224" s="36" t="s">
        <v>31</v>
      </c>
      <c r="C224" s="37">
        <v>135.84</v>
      </c>
      <c r="D224" s="37">
        <v>51.17</v>
      </c>
      <c r="E224" s="40">
        <v>50.75</v>
      </c>
      <c r="F224" s="37">
        <f t="shared" si="19"/>
        <v>84.67</v>
      </c>
      <c r="G224" s="37">
        <f t="shared" si="19"/>
        <v>0.42000000000000171</v>
      </c>
      <c r="H224" s="37">
        <f t="shared" si="18"/>
        <v>420.00000000000171</v>
      </c>
      <c r="I224" s="37">
        <f t="shared" si="20"/>
        <v>8.4669999999999995E-2</v>
      </c>
      <c r="J224" s="52">
        <f t="shared" si="21"/>
        <v>4960.4346285579513</v>
      </c>
    </row>
    <row r="225" spans="1:10">
      <c r="A225" s="45">
        <v>38888</v>
      </c>
      <c r="B225" s="36" t="s">
        <v>30</v>
      </c>
      <c r="C225" s="37">
        <v>143.30000000000001</v>
      </c>
      <c r="D225" s="37">
        <v>50.85</v>
      </c>
      <c r="E225" s="37">
        <v>50.54</v>
      </c>
      <c r="F225" s="37">
        <f t="shared" si="19"/>
        <v>92.450000000000017</v>
      </c>
      <c r="G225" s="37">
        <f t="shared" si="19"/>
        <v>0.31000000000000227</v>
      </c>
      <c r="H225" s="37">
        <f t="shared" si="18"/>
        <v>310.00000000000227</v>
      </c>
      <c r="I225" s="37">
        <f t="shared" si="20"/>
        <v>9.2450000000000018E-2</v>
      </c>
      <c r="J225" s="52">
        <f t="shared" si="21"/>
        <v>3353.1638723634637</v>
      </c>
    </row>
    <row r="226" spans="1:10">
      <c r="A226" s="43"/>
      <c r="B226" s="36" t="s">
        <v>31</v>
      </c>
      <c r="C226" s="37">
        <v>138.72</v>
      </c>
      <c r="D226" s="37">
        <v>50.39</v>
      </c>
      <c r="E226" s="37">
        <v>50.24</v>
      </c>
      <c r="F226" s="37">
        <f t="shared" si="19"/>
        <v>88.33</v>
      </c>
      <c r="G226" s="37">
        <f t="shared" si="19"/>
        <v>0.14999999999999858</v>
      </c>
      <c r="H226" s="37">
        <f t="shared" si="18"/>
        <v>149.99999999999858</v>
      </c>
      <c r="I226" s="37">
        <f t="shared" si="20"/>
        <v>8.8329999999999992E-2</v>
      </c>
      <c r="J226" s="52">
        <f t="shared" si="21"/>
        <v>1698.1772897090298</v>
      </c>
    </row>
    <row r="227" spans="1:10">
      <c r="A227" s="45">
        <v>38890</v>
      </c>
      <c r="B227" s="36" t="s">
        <v>30</v>
      </c>
      <c r="C227" s="37">
        <v>154.63</v>
      </c>
      <c r="D227" s="37">
        <v>63.46</v>
      </c>
      <c r="E227" s="37">
        <v>63.1</v>
      </c>
      <c r="F227" s="37">
        <f t="shared" si="19"/>
        <v>91.169999999999987</v>
      </c>
      <c r="G227" s="37">
        <f t="shared" si="19"/>
        <v>0.35999999999999943</v>
      </c>
      <c r="H227" s="37">
        <f t="shared" si="18"/>
        <v>359.99999999999943</v>
      </c>
      <c r="I227" s="37">
        <f t="shared" si="20"/>
        <v>9.1169999999999987E-2</v>
      </c>
      <c r="J227" s="52">
        <f t="shared" si="21"/>
        <v>3948.6673247778817</v>
      </c>
    </row>
    <row r="228" spans="1:10">
      <c r="A228" s="45"/>
      <c r="B228" s="36" t="s">
        <v>31</v>
      </c>
      <c r="C228" s="37">
        <v>144.13</v>
      </c>
      <c r="D228" s="37">
        <v>50.2</v>
      </c>
      <c r="E228" s="37">
        <v>49.79</v>
      </c>
      <c r="F228" s="37">
        <f t="shared" si="19"/>
        <v>93.929999999999993</v>
      </c>
      <c r="G228" s="37">
        <f t="shared" si="19"/>
        <v>0.41000000000000369</v>
      </c>
      <c r="H228" s="37">
        <f t="shared" si="18"/>
        <v>410.00000000000369</v>
      </c>
      <c r="I228" s="37">
        <f t="shared" si="20"/>
        <v>9.3929999999999986E-2</v>
      </c>
      <c r="J228" s="52">
        <f t="shared" si="21"/>
        <v>4364.9526242947277</v>
      </c>
    </row>
    <row r="229" spans="1:10">
      <c r="A229" s="45">
        <v>38892</v>
      </c>
      <c r="B229" s="36" t="s">
        <v>30</v>
      </c>
      <c r="C229" s="37">
        <v>137.96</v>
      </c>
      <c r="D229" s="37">
        <v>50.23</v>
      </c>
      <c r="E229" s="37">
        <v>50.05</v>
      </c>
      <c r="F229" s="37">
        <f t="shared" si="19"/>
        <v>87.730000000000018</v>
      </c>
      <c r="G229" s="37">
        <f t="shared" si="19"/>
        <v>0.17999999999999972</v>
      </c>
      <c r="H229" s="37">
        <f t="shared" si="18"/>
        <v>179.99999999999972</v>
      </c>
      <c r="I229" s="37">
        <f t="shared" si="20"/>
        <v>8.7730000000000016E-2</v>
      </c>
      <c r="J229" s="37">
        <f t="shared" si="21"/>
        <v>2051.7496865382386</v>
      </c>
    </row>
    <row r="230" spans="1:10">
      <c r="A230" s="43"/>
      <c r="B230" s="36" t="s">
        <v>31</v>
      </c>
      <c r="C230" s="37">
        <v>136.18</v>
      </c>
      <c r="D230" s="37">
        <v>50.48</v>
      </c>
      <c r="E230" s="37">
        <v>50.42</v>
      </c>
      <c r="F230" s="37">
        <f t="shared" si="19"/>
        <v>85.700000000000017</v>
      </c>
      <c r="G230" s="37">
        <f t="shared" si="19"/>
        <v>5.9999999999995168E-2</v>
      </c>
      <c r="H230" s="37">
        <f t="shared" si="18"/>
        <v>59.999999999995168</v>
      </c>
      <c r="I230" s="37">
        <f t="shared" si="20"/>
        <v>8.5700000000000012E-2</v>
      </c>
      <c r="J230" s="37">
        <f t="shared" si="21"/>
        <v>700.11668611429593</v>
      </c>
    </row>
    <row r="231" spans="1:10">
      <c r="A231" s="45">
        <v>38895</v>
      </c>
      <c r="B231" s="36" t="s">
        <v>30</v>
      </c>
      <c r="C231" s="37">
        <v>135.68</v>
      </c>
      <c r="D231" s="37">
        <v>50.38</v>
      </c>
      <c r="E231" s="37">
        <v>50.13</v>
      </c>
      <c r="F231" s="37">
        <f t="shared" si="19"/>
        <v>85.300000000000011</v>
      </c>
      <c r="G231" s="37">
        <f t="shared" si="19"/>
        <v>0.25</v>
      </c>
      <c r="H231" s="37">
        <f t="shared" si="18"/>
        <v>250</v>
      </c>
      <c r="I231" s="37">
        <f t="shared" si="20"/>
        <v>8.5300000000000015E-2</v>
      </c>
      <c r="J231" s="37">
        <f t="shared" si="21"/>
        <v>2930.8323563892141</v>
      </c>
    </row>
    <row r="232" spans="1:10">
      <c r="A232" s="43"/>
      <c r="B232" s="36" t="s">
        <v>31</v>
      </c>
      <c r="C232" s="37">
        <v>137.38999999999999</v>
      </c>
      <c r="D232" s="37">
        <v>51.19</v>
      </c>
      <c r="E232" s="37">
        <v>50.98</v>
      </c>
      <c r="F232" s="37">
        <f t="shared" si="19"/>
        <v>86.199999999999989</v>
      </c>
      <c r="G232" s="37">
        <f t="shared" si="19"/>
        <v>0.21000000000000085</v>
      </c>
      <c r="H232" s="37">
        <f t="shared" si="18"/>
        <v>210.00000000000085</v>
      </c>
      <c r="I232" s="37">
        <f t="shared" si="20"/>
        <v>8.6199999999999985E-2</v>
      </c>
      <c r="J232" s="37">
        <f t="shared" si="21"/>
        <v>2436.1948955916578</v>
      </c>
    </row>
    <row r="233" spans="1:10">
      <c r="A233" s="45">
        <v>38897</v>
      </c>
      <c r="B233" s="36" t="s">
        <v>30</v>
      </c>
      <c r="C233" s="37">
        <v>139.72999999999999</v>
      </c>
      <c r="D233" s="37">
        <v>50.06</v>
      </c>
      <c r="E233" s="37">
        <v>49.61</v>
      </c>
      <c r="F233" s="37">
        <f t="shared" si="19"/>
        <v>89.669999999999987</v>
      </c>
      <c r="G233" s="37">
        <f t="shared" si="19"/>
        <v>0.45000000000000284</v>
      </c>
      <c r="H233" s="37">
        <f t="shared" ref="H233:H339" si="22">G233*1000</f>
        <v>450.00000000000284</v>
      </c>
      <c r="I233" s="37">
        <f t="shared" si="20"/>
        <v>8.9669999999999986E-2</v>
      </c>
      <c r="J233" s="37">
        <f t="shared" si="21"/>
        <v>5018.4008029441611</v>
      </c>
    </row>
    <row r="234" spans="1:10">
      <c r="A234" s="43"/>
      <c r="B234" s="36" t="s">
        <v>31</v>
      </c>
      <c r="C234" s="37">
        <v>139.66999999999999</v>
      </c>
      <c r="D234" s="37">
        <v>50.5</v>
      </c>
      <c r="E234" s="37">
        <v>50</v>
      </c>
      <c r="F234" s="37">
        <f t="shared" si="19"/>
        <v>89.169999999999987</v>
      </c>
      <c r="G234" s="37">
        <f t="shared" si="19"/>
        <v>0.5</v>
      </c>
      <c r="H234" s="37">
        <f t="shared" si="22"/>
        <v>500</v>
      </c>
      <c r="I234" s="37">
        <f t="shared" si="20"/>
        <v>8.9169999999999985E-2</v>
      </c>
      <c r="J234" s="37">
        <f t="shared" si="21"/>
        <v>5607.2670180554005</v>
      </c>
    </row>
    <row r="235" spans="1:10">
      <c r="A235" s="45">
        <v>38900</v>
      </c>
      <c r="B235" s="36" t="s">
        <v>30</v>
      </c>
      <c r="C235" s="37">
        <v>150.80000000000001</v>
      </c>
      <c r="D235" s="37">
        <v>51.36</v>
      </c>
      <c r="E235" s="37">
        <v>50.84</v>
      </c>
      <c r="F235" s="37">
        <f t="shared" si="19"/>
        <v>99.440000000000012</v>
      </c>
      <c r="G235" s="37">
        <f t="shared" si="19"/>
        <v>0.51999999999999602</v>
      </c>
      <c r="H235" s="37">
        <f t="shared" si="22"/>
        <v>519.99999999999602</v>
      </c>
      <c r="I235" s="37">
        <f t="shared" si="20"/>
        <v>9.9440000000000014E-2</v>
      </c>
      <c r="J235" s="52">
        <f t="shared" si="21"/>
        <v>5229.2839903458962</v>
      </c>
    </row>
    <row r="236" spans="1:10">
      <c r="A236" s="43"/>
      <c r="B236" s="36" t="s">
        <v>31</v>
      </c>
      <c r="C236" s="37">
        <v>145.16999999999999</v>
      </c>
      <c r="D236" s="37">
        <v>50.36</v>
      </c>
      <c r="E236" s="37">
        <v>49.91</v>
      </c>
      <c r="F236" s="37">
        <f t="shared" si="19"/>
        <v>94.809999999999988</v>
      </c>
      <c r="G236" s="37">
        <f t="shared" si="19"/>
        <v>0.45000000000000284</v>
      </c>
      <c r="H236" s="37">
        <f t="shared" si="22"/>
        <v>450.00000000000284</v>
      </c>
      <c r="I236" s="37">
        <f t="shared" si="20"/>
        <v>9.4809999999999992E-2</v>
      </c>
      <c r="J236" s="52">
        <f t="shared" si="21"/>
        <v>4746.3347748128135</v>
      </c>
    </row>
    <row r="237" spans="1:10">
      <c r="A237" s="45">
        <v>38902</v>
      </c>
      <c r="B237" s="36" t="s">
        <v>30</v>
      </c>
      <c r="C237" s="37">
        <v>142.1</v>
      </c>
      <c r="D237" s="37">
        <v>50.05</v>
      </c>
      <c r="E237" s="37">
        <v>49.6</v>
      </c>
      <c r="F237" s="37">
        <f>C237-D237</f>
        <v>92.05</v>
      </c>
      <c r="G237" s="37">
        <f t="shared" si="19"/>
        <v>0.44999999999999574</v>
      </c>
      <c r="H237" s="37">
        <f t="shared" si="22"/>
        <v>449.99999999999574</v>
      </c>
      <c r="I237" s="37">
        <f t="shared" si="20"/>
        <v>9.2049999999999993E-2</v>
      </c>
      <c r="J237" s="52">
        <f t="shared" si="21"/>
        <v>4888.6474741987595</v>
      </c>
    </row>
    <row r="238" spans="1:10">
      <c r="A238" s="43"/>
      <c r="B238" s="36" t="s">
        <v>31</v>
      </c>
      <c r="C238" s="37">
        <v>139.69</v>
      </c>
      <c r="D238" s="37">
        <v>50.41</v>
      </c>
      <c r="E238" s="37">
        <v>50.01</v>
      </c>
      <c r="F238" s="37">
        <f t="shared" si="19"/>
        <v>89.28</v>
      </c>
      <c r="G238" s="37">
        <f t="shared" si="19"/>
        <v>0.39999999999999858</v>
      </c>
      <c r="H238" s="37">
        <f t="shared" si="22"/>
        <v>399.99999999999858</v>
      </c>
      <c r="I238" s="37">
        <f t="shared" si="20"/>
        <v>8.9279999999999998E-2</v>
      </c>
      <c r="J238" s="52">
        <f t="shared" si="21"/>
        <v>4480.2867383512385</v>
      </c>
    </row>
    <row r="239" spans="1:10">
      <c r="A239" s="45">
        <v>38904</v>
      </c>
      <c r="B239" s="36" t="s">
        <v>30</v>
      </c>
      <c r="C239" s="37">
        <v>133.61000000000001</v>
      </c>
      <c r="D239" s="37">
        <v>50.38</v>
      </c>
      <c r="E239" s="37">
        <v>49.99</v>
      </c>
      <c r="F239" s="37">
        <f t="shared" si="19"/>
        <v>83.230000000000018</v>
      </c>
      <c r="G239" s="37">
        <f t="shared" si="19"/>
        <v>0.39000000000000057</v>
      </c>
      <c r="H239" s="37">
        <f t="shared" si="22"/>
        <v>390.00000000000057</v>
      </c>
      <c r="I239" s="37">
        <f t="shared" si="20"/>
        <v>8.3230000000000012E-2</v>
      </c>
      <c r="J239" s="52">
        <f t="shared" si="21"/>
        <v>4685.8104049020849</v>
      </c>
    </row>
    <row r="240" spans="1:10">
      <c r="A240" s="43"/>
      <c r="B240" s="36" t="s">
        <v>31</v>
      </c>
      <c r="C240" s="37">
        <v>146.38999999999999</v>
      </c>
      <c r="D240" s="37">
        <v>50.22</v>
      </c>
      <c r="E240" s="37">
        <v>49.77</v>
      </c>
      <c r="F240" s="37">
        <f t="shared" si="19"/>
        <v>96.169999999999987</v>
      </c>
      <c r="G240" s="37">
        <f t="shared" si="19"/>
        <v>0.44999999999999574</v>
      </c>
      <c r="H240" s="37">
        <f t="shared" si="22"/>
        <v>449.99999999999574</v>
      </c>
      <c r="I240" s="37">
        <f t="shared" si="20"/>
        <v>9.6169999999999992E-2</v>
      </c>
      <c r="J240" s="52">
        <f t="shared" si="21"/>
        <v>4679.2138920660891</v>
      </c>
    </row>
    <row r="241" spans="1:10">
      <c r="A241" s="45">
        <v>38906</v>
      </c>
      <c r="B241" s="36" t="s">
        <v>30</v>
      </c>
      <c r="C241" s="37">
        <v>141.75</v>
      </c>
      <c r="D241" s="37">
        <v>50.4</v>
      </c>
      <c r="E241" s="37">
        <v>49.86</v>
      </c>
      <c r="F241" s="37">
        <f t="shared" si="19"/>
        <v>91.35</v>
      </c>
      <c r="G241" s="37">
        <f t="shared" si="19"/>
        <v>0.53999999999999915</v>
      </c>
      <c r="H241" s="37">
        <f t="shared" si="22"/>
        <v>539.99999999999909</v>
      </c>
      <c r="I241" s="37">
        <f t="shared" si="20"/>
        <v>9.1350000000000001E-2</v>
      </c>
      <c r="J241" s="52">
        <f t="shared" si="21"/>
        <v>5911.3300492610733</v>
      </c>
    </row>
    <row r="242" spans="1:10">
      <c r="A242" s="43"/>
      <c r="B242" s="36" t="s">
        <v>31</v>
      </c>
      <c r="C242" s="37">
        <v>146.32</v>
      </c>
      <c r="D242" s="37">
        <v>50.8</v>
      </c>
      <c r="E242" s="37">
        <v>49.56</v>
      </c>
      <c r="F242" s="37">
        <f t="shared" si="19"/>
        <v>95.52</v>
      </c>
      <c r="G242" s="37">
        <f t="shared" si="19"/>
        <v>1.2399999999999949</v>
      </c>
      <c r="H242" s="37">
        <f t="shared" si="22"/>
        <v>1239.999999999995</v>
      </c>
      <c r="I242" s="37">
        <f t="shared" si="20"/>
        <v>9.5519999999999994E-2</v>
      </c>
      <c r="J242" s="52">
        <f t="shared" si="21"/>
        <v>12981.574539363433</v>
      </c>
    </row>
    <row r="243" spans="1:10">
      <c r="A243" s="45">
        <v>38909</v>
      </c>
      <c r="B243" s="36" t="s">
        <v>30</v>
      </c>
      <c r="C243" s="37">
        <v>139.71</v>
      </c>
      <c r="D243" s="37">
        <v>51.26</v>
      </c>
      <c r="E243" s="37">
        <v>50.76</v>
      </c>
      <c r="F243" s="37">
        <f t="shared" si="19"/>
        <v>88.450000000000017</v>
      </c>
      <c r="G243" s="37">
        <f t="shared" si="19"/>
        <v>0.5</v>
      </c>
      <c r="H243" s="37">
        <f t="shared" si="22"/>
        <v>500</v>
      </c>
      <c r="I243" s="37">
        <f t="shared" si="20"/>
        <v>8.8450000000000015E-2</v>
      </c>
      <c r="J243" s="52">
        <f t="shared" si="21"/>
        <v>5652.9112492933855</v>
      </c>
    </row>
    <row r="244" spans="1:10">
      <c r="A244" s="43"/>
      <c r="B244" s="36" t="s">
        <v>31</v>
      </c>
      <c r="C244" s="37">
        <v>136.66</v>
      </c>
      <c r="D244" s="37">
        <v>50.43</v>
      </c>
      <c r="E244" s="37">
        <v>50.2</v>
      </c>
      <c r="F244" s="37">
        <f t="shared" si="19"/>
        <v>86.22999999999999</v>
      </c>
      <c r="G244" s="37">
        <f t="shared" si="19"/>
        <v>0.22999999999999687</v>
      </c>
      <c r="H244" s="37">
        <f t="shared" si="22"/>
        <v>229.99999999999687</v>
      </c>
      <c r="I244" s="37">
        <f t="shared" si="20"/>
        <v>8.6229999999999987E-2</v>
      </c>
      <c r="J244" s="52">
        <f t="shared" si="21"/>
        <v>2667.2851675750539</v>
      </c>
    </row>
    <row r="245" spans="1:10">
      <c r="A245" s="45">
        <v>38911</v>
      </c>
      <c r="B245" s="36" t="s">
        <v>30</v>
      </c>
      <c r="C245" s="37">
        <v>139.71</v>
      </c>
      <c r="D245" s="37">
        <v>49.8</v>
      </c>
      <c r="E245" s="37">
        <v>49.28</v>
      </c>
      <c r="F245" s="37">
        <f t="shared" si="19"/>
        <v>89.910000000000011</v>
      </c>
      <c r="G245" s="37">
        <f t="shared" si="19"/>
        <v>0.51999999999999602</v>
      </c>
      <c r="H245" s="37">
        <f t="shared" si="22"/>
        <v>519.99999999999602</v>
      </c>
      <c r="I245" s="37">
        <f t="shared" si="20"/>
        <v>8.9910000000000018E-2</v>
      </c>
      <c r="J245" s="52">
        <f t="shared" si="21"/>
        <v>5783.561339116849</v>
      </c>
    </row>
    <row r="246" spans="1:10">
      <c r="A246" s="43"/>
      <c r="B246" s="36" t="s">
        <v>31</v>
      </c>
      <c r="C246" s="37">
        <v>136.11000000000001</v>
      </c>
      <c r="D246" s="37">
        <v>49.99</v>
      </c>
      <c r="E246" s="37">
        <v>49.49</v>
      </c>
      <c r="F246" s="37">
        <f t="shared" si="19"/>
        <v>86.12</v>
      </c>
      <c r="G246" s="37">
        <f t="shared" si="19"/>
        <v>0.5</v>
      </c>
      <c r="H246" s="37">
        <f t="shared" si="22"/>
        <v>500</v>
      </c>
      <c r="I246" s="37">
        <f t="shared" si="20"/>
        <v>8.6120000000000002E-2</v>
      </c>
      <c r="J246" s="52">
        <f t="shared" si="21"/>
        <v>5805.8522991175105</v>
      </c>
    </row>
    <row r="247" spans="1:10">
      <c r="A247" s="45">
        <v>38913</v>
      </c>
      <c r="B247" s="36" t="s">
        <v>30</v>
      </c>
      <c r="C247" s="37">
        <v>145</v>
      </c>
      <c r="D247" s="37">
        <v>50.47</v>
      </c>
      <c r="E247" s="37">
        <v>49.93</v>
      </c>
      <c r="F247" s="37">
        <f t="shared" si="19"/>
        <v>94.53</v>
      </c>
      <c r="G247" s="37">
        <f t="shared" si="19"/>
        <v>0.53999999999999915</v>
      </c>
      <c r="H247" s="37">
        <f t="shared" si="22"/>
        <v>539.99999999999909</v>
      </c>
      <c r="I247" s="37">
        <f t="shared" si="20"/>
        <v>9.4530000000000003E-2</v>
      </c>
      <c r="J247" s="52">
        <f t="shared" si="21"/>
        <v>5712.4722310377556</v>
      </c>
    </row>
    <row r="248" spans="1:10">
      <c r="A248" s="43"/>
      <c r="B248" s="36" t="s">
        <v>31</v>
      </c>
      <c r="C248" s="37">
        <v>142.59</v>
      </c>
      <c r="D248" s="37">
        <v>50.49</v>
      </c>
      <c r="E248" s="37">
        <v>50.01</v>
      </c>
      <c r="F248" s="37">
        <f t="shared" si="19"/>
        <v>92.1</v>
      </c>
      <c r="G248" s="37">
        <f t="shared" si="19"/>
        <v>0.48000000000000398</v>
      </c>
      <c r="H248" s="37">
        <f t="shared" si="22"/>
        <v>480.00000000000398</v>
      </c>
      <c r="I248" s="37">
        <f t="shared" si="20"/>
        <v>9.2099999999999987E-2</v>
      </c>
      <c r="J248" s="52">
        <f t="shared" si="21"/>
        <v>5211.7263843648643</v>
      </c>
    </row>
    <row r="249" spans="1:10">
      <c r="A249" s="45">
        <v>38916</v>
      </c>
      <c r="B249" s="36" t="s">
        <v>30</v>
      </c>
      <c r="C249" s="37">
        <v>139.9</v>
      </c>
      <c r="D249" s="37">
        <v>50.24</v>
      </c>
      <c r="E249" s="37">
        <v>49.74</v>
      </c>
      <c r="F249" s="37">
        <f t="shared" si="19"/>
        <v>89.66</v>
      </c>
      <c r="G249" s="37">
        <f t="shared" si="19"/>
        <v>0.5</v>
      </c>
      <c r="H249" s="37">
        <f t="shared" si="22"/>
        <v>500</v>
      </c>
      <c r="I249" s="37">
        <f t="shared" si="20"/>
        <v>8.965999999999999E-2</v>
      </c>
      <c r="J249" s="52">
        <f t="shared" si="21"/>
        <v>5576.6227972339957</v>
      </c>
    </row>
    <row r="250" spans="1:10">
      <c r="A250" s="43"/>
      <c r="B250" s="36" t="s">
        <v>31</v>
      </c>
      <c r="C250" s="37">
        <v>148.1</v>
      </c>
      <c r="D250" s="37">
        <v>50.11</v>
      </c>
      <c r="E250" s="37">
        <v>49.61</v>
      </c>
      <c r="F250" s="37">
        <f t="shared" si="19"/>
        <v>97.99</v>
      </c>
      <c r="G250" s="37">
        <f t="shared" si="19"/>
        <v>0.5</v>
      </c>
      <c r="H250" s="37">
        <f t="shared" si="22"/>
        <v>500</v>
      </c>
      <c r="I250" s="37">
        <f t="shared" si="20"/>
        <v>9.7989999999999994E-2</v>
      </c>
      <c r="J250" s="52">
        <f t="shared" si="21"/>
        <v>5102.5614858659046</v>
      </c>
    </row>
    <row r="251" spans="1:10">
      <c r="A251" s="45">
        <v>38918</v>
      </c>
      <c r="B251" s="36" t="s">
        <v>30</v>
      </c>
      <c r="C251" s="37">
        <v>132.51</v>
      </c>
      <c r="D251" s="37">
        <v>50.49</v>
      </c>
      <c r="E251" s="37">
        <v>50.01</v>
      </c>
      <c r="F251" s="37">
        <f t="shared" si="19"/>
        <v>82.019999999999982</v>
      </c>
      <c r="G251" s="37">
        <f t="shared" si="19"/>
        <v>0.48000000000000398</v>
      </c>
      <c r="H251" s="37">
        <f t="shared" si="22"/>
        <v>480.00000000000398</v>
      </c>
      <c r="I251" s="37">
        <f t="shared" si="20"/>
        <v>8.2019999999999982E-2</v>
      </c>
      <c r="J251" s="52">
        <f t="shared" si="21"/>
        <v>5852.2311631309931</v>
      </c>
    </row>
    <row r="252" spans="1:10">
      <c r="A252" s="43"/>
      <c r="B252" s="36" t="s">
        <v>31</v>
      </c>
      <c r="C252" s="37">
        <v>143.27000000000001</v>
      </c>
      <c r="D252" s="37">
        <v>50.43</v>
      </c>
      <c r="E252" s="37">
        <v>49.93</v>
      </c>
      <c r="F252" s="37">
        <f t="shared" si="19"/>
        <v>92.84</v>
      </c>
      <c r="G252" s="37">
        <f t="shared" si="19"/>
        <v>0.5</v>
      </c>
      <c r="H252" s="37">
        <f t="shared" si="22"/>
        <v>500</v>
      </c>
      <c r="I252" s="37">
        <f t="shared" si="20"/>
        <v>9.2840000000000006E-2</v>
      </c>
      <c r="J252" s="52">
        <f t="shared" si="21"/>
        <v>5385.6096510124944</v>
      </c>
    </row>
    <row r="253" spans="1:10">
      <c r="A253" s="45">
        <v>38920</v>
      </c>
      <c r="B253" s="36" t="s">
        <v>30</v>
      </c>
      <c r="C253" s="37">
        <v>135.77000000000001</v>
      </c>
      <c r="D253" s="37">
        <v>51.26</v>
      </c>
      <c r="E253" s="37">
        <v>50.76</v>
      </c>
      <c r="F253" s="37">
        <f t="shared" si="19"/>
        <v>84.510000000000019</v>
      </c>
      <c r="G253" s="37">
        <f t="shared" si="19"/>
        <v>0.5</v>
      </c>
      <c r="H253" s="37">
        <f t="shared" si="22"/>
        <v>500</v>
      </c>
      <c r="I253" s="37">
        <f t="shared" si="20"/>
        <v>8.4510000000000016E-2</v>
      </c>
      <c r="J253" s="52">
        <f t="shared" si="21"/>
        <v>5916.4595905809956</v>
      </c>
    </row>
    <row r="254" spans="1:10">
      <c r="A254" s="43"/>
      <c r="B254" s="36" t="s">
        <v>31</v>
      </c>
      <c r="C254" s="37">
        <v>135.41999999999999</v>
      </c>
      <c r="D254" s="37">
        <v>50.34</v>
      </c>
      <c r="E254" s="37">
        <v>49.88</v>
      </c>
      <c r="F254" s="37">
        <f t="shared" si="19"/>
        <v>85.079999999999984</v>
      </c>
      <c r="G254" s="37">
        <f t="shared" si="19"/>
        <v>0.46000000000000085</v>
      </c>
      <c r="H254" s="37">
        <f t="shared" si="22"/>
        <v>460.00000000000085</v>
      </c>
      <c r="I254" s="37">
        <f t="shared" si="20"/>
        <v>8.5079999999999989E-2</v>
      </c>
      <c r="J254" s="52">
        <f t="shared" si="21"/>
        <v>5406.676069581581</v>
      </c>
    </row>
    <row r="255" spans="1:10">
      <c r="A255" s="45">
        <v>38923</v>
      </c>
      <c r="B255" s="36" t="s">
        <v>30</v>
      </c>
      <c r="C255" s="37">
        <v>143.94999999999999</v>
      </c>
      <c r="D255" s="37">
        <v>50.15</v>
      </c>
      <c r="E255" s="37">
        <v>49.67</v>
      </c>
      <c r="F255" s="37">
        <f t="shared" si="19"/>
        <v>93.799999999999983</v>
      </c>
      <c r="G255" s="37">
        <f t="shared" si="19"/>
        <v>0.47999999999999687</v>
      </c>
      <c r="H255" s="37">
        <f t="shared" si="22"/>
        <v>479.99999999999687</v>
      </c>
      <c r="I255" s="37">
        <f t="shared" si="20"/>
        <v>9.3799999999999981E-2</v>
      </c>
      <c r="J255" s="52">
        <f t="shared" si="21"/>
        <v>5117.2707889125477</v>
      </c>
    </row>
    <row r="256" spans="1:10">
      <c r="A256" s="43"/>
      <c r="B256" s="36" t="s">
        <v>31</v>
      </c>
      <c r="C256" s="37">
        <v>137.11000000000001</v>
      </c>
      <c r="D256" s="37">
        <v>50.19</v>
      </c>
      <c r="E256" s="37">
        <v>49.82</v>
      </c>
      <c r="F256" s="37">
        <f t="shared" si="19"/>
        <v>86.920000000000016</v>
      </c>
      <c r="G256" s="37">
        <f t="shared" si="19"/>
        <v>0.36999999999999744</v>
      </c>
      <c r="H256" s="37">
        <f t="shared" si="22"/>
        <v>369.99999999999744</v>
      </c>
      <c r="I256" s="37">
        <f t="shared" si="20"/>
        <v>8.6920000000000011E-2</v>
      </c>
      <c r="J256" s="52">
        <f t="shared" si="21"/>
        <v>4256.7878508973472</v>
      </c>
    </row>
    <row r="257" spans="1:10">
      <c r="A257" s="45">
        <v>38927</v>
      </c>
      <c r="B257" s="36" t="s">
        <v>30</v>
      </c>
      <c r="C257" s="37">
        <v>142.13999999999999</v>
      </c>
      <c r="D257" s="37">
        <v>50.43</v>
      </c>
      <c r="E257" s="37">
        <v>49.88</v>
      </c>
      <c r="F257" s="37">
        <f t="shared" si="19"/>
        <v>91.70999999999998</v>
      </c>
      <c r="G257" s="37">
        <f t="shared" si="19"/>
        <v>0.54999999999999716</v>
      </c>
      <c r="H257" s="37">
        <f t="shared" si="22"/>
        <v>549.99999999999716</v>
      </c>
      <c r="I257" s="37">
        <f t="shared" si="20"/>
        <v>9.1709999999999986E-2</v>
      </c>
      <c r="J257" s="52">
        <f t="shared" si="21"/>
        <v>5997.1649765565071</v>
      </c>
    </row>
    <row r="258" spans="1:10">
      <c r="A258" s="43"/>
      <c r="B258" s="36" t="s">
        <v>31</v>
      </c>
      <c r="C258" s="37">
        <v>134.51</v>
      </c>
      <c r="D258" s="37">
        <v>51.18</v>
      </c>
      <c r="E258" s="37">
        <v>50.75</v>
      </c>
      <c r="F258" s="37">
        <f t="shared" si="19"/>
        <v>83.329999999999984</v>
      </c>
      <c r="G258" s="37">
        <f t="shared" si="19"/>
        <v>0.42999999999999972</v>
      </c>
      <c r="H258" s="37">
        <f t="shared" si="22"/>
        <v>429.99999999999972</v>
      </c>
      <c r="I258" s="37">
        <f t="shared" si="20"/>
        <v>8.3329999999999987E-2</v>
      </c>
      <c r="J258" s="52">
        <f t="shared" si="21"/>
        <v>5160.2064082563274</v>
      </c>
    </row>
    <row r="259" spans="1:10">
      <c r="A259" s="45">
        <v>38930</v>
      </c>
      <c r="B259" s="36" t="s">
        <v>30</v>
      </c>
      <c r="C259" s="37">
        <v>138.88</v>
      </c>
      <c r="D259" s="37">
        <v>50.47</v>
      </c>
      <c r="E259" s="37">
        <v>49.93</v>
      </c>
      <c r="F259" s="37">
        <f t="shared" si="19"/>
        <v>88.41</v>
      </c>
      <c r="G259" s="37">
        <f t="shared" si="19"/>
        <v>0.53999999999999915</v>
      </c>
      <c r="H259" s="37">
        <f t="shared" si="22"/>
        <v>539.99999999999909</v>
      </c>
      <c r="I259" s="37">
        <f t="shared" si="20"/>
        <v>8.8410000000000002E-2</v>
      </c>
      <c r="J259" s="52">
        <f t="shared" si="21"/>
        <v>6107.9063454360266</v>
      </c>
    </row>
    <row r="260" spans="1:10">
      <c r="A260" s="43"/>
      <c r="B260" s="36" t="s">
        <v>31</v>
      </c>
      <c r="C260" s="37">
        <v>130.69</v>
      </c>
      <c r="D260" s="37">
        <v>50.42</v>
      </c>
      <c r="E260" s="37">
        <v>50</v>
      </c>
      <c r="F260" s="37">
        <f t="shared" si="19"/>
        <v>80.27</v>
      </c>
      <c r="G260" s="37">
        <f t="shared" si="19"/>
        <v>0.42000000000000171</v>
      </c>
      <c r="H260" s="37">
        <f t="shared" si="22"/>
        <v>420.00000000000171</v>
      </c>
      <c r="I260" s="37">
        <f t="shared" si="20"/>
        <v>8.0269999999999994E-2</v>
      </c>
      <c r="J260" s="52">
        <f t="shared" si="21"/>
        <v>5232.3408496325119</v>
      </c>
    </row>
    <row r="261" spans="1:10">
      <c r="A261" s="45">
        <v>38932</v>
      </c>
      <c r="B261" s="36" t="s">
        <v>30</v>
      </c>
      <c r="C261" s="37">
        <v>137.36000000000001</v>
      </c>
      <c r="D261" s="37">
        <v>50.41</v>
      </c>
      <c r="E261" s="37">
        <v>49.88</v>
      </c>
      <c r="F261" s="37">
        <f t="shared" si="19"/>
        <v>86.950000000000017</v>
      </c>
      <c r="G261" s="37">
        <f t="shared" si="19"/>
        <v>0.52999999999999403</v>
      </c>
      <c r="H261" s="37">
        <f t="shared" si="22"/>
        <v>529.99999999999409</v>
      </c>
      <c r="I261" s="37">
        <f t="shared" si="20"/>
        <v>8.6950000000000013E-2</v>
      </c>
      <c r="J261" s="52">
        <f t="shared" si="21"/>
        <v>6095.4571592868779</v>
      </c>
    </row>
    <row r="262" spans="1:10">
      <c r="A262" s="43"/>
      <c r="B262" s="36" t="s">
        <v>31</v>
      </c>
      <c r="C262" s="37">
        <v>135.56</v>
      </c>
      <c r="D262" s="37">
        <v>50.21</v>
      </c>
      <c r="E262" s="37">
        <v>49.73</v>
      </c>
      <c r="F262" s="37">
        <f t="shared" si="19"/>
        <v>85.35</v>
      </c>
      <c r="G262" s="37">
        <f t="shared" si="19"/>
        <v>0.48000000000000398</v>
      </c>
      <c r="H262" s="37">
        <f t="shared" si="22"/>
        <v>480.00000000000398</v>
      </c>
      <c r="I262" s="37">
        <f t="shared" si="20"/>
        <v>8.5349999999999995E-2</v>
      </c>
      <c r="J262" s="52">
        <f t="shared" si="21"/>
        <v>5623.9015817223672</v>
      </c>
    </row>
    <row r="263" spans="1:10">
      <c r="A263" s="45">
        <v>38934</v>
      </c>
      <c r="B263" s="36" t="s">
        <v>30</v>
      </c>
      <c r="C263" s="37">
        <v>139.44</v>
      </c>
      <c r="D263" s="37">
        <v>50.08</v>
      </c>
      <c r="E263" s="37">
        <v>49.53</v>
      </c>
      <c r="F263" s="37">
        <f t="shared" si="19"/>
        <v>89.36</v>
      </c>
      <c r="G263" s="37">
        <f t="shared" si="19"/>
        <v>0.54999999999999716</v>
      </c>
      <c r="H263" s="37">
        <f t="shared" si="22"/>
        <v>549.99999999999716</v>
      </c>
      <c r="I263" s="37">
        <f t="shared" si="20"/>
        <v>8.9359999999999995E-2</v>
      </c>
      <c r="J263" s="52">
        <f t="shared" si="21"/>
        <v>6154.8791405550264</v>
      </c>
    </row>
    <row r="264" spans="1:10">
      <c r="A264" s="43"/>
      <c r="B264" s="36" t="s">
        <v>31</v>
      </c>
      <c r="C264" s="37">
        <v>129.62</v>
      </c>
      <c r="D264" s="37">
        <v>50.42</v>
      </c>
      <c r="E264" s="37">
        <v>50</v>
      </c>
      <c r="F264" s="37">
        <f t="shared" ref="F264:G338" si="23">C264-D264</f>
        <v>79.2</v>
      </c>
      <c r="G264" s="37">
        <f t="shared" si="23"/>
        <v>0.42000000000000171</v>
      </c>
      <c r="H264" s="37">
        <f t="shared" si="22"/>
        <v>420.00000000000171</v>
      </c>
      <c r="I264" s="37">
        <f t="shared" si="20"/>
        <v>7.9200000000000007E-2</v>
      </c>
      <c r="J264" s="52">
        <f t="shared" si="21"/>
        <v>5303.0303030303239</v>
      </c>
    </row>
    <row r="265" spans="1:10">
      <c r="A265" s="45">
        <v>38937</v>
      </c>
      <c r="B265" s="36" t="s">
        <v>30</v>
      </c>
      <c r="C265" s="37">
        <v>140.41999999999999</v>
      </c>
      <c r="D265" s="37">
        <v>51.3</v>
      </c>
      <c r="E265" s="37">
        <v>50.75</v>
      </c>
      <c r="F265" s="37">
        <f t="shared" si="23"/>
        <v>89.11999999999999</v>
      </c>
      <c r="G265" s="37">
        <f t="shared" si="23"/>
        <v>0.54999999999999716</v>
      </c>
      <c r="H265" s="37">
        <f t="shared" si="22"/>
        <v>549.99999999999716</v>
      </c>
      <c r="I265" s="37">
        <f t="shared" si="20"/>
        <v>8.9119999999999991E-2</v>
      </c>
      <c r="J265" s="52">
        <f t="shared" si="21"/>
        <v>6171.4542190304892</v>
      </c>
    </row>
    <row r="266" spans="1:10">
      <c r="A266" s="43"/>
      <c r="B266" s="36" t="s">
        <v>31</v>
      </c>
      <c r="C266" s="37">
        <v>145.97</v>
      </c>
      <c r="D266" s="37">
        <v>50.41</v>
      </c>
      <c r="E266" s="37">
        <v>49.92</v>
      </c>
      <c r="F266" s="37">
        <f t="shared" si="23"/>
        <v>95.56</v>
      </c>
      <c r="G266" s="37">
        <f t="shared" si="23"/>
        <v>0.48999999999999488</v>
      </c>
      <c r="H266" s="37">
        <f t="shared" si="22"/>
        <v>489.99999999999488</v>
      </c>
      <c r="I266" s="37">
        <f t="shared" si="20"/>
        <v>9.5560000000000006E-2</v>
      </c>
      <c r="J266" s="37">
        <f t="shared" si="21"/>
        <v>5127.6684805357354</v>
      </c>
    </row>
    <row r="267" spans="1:10">
      <c r="A267" s="45">
        <v>38939</v>
      </c>
      <c r="B267" s="36" t="s">
        <v>30</v>
      </c>
      <c r="C267" s="37">
        <v>137.84</v>
      </c>
      <c r="D267" s="37">
        <v>50.27</v>
      </c>
      <c r="E267" s="37">
        <v>49.72</v>
      </c>
      <c r="F267" s="37">
        <f t="shared" si="23"/>
        <v>87.57</v>
      </c>
      <c r="G267" s="37">
        <f t="shared" si="23"/>
        <v>0.55000000000000426</v>
      </c>
      <c r="H267" s="37">
        <f t="shared" si="22"/>
        <v>550.00000000000432</v>
      </c>
      <c r="I267" s="37">
        <f t="shared" si="20"/>
        <v>8.7569999999999995E-2</v>
      </c>
      <c r="J267" s="37">
        <f t="shared" si="21"/>
        <v>6280.6897339271936</v>
      </c>
    </row>
    <row r="268" spans="1:10">
      <c r="A268" s="43"/>
      <c r="B268" s="36" t="s">
        <v>31</v>
      </c>
      <c r="C268" s="37">
        <v>137.13999999999999</v>
      </c>
      <c r="D268" s="37">
        <v>50.33</v>
      </c>
      <c r="E268" s="37">
        <v>49.87</v>
      </c>
      <c r="F268" s="37">
        <f t="shared" si="23"/>
        <v>86.809999999999988</v>
      </c>
      <c r="G268" s="37">
        <f t="shared" si="23"/>
        <v>0.46000000000000085</v>
      </c>
      <c r="H268" s="37">
        <f t="shared" si="22"/>
        <v>460.00000000000085</v>
      </c>
      <c r="I268" s="37">
        <f t="shared" si="20"/>
        <v>8.6809999999999984E-2</v>
      </c>
      <c r="J268" s="37">
        <f t="shared" si="21"/>
        <v>5298.9286948508343</v>
      </c>
    </row>
    <row r="269" spans="1:10">
      <c r="A269" s="45">
        <v>38941</v>
      </c>
      <c r="B269" s="36" t="s">
        <v>30</v>
      </c>
      <c r="C269" s="37">
        <v>147.85</v>
      </c>
      <c r="D269" s="37">
        <v>50.91</v>
      </c>
      <c r="E269" s="37">
        <v>50.32</v>
      </c>
      <c r="F269" s="37">
        <f t="shared" si="23"/>
        <v>96.94</v>
      </c>
      <c r="G269" s="37">
        <f t="shared" si="23"/>
        <v>0.58999999999999631</v>
      </c>
      <c r="H269" s="37">
        <f t="shared" si="22"/>
        <v>589.99999999999636</v>
      </c>
      <c r="I269" s="37">
        <f t="shared" si="20"/>
        <v>9.6939999999999998E-2</v>
      </c>
      <c r="J269" s="37">
        <f t="shared" si="21"/>
        <v>6086.2389106663541</v>
      </c>
    </row>
    <row r="270" spans="1:10">
      <c r="A270" s="43"/>
      <c r="B270" s="36" t="s">
        <v>31</v>
      </c>
      <c r="C270" s="37">
        <v>133.47</v>
      </c>
      <c r="D270" s="37">
        <v>50.42</v>
      </c>
      <c r="E270" s="37">
        <v>49.99</v>
      </c>
      <c r="F270" s="37">
        <f t="shared" si="23"/>
        <v>83.05</v>
      </c>
      <c r="G270" s="37">
        <f t="shared" si="23"/>
        <v>0.42999999999999972</v>
      </c>
      <c r="H270" s="37">
        <f t="shared" si="22"/>
        <v>429.99999999999972</v>
      </c>
      <c r="I270" s="37">
        <f t="shared" si="20"/>
        <v>8.3049999999999999E-2</v>
      </c>
      <c r="J270" s="37">
        <f t="shared" si="21"/>
        <v>5177.6038531005388</v>
      </c>
    </row>
    <row r="271" spans="1:10">
      <c r="A271" s="45">
        <v>38944</v>
      </c>
      <c r="B271" s="36" t="s">
        <v>30</v>
      </c>
      <c r="C271" s="37">
        <v>139.34</v>
      </c>
      <c r="D271" s="37">
        <v>50.09</v>
      </c>
      <c r="E271" s="37">
        <v>49.51</v>
      </c>
      <c r="F271" s="37">
        <f t="shared" si="23"/>
        <v>89.25</v>
      </c>
      <c r="G271" s="37">
        <f t="shared" si="23"/>
        <v>0.5800000000000054</v>
      </c>
      <c r="H271" s="37">
        <f t="shared" si="22"/>
        <v>580.00000000000546</v>
      </c>
      <c r="I271" s="37">
        <f t="shared" si="20"/>
        <v>8.9249999999999996E-2</v>
      </c>
      <c r="J271" s="37">
        <f t="shared" si="21"/>
        <v>6498.5994397759714</v>
      </c>
    </row>
    <row r="272" spans="1:10">
      <c r="A272" s="43"/>
      <c r="B272" s="36" t="s">
        <v>31</v>
      </c>
      <c r="C272" s="37">
        <v>138</v>
      </c>
      <c r="D272" s="37">
        <v>51.2</v>
      </c>
      <c r="E272" s="37">
        <v>50.75</v>
      </c>
      <c r="F272" s="37">
        <f t="shared" si="23"/>
        <v>86.8</v>
      </c>
      <c r="G272" s="37">
        <f t="shared" si="23"/>
        <v>0.45000000000000284</v>
      </c>
      <c r="H272" s="37">
        <f t="shared" si="22"/>
        <v>450.00000000000284</v>
      </c>
      <c r="I272" s="37">
        <f t="shared" si="20"/>
        <v>8.6800000000000002E-2</v>
      </c>
      <c r="J272" s="37">
        <f t="shared" si="21"/>
        <v>5184.331797235056</v>
      </c>
    </row>
    <row r="273" spans="1:10">
      <c r="A273" s="45">
        <v>38946</v>
      </c>
      <c r="B273" s="36" t="s">
        <v>30</v>
      </c>
      <c r="C273" s="37">
        <v>140.4</v>
      </c>
      <c r="D273" s="37">
        <v>50.51</v>
      </c>
      <c r="E273" s="37">
        <v>49.92</v>
      </c>
      <c r="F273" s="37">
        <f t="shared" si="23"/>
        <v>89.890000000000015</v>
      </c>
      <c r="G273" s="37">
        <f t="shared" si="23"/>
        <v>0.58999999999999631</v>
      </c>
      <c r="H273" s="37">
        <f t="shared" si="22"/>
        <v>589.99999999999636</v>
      </c>
      <c r="I273" s="37">
        <f t="shared" si="20"/>
        <v>8.9890000000000012E-2</v>
      </c>
      <c r="J273" s="37">
        <f t="shared" si="21"/>
        <v>6563.5777060851742</v>
      </c>
    </row>
    <row r="274" spans="1:10">
      <c r="A274" s="43"/>
      <c r="B274" s="36" t="s">
        <v>31</v>
      </c>
      <c r="C274" s="37">
        <v>143.30000000000001</v>
      </c>
      <c r="D274" s="37">
        <v>50.34</v>
      </c>
      <c r="E274" s="37">
        <v>49.86</v>
      </c>
      <c r="F274" s="37">
        <f>C274-D274</f>
        <v>92.960000000000008</v>
      </c>
      <c r="G274" s="37">
        <f>D274-E274</f>
        <v>0.48000000000000398</v>
      </c>
      <c r="H274" s="37">
        <f>G274*1000</f>
        <v>480.00000000000398</v>
      </c>
      <c r="I274" s="37">
        <f>F274/1000</f>
        <v>9.2960000000000015E-2</v>
      </c>
      <c r="J274" s="37">
        <f>H274/I274</f>
        <v>5163.5111876076153</v>
      </c>
    </row>
    <row r="275" spans="1:10">
      <c r="A275" s="45">
        <v>38948</v>
      </c>
      <c r="B275" s="36" t="s">
        <v>30</v>
      </c>
      <c r="C275" s="37">
        <v>144.26</v>
      </c>
      <c r="D275" s="37">
        <v>50.2</v>
      </c>
      <c r="E275" s="37">
        <v>49.51</v>
      </c>
      <c r="F275" s="37">
        <f t="shared" si="23"/>
        <v>94.059999999999988</v>
      </c>
      <c r="G275" s="37">
        <f t="shared" si="23"/>
        <v>0.69000000000000483</v>
      </c>
      <c r="H275" s="37">
        <f t="shared" si="22"/>
        <v>690.00000000000477</v>
      </c>
      <c r="I275" s="37">
        <f t="shared" si="20"/>
        <v>9.4059999999999991E-2</v>
      </c>
      <c r="J275" s="37">
        <f t="shared" si="21"/>
        <v>7335.7431426749399</v>
      </c>
    </row>
    <row r="276" spans="1:10">
      <c r="A276" s="43"/>
      <c r="B276" s="36" t="s">
        <v>31</v>
      </c>
      <c r="C276" s="37">
        <v>141.12</v>
      </c>
      <c r="D276" s="37">
        <v>51.22</v>
      </c>
      <c r="E276" s="37">
        <v>50.74</v>
      </c>
      <c r="F276" s="37">
        <f t="shared" si="23"/>
        <v>89.9</v>
      </c>
      <c r="G276" s="37">
        <f t="shared" si="23"/>
        <v>0.47999999999999687</v>
      </c>
      <c r="H276" s="37">
        <f t="shared" si="22"/>
        <v>479.99999999999687</v>
      </c>
      <c r="I276" s="37">
        <f t="shared" si="20"/>
        <v>8.9900000000000008E-2</v>
      </c>
      <c r="J276" s="37">
        <f t="shared" si="21"/>
        <v>5339.2658509454595</v>
      </c>
    </row>
    <row r="277" spans="1:10">
      <c r="A277" s="45">
        <v>38953</v>
      </c>
      <c r="B277" s="36" t="s">
        <v>30</v>
      </c>
      <c r="C277" s="37">
        <v>141.62</v>
      </c>
      <c r="D277" s="37">
        <v>50.61</v>
      </c>
      <c r="E277" s="37">
        <v>49.91</v>
      </c>
      <c r="F277" s="37">
        <f t="shared" si="23"/>
        <v>91.01</v>
      </c>
      <c r="G277" s="37">
        <f t="shared" si="23"/>
        <v>0.70000000000000284</v>
      </c>
      <c r="H277" s="37">
        <f t="shared" si="22"/>
        <v>700.00000000000284</v>
      </c>
      <c r="I277" s="37">
        <f t="shared" si="20"/>
        <v>9.1010000000000008E-2</v>
      </c>
      <c r="J277" s="37">
        <f t="shared" si="21"/>
        <v>7691.4624766509478</v>
      </c>
    </row>
    <row r="278" spans="1:10">
      <c r="A278" s="43"/>
      <c r="B278" s="36" t="s">
        <v>31</v>
      </c>
      <c r="C278" s="37">
        <v>136.5</v>
      </c>
      <c r="D278" s="37">
        <v>50.34</v>
      </c>
      <c r="E278" s="37">
        <v>49.86</v>
      </c>
      <c r="F278" s="37">
        <f t="shared" si="23"/>
        <v>86.16</v>
      </c>
      <c r="G278" s="37">
        <f t="shared" si="23"/>
        <v>0.48000000000000398</v>
      </c>
      <c r="H278" s="37">
        <f t="shared" si="22"/>
        <v>480.00000000000398</v>
      </c>
      <c r="I278" s="37">
        <f t="shared" si="20"/>
        <v>8.616E-2</v>
      </c>
      <c r="J278" s="37">
        <f t="shared" si="21"/>
        <v>5571.0306406685695</v>
      </c>
    </row>
    <row r="279" spans="1:10">
      <c r="A279" s="45">
        <v>38955</v>
      </c>
      <c r="B279" s="36" t="s">
        <v>30</v>
      </c>
      <c r="C279" s="37">
        <v>141.15</v>
      </c>
      <c r="D279" s="37">
        <v>50.2</v>
      </c>
      <c r="E279" s="37">
        <v>49.5</v>
      </c>
      <c r="F279" s="37">
        <f t="shared" si="23"/>
        <v>90.95</v>
      </c>
      <c r="G279" s="37">
        <f t="shared" si="23"/>
        <v>0.70000000000000284</v>
      </c>
      <c r="H279" s="37">
        <f t="shared" si="22"/>
        <v>700.00000000000284</v>
      </c>
      <c r="I279" s="37">
        <f t="shared" si="20"/>
        <v>9.0950000000000003E-2</v>
      </c>
      <c r="J279" s="37">
        <f t="shared" si="21"/>
        <v>7696.5365585486843</v>
      </c>
    </row>
    <row r="280" spans="1:10">
      <c r="A280" s="43"/>
      <c r="B280" s="36" t="s">
        <v>31</v>
      </c>
      <c r="C280" s="37">
        <v>142.57</v>
      </c>
      <c r="D280" s="37">
        <v>50.23</v>
      </c>
      <c r="E280" s="37">
        <v>49.71</v>
      </c>
      <c r="F280" s="37">
        <f t="shared" si="23"/>
        <v>92.34</v>
      </c>
      <c r="G280" s="37">
        <f t="shared" si="23"/>
        <v>0.51999999999999602</v>
      </c>
      <c r="H280" s="37">
        <f t="shared" si="22"/>
        <v>519.99999999999602</v>
      </c>
      <c r="I280" s="37">
        <f t="shared" si="20"/>
        <v>9.2340000000000005E-2</v>
      </c>
      <c r="J280" s="37">
        <f t="shared" si="21"/>
        <v>5631.3623565085118</v>
      </c>
    </row>
    <row r="281" spans="1:10">
      <c r="A281" s="45">
        <v>38958</v>
      </c>
      <c r="B281" s="36" t="s">
        <v>30</v>
      </c>
      <c r="C281" s="37">
        <v>137.26</v>
      </c>
      <c r="D281" s="37">
        <v>51.44</v>
      </c>
      <c r="E281" s="37">
        <v>50.73</v>
      </c>
      <c r="F281" s="37">
        <f t="shared" si="23"/>
        <v>85.82</v>
      </c>
      <c r="G281" s="37">
        <f t="shared" si="23"/>
        <v>0.71000000000000085</v>
      </c>
      <c r="H281" s="37">
        <f t="shared" si="22"/>
        <v>710.00000000000091</v>
      </c>
      <c r="I281" s="37">
        <f t="shared" si="20"/>
        <v>8.5819999999999994E-2</v>
      </c>
      <c r="J281" s="37">
        <f t="shared" si="21"/>
        <v>8273.1298065719056</v>
      </c>
    </row>
    <row r="282" spans="1:10">
      <c r="A282" s="43"/>
      <c r="B282" s="36" t="s">
        <v>31</v>
      </c>
      <c r="C282" s="37">
        <v>133.86000000000001</v>
      </c>
      <c r="D282" s="37">
        <v>50.44</v>
      </c>
      <c r="E282" s="37">
        <v>49.98</v>
      </c>
      <c r="F282" s="37">
        <f t="shared" si="23"/>
        <v>83.420000000000016</v>
      </c>
      <c r="G282" s="37">
        <f t="shared" si="23"/>
        <v>0.46000000000000085</v>
      </c>
      <c r="H282" s="37">
        <f t="shared" si="22"/>
        <v>460.00000000000085</v>
      </c>
      <c r="I282" s="37">
        <f t="shared" si="20"/>
        <v>8.3420000000000022E-2</v>
      </c>
      <c r="J282" s="37">
        <f t="shared" si="21"/>
        <v>5514.2651642292103</v>
      </c>
    </row>
    <row r="283" spans="1:10">
      <c r="A283" s="45">
        <v>38960</v>
      </c>
      <c r="B283" s="36" t="s">
        <v>30</v>
      </c>
      <c r="C283" s="37">
        <v>142.87</v>
      </c>
      <c r="D283" s="37">
        <v>51.09</v>
      </c>
      <c r="E283" s="37">
        <v>50.31</v>
      </c>
      <c r="F283" s="37">
        <f t="shared" si="23"/>
        <v>91.78</v>
      </c>
      <c r="G283" s="37">
        <f t="shared" si="23"/>
        <v>0.78000000000000114</v>
      </c>
      <c r="H283" s="37">
        <f t="shared" si="22"/>
        <v>780.00000000000114</v>
      </c>
      <c r="I283" s="37">
        <f t="shared" si="20"/>
        <v>9.178E-2</v>
      </c>
      <c r="J283" s="37">
        <f t="shared" si="21"/>
        <v>8498.5835694051111</v>
      </c>
    </row>
    <row r="284" spans="1:10">
      <c r="A284" s="43"/>
      <c r="B284" s="36" t="s">
        <v>31</v>
      </c>
      <c r="C284" s="37">
        <v>147.65</v>
      </c>
      <c r="D284" s="37">
        <v>50.5</v>
      </c>
      <c r="E284" s="37">
        <v>49.99</v>
      </c>
      <c r="F284" s="37">
        <f t="shared" ref="F284:F298" si="24">C284-D284</f>
        <v>97.15</v>
      </c>
      <c r="G284" s="37">
        <f t="shared" si="23"/>
        <v>0.50999999999999801</v>
      </c>
      <c r="H284" s="37">
        <f t="shared" si="22"/>
        <v>509.99999999999801</v>
      </c>
      <c r="I284" s="37">
        <f t="shared" si="20"/>
        <v>9.715E-2</v>
      </c>
      <c r="J284" s="37">
        <f t="shared" si="21"/>
        <v>5249.6139989706435</v>
      </c>
    </row>
    <row r="285" spans="1:10">
      <c r="A285" s="45">
        <v>38962</v>
      </c>
      <c r="B285" s="36" t="s">
        <v>30</v>
      </c>
      <c r="C285" s="37">
        <v>137.69999999999999</v>
      </c>
      <c r="D285" s="37">
        <v>51.45</v>
      </c>
      <c r="E285" s="37">
        <v>50.72</v>
      </c>
      <c r="F285" s="37">
        <f t="shared" si="24"/>
        <v>86.249999999999986</v>
      </c>
      <c r="G285" s="37">
        <f t="shared" si="23"/>
        <v>0.73000000000000398</v>
      </c>
      <c r="H285" s="37">
        <f t="shared" si="22"/>
        <v>730.00000000000398</v>
      </c>
      <c r="I285" s="37">
        <f t="shared" si="20"/>
        <v>8.6249999999999979E-2</v>
      </c>
      <c r="J285" s="37">
        <f t="shared" si="21"/>
        <v>8463.7681159420772</v>
      </c>
    </row>
    <row r="286" spans="1:10">
      <c r="A286" s="43"/>
      <c r="B286" s="36" t="s">
        <v>31</v>
      </c>
      <c r="C286" s="37">
        <v>134.69999999999999</v>
      </c>
      <c r="D286" s="37">
        <v>50.45</v>
      </c>
      <c r="E286" s="37">
        <v>49.98</v>
      </c>
      <c r="F286" s="37">
        <f t="shared" si="24"/>
        <v>84.249999999999986</v>
      </c>
      <c r="G286" s="37">
        <f t="shared" si="23"/>
        <v>0.47000000000000597</v>
      </c>
      <c r="H286" s="37">
        <f t="shared" si="22"/>
        <v>470.00000000000597</v>
      </c>
      <c r="I286" s="37">
        <f t="shared" si="20"/>
        <v>8.4249999999999992E-2</v>
      </c>
      <c r="J286" s="37">
        <f t="shared" si="21"/>
        <v>5578.6350148368665</v>
      </c>
    </row>
    <row r="287" spans="1:10">
      <c r="A287" s="45">
        <v>38966</v>
      </c>
      <c r="B287" s="36" t="s">
        <v>30</v>
      </c>
      <c r="C287" s="37">
        <v>132.54</v>
      </c>
      <c r="D287" s="37">
        <v>50.54</v>
      </c>
      <c r="E287" s="37">
        <v>49.85</v>
      </c>
      <c r="F287" s="37">
        <f t="shared" si="24"/>
        <v>82</v>
      </c>
      <c r="G287" s="37">
        <f t="shared" si="23"/>
        <v>0.68999999999999773</v>
      </c>
      <c r="H287" s="37">
        <f t="shared" si="22"/>
        <v>689.99999999999773</v>
      </c>
      <c r="I287" s="37">
        <f t="shared" si="20"/>
        <v>8.2000000000000003E-2</v>
      </c>
      <c r="J287" s="37">
        <f t="shared" si="21"/>
        <v>8414.6341463414356</v>
      </c>
    </row>
    <row r="288" spans="1:10">
      <c r="A288" s="43"/>
      <c r="B288" s="36" t="s">
        <v>31</v>
      </c>
      <c r="C288" s="37">
        <v>139.52000000000001</v>
      </c>
      <c r="D288" s="37">
        <v>50.39</v>
      </c>
      <c r="E288" s="37">
        <v>49.9</v>
      </c>
      <c r="F288" s="37">
        <f t="shared" si="24"/>
        <v>89.13000000000001</v>
      </c>
      <c r="G288" s="37">
        <f t="shared" si="23"/>
        <v>0.49000000000000199</v>
      </c>
      <c r="H288" s="37">
        <f t="shared" si="22"/>
        <v>490.00000000000199</v>
      </c>
      <c r="I288" s="37">
        <f t="shared" si="20"/>
        <v>8.9130000000000015E-2</v>
      </c>
      <c r="J288" s="37">
        <f t="shared" si="21"/>
        <v>5497.5877931112072</v>
      </c>
    </row>
    <row r="289" spans="1:10">
      <c r="A289" s="45">
        <v>38968</v>
      </c>
      <c r="B289" s="36" t="s">
        <v>30</v>
      </c>
      <c r="C289" s="37">
        <v>142.27000000000001</v>
      </c>
      <c r="D289" s="37">
        <v>52.24</v>
      </c>
      <c r="E289" s="37">
        <v>51.53</v>
      </c>
      <c r="F289" s="37">
        <f t="shared" si="24"/>
        <v>90.03</v>
      </c>
      <c r="G289" s="37">
        <f t="shared" si="23"/>
        <v>0.71000000000000085</v>
      </c>
      <c r="H289" s="37">
        <f t="shared" si="22"/>
        <v>710.00000000000091</v>
      </c>
      <c r="I289" s="37">
        <f t="shared" si="20"/>
        <v>9.0029999999999999E-2</v>
      </c>
      <c r="J289" s="37">
        <f t="shared" si="21"/>
        <v>7886.2601355103952</v>
      </c>
    </row>
    <row r="290" spans="1:10">
      <c r="A290" s="43"/>
      <c r="B290" s="36" t="s">
        <v>31</v>
      </c>
      <c r="C290" s="37">
        <v>154.08000000000001</v>
      </c>
      <c r="D290" s="37">
        <v>74.59</v>
      </c>
      <c r="E290" s="37">
        <v>74.13</v>
      </c>
      <c r="F290" s="37">
        <f t="shared" si="24"/>
        <v>79.490000000000009</v>
      </c>
      <c r="G290" s="37">
        <f t="shared" si="23"/>
        <v>0.46000000000000796</v>
      </c>
      <c r="H290" s="37">
        <f t="shared" si="22"/>
        <v>460.00000000000796</v>
      </c>
      <c r="I290" s="37">
        <f t="shared" si="20"/>
        <v>7.9490000000000005E-2</v>
      </c>
      <c r="J290" s="37">
        <f t="shared" si="21"/>
        <v>5786.8914328847395</v>
      </c>
    </row>
    <row r="291" spans="1:10">
      <c r="A291" s="45">
        <v>38970</v>
      </c>
      <c r="B291" s="36" t="s">
        <v>30</v>
      </c>
      <c r="C291" s="37">
        <v>137.22999999999999</v>
      </c>
      <c r="D291" s="37">
        <v>50.44</v>
      </c>
      <c r="E291" s="37">
        <v>49.99</v>
      </c>
      <c r="F291" s="37">
        <f t="shared" si="24"/>
        <v>86.789999999999992</v>
      </c>
      <c r="G291" s="37">
        <f t="shared" si="23"/>
        <v>0.44999999999999574</v>
      </c>
      <c r="H291" s="37">
        <f t="shared" si="22"/>
        <v>449.99999999999574</v>
      </c>
      <c r="I291" s="37">
        <f t="shared" si="20"/>
        <v>8.6789999999999992E-2</v>
      </c>
      <c r="J291" s="37">
        <f t="shared" si="21"/>
        <v>5184.9291393017138</v>
      </c>
    </row>
    <row r="292" spans="1:10">
      <c r="A292" s="43"/>
      <c r="B292" s="36" t="s">
        <v>31</v>
      </c>
      <c r="C292" s="37">
        <v>140.30000000000001</v>
      </c>
      <c r="D292" s="37">
        <v>50.6</v>
      </c>
      <c r="E292" s="37">
        <v>50.01</v>
      </c>
      <c r="F292" s="37">
        <f t="shared" si="24"/>
        <v>89.700000000000017</v>
      </c>
      <c r="G292" s="37">
        <f t="shared" si="23"/>
        <v>0.59000000000000341</v>
      </c>
      <c r="H292" s="37">
        <f t="shared" si="22"/>
        <v>590.00000000000341</v>
      </c>
      <c r="I292" s="37">
        <f t="shared" si="20"/>
        <v>8.9700000000000016E-2</v>
      </c>
      <c r="J292" s="37">
        <f t="shared" si="21"/>
        <v>6577.4804905240053</v>
      </c>
    </row>
    <row r="293" spans="1:10">
      <c r="A293" s="45">
        <v>38972</v>
      </c>
      <c r="B293" s="36" t="s">
        <v>30</v>
      </c>
      <c r="C293" s="37">
        <v>126.91</v>
      </c>
      <c r="D293" s="37">
        <v>50.38</v>
      </c>
      <c r="E293" s="37">
        <v>49.71</v>
      </c>
      <c r="F293" s="37">
        <f t="shared" si="24"/>
        <v>76.53</v>
      </c>
      <c r="G293" s="37">
        <f t="shared" si="23"/>
        <v>0.67000000000000171</v>
      </c>
      <c r="H293" s="37">
        <f t="shared" si="22"/>
        <v>670.00000000000171</v>
      </c>
      <c r="I293" s="37">
        <f t="shared" si="20"/>
        <v>7.6530000000000001E-2</v>
      </c>
      <c r="J293" s="37">
        <f t="shared" si="21"/>
        <v>8754.736704560326</v>
      </c>
    </row>
    <row r="294" spans="1:10">
      <c r="A294" s="43"/>
      <c r="B294" s="36" t="s">
        <v>31</v>
      </c>
      <c r="C294" s="37">
        <v>142.30000000000001</v>
      </c>
      <c r="D294" s="37">
        <v>50</v>
      </c>
      <c r="E294" s="37">
        <v>49.46</v>
      </c>
      <c r="F294" s="37">
        <f t="shared" si="24"/>
        <v>92.300000000000011</v>
      </c>
      <c r="G294" s="37">
        <f t="shared" si="23"/>
        <v>0.53999999999999915</v>
      </c>
      <c r="H294" s="37">
        <f t="shared" si="22"/>
        <v>539.99999999999909</v>
      </c>
      <c r="I294" s="37">
        <f t="shared" si="20"/>
        <v>9.2300000000000007E-2</v>
      </c>
      <c r="J294" s="37">
        <f t="shared" si="21"/>
        <v>5850.4875406283754</v>
      </c>
    </row>
    <row r="295" spans="1:10">
      <c r="A295" s="45">
        <v>38974</v>
      </c>
      <c r="B295" s="36" t="s">
        <v>30</v>
      </c>
      <c r="C295" s="37">
        <v>128.19999999999999</v>
      </c>
      <c r="D295" s="37">
        <v>50.57</v>
      </c>
      <c r="E295" s="37">
        <v>49.84</v>
      </c>
      <c r="F295" s="37">
        <f t="shared" si="24"/>
        <v>77.63</v>
      </c>
      <c r="G295" s="37">
        <f t="shared" si="23"/>
        <v>0.72999999999999687</v>
      </c>
      <c r="H295" s="37">
        <f t="shared" si="22"/>
        <v>729.99999999999682</v>
      </c>
      <c r="I295" s="37">
        <f t="shared" si="20"/>
        <v>7.7629999999999991E-2</v>
      </c>
      <c r="J295" s="37">
        <f t="shared" si="21"/>
        <v>9403.5810897848369</v>
      </c>
    </row>
    <row r="296" spans="1:10">
      <c r="A296" s="43"/>
      <c r="B296" s="36" t="s">
        <v>31</v>
      </c>
      <c r="C296" s="37">
        <v>136</v>
      </c>
      <c r="D296" s="37">
        <v>50.4</v>
      </c>
      <c r="E296" s="37">
        <v>49.89</v>
      </c>
      <c r="F296" s="37">
        <f t="shared" si="24"/>
        <v>85.6</v>
      </c>
      <c r="G296" s="37">
        <f t="shared" si="23"/>
        <v>0.50999999999999801</v>
      </c>
      <c r="H296" s="37">
        <f t="shared" si="22"/>
        <v>509.99999999999801</v>
      </c>
      <c r="I296" s="37">
        <f t="shared" si="20"/>
        <v>8.5599999999999996E-2</v>
      </c>
      <c r="J296" s="37">
        <f t="shared" si="21"/>
        <v>5957.9439252336215</v>
      </c>
    </row>
    <row r="297" spans="1:10">
      <c r="A297" s="45">
        <v>38976</v>
      </c>
      <c r="B297" s="36" t="s">
        <v>30</v>
      </c>
      <c r="C297" s="37">
        <v>140.12</v>
      </c>
      <c r="D297" s="37">
        <v>50.17</v>
      </c>
      <c r="E297" s="37">
        <v>49.3</v>
      </c>
      <c r="F297" s="37">
        <f t="shared" si="24"/>
        <v>89.95</v>
      </c>
      <c r="G297" s="37">
        <f t="shared" si="23"/>
        <v>0.87000000000000455</v>
      </c>
      <c r="H297" s="37">
        <f t="shared" si="22"/>
        <v>870.00000000000455</v>
      </c>
      <c r="I297" s="37">
        <f t="shared" si="20"/>
        <v>8.9950000000000002E-2</v>
      </c>
      <c r="J297" s="37">
        <f t="shared" si="21"/>
        <v>9672.0400222346252</v>
      </c>
    </row>
    <row r="298" spans="1:10">
      <c r="A298" s="43"/>
      <c r="B298" s="36" t="s">
        <v>31</v>
      </c>
      <c r="C298" s="37">
        <v>135.05000000000001</v>
      </c>
      <c r="D298" s="37">
        <v>50.48</v>
      </c>
      <c r="E298" s="37">
        <v>49.98</v>
      </c>
      <c r="F298" s="37">
        <f t="shared" si="24"/>
        <v>84.570000000000022</v>
      </c>
      <c r="G298" s="37">
        <f t="shared" si="23"/>
        <v>0.5</v>
      </c>
      <c r="H298" s="37">
        <f t="shared" si="22"/>
        <v>500</v>
      </c>
      <c r="I298" s="37">
        <f t="shared" si="20"/>
        <v>8.457000000000002E-2</v>
      </c>
      <c r="J298" s="37">
        <f t="shared" si="21"/>
        <v>5912.2620314532323</v>
      </c>
    </row>
    <row r="299" spans="1:10">
      <c r="A299" s="45">
        <v>38980</v>
      </c>
      <c r="B299" s="36" t="s">
        <v>30</v>
      </c>
      <c r="C299" s="37">
        <v>131.80000000000001</v>
      </c>
      <c r="D299" s="37">
        <v>51.48</v>
      </c>
      <c r="E299" s="37">
        <v>50.72</v>
      </c>
      <c r="F299" s="37">
        <f t="shared" ref="F299:F339" si="25">C299-D299</f>
        <v>80.320000000000022</v>
      </c>
      <c r="G299" s="37">
        <f t="shared" si="23"/>
        <v>0.75999999999999801</v>
      </c>
      <c r="H299" s="37">
        <f t="shared" si="22"/>
        <v>759.99999999999795</v>
      </c>
      <c r="I299" s="37">
        <f t="shared" ref="I299:I339" si="26">F299/1000</f>
        <v>8.0320000000000016E-2</v>
      </c>
      <c r="J299" s="37">
        <f t="shared" si="21"/>
        <v>9462.1513944222825</v>
      </c>
    </row>
    <row r="300" spans="1:10">
      <c r="A300" s="43"/>
      <c r="B300" s="36" t="s">
        <v>31</v>
      </c>
      <c r="C300" s="37">
        <v>134.30000000000001</v>
      </c>
      <c r="D300" s="37">
        <v>50.34</v>
      </c>
      <c r="E300" s="37">
        <v>49.96</v>
      </c>
      <c r="F300" s="37">
        <f t="shared" si="25"/>
        <v>83.960000000000008</v>
      </c>
      <c r="G300" s="37">
        <f t="shared" si="23"/>
        <v>0.38000000000000256</v>
      </c>
      <c r="H300" s="37">
        <f t="shared" si="22"/>
        <v>380.00000000000256</v>
      </c>
      <c r="I300" s="37">
        <f t="shared" si="26"/>
        <v>8.3960000000000007E-2</v>
      </c>
      <c r="J300" s="37">
        <f t="shared" si="21"/>
        <v>4525.9647451167521</v>
      </c>
    </row>
    <row r="301" spans="1:10">
      <c r="A301" s="45">
        <v>38982</v>
      </c>
      <c r="B301" s="36" t="s">
        <v>30</v>
      </c>
      <c r="C301" s="37">
        <v>141.19999999999999</v>
      </c>
      <c r="D301" s="37">
        <v>50.16</v>
      </c>
      <c r="E301" s="37">
        <v>49.3</v>
      </c>
      <c r="F301" s="37">
        <f t="shared" si="25"/>
        <v>91.039999999999992</v>
      </c>
      <c r="G301" s="37">
        <f t="shared" si="23"/>
        <v>0.85999999999999943</v>
      </c>
      <c r="H301" s="37">
        <f t="shared" si="22"/>
        <v>859.99999999999943</v>
      </c>
      <c r="I301" s="37">
        <f t="shared" si="26"/>
        <v>9.1039999999999996E-2</v>
      </c>
      <c r="J301" s="37">
        <f t="shared" si="21"/>
        <v>9446.3971880492027</v>
      </c>
    </row>
    <row r="302" spans="1:10">
      <c r="A302" s="43"/>
      <c r="B302" s="36" t="s">
        <v>31</v>
      </c>
      <c r="C302" s="37">
        <v>140.80000000000001</v>
      </c>
      <c r="D302" s="37">
        <v>50.54</v>
      </c>
      <c r="E302" s="37">
        <v>49.97</v>
      </c>
      <c r="F302" s="37">
        <f t="shared" si="25"/>
        <v>90.260000000000019</v>
      </c>
      <c r="G302" s="37">
        <f t="shared" si="23"/>
        <v>0.57000000000000028</v>
      </c>
      <c r="H302" s="37">
        <f t="shared" si="22"/>
        <v>570.00000000000023</v>
      </c>
      <c r="I302" s="37">
        <f t="shared" si="26"/>
        <v>9.0260000000000021E-2</v>
      </c>
      <c r="J302" s="37">
        <f t="shared" si="21"/>
        <v>6315.0897407489483</v>
      </c>
    </row>
    <row r="303" spans="1:10">
      <c r="A303" s="45">
        <v>38984</v>
      </c>
      <c r="B303" s="36" t="s">
        <v>30</v>
      </c>
      <c r="C303" s="37">
        <v>140.69999999999999</v>
      </c>
      <c r="D303" s="37">
        <v>50.31</v>
      </c>
      <c r="E303" s="37">
        <v>49.45</v>
      </c>
      <c r="F303" s="37">
        <f t="shared" si="25"/>
        <v>90.389999999999986</v>
      </c>
      <c r="G303" s="37">
        <f t="shared" si="23"/>
        <v>0.85999999999999943</v>
      </c>
      <c r="H303" s="37">
        <f t="shared" si="22"/>
        <v>859.99999999999943</v>
      </c>
      <c r="I303" s="37">
        <f t="shared" si="26"/>
        <v>9.0389999999999984E-2</v>
      </c>
      <c r="J303" s="37">
        <f t="shared" si="21"/>
        <v>9514.3268060626124</v>
      </c>
    </row>
    <row r="304" spans="1:10">
      <c r="A304" s="43"/>
      <c r="B304" s="36" t="s">
        <v>31</v>
      </c>
      <c r="C304" s="37">
        <v>142.80000000000001</v>
      </c>
      <c r="D304" s="37">
        <v>50.31</v>
      </c>
      <c r="E304" s="37">
        <v>49.7</v>
      </c>
      <c r="F304" s="37">
        <f t="shared" si="25"/>
        <v>92.490000000000009</v>
      </c>
      <c r="G304" s="37">
        <f t="shared" si="23"/>
        <v>0.60999999999999943</v>
      </c>
      <c r="H304" s="37">
        <f t="shared" si="22"/>
        <v>609.99999999999943</v>
      </c>
      <c r="I304" s="37">
        <f t="shared" si="26"/>
        <v>9.2490000000000003E-2</v>
      </c>
      <c r="J304" s="37">
        <f t="shared" si="21"/>
        <v>6595.307600821704</v>
      </c>
    </row>
    <row r="305" spans="1:10">
      <c r="A305" s="45">
        <v>38986</v>
      </c>
      <c r="B305" s="36" t="s">
        <v>30</v>
      </c>
      <c r="C305" s="37">
        <v>135.5</v>
      </c>
      <c r="D305" s="37">
        <v>50.66</v>
      </c>
      <c r="E305" s="37">
        <v>49.89</v>
      </c>
      <c r="F305" s="37">
        <f t="shared" si="25"/>
        <v>84.84</v>
      </c>
      <c r="G305" s="37">
        <f t="shared" si="23"/>
        <v>0.76999999999999602</v>
      </c>
      <c r="H305" s="37">
        <f t="shared" si="22"/>
        <v>769.99999999999602</v>
      </c>
      <c r="I305" s="37">
        <f t="shared" si="26"/>
        <v>8.4839999999999999E-2</v>
      </c>
      <c r="J305" s="37">
        <f t="shared" si="21"/>
        <v>9075.9075907590286</v>
      </c>
    </row>
    <row r="306" spans="1:10">
      <c r="A306" s="45">
        <v>38988</v>
      </c>
      <c r="B306" s="36" t="s">
        <v>30</v>
      </c>
      <c r="C306" s="37">
        <v>131.80000000000001</v>
      </c>
      <c r="D306" s="37">
        <v>51.44</v>
      </c>
      <c r="E306" s="37">
        <v>50.71</v>
      </c>
      <c r="F306" s="37">
        <f t="shared" si="25"/>
        <v>80.360000000000014</v>
      </c>
      <c r="G306" s="37">
        <f t="shared" si="23"/>
        <v>0.72999999999999687</v>
      </c>
      <c r="H306" s="37">
        <f t="shared" si="22"/>
        <v>729.99999999999682</v>
      </c>
      <c r="I306" s="37">
        <f t="shared" si="26"/>
        <v>8.0360000000000015E-2</v>
      </c>
      <c r="J306" s="37">
        <f t="shared" si="21"/>
        <v>9084.121453459391</v>
      </c>
    </row>
    <row r="307" spans="1:10">
      <c r="A307" s="43"/>
      <c r="B307" s="36" t="s">
        <v>31</v>
      </c>
      <c r="C307" s="37">
        <v>133.5</v>
      </c>
      <c r="D307" s="37">
        <v>50.55</v>
      </c>
      <c r="E307" s="37">
        <v>49.96</v>
      </c>
      <c r="F307" s="37">
        <f t="shared" si="25"/>
        <v>82.95</v>
      </c>
      <c r="G307" s="37">
        <f t="shared" si="23"/>
        <v>0.58999999999999631</v>
      </c>
      <c r="H307" s="37">
        <f t="shared" si="22"/>
        <v>589.99999999999636</v>
      </c>
      <c r="I307" s="37">
        <f t="shared" si="26"/>
        <v>8.2949999999999996E-2</v>
      </c>
      <c r="J307" s="37">
        <f t="shared" si="21"/>
        <v>7112.7185051235247</v>
      </c>
    </row>
    <row r="308" spans="1:10">
      <c r="A308" s="45">
        <v>38990</v>
      </c>
      <c r="B308" s="36" t="s">
        <v>30</v>
      </c>
      <c r="C308" s="37">
        <v>136.19999999999999</v>
      </c>
      <c r="D308" s="37">
        <v>50.19</v>
      </c>
      <c r="E308" s="37">
        <v>49.57</v>
      </c>
      <c r="F308" s="37">
        <f t="shared" si="25"/>
        <v>86.009999999999991</v>
      </c>
      <c r="G308" s="37">
        <f t="shared" si="23"/>
        <v>0.61999999999999744</v>
      </c>
      <c r="H308" s="37">
        <f t="shared" si="22"/>
        <v>619.9999999999975</v>
      </c>
      <c r="I308" s="37">
        <f t="shared" si="26"/>
        <v>8.6009999999999989E-2</v>
      </c>
      <c r="J308" s="37">
        <f t="shared" si="21"/>
        <v>7208.4641320776373</v>
      </c>
    </row>
    <row r="309" spans="1:10">
      <c r="A309" s="43"/>
      <c r="B309" s="36" t="s">
        <v>31</v>
      </c>
      <c r="C309" s="37">
        <v>147.1</v>
      </c>
      <c r="D309" s="37">
        <v>50.48</v>
      </c>
      <c r="E309" s="37">
        <v>49.98</v>
      </c>
      <c r="F309" s="37">
        <f t="shared" si="25"/>
        <v>96.62</v>
      </c>
      <c r="G309" s="37">
        <f t="shared" si="23"/>
        <v>0.5</v>
      </c>
      <c r="H309" s="37">
        <f t="shared" si="22"/>
        <v>500</v>
      </c>
      <c r="I309" s="37">
        <f t="shared" si="26"/>
        <v>9.6620000000000011E-2</v>
      </c>
      <c r="J309" s="37">
        <f t="shared" si="21"/>
        <v>5174.9120264955491</v>
      </c>
    </row>
    <row r="310" spans="1:10">
      <c r="A310" s="45">
        <v>38993</v>
      </c>
      <c r="B310" s="36" t="s">
        <v>30</v>
      </c>
      <c r="C310" s="37">
        <v>139</v>
      </c>
      <c r="D310" s="37">
        <v>50.1</v>
      </c>
      <c r="E310" s="37">
        <v>49.29</v>
      </c>
      <c r="F310" s="37">
        <f t="shared" si="25"/>
        <v>88.9</v>
      </c>
      <c r="G310" s="37">
        <f t="shared" si="23"/>
        <v>0.81000000000000227</v>
      </c>
      <c r="H310" s="37">
        <f t="shared" si="22"/>
        <v>810.00000000000227</v>
      </c>
      <c r="I310" s="37">
        <f t="shared" si="26"/>
        <v>8.8900000000000007E-2</v>
      </c>
      <c r="J310" s="37">
        <f t="shared" si="21"/>
        <v>9111.3610798650425</v>
      </c>
    </row>
    <row r="311" spans="1:10">
      <c r="A311" s="43"/>
      <c r="B311" s="36" t="s">
        <v>31</v>
      </c>
      <c r="C311" s="37">
        <v>135.30000000000001</v>
      </c>
      <c r="D311" s="37">
        <v>50.3</v>
      </c>
      <c r="E311" s="37">
        <v>49.7</v>
      </c>
      <c r="F311" s="37">
        <f t="shared" si="25"/>
        <v>85.000000000000014</v>
      </c>
      <c r="G311" s="37">
        <f t="shared" si="23"/>
        <v>0.59999999999999432</v>
      </c>
      <c r="H311" s="37">
        <f t="shared" si="22"/>
        <v>599.99999999999432</v>
      </c>
      <c r="I311" s="37">
        <f t="shared" si="26"/>
        <v>8.500000000000002E-2</v>
      </c>
      <c r="J311" s="37">
        <f t="shared" si="21"/>
        <v>7058.8235294116957</v>
      </c>
    </row>
    <row r="312" spans="1:10">
      <c r="A312" s="45">
        <v>38995</v>
      </c>
      <c r="B312" s="36" t="s">
        <v>30</v>
      </c>
      <c r="C312" s="37">
        <v>132</v>
      </c>
      <c r="D312" s="37">
        <v>50.6</v>
      </c>
      <c r="E312" s="37">
        <v>49.9</v>
      </c>
      <c r="F312" s="37">
        <f t="shared" si="25"/>
        <v>81.400000000000006</v>
      </c>
      <c r="G312" s="37">
        <f t="shared" si="23"/>
        <v>0.70000000000000284</v>
      </c>
      <c r="H312" s="37">
        <f t="shared" si="22"/>
        <v>700.00000000000284</v>
      </c>
      <c r="I312" s="37">
        <f t="shared" si="26"/>
        <v>8.14E-2</v>
      </c>
      <c r="J312" s="37">
        <f t="shared" si="21"/>
        <v>8599.5085995086338</v>
      </c>
    </row>
    <row r="313" spans="1:10">
      <c r="A313" s="43"/>
      <c r="B313" s="36" t="s">
        <v>31</v>
      </c>
      <c r="C313" s="37">
        <v>133.6</v>
      </c>
      <c r="D313" s="37">
        <v>50.5</v>
      </c>
      <c r="E313" s="37">
        <v>50.1</v>
      </c>
      <c r="F313" s="37">
        <f t="shared" si="25"/>
        <v>83.1</v>
      </c>
      <c r="G313" s="37">
        <f t="shared" si="23"/>
        <v>0.39999999999999858</v>
      </c>
      <c r="H313" s="37">
        <f t="shared" si="22"/>
        <v>399.99999999999858</v>
      </c>
      <c r="I313" s="37">
        <f t="shared" si="26"/>
        <v>8.3099999999999993E-2</v>
      </c>
      <c r="J313" s="37">
        <f t="shared" si="21"/>
        <v>4813.4777376654465</v>
      </c>
    </row>
    <row r="314" spans="1:10">
      <c r="A314" s="45">
        <v>38997</v>
      </c>
      <c r="B314" s="36" t="s">
        <v>30</v>
      </c>
      <c r="C314" s="37">
        <v>138.4</v>
      </c>
      <c r="D314" s="37">
        <v>50.2</v>
      </c>
      <c r="E314" s="37">
        <v>49.5</v>
      </c>
      <c r="F314" s="37">
        <f t="shared" si="25"/>
        <v>88.2</v>
      </c>
      <c r="G314" s="37">
        <f t="shared" si="23"/>
        <v>0.70000000000000284</v>
      </c>
      <c r="H314" s="37">
        <f t="shared" si="22"/>
        <v>700.00000000000284</v>
      </c>
      <c r="I314" s="37">
        <f t="shared" si="26"/>
        <v>8.8200000000000001E-2</v>
      </c>
      <c r="J314" s="37">
        <f t="shared" si="21"/>
        <v>7936.5079365079682</v>
      </c>
    </row>
    <row r="315" spans="1:10">
      <c r="A315" s="43"/>
      <c r="B315" s="36" t="s">
        <v>31</v>
      </c>
      <c r="C315" s="37">
        <v>133.1</v>
      </c>
      <c r="D315" s="37">
        <v>50.4</v>
      </c>
      <c r="E315" s="37">
        <v>49.9</v>
      </c>
      <c r="F315" s="37">
        <f t="shared" si="25"/>
        <v>82.699999999999989</v>
      </c>
      <c r="G315" s="37">
        <f t="shared" si="23"/>
        <v>0.5</v>
      </c>
      <c r="H315" s="37">
        <f t="shared" si="22"/>
        <v>500</v>
      </c>
      <c r="I315" s="37">
        <f t="shared" si="26"/>
        <v>8.2699999999999982E-2</v>
      </c>
      <c r="J315" s="37">
        <f t="shared" si="21"/>
        <v>6045.9492140266038</v>
      </c>
    </row>
    <row r="316" spans="1:10">
      <c r="A316" s="45">
        <v>38999</v>
      </c>
      <c r="B316" s="36" t="s">
        <v>30</v>
      </c>
      <c r="C316" s="37">
        <v>137.5</v>
      </c>
      <c r="D316" s="37">
        <v>51.4</v>
      </c>
      <c r="E316" s="37">
        <v>50.9</v>
      </c>
      <c r="F316" s="37">
        <f t="shared" si="25"/>
        <v>86.1</v>
      </c>
      <c r="G316" s="37">
        <f t="shared" si="23"/>
        <v>0.5</v>
      </c>
      <c r="H316" s="37">
        <f t="shared" si="22"/>
        <v>500</v>
      </c>
      <c r="I316" s="37">
        <f t="shared" si="26"/>
        <v>8.6099999999999996E-2</v>
      </c>
      <c r="J316" s="37">
        <f t="shared" si="21"/>
        <v>5807.200929152149</v>
      </c>
    </row>
    <row r="317" spans="1:10">
      <c r="A317" s="43"/>
      <c r="B317" s="36" t="s">
        <v>31</v>
      </c>
      <c r="C317" s="37">
        <v>132.9</v>
      </c>
      <c r="D317" s="37">
        <v>50.5</v>
      </c>
      <c r="E317" s="37">
        <v>50.1</v>
      </c>
      <c r="F317" s="37">
        <f t="shared" si="25"/>
        <v>82.4</v>
      </c>
      <c r="G317" s="37">
        <f t="shared" si="23"/>
        <v>0.39999999999999858</v>
      </c>
      <c r="H317" s="37">
        <f t="shared" si="22"/>
        <v>399.99999999999858</v>
      </c>
      <c r="I317" s="37">
        <f t="shared" si="26"/>
        <v>8.2400000000000001E-2</v>
      </c>
      <c r="J317" s="37">
        <f t="shared" si="21"/>
        <v>4854.3689320388175</v>
      </c>
    </row>
    <row r="318" spans="1:10">
      <c r="A318" s="45">
        <v>39002</v>
      </c>
      <c r="B318" s="36" t="s">
        <v>30</v>
      </c>
      <c r="C318" s="37">
        <v>130.1</v>
      </c>
      <c r="D318" s="37">
        <v>50.6</v>
      </c>
      <c r="E318" s="37">
        <v>49.9</v>
      </c>
      <c r="F318" s="37">
        <f t="shared" si="25"/>
        <v>79.5</v>
      </c>
      <c r="G318" s="37">
        <f t="shared" si="23"/>
        <v>0.70000000000000284</v>
      </c>
      <c r="H318" s="37">
        <f t="shared" si="22"/>
        <v>700.00000000000284</v>
      </c>
      <c r="I318" s="37">
        <f t="shared" si="26"/>
        <v>7.9500000000000001E-2</v>
      </c>
      <c r="J318" s="37">
        <f t="shared" si="21"/>
        <v>8805.0314465409156</v>
      </c>
    </row>
    <row r="319" spans="1:10">
      <c r="A319" s="43"/>
      <c r="B319" s="36" t="s">
        <v>31</v>
      </c>
      <c r="C319" s="37">
        <v>126.2</v>
      </c>
      <c r="D319" s="37">
        <v>50.3</v>
      </c>
      <c r="E319" s="37">
        <v>49.8</v>
      </c>
      <c r="F319" s="37">
        <f t="shared" si="25"/>
        <v>75.900000000000006</v>
      </c>
      <c r="G319" s="37">
        <f t="shared" si="23"/>
        <v>0.5</v>
      </c>
      <c r="H319" s="37">
        <f t="shared" si="22"/>
        <v>500</v>
      </c>
      <c r="I319" s="37">
        <f t="shared" si="26"/>
        <v>7.5900000000000009E-2</v>
      </c>
      <c r="J319" s="37">
        <f t="shared" si="21"/>
        <v>6587.6152832674561</v>
      </c>
    </row>
    <row r="320" spans="1:10">
      <c r="A320" s="45">
        <v>39004</v>
      </c>
      <c r="B320" s="36" t="s">
        <v>30</v>
      </c>
      <c r="C320" s="37">
        <v>136.6</v>
      </c>
      <c r="D320" s="37">
        <v>50.6</v>
      </c>
      <c r="E320" s="37">
        <v>49.8</v>
      </c>
      <c r="F320" s="37">
        <f t="shared" si="25"/>
        <v>86</v>
      </c>
      <c r="G320" s="37">
        <f t="shared" si="23"/>
        <v>0.80000000000000426</v>
      </c>
      <c r="H320" s="37">
        <f t="shared" si="22"/>
        <v>800.00000000000432</v>
      </c>
      <c r="I320" s="37">
        <f t="shared" si="26"/>
        <v>8.5999999999999993E-2</v>
      </c>
      <c r="J320" s="37">
        <f t="shared" si="21"/>
        <v>9302.3255813954001</v>
      </c>
    </row>
    <row r="321" spans="1:10">
      <c r="A321" s="43"/>
      <c r="B321" s="36" t="s">
        <v>31</v>
      </c>
      <c r="C321" s="37">
        <v>135.4</v>
      </c>
      <c r="D321" s="37">
        <v>50.6</v>
      </c>
      <c r="E321" s="37">
        <v>50</v>
      </c>
      <c r="F321" s="37">
        <f t="shared" si="25"/>
        <v>84.800000000000011</v>
      </c>
      <c r="G321" s="37">
        <f t="shared" si="23"/>
        <v>0.60000000000000142</v>
      </c>
      <c r="H321" s="37">
        <f t="shared" si="22"/>
        <v>600.00000000000136</v>
      </c>
      <c r="I321" s="37">
        <f t="shared" si="26"/>
        <v>8.4800000000000014E-2</v>
      </c>
      <c r="J321" s="37">
        <f t="shared" si="21"/>
        <v>7075.4716981132224</v>
      </c>
    </row>
    <row r="322" spans="1:10">
      <c r="A322" s="45">
        <v>39007</v>
      </c>
      <c r="B322" s="36" t="s">
        <v>30</v>
      </c>
      <c r="C322" s="37">
        <v>125</v>
      </c>
      <c r="D322" s="37">
        <v>51.4</v>
      </c>
      <c r="E322" s="37">
        <v>50.7</v>
      </c>
      <c r="F322" s="37">
        <f t="shared" si="25"/>
        <v>73.599999999999994</v>
      </c>
      <c r="G322" s="37">
        <f t="shared" si="23"/>
        <v>0.69999999999999574</v>
      </c>
      <c r="H322" s="37">
        <f t="shared" si="22"/>
        <v>699.99999999999568</v>
      </c>
      <c r="I322" s="37">
        <f t="shared" si="26"/>
        <v>7.3599999999999999E-2</v>
      </c>
      <c r="J322" s="37">
        <f t="shared" si="21"/>
        <v>9510.8695652173319</v>
      </c>
    </row>
    <row r="323" spans="1:10">
      <c r="A323" s="43"/>
      <c r="B323" s="36" t="s">
        <v>31</v>
      </c>
      <c r="C323" s="37">
        <v>127.4</v>
      </c>
      <c r="D323" s="37">
        <v>50</v>
      </c>
      <c r="E323" s="37">
        <v>49.5</v>
      </c>
      <c r="F323" s="37">
        <f t="shared" si="25"/>
        <v>77.400000000000006</v>
      </c>
      <c r="G323" s="37">
        <f t="shared" si="23"/>
        <v>0.5</v>
      </c>
      <c r="H323" s="37">
        <f t="shared" si="22"/>
        <v>500</v>
      </c>
      <c r="I323" s="37">
        <f t="shared" si="26"/>
        <v>7.740000000000001E-2</v>
      </c>
      <c r="J323" s="37">
        <f t="shared" si="21"/>
        <v>6459.9483204134358</v>
      </c>
    </row>
    <row r="324" spans="1:10">
      <c r="A324" s="45">
        <v>39009</v>
      </c>
      <c r="B324" s="36" t="s">
        <v>30</v>
      </c>
      <c r="C324" s="37">
        <v>145.30000000000001</v>
      </c>
      <c r="D324" s="37">
        <v>74.8</v>
      </c>
      <c r="E324" s="37">
        <v>74.099999999999994</v>
      </c>
      <c r="F324" s="37">
        <f t="shared" si="25"/>
        <v>70.500000000000014</v>
      </c>
      <c r="G324" s="37">
        <f t="shared" si="23"/>
        <v>0.70000000000000284</v>
      </c>
      <c r="H324" s="37">
        <f t="shared" si="22"/>
        <v>700.00000000000284</v>
      </c>
      <c r="I324" s="37">
        <f t="shared" si="26"/>
        <v>7.0500000000000021E-2</v>
      </c>
      <c r="J324" s="37">
        <f t="shared" si="21"/>
        <v>9929.0780141844352</v>
      </c>
    </row>
    <row r="325" spans="1:10">
      <c r="A325" s="43"/>
      <c r="B325" s="36" t="s">
        <v>31</v>
      </c>
      <c r="C325" s="37">
        <v>134.69999999999999</v>
      </c>
      <c r="D325" s="37">
        <v>49.9</v>
      </c>
      <c r="E325" s="37">
        <v>49.3</v>
      </c>
      <c r="F325" s="37">
        <f t="shared" si="25"/>
        <v>84.799999999999983</v>
      </c>
      <c r="G325" s="37">
        <f t="shared" si="23"/>
        <v>0.60000000000000142</v>
      </c>
      <c r="H325" s="37">
        <f t="shared" si="22"/>
        <v>600.00000000000136</v>
      </c>
      <c r="I325" s="37">
        <f t="shared" si="26"/>
        <v>8.4799999999999986E-2</v>
      </c>
      <c r="J325" s="37">
        <f t="shared" si="21"/>
        <v>7075.4716981132251</v>
      </c>
    </row>
    <row r="326" spans="1:10">
      <c r="A326" s="45">
        <v>39011</v>
      </c>
      <c r="B326" s="36" t="s">
        <v>30</v>
      </c>
      <c r="C326" s="37">
        <v>127.3</v>
      </c>
      <c r="D326" s="37">
        <v>50.4</v>
      </c>
      <c r="E326" s="37">
        <v>49.8</v>
      </c>
      <c r="F326" s="37">
        <f t="shared" si="25"/>
        <v>76.900000000000006</v>
      </c>
      <c r="G326" s="37">
        <f t="shared" si="23"/>
        <v>0.60000000000000142</v>
      </c>
      <c r="H326" s="37">
        <f t="shared" si="22"/>
        <v>600.00000000000136</v>
      </c>
      <c r="I326" s="37">
        <f t="shared" si="26"/>
        <v>7.690000000000001E-2</v>
      </c>
      <c r="J326" s="37">
        <f t="shared" si="21"/>
        <v>7802.3407022106803</v>
      </c>
    </row>
    <row r="327" spans="1:10">
      <c r="A327" s="43"/>
      <c r="B327" s="36" t="s">
        <v>31</v>
      </c>
      <c r="C327" s="37">
        <v>145.69999999999999</v>
      </c>
      <c r="D327" s="37">
        <v>50.6</v>
      </c>
      <c r="E327" s="37">
        <v>50</v>
      </c>
      <c r="F327" s="37">
        <f t="shared" si="25"/>
        <v>95.1</v>
      </c>
      <c r="G327" s="37">
        <f t="shared" si="23"/>
        <v>0.60000000000000142</v>
      </c>
      <c r="H327" s="37">
        <f t="shared" si="22"/>
        <v>600.00000000000136</v>
      </c>
      <c r="I327" s="37">
        <f t="shared" si="26"/>
        <v>9.509999999999999E-2</v>
      </c>
      <c r="J327" s="37">
        <f t="shared" si="21"/>
        <v>6309.1482649842419</v>
      </c>
    </row>
    <row r="328" spans="1:10">
      <c r="A328" s="45">
        <v>39014</v>
      </c>
      <c r="B328" s="36" t="s">
        <v>30</v>
      </c>
      <c r="C328" s="37">
        <v>133.69999999999999</v>
      </c>
      <c r="D328" s="37">
        <v>50.5</v>
      </c>
      <c r="E328" s="37">
        <v>49.9</v>
      </c>
      <c r="F328" s="37">
        <f t="shared" si="25"/>
        <v>83.199999999999989</v>
      </c>
      <c r="G328" s="37">
        <f t="shared" si="23"/>
        <v>0.60000000000000142</v>
      </c>
      <c r="H328" s="37">
        <f t="shared" si="22"/>
        <v>600.00000000000136</v>
      </c>
      <c r="I328" s="37">
        <f t="shared" si="26"/>
        <v>8.3199999999999982E-2</v>
      </c>
      <c r="J328" s="37">
        <f t="shared" si="21"/>
        <v>7211.5384615384792</v>
      </c>
    </row>
    <row r="329" spans="1:10">
      <c r="A329" s="43"/>
      <c r="B329" s="36" t="s">
        <v>31</v>
      </c>
      <c r="C329" s="37">
        <v>130.4</v>
      </c>
      <c r="D329" s="37">
        <v>50.1</v>
      </c>
      <c r="E329" s="37">
        <v>49.6</v>
      </c>
      <c r="F329" s="37">
        <f t="shared" si="25"/>
        <v>80.300000000000011</v>
      </c>
      <c r="G329" s="37">
        <f t="shared" si="23"/>
        <v>0.5</v>
      </c>
      <c r="H329" s="37">
        <f t="shared" si="22"/>
        <v>500</v>
      </c>
      <c r="I329" s="37">
        <f t="shared" si="26"/>
        <v>8.030000000000001E-2</v>
      </c>
      <c r="J329" s="37">
        <f t="shared" si="21"/>
        <v>6226.6500622664998</v>
      </c>
    </row>
    <row r="330" spans="1:10">
      <c r="A330" s="45">
        <v>39016</v>
      </c>
      <c r="B330" s="36" t="s">
        <v>30</v>
      </c>
      <c r="C330" s="37">
        <v>136.30000000000001</v>
      </c>
      <c r="D330" s="37">
        <v>52.2</v>
      </c>
      <c r="E330" s="37">
        <v>51.4</v>
      </c>
      <c r="F330" s="37">
        <f t="shared" si="25"/>
        <v>84.100000000000009</v>
      </c>
      <c r="G330" s="37">
        <f t="shared" si="23"/>
        <v>0.80000000000000426</v>
      </c>
      <c r="H330" s="37">
        <f t="shared" si="22"/>
        <v>800.00000000000432</v>
      </c>
      <c r="I330" s="37">
        <f t="shared" si="26"/>
        <v>8.4100000000000008E-2</v>
      </c>
      <c r="J330" s="37">
        <f t="shared" si="21"/>
        <v>9512.4851367420251</v>
      </c>
    </row>
    <row r="331" spans="1:10">
      <c r="A331" s="43"/>
      <c r="B331" s="36" t="s">
        <v>31</v>
      </c>
      <c r="C331" s="37">
        <v>135.1</v>
      </c>
      <c r="D331" s="37">
        <v>51.3</v>
      </c>
      <c r="E331" s="37">
        <v>50.9</v>
      </c>
      <c r="F331" s="37">
        <f t="shared" si="25"/>
        <v>83.8</v>
      </c>
      <c r="G331" s="37">
        <f t="shared" si="23"/>
        <v>0.39999999999999858</v>
      </c>
      <c r="H331" s="37">
        <f t="shared" si="22"/>
        <v>399.99999999999858</v>
      </c>
      <c r="I331" s="37">
        <f t="shared" si="26"/>
        <v>8.3799999999999999E-2</v>
      </c>
      <c r="J331" s="37">
        <f t="shared" si="21"/>
        <v>4773.2696897374535</v>
      </c>
    </row>
    <row r="332" spans="1:10">
      <c r="A332" s="45">
        <v>39018</v>
      </c>
      <c r="B332" s="36" t="s">
        <v>30</v>
      </c>
      <c r="C332" s="37">
        <v>160.69999999999999</v>
      </c>
      <c r="D332" s="37">
        <v>74.900000000000006</v>
      </c>
      <c r="E332" s="37">
        <v>74.2</v>
      </c>
      <c r="F332" s="37">
        <f t="shared" si="25"/>
        <v>85.799999999999983</v>
      </c>
      <c r="G332" s="37">
        <f t="shared" si="23"/>
        <v>0.70000000000000284</v>
      </c>
      <c r="H332" s="37">
        <f t="shared" si="22"/>
        <v>700.00000000000284</v>
      </c>
      <c r="I332" s="37">
        <f t="shared" si="26"/>
        <v>8.5799999999999987E-2</v>
      </c>
      <c r="J332" s="37">
        <f t="shared" si="21"/>
        <v>8158.5081585081925</v>
      </c>
    </row>
    <row r="333" spans="1:10">
      <c r="A333" s="43"/>
      <c r="B333" s="36" t="s">
        <v>31</v>
      </c>
      <c r="C333" s="37">
        <v>133.1</v>
      </c>
      <c r="D333" s="37">
        <v>50.5</v>
      </c>
      <c r="E333" s="37">
        <v>50</v>
      </c>
      <c r="F333" s="37">
        <f t="shared" si="25"/>
        <v>82.6</v>
      </c>
      <c r="G333" s="37">
        <f t="shared" si="23"/>
        <v>0.5</v>
      </c>
      <c r="H333" s="37">
        <f t="shared" si="22"/>
        <v>500</v>
      </c>
      <c r="I333" s="37">
        <f t="shared" si="26"/>
        <v>8.2599999999999993E-2</v>
      </c>
      <c r="J333" s="37">
        <f t="shared" si="21"/>
        <v>6053.2687651331726</v>
      </c>
    </row>
    <row r="334" spans="1:10">
      <c r="A334" s="45">
        <v>39021</v>
      </c>
      <c r="B334" s="36" t="s">
        <v>30</v>
      </c>
      <c r="C334" s="37">
        <v>139</v>
      </c>
      <c r="D334" s="37">
        <v>50.5</v>
      </c>
      <c r="E334" s="37">
        <v>49.7</v>
      </c>
      <c r="F334" s="37">
        <f t="shared" si="25"/>
        <v>88.5</v>
      </c>
      <c r="G334" s="37">
        <f t="shared" si="23"/>
        <v>0.79999999999999716</v>
      </c>
      <c r="H334" s="37">
        <f t="shared" si="22"/>
        <v>799.99999999999716</v>
      </c>
      <c r="I334" s="37">
        <f t="shared" si="26"/>
        <v>8.8499999999999995E-2</v>
      </c>
      <c r="J334" s="37">
        <f t="shared" si="21"/>
        <v>9039.5480225988376</v>
      </c>
    </row>
    <row r="335" spans="1:10">
      <c r="A335" s="43"/>
      <c r="B335" s="36" t="s">
        <v>31</v>
      </c>
      <c r="C335" s="37">
        <v>134.19999999999999</v>
      </c>
      <c r="D335" s="37">
        <v>50.5</v>
      </c>
      <c r="E335" s="37">
        <v>49.8</v>
      </c>
      <c r="F335" s="37">
        <f t="shared" si="25"/>
        <v>83.699999999999989</v>
      </c>
      <c r="G335" s="37">
        <f t="shared" si="23"/>
        <v>0.70000000000000284</v>
      </c>
      <c r="H335" s="37">
        <f t="shared" si="22"/>
        <v>700.00000000000284</v>
      </c>
      <c r="I335" s="37">
        <f t="shared" si="26"/>
        <v>8.3699999999999983E-2</v>
      </c>
      <c r="J335" s="37">
        <f t="shared" si="21"/>
        <v>8363.2019115890434</v>
      </c>
    </row>
    <row r="336" spans="1:10">
      <c r="A336" s="45">
        <v>39023</v>
      </c>
      <c r="B336" s="36" t="s">
        <v>30</v>
      </c>
      <c r="C336" s="37">
        <v>134.1</v>
      </c>
      <c r="D336" s="37">
        <v>51.5</v>
      </c>
      <c r="E336" s="37">
        <v>50.7</v>
      </c>
      <c r="F336" s="37">
        <f t="shared" si="25"/>
        <v>82.6</v>
      </c>
      <c r="G336" s="37">
        <f t="shared" si="23"/>
        <v>0.79999999999999716</v>
      </c>
      <c r="H336" s="37">
        <f t="shared" si="22"/>
        <v>799.99999999999716</v>
      </c>
      <c r="I336" s="37">
        <f t="shared" si="26"/>
        <v>8.2599999999999993E-2</v>
      </c>
      <c r="J336" s="37">
        <f t="shared" si="21"/>
        <v>9685.2300242130423</v>
      </c>
    </row>
    <row r="337" spans="1:10">
      <c r="A337" s="43"/>
      <c r="B337" s="36" t="s">
        <v>31</v>
      </c>
      <c r="C337" s="37">
        <v>138.4</v>
      </c>
      <c r="D337" s="37">
        <v>50.1</v>
      </c>
      <c r="E337" s="37">
        <v>49.4</v>
      </c>
      <c r="F337" s="37">
        <f t="shared" si="25"/>
        <v>88.300000000000011</v>
      </c>
      <c r="G337" s="37">
        <f t="shared" si="23"/>
        <v>0.70000000000000284</v>
      </c>
      <c r="H337" s="37">
        <f t="shared" si="22"/>
        <v>700.00000000000284</v>
      </c>
      <c r="I337" s="37">
        <f t="shared" si="26"/>
        <v>8.8300000000000017E-2</v>
      </c>
      <c r="J337" s="37">
        <f t="shared" si="21"/>
        <v>7927.5198187995775</v>
      </c>
    </row>
    <row r="338" spans="1:10">
      <c r="A338" s="45">
        <v>39025</v>
      </c>
      <c r="B338" s="36" t="s">
        <v>30</v>
      </c>
      <c r="C338" s="37">
        <v>133.19999999999999</v>
      </c>
      <c r="D338" s="37">
        <v>50.6</v>
      </c>
      <c r="E338" s="37">
        <v>49.8</v>
      </c>
      <c r="F338" s="37">
        <f t="shared" si="25"/>
        <v>82.6</v>
      </c>
      <c r="G338" s="37">
        <f t="shared" si="23"/>
        <v>0.80000000000000426</v>
      </c>
      <c r="H338" s="37">
        <f t="shared" si="22"/>
        <v>800.00000000000432</v>
      </c>
      <c r="I338" s="37">
        <f t="shared" si="26"/>
        <v>8.2599999999999993E-2</v>
      </c>
      <c r="J338" s="37">
        <f t="shared" si="21"/>
        <v>9685.2300242131278</v>
      </c>
    </row>
    <row r="339" spans="1:10" s="21" customFormat="1">
      <c r="A339" s="43"/>
      <c r="B339" s="36" t="s">
        <v>31</v>
      </c>
      <c r="C339" s="37">
        <v>138.80000000000001</v>
      </c>
      <c r="D339" s="37">
        <v>50.7</v>
      </c>
      <c r="E339" s="37">
        <v>49.9</v>
      </c>
      <c r="F339" s="37">
        <f t="shared" si="25"/>
        <v>88.100000000000009</v>
      </c>
      <c r="G339" s="37">
        <f>D339-E339</f>
        <v>0.80000000000000426</v>
      </c>
      <c r="H339" s="37">
        <f t="shared" si="22"/>
        <v>800.00000000000432</v>
      </c>
      <c r="I339" s="37">
        <f t="shared" si="26"/>
        <v>8.8100000000000012E-2</v>
      </c>
      <c r="J339" s="37">
        <f t="shared" si="21"/>
        <v>9080.5902383655412</v>
      </c>
    </row>
  </sheetData>
  <autoFilter ref="A2:K339"/>
  <mergeCells count="1">
    <mergeCell ref="A26:J26"/>
  </mergeCells>
  <phoneticPr fontId="3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Sheet2" enableFormatConditionsCalculation="0"/>
  <dimension ref="A1:J1638"/>
  <sheetViews>
    <sheetView workbookViewId="0">
      <selection sqref="A1:J1"/>
    </sheetView>
  </sheetViews>
  <sheetFormatPr baseColWidth="10" defaultColWidth="8.83203125" defaultRowHeight="14" x14ac:dyDescent="0"/>
  <cols>
    <col min="1" max="1" width="8.83203125" style="60"/>
    <col min="2" max="6" width="8.83203125" style="8"/>
    <col min="7" max="7" width="11.5" style="8" customWidth="1"/>
    <col min="8" max="8" width="8.83203125" style="8"/>
    <col min="9" max="9" width="12.5" style="22" bestFit="1" customWidth="1"/>
  </cols>
  <sheetData>
    <row r="1" spans="1:10">
      <c r="A1" s="208" t="s">
        <v>58</v>
      </c>
      <c r="B1" s="209"/>
      <c r="C1" s="209"/>
      <c r="D1" s="209"/>
      <c r="E1" s="209"/>
      <c r="F1" s="209"/>
      <c r="G1" s="209"/>
      <c r="H1" s="209"/>
      <c r="I1" s="209"/>
      <c r="J1" s="210"/>
    </row>
    <row r="2" spans="1:10">
      <c r="A2" s="55" t="s">
        <v>3</v>
      </c>
      <c r="B2" s="47" t="s">
        <v>9</v>
      </c>
      <c r="C2" s="47" t="s">
        <v>10</v>
      </c>
      <c r="D2" s="47" t="s">
        <v>4</v>
      </c>
      <c r="E2" s="47" t="s">
        <v>5</v>
      </c>
      <c r="F2" s="47" t="s">
        <v>7</v>
      </c>
      <c r="G2" s="47" t="s">
        <v>8</v>
      </c>
      <c r="H2" s="47" t="s">
        <v>11</v>
      </c>
      <c r="I2" s="48" t="s">
        <v>38</v>
      </c>
    </row>
    <row r="3" spans="1:10">
      <c r="A3" s="56">
        <v>38621</v>
      </c>
      <c r="B3" s="9" t="s">
        <v>30</v>
      </c>
      <c r="C3" s="9">
        <f>TS!F3</f>
        <v>60.7</v>
      </c>
      <c r="D3" s="9">
        <v>49.5</v>
      </c>
      <c r="E3" s="9">
        <v>48.8</v>
      </c>
      <c r="F3" s="9">
        <f>D3-E3</f>
        <v>0.70000000000000284</v>
      </c>
      <c r="G3" s="9">
        <f>F3*1000</f>
        <v>700.00000000000284</v>
      </c>
      <c r="H3" s="9">
        <f>C3/1000</f>
        <v>6.0700000000000004E-2</v>
      </c>
      <c r="I3" s="49">
        <f>G3/H3</f>
        <v>11532.125205930854</v>
      </c>
    </row>
    <row r="4" spans="1:10">
      <c r="A4" s="57"/>
      <c r="B4" s="9" t="s">
        <v>31</v>
      </c>
      <c r="C4" s="9">
        <f>TS!F4</f>
        <v>79.7</v>
      </c>
      <c r="D4" s="9">
        <v>51.8</v>
      </c>
      <c r="E4" s="9">
        <v>51.2</v>
      </c>
      <c r="F4" s="9">
        <f t="shared" ref="F4:F14" si="0">D4-E4</f>
        <v>0.59999999999999432</v>
      </c>
      <c r="G4" s="9">
        <f t="shared" ref="G4:G14" si="1">F4*1000</f>
        <v>599.99999999999432</v>
      </c>
      <c r="H4" s="9">
        <f t="shared" ref="H4:H67" si="2">C4/1000</f>
        <v>7.9700000000000007E-2</v>
      </c>
      <c r="I4" s="49">
        <f t="shared" ref="I4:I14" si="3">G4/H4</f>
        <v>7528.2308657464773</v>
      </c>
    </row>
    <row r="5" spans="1:10">
      <c r="A5" s="56">
        <v>38622</v>
      </c>
      <c r="B5" s="9" t="s">
        <v>30</v>
      </c>
      <c r="C5" s="9">
        <f>TS!F5</f>
        <v>81.600000000000009</v>
      </c>
      <c r="D5" s="9">
        <v>73.3</v>
      </c>
      <c r="E5" s="9">
        <v>72.7</v>
      </c>
      <c r="F5" s="9">
        <f t="shared" si="0"/>
        <v>0.59999999999999432</v>
      </c>
      <c r="G5" s="9">
        <f t="shared" si="1"/>
        <v>599.99999999999432</v>
      </c>
      <c r="H5" s="9">
        <f t="shared" si="2"/>
        <v>8.1600000000000006E-2</v>
      </c>
      <c r="I5" s="49">
        <f t="shared" si="3"/>
        <v>7352.9411764705183</v>
      </c>
    </row>
    <row r="6" spans="1:10">
      <c r="A6" s="57"/>
      <c r="B6" s="9" t="s">
        <v>31</v>
      </c>
      <c r="C6" s="9">
        <f>TS!F6</f>
        <v>91.2</v>
      </c>
      <c r="D6" s="9">
        <v>61.2</v>
      </c>
      <c r="E6" s="9">
        <v>60.6</v>
      </c>
      <c r="F6" s="9">
        <f t="shared" si="0"/>
        <v>0.60000000000000142</v>
      </c>
      <c r="G6" s="9">
        <f t="shared" si="1"/>
        <v>600.00000000000136</v>
      </c>
      <c r="H6" s="9">
        <f t="shared" si="2"/>
        <v>9.1200000000000003E-2</v>
      </c>
      <c r="I6" s="49">
        <f t="shared" si="3"/>
        <v>6578.947368421067</v>
      </c>
    </row>
    <row r="7" spans="1:10">
      <c r="A7" s="56">
        <v>38625</v>
      </c>
      <c r="B7" s="9" t="s">
        <v>30</v>
      </c>
      <c r="C7" s="9">
        <f>TS!F7</f>
        <v>75</v>
      </c>
      <c r="D7" s="9">
        <v>50.3</v>
      </c>
      <c r="E7" s="9">
        <v>49.9</v>
      </c>
      <c r="F7" s="9">
        <f t="shared" si="0"/>
        <v>0.39999999999999858</v>
      </c>
      <c r="G7" s="9">
        <f t="shared" si="1"/>
        <v>399.99999999999858</v>
      </c>
      <c r="H7" s="9">
        <f t="shared" si="2"/>
        <v>7.4999999999999997E-2</v>
      </c>
      <c r="I7" s="49">
        <f t="shared" si="3"/>
        <v>5333.3333333333148</v>
      </c>
    </row>
    <row r="8" spans="1:10">
      <c r="A8" s="57"/>
      <c r="B8" s="9" t="s">
        <v>31</v>
      </c>
      <c r="C8" s="9">
        <f>TS!F8</f>
        <v>85.300000000000011</v>
      </c>
      <c r="D8" s="9">
        <v>61.1</v>
      </c>
      <c r="E8" s="9">
        <v>60.5</v>
      </c>
      <c r="F8" s="9">
        <f t="shared" si="0"/>
        <v>0.60000000000000142</v>
      </c>
      <c r="G8" s="9">
        <f t="shared" si="1"/>
        <v>600.00000000000136</v>
      </c>
      <c r="H8" s="9">
        <f t="shared" si="2"/>
        <v>8.5300000000000015E-2</v>
      </c>
      <c r="I8" s="49">
        <f t="shared" si="3"/>
        <v>7033.9976553341294</v>
      </c>
    </row>
    <row r="9" spans="1:10">
      <c r="A9" s="56">
        <v>38626</v>
      </c>
      <c r="B9" s="9" t="s">
        <v>30</v>
      </c>
      <c r="C9" s="9">
        <f>TS!F9</f>
        <v>24.699999999999989</v>
      </c>
      <c r="D9" s="9">
        <v>79.900000000000006</v>
      </c>
      <c r="E9" s="9">
        <v>79.7</v>
      </c>
      <c r="F9" s="9">
        <f t="shared" si="0"/>
        <v>0.20000000000000284</v>
      </c>
      <c r="G9" s="9">
        <f t="shared" si="1"/>
        <v>200.00000000000284</v>
      </c>
      <c r="H9" s="9">
        <f t="shared" si="2"/>
        <v>2.4699999999999989E-2</v>
      </c>
      <c r="I9" s="49">
        <f t="shared" si="3"/>
        <v>8097.1659919029526</v>
      </c>
    </row>
    <row r="10" spans="1:10">
      <c r="A10" s="57"/>
      <c r="B10" s="9" t="s">
        <v>31</v>
      </c>
      <c r="C10" s="9">
        <f>TS!F10</f>
        <v>26.600000000000009</v>
      </c>
      <c r="D10" s="9">
        <v>82.6</v>
      </c>
      <c r="E10" s="9">
        <v>82.4</v>
      </c>
      <c r="F10" s="9">
        <f t="shared" si="0"/>
        <v>0.19999999999998863</v>
      </c>
      <c r="G10" s="9">
        <f t="shared" si="1"/>
        <v>199.99999999998863</v>
      </c>
      <c r="H10" s="9">
        <f t="shared" si="2"/>
        <v>2.6600000000000009E-2</v>
      </c>
      <c r="I10" s="49">
        <f t="shared" si="3"/>
        <v>7518.796992480773</v>
      </c>
    </row>
    <row r="11" spans="1:10">
      <c r="A11" s="56">
        <v>38627</v>
      </c>
      <c r="B11" s="9" t="s">
        <v>30</v>
      </c>
      <c r="C11" s="9">
        <f>TS!F11</f>
        <v>55.5</v>
      </c>
      <c r="D11" s="9">
        <v>50.2</v>
      </c>
      <c r="E11" s="9">
        <v>49.9</v>
      </c>
      <c r="F11" s="9">
        <f t="shared" si="0"/>
        <v>0.30000000000000426</v>
      </c>
      <c r="G11" s="9">
        <f t="shared" si="1"/>
        <v>300.00000000000426</v>
      </c>
      <c r="H11" s="9">
        <f t="shared" si="2"/>
        <v>5.5500000000000001E-2</v>
      </c>
      <c r="I11" s="49">
        <f t="shared" si="3"/>
        <v>5405.4054054054823</v>
      </c>
    </row>
    <row r="12" spans="1:10">
      <c r="A12" s="57"/>
      <c r="B12" s="9" t="s">
        <v>31</v>
      </c>
      <c r="C12" s="9">
        <f>TS!F12</f>
        <v>53.699999999999996</v>
      </c>
      <c r="D12" s="9">
        <v>60.1</v>
      </c>
      <c r="E12" s="9">
        <v>59.9</v>
      </c>
      <c r="F12" s="9">
        <f t="shared" si="0"/>
        <v>0.20000000000000284</v>
      </c>
      <c r="G12" s="9">
        <f t="shared" si="1"/>
        <v>200.00000000000284</v>
      </c>
      <c r="H12" s="9">
        <f t="shared" si="2"/>
        <v>5.3699999999999998E-2</v>
      </c>
      <c r="I12" s="49">
        <f t="shared" si="3"/>
        <v>3724.394785847353</v>
      </c>
    </row>
    <row r="13" spans="1:10">
      <c r="A13" s="56">
        <v>38629</v>
      </c>
      <c r="B13" s="9" t="s">
        <v>30</v>
      </c>
      <c r="C13" s="9">
        <f>TS!F13</f>
        <v>75.600000000000009</v>
      </c>
      <c r="D13" s="9">
        <v>82.8</v>
      </c>
      <c r="E13" s="9">
        <v>82.5</v>
      </c>
      <c r="F13" s="9">
        <f t="shared" si="0"/>
        <v>0.29999999999999716</v>
      </c>
      <c r="G13" s="9">
        <f t="shared" si="1"/>
        <v>299.99999999999716</v>
      </c>
      <c r="H13" s="9">
        <f t="shared" si="2"/>
        <v>7.5600000000000014E-2</v>
      </c>
      <c r="I13" s="49">
        <f t="shared" si="3"/>
        <v>3968.25396825393</v>
      </c>
    </row>
    <row r="14" spans="1:10">
      <c r="A14" s="57"/>
      <c r="B14" s="9" t="s">
        <v>31</v>
      </c>
      <c r="C14" s="9">
        <f>TS!F14</f>
        <v>82.1</v>
      </c>
      <c r="D14" s="9">
        <v>80.099999999999994</v>
      </c>
      <c r="E14" s="9">
        <v>79.8</v>
      </c>
      <c r="F14" s="9">
        <f t="shared" si="0"/>
        <v>0.29999999999999716</v>
      </c>
      <c r="G14" s="9">
        <f t="shared" si="1"/>
        <v>299.99999999999716</v>
      </c>
      <c r="H14" s="9">
        <f t="shared" si="2"/>
        <v>8.2099999999999992E-2</v>
      </c>
      <c r="I14" s="49">
        <f t="shared" si="3"/>
        <v>3654.0803897685405</v>
      </c>
    </row>
    <row r="15" spans="1:10">
      <c r="A15" s="56">
        <v>38637</v>
      </c>
      <c r="B15" s="9" t="s">
        <v>30</v>
      </c>
      <c r="C15" s="9">
        <v>86.9</v>
      </c>
      <c r="D15" s="9">
        <v>73.3</v>
      </c>
      <c r="E15" s="9">
        <v>73.099999999999994</v>
      </c>
      <c r="F15" s="9">
        <f>D15-E15</f>
        <v>0.20000000000000284</v>
      </c>
      <c r="G15" s="9">
        <f>F15*1000</f>
        <v>200.00000000000284</v>
      </c>
      <c r="H15" s="9">
        <f t="shared" si="2"/>
        <v>8.6900000000000005E-2</v>
      </c>
      <c r="I15" s="49">
        <f>(G15)/(H15)</f>
        <v>2301.4959723820807</v>
      </c>
    </row>
    <row r="16" spans="1:10">
      <c r="A16" s="56">
        <v>38640</v>
      </c>
      <c r="B16" s="9" t="s">
        <v>30</v>
      </c>
      <c r="C16" s="9">
        <f>TS!F16</f>
        <v>73.7</v>
      </c>
      <c r="D16" s="9">
        <v>51.3</v>
      </c>
      <c r="E16" s="9">
        <v>50.6</v>
      </c>
      <c r="F16" s="9">
        <f t="shared" ref="F16:F94" si="4">D16-E16</f>
        <v>0.69999999999999574</v>
      </c>
      <c r="G16" s="9">
        <f t="shared" ref="G16:G94" si="5">F16*1000</f>
        <v>699.99999999999568</v>
      </c>
      <c r="H16" s="9">
        <f t="shared" si="2"/>
        <v>7.3700000000000002E-2</v>
      </c>
      <c r="I16" s="49">
        <f t="shared" ref="I16:I49" si="6">(G16)/(H16)</f>
        <v>9497.9647218452592</v>
      </c>
    </row>
    <row r="17" spans="1:10">
      <c r="A17" s="57"/>
      <c r="B17" s="9" t="s">
        <v>31</v>
      </c>
      <c r="C17" s="9">
        <f>TS!F17</f>
        <v>67.2</v>
      </c>
      <c r="D17" s="9">
        <v>51.5</v>
      </c>
      <c r="E17" s="9">
        <v>51.1</v>
      </c>
      <c r="F17" s="9">
        <f t="shared" si="4"/>
        <v>0.39999999999999858</v>
      </c>
      <c r="G17" s="9">
        <f t="shared" si="5"/>
        <v>399.99999999999858</v>
      </c>
      <c r="H17" s="9">
        <f t="shared" si="2"/>
        <v>6.720000000000001E-2</v>
      </c>
      <c r="I17" s="49">
        <f t="shared" si="6"/>
        <v>5952.3809523809305</v>
      </c>
    </row>
    <row r="18" spans="1:10">
      <c r="A18" s="56">
        <v>38643</v>
      </c>
      <c r="B18" s="9" t="s">
        <v>30</v>
      </c>
      <c r="C18" s="9">
        <f>TS!F18</f>
        <v>68.099999999999994</v>
      </c>
      <c r="D18" s="9">
        <v>50.7</v>
      </c>
      <c r="E18" s="9">
        <v>50</v>
      </c>
      <c r="F18" s="9">
        <f t="shared" si="4"/>
        <v>0.70000000000000284</v>
      </c>
      <c r="G18" s="9">
        <f t="shared" si="5"/>
        <v>700.00000000000284</v>
      </c>
      <c r="H18" s="9">
        <f t="shared" si="2"/>
        <v>6.8099999999999994E-2</v>
      </c>
      <c r="I18" s="49">
        <f t="shared" si="6"/>
        <v>10279.001468428824</v>
      </c>
    </row>
    <row r="19" spans="1:10">
      <c r="A19" s="57"/>
      <c r="B19" s="9" t="s">
        <v>31</v>
      </c>
      <c r="C19" s="9">
        <f>TS!F19</f>
        <v>55.800000000000004</v>
      </c>
      <c r="D19" s="9">
        <v>50.4</v>
      </c>
      <c r="E19" s="9">
        <v>50.1</v>
      </c>
      <c r="F19" s="9">
        <f t="shared" si="4"/>
        <v>0.29999999999999716</v>
      </c>
      <c r="G19" s="9">
        <f t="shared" si="5"/>
        <v>299.99999999999716</v>
      </c>
      <c r="H19" s="9">
        <f t="shared" si="2"/>
        <v>5.5800000000000002E-2</v>
      </c>
      <c r="I19" s="49">
        <f t="shared" si="6"/>
        <v>5376.3440860214541</v>
      </c>
    </row>
    <row r="20" spans="1:10">
      <c r="A20" s="56">
        <v>38645</v>
      </c>
      <c r="B20" s="9" t="s">
        <v>30</v>
      </c>
      <c r="C20" s="9">
        <f>TS!F20</f>
        <v>68.399999999999991</v>
      </c>
      <c r="D20" s="9">
        <v>51.7</v>
      </c>
      <c r="E20" s="9">
        <v>50.9</v>
      </c>
      <c r="F20" s="9">
        <f t="shared" si="4"/>
        <v>0.80000000000000426</v>
      </c>
      <c r="G20" s="9">
        <f t="shared" si="5"/>
        <v>800.00000000000432</v>
      </c>
      <c r="H20" s="9">
        <f t="shared" si="2"/>
        <v>6.8399999999999989E-2</v>
      </c>
      <c r="I20" s="49">
        <f t="shared" si="6"/>
        <v>11695.906432748603</v>
      </c>
    </row>
    <row r="21" spans="1:10">
      <c r="A21" s="57"/>
      <c r="B21" s="9" t="s">
        <v>31</v>
      </c>
      <c r="C21" s="9">
        <f>TS!F21</f>
        <v>88.600000000000009</v>
      </c>
      <c r="D21" s="9">
        <v>51.8</v>
      </c>
      <c r="E21" s="9">
        <v>51.1</v>
      </c>
      <c r="F21" s="9">
        <f t="shared" si="4"/>
        <v>0.69999999999999574</v>
      </c>
      <c r="G21" s="9">
        <f t="shared" si="5"/>
        <v>699.99999999999568</v>
      </c>
      <c r="H21" s="9">
        <f t="shared" si="2"/>
        <v>8.8600000000000012E-2</v>
      </c>
      <c r="I21" s="49">
        <f t="shared" si="6"/>
        <v>7900.6772009028846</v>
      </c>
    </row>
    <row r="22" spans="1:10">
      <c r="A22" s="56">
        <v>38647</v>
      </c>
      <c r="B22" s="9" t="s">
        <v>30</v>
      </c>
      <c r="C22" s="9">
        <f>TS!F22</f>
        <v>50.199999999999996</v>
      </c>
      <c r="D22" s="9">
        <v>62.4</v>
      </c>
      <c r="E22" s="9">
        <v>61.8</v>
      </c>
      <c r="F22" s="9">
        <f t="shared" si="4"/>
        <v>0.60000000000000142</v>
      </c>
      <c r="G22" s="9">
        <f t="shared" si="5"/>
        <v>600.00000000000136</v>
      </c>
      <c r="H22" s="9">
        <f t="shared" si="2"/>
        <v>5.0199999999999995E-2</v>
      </c>
      <c r="I22" s="49">
        <f t="shared" si="6"/>
        <v>11952.191235059789</v>
      </c>
    </row>
    <row r="23" spans="1:10">
      <c r="A23" s="57"/>
      <c r="B23" s="9" t="s">
        <v>31</v>
      </c>
      <c r="C23" s="9">
        <f>TS!F23</f>
        <v>83.800000000000011</v>
      </c>
      <c r="D23" s="9">
        <v>68.5</v>
      </c>
      <c r="E23" s="9">
        <v>67.900000000000006</v>
      </c>
      <c r="F23" s="9">
        <f t="shared" si="4"/>
        <v>0.59999999999999432</v>
      </c>
      <c r="G23" s="9">
        <f t="shared" si="5"/>
        <v>599.99999999999432</v>
      </c>
      <c r="H23" s="9">
        <f t="shared" si="2"/>
        <v>8.3800000000000013E-2</v>
      </c>
      <c r="I23" s="49">
        <f t="shared" si="6"/>
        <v>7159.9045346061366</v>
      </c>
    </row>
    <row r="24" spans="1:10">
      <c r="A24" s="56">
        <v>38649</v>
      </c>
      <c r="B24" s="9" t="s">
        <v>30</v>
      </c>
      <c r="C24" s="9">
        <f>TS!F24</f>
        <v>79.5</v>
      </c>
      <c r="D24" s="9">
        <v>51.4</v>
      </c>
      <c r="E24" s="9">
        <v>50.6</v>
      </c>
      <c r="F24" s="9">
        <f t="shared" si="4"/>
        <v>0.79999999999999716</v>
      </c>
      <c r="G24" s="9">
        <f t="shared" si="5"/>
        <v>799.99999999999716</v>
      </c>
      <c r="H24" s="9">
        <f t="shared" si="2"/>
        <v>7.9500000000000001E-2</v>
      </c>
      <c r="I24" s="49">
        <f t="shared" si="6"/>
        <v>10062.893081760971</v>
      </c>
    </row>
    <row r="25" spans="1:10" s="29" customFormat="1">
      <c r="A25" s="58"/>
      <c r="B25" s="26" t="s">
        <v>31</v>
      </c>
      <c r="C25" s="26">
        <f>TS!F25</f>
        <v>95.1</v>
      </c>
      <c r="D25" s="26">
        <v>52.1</v>
      </c>
      <c r="E25" s="26">
        <v>51.4</v>
      </c>
      <c r="F25" s="26">
        <f t="shared" si="4"/>
        <v>0.70000000000000284</v>
      </c>
      <c r="G25" s="26">
        <f t="shared" si="5"/>
        <v>700.00000000000284</v>
      </c>
      <c r="H25" s="26">
        <f t="shared" si="2"/>
        <v>9.509999999999999E-2</v>
      </c>
      <c r="I25" s="53">
        <f t="shared" si="6"/>
        <v>7360.6729758149622</v>
      </c>
    </row>
    <row r="26" spans="1:10" s="29" customFormat="1">
      <c r="A26" s="205" t="s">
        <v>60</v>
      </c>
      <c r="B26" s="206"/>
      <c r="C26" s="206"/>
      <c r="D26" s="206"/>
      <c r="E26" s="206"/>
      <c r="F26" s="206"/>
      <c r="G26" s="206"/>
      <c r="H26" s="206"/>
      <c r="I26" s="207"/>
      <c r="J26" s="29" t="s">
        <v>61</v>
      </c>
    </row>
    <row r="27" spans="1:10">
      <c r="A27" s="56">
        <v>38651</v>
      </c>
      <c r="B27" s="9" t="s">
        <v>30</v>
      </c>
      <c r="C27" s="9">
        <f>TS!F27</f>
        <v>190.6</v>
      </c>
      <c r="D27" s="9">
        <v>52</v>
      </c>
      <c r="E27" s="9">
        <v>50.5</v>
      </c>
      <c r="F27" s="9">
        <f t="shared" si="4"/>
        <v>1.5</v>
      </c>
      <c r="G27" s="9">
        <f t="shared" si="5"/>
        <v>1500</v>
      </c>
      <c r="H27" s="9">
        <f t="shared" si="2"/>
        <v>0.19059999999999999</v>
      </c>
      <c r="I27" s="49">
        <f t="shared" si="6"/>
        <v>7869.8845750262335</v>
      </c>
    </row>
    <row r="28" spans="1:10">
      <c r="A28" s="57"/>
      <c r="B28" s="9" t="s">
        <v>31</v>
      </c>
      <c r="C28" s="9">
        <f>TS!F28</f>
        <v>207.49999999999997</v>
      </c>
      <c r="D28" s="9">
        <v>51.6</v>
      </c>
      <c r="E28" s="9">
        <v>50.3</v>
      </c>
      <c r="F28" s="9">
        <f t="shared" si="4"/>
        <v>1.3000000000000043</v>
      </c>
      <c r="G28" s="9">
        <f t="shared" si="5"/>
        <v>1300.0000000000043</v>
      </c>
      <c r="H28" s="9">
        <f t="shared" si="2"/>
        <v>0.20749999999999996</v>
      </c>
      <c r="I28" s="49">
        <f t="shared" si="6"/>
        <v>6265.0602409638777</v>
      </c>
    </row>
    <row r="29" spans="1:10">
      <c r="A29" s="57"/>
      <c r="B29" s="9" t="s">
        <v>56</v>
      </c>
      <c r="C29" s="9">
        <f>TS!F29</f>
        <v>185.29999999999998</v>
      </c>
      <c r="D29" s="9">
        <v>52</v>
      </c>
      <c r="E29" s="9">
        <v>51.3</v>
      </c>
      <c r="F29" s="9">
        <f t="shared" si="4"/>
        <v>0.70000000000000284</v>
      </c>
      <c r="G29" s="9">
        <f t="shared" si="5"/>
        <v>700.00000000000284</v>
      </c>
      <c r="H29" s="9">
        <f t="shared" si="2"/>
        <v>0.18529999999999999</v>
      </c>
      <c r="I29" s="49">
        <f t="shared" si="6"/>
        <v>3777.6578521316937</v>
      </c>
    </row>
    <row r="30" spans="1:10">
      <c r="A30" s="56">
        <v>38652</v>
      </c>
      <c r="B30" s="9" t="s">
        <v>30</v>
      </c>
      <c r="C30" s="9">
        <f>TS!F30</f>
        <v>130.30000000000001</v>
      </c>
      <c r="D30" s="9">
        <v>67.3</v>
      </c>
      <c r="E30" s="9">
        <v>65.400000000000006</v>
      </c>
      <c r="F30" s="9">
        <f t="shared" si="4"/>
        <v>1.8999999999999915</v>
      </c>
      <c r="G30" s="9">
        <f t="shared" si="5"/>
        <v>1899.9999999999914</v>
      </c>
      <c r="H30" s="9">
        <f t="shared" si="2"/>
        <v>0.1303</v>
      </c>
      <c r="I30" s="49">
        <f t="shared" si="6"/>
        <v>14581.734458940839</v>
      </c>
    </row>
    <row r="31" spans="1:10">
      <c r="A31" s="57"/>
      <c r="B31" s="9" t="s">
        <v>31</v>
      </c>
      <c r="C31" s="9">
        <f>TS!F31</f>
        <v>140.5</v>
      </c>
      <c r="D31" s="9">
        <v>69</v>
      </c>
      <c r="E31" s="9">
        <v>68.099999999999994</v>
      </c>
      <c r="F31" s="9">
        <f t="shared" si="4"/>
        <v>0.90000000000000568</v>
      </c>
      <c r="G31" s="9">
        <f t="shared" si="5"/>
        <v>900.00000000000568</v>
      </c>
      <c r="H31" s="9">
        <f t="shared" si="2"/>
        <v>0.14050000000000001</v>
      </c>
      <c r="I31" s="49">
        <f t="shared" si="6"/>
        <v>6405.6939501779761</v>
      </c>
    </row>
    <row r="32" spans="1:10">
      <c r="A32" s="57"/>
      <c r="B32" s="9" t="s">
        <v>56</v>
      </c>
      <c r="C32" s="9">
        <f>TS!F32</f>
        <v>129.60000000000002</v>
      </c>
      <c r="D32" s="9">
        <v>69.3</v>
      </c>
      <c r="E32" s="9">
        <v>69.099999999999994</v>
      </c>
      <c r="F32" s="9">
        <f t="shared" si="4"/>
        <v>0.20000000000000284</v>
      </c>
      <c r="G32" s="9">
        <f t="shared" si="5"/>
        <v>200.00000000000284</v>
      </c>
      <c r="H32" s="9">
        <f t="shared" si="2"/>
        <v>0.12960000000000002</v>
      </c>
      <c r="I32" s="49">
        <f t="shared" si="6"/>
        <v>1543.2098765432315</v>
      </c>
    </row>
    <row r="33" spans="1:9">
      <c r="A33" s="56">
        <v>38654</v>
      </c>
      <c r="B33" s="9" t="s">
        <v>30</v>
      </c>
      <c r="C33" s="9">
        <f>TS!F33</f>
        <v>75.600000000000009</v>
      </c>
      <c r="D33" s="9">
        <v>51.3</v>
      </c>
      <c r="E33" s="9">
        <v>50.8</v>
      </c>
      <c r="F33" s="9">
        <f t="shared" si="4"/>
        <v>0.5</v>
      </c>
      <c r="G33" s="9">
        <f t="shared" si="5"/>
        <v>500</v>
      </c>
      <c r="H33" s="9">
        <f t="shared" si="2"/>
        <v>7.5600000000000014E-2</v>
      </c>
      <c r="I33" s="49">
        <f t="shared" si="6"/>
        <v>6613.7566137566128</v>
      </c>
    </row>
    <row r="34" spans="1:9">
      <c r="A34" s="57"/>
      <c r="B34" s="9" t="s">
        <v>31</v>
      </c>
      <c r="C34" s="9">
        <f>TS!F34</f>
        <v>75.3</v>
      </c>
      <c r="D34" s="9">
        <v>51.2</v>
      </c>
      <c r="E34" s="9">
        <v>50.9</v>
      </c>
      <c r="F34" s="9">
        <f t="shared" si="4"/>
        <v>0.30000000000000426</v>
      </c>
      <c r="G34" s="9">
        <f t="shared" si="5"/>
        <v>300.00000000000426</v>
      </c>
      <c r="H34" s="9">
        <f t="shared" si="2"/>
        <v>7.5299999999999992E-2</v>
      </c>
      <c r="I34" s="49">
        <f t="shared" si="6"/>
        <v>3984.0637450199774</v>
      </c>
    </row>
    <row r="35" spans="1:9">
      <c r="A35" s="57"/>
      <c r="B35" s="9" t="s">
        <v>56</v>
      </c>
      <c r="C35" s="9">
        <f>TS!F35</f>
        <v>76.5</v>
      </c>
      <c r="D35" s="9">
        <v>49.1</v>
      </c>
      <c r="E35" s="9">
        <v>48.8</v>
      </c>
      <c r="F35" s="9">
        <f t="shared" si="4"/>
        <v>0.30000000000000426</v>
      </c>
      <c r="G35" s="9">
        <f t="shared" si="5"/>
        <v>300.00000000000426</v>
      </c>
      <c r="H35" s="9">
        <f t="shared" si="2"/>
        <v>7.6499999999999999E-2</v>
      </c>
      <c r="I35" s="49">
        <f t="shared" si="6"/>
        <v>3921.5686274510363</v>
      </c>
    </row>
    <row r="36" spans="1:9">
      <c r="A36" s="56">
        <v>38657</v>
      </c>
      <c r="B36" s="9" t="s">
        <v>30</v>
      </c>
      <c r="C36" s="9">
        <f>TS!F36</f>
        <v>76.600000000000009</v>
      </c>
      <c r="D36" s="9">
        <v>50.8</v>
      </c>
      <c r="E36" s="9">
        <v>50.4</v>
      </c>
      <c r="F36" s="9">
        <f t="shared" si="4"/>
        <v>0.39999999999999858</v>
      </c>
      <c r="G36" s="9">
        <f t="shared" si="5"/>
        <v>399.99999999999858</v>
      </c>
      <c r="H36" s="9">
        <f t="shared" si="2"/>
        <v>7.6600000000000015E-2</v>
      </c>
      <c r="I36" s="49">
        <f t="shared" si="6"/>
        <v>5221.9321148824865</v>
      </c>
    </row>
    <row r="37" spans="1:9">
      <c r="A37" s="57"/>
      <c r="B37" s="9" t="s">
        <v>31</v>
      </c>
      <c r="C37" s="9">
        <f>TS!F37</f>
        <v>84.5</v>
      </c>
      <c r="D37" s="9">
        <v>48.4</v>
      </c>
      <c r="E37" s="9">
        <v>48</v>
      </c>
      <c r="F37" s="9">
        <f t="shared" si="4"/>
        <v>0.39999999999999858</v>
      </c>
      <c r="G37" s="9">
        <f t="shared" si="5"/>
        <v>399.99999999999858</v>
      </c>
      <c r="H37" s="9">
        <f t="shared" si="2"/>
        <v>8.4500000000000006E-2</v>
      </c>
      <c r="I37" s="49">
        <f t="shared" si="6"/>
        <v>4733.7278106508702</v>
      </c>
    </row>
    <row r="38" spans="1:9">
      <c r="A38" s="57"/>
      <c r="B38" s="9" t="s">
        <v>56</v>
      </c>
      <c r="C38" s="9">
        <f>TS!F38</f>
        <v>86.199999999999989</v>
      </c>
      <c r="D38" s="9">
        <v>50.4</v>
      </c>
      <c r="E38" s="9">
        <v>50.1</v>
      </c>
      <c r="F38" s="9">
        <f t="shared" si="4"/>
        <v>0.29999999999999716</v>
      </c>
      <c r="G38" s="9">
        <f t="shared" si="5"/>
        <v>299.99999999999716</v>
      </c>
      <c r="H38" s="9">
        <f t="shared" si="2"/>
        <v>8.6199999999999985E-2</v>
      </c>
      <c r="I38" s="49">
        <f t="shared" si="6"/>
        <v>3480.2784222737496</v>
      </c>
    </row>
    <row r="39" spans="1:9">
      <c r="A39" s="56">
        <v>38659</v>
      </c>
      <c r="B39" s="9" t="s">
        <v>30</v>
      </c>
      <c r="C39" s="9">
        <f>TS!F39</f>
        <v>56.7</v>
      </c>
      <c r="D39" s="9">
        <v>50.2</v>
      </c>
      <c r="E39" s="9">
        <v>49.8</v>
      </c>
      <c r="F39" s="9">
        <f t="shared" si="4"/>
        <v>0.40000000000000568</v>
      </c>
      <c r="G39" s="9">
        <f t="shared" si="5"/>
        <v>400.00000000000568</v>
      </c>
      <c r="H39" s="9">
        <f t="shared" si="2"/>
        <v>5.67E-2</v>
      </c>
      <c r="I39" s="49">
        <f t="shared" si="6"/>
        <v>7054.6737213404886</v>
      </c>
    </row>
    <row r="40" spans="1:9">
      <c r="A40" s="57"/>
      <c r="B40" s="9" t="s">
        <v>31</v>
      </c>
      <c r="C40" s="9">
        <f>TS!F40</f>
        <v>65.3</v>
      </c>
      <c r="D40" s="9">
        <v>50.3</v>
      </c>
      <c r="E40" s="9">
        <v>50.1</v>
      </c>
      <c r="F40" s="9">
        <f t="shared" si="4"/>
        <v>0.19999999999999574</v>
      </c>
      <c r="G40" s="9">
        <f t="shared" si="5"/>
        <v>199.99999999999574</v>
      </c>
      <c r="H40" s="9">
        <f t="shared" si="2"/>
        <v>6.5299999999999997E-2</v>
      </c>
      <c r="I40" s="49">
        <f t="shared" si="6"/>
        <v>3062.7871362939622</v>
      </c>
    </row>
    <row r="41" spans="1:9">
      <c r="A41" s="57"/>
      <c r="B41" s="9" t="s">
        <v>56</v>
      </c>
      <c r="C41" s="9">
        <f>TS!F41</f>
        <v>66.100000000000009</v>
      </c>
      <c r="D41" s="9">
        <v>50.3</v>
      </c>
      <c r="E41" s="9">
        <v>50.1</v>
      </c>
      <c r="F41" s="9">
        <f t="shared" si="4"/>
        <v>0.19999999999999574</v>
      </c>
      <c r="G41" s="9">
        <f t="shared" si="5"/>
        <v>199.99999999999574</v>
      </c>
      <c r="H41" s="9">
        <f t="shared" si="2"/>
        <v>6.6100000000000006E-2</v>
      </c>
      <c r="I41" s="49">
        <f t="shared" si="6"/>
        <v>3025.7186081693753</v>
      </c>
    </row>
    <row r="42" spans="1:9">
      <c r="A42" s="56">
        <v>38661</v>
      </c>
      <c r="B42" s="9" t="s">
        <v>30</v>
      </c>
      <c r="C42" s="9">
        <f>TS!F42</f>
        <v>76.5</v>
      </c>
      <c r="D42" s="9">
        <v>51.5</v>
      </c>
      <c r="E42" s="9">
        <v>51.1</v>
      </c>
      <c r="F42" s="9">
        <f t="shared" si="4"/>
        <v>0.39999999999999858</v>
      </c>
      <c r="G42" s="9">
        <f t="shared" si="5"/>
        <v>399.99999999999858</v>
      </c>
      <c r="H42" s="9">
        <f t="shared" si="2"/>
        <v>7.6499999999999999E-2</v>
      </c>
      <c r="I42" s="49">
        <f t="shared" si="6"/>
        <v>5228.7581699346219</v>
      </c>
    </row>
    <row r="43" spans="1:9">
      <c r="A43" s="57"/>
      <c r="B43" s="9" t="s">
        <v>31</v>
      </c>
      <c r="C43" s="9">
        <f>TS!F43</f>
        <v>80.200000000000017</v>
      </c>
      <c r="D43" s="9">
        <v>73.099999999999994</v>
      </c>
      <c r="E43" s="9">
        <v>72.7</v>
      </c>
      <c r="F43" s="9">
        <f t="shared" si="4"/>
        <v>0.39999999999999147</v>
      </c>
      <c r="G43" s="9">
        <f t="shared" si="5"/>
        <v>399.99999999999147</v>
      </c>
      <c r="H43" s="9">
        <f t="shared" si="2"/>
        <v>8.0200000000000021E-2</v>
      </c>
      <c r="I43" s="49">
        <f t="shared" si="6"/>
        <v>4987.5311720697182</v>
      </c>
    </row>
    <row r="44" spans="1:9">
      <c r="A44" s="57"/>
      <c r="B44" s="9" t="s">
        <v>56</v>
      </c>
      <c r="C44" s="9">
        <f>TS!F44</f>
        <v>102.19999999999999</v>
      </c>
      <c r="D44" s="9">
        <v>51</v>
      </c>
      <c r="E44" s="9">
        <v>50.7</v>
      </c>
      <c r="F44" s="9">
        <f t="shared" si="4"/>
        <v>0.29999999999999716</v>
      </c>
      <c r="G44" s="9">
        <f t="shared" si="5"/>
        <v>299.99999999999716</v>
      </c>
      <c r="H44" s="9">
        <f t="shared" si="2"/>
        <v>0.10219999999999999</v>
      </c>
      <c r="I44" s="49">
        <f t="shared" si="6"/>
        <v>2935.4207436398942</v>
      </c>
    </row>
    <row r="45" spans="1:9">
      <c r="A45" s="56">
        <v>38664</v>
      </c>
      <c r="B45" s="9" t="s">
        <v>30</v>
      </c>
      <c r="C45" s="9">
        <f>TS!F45</f>
        <v>46.899999999999991</v>
      </c>
      <c r="D45" s="9">
        <v>60.2</v>
      </c>
      <c r="E45" s="9">
        <v>59.9</v>
      </c>
      <c r="F45" s="9">
        <f t="shared" si="4"/>
        <v>0.30000000000000426</v>
      </c>
      <c r="G45" s="9">
        <f t="shared" si="5"/>
        <v>300.00000000000426</v>
      </c>
      <c r="H45" s="9">
        <f t="shared" si="2"/>
        <v>4.689999999999999E-2</v>
      </c>
      <c r="I45" s="49">
        <f t="shared" si="6"/>
        <v>6396.5884861408176</v>
      </c>
    </row>
    <row r="46" spans="1:9">
      <c r="A46" s="57"/>
      <c r="B46" s="9" t="s">
        <v>31</v>
      </c>
      <c r="C46" s="9">
        <f>TS!F46</f>
        <v>56.100000000000009</v>
      </c>
      <c r="D46" s="9">
        <v>51.3</v>
      </c>
      <c r="E46" s="9">
        <v>51</v>
      </c>
      <c r="F46" s="9">
        <f t="shared" si="4"/>
        <v>0.29999999999999716</v>
      </c>
      <c r="G46" s="9">
        <f t="shared" si="5"/>
        <v>299.99999999999716</v>
      </c>
      <c r="H46" s="9">
        <f t="shared" si="2"/>
        <v>5.6100000000000011E-2</v>
      </c>
      <c r="I46" s="49">
        <f t="shared" si="6"/>
        <v>5347.5935828876491</v>
      </c>
    </row>
    <row r="47" spans="1:9">
      <c r="A47" s="57"/>
      <c r="B47" s="9" t="s">
        <v>56</v>
      </c>
      <c r="C47" s="9">
        <f>TS!F47</f>
        <v>30.800000000000004</v>
      </c>
      <c r="D47" s="9">
        <v>60.4</v>
      </c>
      <c r="E47" s="9">
        <v>60.4</v>
      </c>
      <c r="F47" s="9">
        <f t="shared" si="4"/>
        <v>0</v>
      </c>
      <c r="G47" s="9">
        <f t="shared" si="5"/>
        <v>0</v>
      </c>
      <c r="H47" s="9">
        <f t="shared" si="2"/>
        <v>3.0800000000000004E-2</v>
      </c>
      <c r="I47" s="49">
        <f t="shared" si="6"/>
        <v>0</v>
      </c>
    </row>
    <row r="48" spans="1:9">
      <c r="A48" s="56">
        <v>38668</v>
      </c>
      <c r="B48" s="9" t="s">
        <v>30</v>
      </c>
      <c r="C48" s="9">
        <f>TS!F48</f>
        <v>26.400000000000006</v>
      </c>
      <c r="D48" s="9">
        <v>50</v>
      </c>
      <c r="E48" s="9">
        <v>49.9</v>
      </c>
      <c r="F48" s="9">
        <f t="shared" si="4"/>
        <v>0.10000000000000142</v>
      </c>
      <c r="G48" s="9">
        <f t="shared" si="5"/>
        <v>100.00000000000142</v>
      </c>
      <c r="H48" s="9">
        <f t="shared" si="2"/>
        <v>2.6400000000000007E-2</v>
      </c>
      <c r="I48" s="49">
        <f t="shared" si="6"/>
        <v>3787.8787878788407</v>
      </c>
    </row>
    <row r="49" spans="1:9">
      <c r="A49" s="57"/>
      <c r="B49" s="9" t="s">
        <v>31</v>
      </c>
      <c r="C49" s="9">
        <f>TS!F49</f>
        <v>29</v>
      </c>
      <c r="D49" s="9">
        <v>72.7</v>
      </c>
      <c r="E49" s="9">
        <v>72.5</v>
      </c>
      <c r="F49" s="9">
        <f t="shared" si="4"/>
        <v>0.20000000000000284</v>
      </c>
      <c r="G49" s="9">
        <f t="shared" si="5"/>
        <v>200.00000000000284</v>
      </c>
      <c r="H49" s="9">
        <f t="shared" si="2"/>
        <v>2.9000000000000001E-2</v>
      </c>
      <c r="I49" s="49">
        <f t="shared" si="6"/>
        <v>6896.5517241380285</v>
      </c>
    </row>
    <row r="50" spans="1:9">
      <c r="A50" s="57"/>
      <c r="B50" s="9" t="s">
        <v>56</v>
      </c>
      <c r="C50" s="9">
        <f>TS!F50</f>
        <v>33.299999999999997</v>
      </c>
      <c r="D50" s="9">
        <v>50.7</v>
      </c>
      <c r="E50" s="9">
        <v>50.6</v>
      </c>
      <c r="F50" s="9">
        <f t="shared" si="4"/>
        <v>0.10000000000000142</v>
      </c>
      <c r="G50" s="9">
        <f t="shared" si="5"/>
        <v>100.00000000000142</v>
      </c>
      <c r="H50" s="9">
        <f t="shared" si="2"/>
        <v>3.3299999999999996E-2</v>
      </c>
      <c r="I50" s="49">
        <f t="shared" ref="I50:I58" si="7">(G50)/(H50)</f>
        <v>3003.0030030030462</v>
      </c>
    </row>
    <row r="51" spans="1:9">
      <c r="A51" s="56">
        <v>38671</v>
      </c>
      <c r="B51" s="9" t="s">
        <v>30</v>
      </c>
      <c r="C51" s="9">
        <f>TS!F51</f>
        <v>40.500000000000007</v>
      </c>
      <c r="D51" s="9">
        <v>49.4</v>
      </c>
      <c r="E51" s="9">
        <v>49.1</v>
      </c>
      <c r="F51" s="9">
        <f t="shared" si="4"/>
        <v>0.29999999999999716</v>
      </c>
      <c r="G51" s="9">
        <f t="shared" si="5"/>
        <v>299.99999999999716</v>
      </c>
      <c r="H51" s="9">
        <f t="shared" si="2"/>
        <v>4.0500000000000008E-2</v>
      </c>
      <c r="I51" s="49">
        <f t="shared" si="7"/>
        <v>7407.407407407336</v>
      </c>
    </row>
    <row r="52" spans="1:9">
      <c r="A52" s="57"/>
      <c r="B52" s="9" t="s">
        <v>31</v>
      </c>
      <c r="C52" s="9">
        <f>TS!F52</f>
        <v>40.199999999999996</v>
      </c>
      <c r="D52" s="9">
        <v>51.1</v>
      </c>
      <c r="E52" s="9">
        <v>50.9</v>
      </c>
      <c r="F52" s="9">
        <f t="shared" si="4"/>
        <v>0.20000000000000284</v>
      </c>
      <c r="G52" s="9">
        <f t="shared" si="5"/>
        <v>200.00000000000284</v>
      </c>
      <c r="H52" s="9">
        <f t="shared" si="2"/>
        <v>4.0199999999999993E-2</v>
      </c>
      <c r="I52" s="49">
        <f t="shared" si="7"/>
        <v>4975.1243781095245</v>
      </c>
    </row>
    <row r="53" spans="1:9">
      <c r="A53" s="57"/>
      <c r="B53" s="9" t="s">
        <v>56</v>
      </c>
      <c r="C53" s="9">
        <f>TS!F53</f>
        <v>44</v>
      </c>
      <c r="D53" s="9">
        <v>50.4</v>
      </c>
      <c r="E53" s="9">
        <v>49.9</v>
      </c>
      <c r="F53" s="9">
        <f t="shared" si="4"/>
        <v>0.5</v>
      </c>
      <c r="G53" s="9">
        <f t="shared" si="5"/>
        <v>500</v>
      </c>
      <c r="H53" s="9">
        <f t="shared" si="2"/>
        <v>4.3999999999999997E-2</v>
      </c>
      <c r="I53" s="49">
        <f t="shared" si="7"/>
        <v>11363.636363636364</v>
      </c>
    </row>
    <row r="54" spans="1:9">
      <c r="A54" s="56">
        <v>38673</v>
      </c>
      <c r="B54" s="9" t="s">
        <v>30</v>
      </c>
      <c r="C54" s="9">
        <f>TS!F54</f>
        <v>95.600000000000009</v>
      </c>
      <c r="D54" s="9">
        <v>50.8</v>
      </c>
      <c r="E54" s="9">
        <v>50.4</v>
      </c>
      <c r="F54" s="9">
        <f t="shared" si="4"/>
        <v>0.39999999999999858</v>
      </c>
      <c r="G54" s="9">
        <f t="shared" si="5"/>
        <v>399.99999999999858</v>
      </c>
      <c r="H54" s="9">
        <f t="shared" si="2"/>
        <v>9.5600000000000004E-2</v>
      </c>
      <c r="I54" s="49">
        <f t="shared" si="7"/>
        <v>4184.1004184100266</v>
      </c>
    </row>
    <row r="55" spans="1:9">
      <c r="A55" s="57"/>
      <c r="B55" s="9" t="s">
        <v>31</v>
      </c>
      <c r="C55" s="9">
        <f>TS!F55</f>
        <v>69.700000000000017</v>
      </c>
      <c r="D55" s="9">
        <v>73.599999999999994</v>
      </c>
      <c r="E55" s="9">
        <v>73.3</v>
      </c>
      <c r="F55" s="9">
        <f t="shared" si="4"/>
        <v>0.29999999999999716</v>
      </c>
      <c r="G55" s="9">
        <f t="shared" si="5"/>
        <v>299.99999999999716</v>
      </c>
      <c r="H55" s="9">
        <f t="shared" si="2"/>
        <v>6.9700000000000012E-2</v>
      </c>
      <c r="I55" s="49">
        <f t="shared" si="7"/>
        <v>4304.1606886656691</v>
      </c>
    </row>
    <row r="56" spans="1:9">
      <c r="A56" s="57"/>
      <c r="B56" s="9" t="s">
        <v>56</v>
      </c>
      <c r="C56" s="9">
        <f>TS!F56</f>
        <v>72.599999999999994</v>
      </c>
      <c r="D56" s="9">
        <v>70.099999999999994</v>
      </c>
      <c r="E56" s="9">
        <v>69.8</v>
      </c>
      <c r="F56" s="9">
        <f t="shared" si="4"/>
        <v>0.29999999999999716</v>
      </c>
      <c r="G56" s="9">
        <f t="shared" si="5"/>
        <v>299.99999999999716</v>
      </c>
      <c r="H56" s="9">
        <f t="shared" si="2"/>
        <v>7.2599999999999998E-2</v>
      </c>
      <c r="I56" s="49">
        <f t="shared" si="7"/>
        <v>4132.2314049586384</v>
      </c>
    </row>
    <row r="57" spans="1:9">
      <c r="A57" s="56">
        <v>38675</v>
      </c>
      <c r="B57" s="9" t="s">
        <v>30</v>
      </c>
      <c r="C57" s="9">
        <f>TS!F57</f>
        <v>76.5</v>
      </c>
      <c r="D57" s="9">
        <v>51.5</v>
      </c>
      <c r="E57" s="9">
        <v>51.1</v>
      </c>
      <c r="F57" s="9">
        <f t="shared" si="4"/>
        <v>0.39999999999999858</v>
      </c>
      <c r="G57" s="9">
        <f t="shared" si="5"/>
        <v>399.99999999999858</v>
      </c>
      <c r="H57" s="9">
        <f t="shared" si="2"/>
        <v>7.6499999999999999E-2</v>
      </c>
      <c r="I57" s="49">
        <f t="shared" si="7"/>
        <v>5228.7581699346219</v>
      </c>
    </row>
    <row r="58" spans="1:9">
      <c r="A58" s="57"/>
      <c r="B58" s="9" t="s">
        <v>31</v>
      </c>
      <c r="C58" s="9">
        <f>TS!F58</f>
        <v>77.5</v>
      </c>
      <c r="D58" s="9">
        <v>50.5</v>
      </c>
      <c r="E58" s="9">
        <v>50.1</v>
      </c>
      <c r="F58" s="9">
        <f t="shared" si="4"/>
        <v>0.39999999999999858</v>
      </c>
      <c r="G58" s="9">
        <f t="shared" si="5"/>
        <v>399.99999999999858</v>
      </c>
      <c r="H58" s="9">
        <f t="shared" si="2"/>
        <v>7.7499999999999999E-2</v>
      </c>
      <c r="I58" s="49">
        <f t="shared" si="7"/>
        <v>5161.2903225806267</v>
      </c>
    </row>
    <row r="59" spans="1:9">
      <c r="A59" s="57"/>
      <c r="B59" s="9" t="s">
        <v>56</v>
      </c>
      <c r="C59" s="9">
        <f>TS!F59</f>
        <v>0</v>
      </c>
      <c r="D59" s="9">
        <v>72.8</v>
      </c>
      <c r="E59" s="9">
        <v>72.599999999999994</v>
      </c>
      <c r="F59" s="9">
        <f t="shared" si="4"/>
        <v>0.20000000000000284</v>
      </c>
      <c r="G59" s="9">
        <f t="shared" si="5"/>
        <v>200.00000000000284</v>
      </c>
      <c r="H59" s="9">
        <f t="shared" si="2"/>
        <v>0</v>
      </c>
      <c r="I59" s="49"/>
    </row>
    <row r="60" spans="1:9">
      <c r="A60" s="56">
        <v>38687</v>
      </c>
      <c r="B60" s="9" t="s">
        <v>30</v>
      </c>
      <c r="C60" s="9">
        <f>TS!F60</f>
        <v>77.599999999999994</v>
      </c>
      <c r="D60" s="9">
        <v>62.4</v>
      </c>
      <c r="E60" s="9">
        <v>62.1</v>
      </c>
      <c r="F60" s="9">
        <f t="shared" si="4"/>
        <v>0.29999999999999716</v>
      </c>
      <c r="G60" s="9">
        <f t="shared" si="5"/>
        <v>299.99999999999716</v>
      </c>
      <c r="H60" s="9">
        <f t="shared" si="2"/>
        <v>7.7599999999999988E-2</v>
      </c>
      <c r="I60" s="49">
        <f>(G60)/(H60)</f>
        <v>3865.9793814432628</v>
      </c>
    </row>
    <row r="61" spans="1:9">
      <c r="A61" s="57"/>
      <c r="B61" s="9" t="s">
        <v>31</v>
      </c>
      <c r="C61" s="9">
        <f>TS!F61</f>
        <v>90.5</v>
      </c>
      <c r="D61" s="9">
        <v>63.5</v>
      </c>
      <c r="E61" s="9">
        <v>63.1</v>
      </c>
      <c r="F61" s="9">
        <f t="shared" si="4"/>
        <v>0.39999999999999858</v>
      </c>
      <c r="G61" s="9">
        <f t="shared" si="5"/>
        <v>399.99999999999858</v>
      </c>
      <c r="H61" s="9">
        <f t="shared" si="2"/>
        <v>9.0499999999999997E-2</v>
      </c>
      <c r="I61" s="49">
        <f t="shared" ref="I61:I90" si="8">(G61)/(H61)</f>
        <v>4419.8895027624158</v>
      </c>
    </row>
    <row r="62" spans="1:9">
      <c r="A62" s="57"/>
      <c r="B62" s="9" t="s">
        <v>56</v>
      </c>
      <c r="C62" s="9">
        <f>TS!F62</f>
        <v>89.700000000000017</v>
      </c>
      <c r="D62" s="9">
        <v>63.1</v>
      </c>
      <c r="E62" s="9">
        <v>62.9</v>
      </c>
      <c r="F62" s="9">
        <f t="shared" si="4"/>
        <v>0.20000000000000284</v>
      </c>
      <c r="G62" s="9">
        <f t="shared" si="5"/>
        <v>200.00000000000284</v>
      </c>
      <c r="H62" s="9">
        <f t="shared" si="2"/>
        <v>8.9700000000000016E-2</v>
      </c>
      <c r="I62" s="49">
        <f t="shared" si="8"/>
        <v>2229.6544035674783</v>
      </c>
    </row>
    <row r="63" spans="1:9">
      <c r="A63" s="56">
        <v>38689</v>
      </c>
      <c r="B63" s="9" t="s">
        <v>30</v>
      </c>
      <c r="C63" s="9">
        <f>TS!F63</f>
        <v>79.100000000000009</v>
      </c>
      <c r="D63" s="9">
        <v>50.7</v>
      </c>
      <c r="E63" s="9">
        <v>50.3</v>
      </c>
      <c r="F63" s="9">
        <f t="shared" si="4"/>
        <v>0.40000000000000568</v>
      </c>
      <c r="G63" s="9">
        <f t="shared" si="5"/>
        <v>400.00000000000568</v>
      </c>
      <c r="H63" s="9">
        <f t="shared" si="2"/>
        <v>7.9100000000000004E-2</v>
      </c>
      <c r="I63" s="49">
        <f t="shared" si="8"/>
        <v>5056.8900126422968</v>
      </c>
    </row>
    <row r="64" spans="1:9">
      <c r="A64" s="57"/>
      <c r="B64" s="9" t="s">
        <v>31</v>
      </c>
      <c r="C64" s="9">
        <f>TS!F64</f>
        <v>76.800000000000011</v>
      </c>
      <c r="D64" s="9">
        <v>50.9</v>
      </c>
      <c r="E64" s="9">
        <v>50.5</v>
      </c>
      <c r="F64" s="9">
        <f t="shared" si="4"/>
        <v>0.39999999999999858</v>
      </c>
      <c r="G64" s="9">
        <f t="shared" si="5"/>
        <v>399.99999999999858</v>
      </c>
      <c r="H64" s="9">
        <f t="shared" si="2"/>
        <v>7.6800000000000007E-2</v>
      </c>
      <c r="I64" s="49">
        <f t="shared" si="8"/>
        <v>5208.3333333333139</v>
      </c>
    </row>
    <row r="65" spans="1:9">
      <c r="A65" s="57"/>
      <c r="B65" s="9" t="s">
        <v>56</v>
      </c>
      <c r="C65" s="9">
        <f>TS!F65</f>
        <v>79.099999999999994</v>
      </c>
      <c r="D65" s="9">
        <v>50.5</v>
      </c>
      <c r="E65" s="9">
        <v>50.4</v>
      </c>
      <c r="F65" s="9">
        <f t="shared" si="4"/>
        <v>0.10000000000000142</v>
      </c>
      <c r="G65" s="9">
        <f t="shared" si="5"/>
        <v>100.00000000000142</v>
      </c>
      <c r="H65" s="9">
        <f t="shared" si="2"/>
        <v>7.909999999999999E-2</v>
      </c>
      <c r="I65" s="49">
        <f t="shared" si="8"/>
        <v>1264.2225031605744</v>
      </c>
    </row>
    <row r="66" spans="1:9">
      <c r="A66" s="56">
        <v>38692</v>
      </c>
      <c r="B66" s="9" t="s">
        <v>30</v>
      </c>
      <c r="C66" s="9">
        <f>TS!F66</f>
        <v>135.80000000000001</v>
      </c>
      <c r="D66" s="9">
        <v>62.8</v>
      </c>
      <c r="E66" s="9">
        <v>62.2</v>
      </c>
      <c r="F66" s="9">
        <f t="shared" si="4"/>
        <v>0.59999999999999432</v>
      </c>
      <c r="G66" s="9">
        <f t="shared" si="5"/>
        <v>599.99999999999432</v>
      </c>
      <c r="H66" s="9">
        <f t="shared" si="2"/>
        <v>0.1358</v>
      </c>
      <c r="I66" s="49">
        <f t="shared" si="8"/>
        <v>4418.2621502208713</v>
      </c>
    </row>
    <row r="67" spans="1:9">
      <c r="A67" s="57"/>
      <c r="B67" s="9" t="s">
        <v>31</v>
      </c>
      <c r="C67" s="9">
        <f>TS!F67</f>
        <v>131.19999999999999</v>
      </c>
      <c r="D67" s="9">
        <v>68.900000000000006</v>
      </c>
      <c r="E67" s="9">
        <v>68.3</v>
      </c>
      <c r="F67" s="9">
        <f t="shared" si="4"/>
        <v>0.60000000000000853</v>
      </c>
      <c r="G67" s="9">
        <f t="shared" si="5"/>
        <v>600.00000000000853</v>
      </c>
      <c r="H67" s="9">
        <f t="shared" si="2"/>
        <v>0.13119999999999998</v>
      </c>
      <c r="I67" s="49">
        <f t="shared" si="8"/>
        <v>4573.1707317073824</v>
      </c>
    </row>
    <row r="68" spans="1:9">
      <c r="A68" s="57"/>
      <c r="B68" s="9" t="s">
        <v>56</v>
      </c>
      <c r="C68" s="9">
        <f>TS!F68</f>
        <v>125.39999999999999</v>
      </c>
      <c r="D68" s="9">
        <v>69.3</v>
      </c>
      <c r="E68" s="9">
        <v>69</v>
      </c>
      <c r="F68" s="9">
        <f t="shared" si="4"/>
        <v>0.29999999999999716</v>
      </c>
      <c r="G68" s="9">
        <f t="shared" si="5"/>
        <v>299.99999999999716</v>
      </c>
      <c r="H68" s="9">
        <f t="shared" ref="H68:H139" si="9">C68/1000</f>
        <v>0.12539999999999998</v>
      </c>
      <c r="I68" s="49">
        <f t="shared" si="8"/>
        <v>2392.344497607633</v>
      </c>
    </row>
    <row r="69" spans="1:9">
      <c r="A69" s="56">
        <v>38696</v>
      </c>
      <c r="B69" s="9" t="s">
        <v>30</v>
      </c>
      <c r="C69" s="9">
        <f>TS!F69</f>
        <v>105.29999999999998</v>
      </c>
      <c r="D69" s="9">
        <v>68.400000000000006</v>
      </c>
      <c r="E69" s="9">
        <v>67.900000000000006</v>
      </c>
      <c r="F69" s="9">
        <f t="shared" si="4"/>
        <v>0.5</v>
      </c>
      <c r="G69" s="9">
        <f t="shared" si="5"/>
        <v>500</v>
      </c>
      <c r="H69" s="9">
        <f t="shared" si="9"/>
        <v>0.10529999999999998</v>
      </c>
      <c r="I69" s="49">
        <f t="shared" si="8"/>
        <v>4748.3380816714161</v>
      </c>
    </row>
    <row r="70" spans="1:9">
      <c r="A70" s="57"/>
      <c r="B70" s="9" t="s">
        <v>31</v>
      </c>
      <c r="C70" s="9">
        <f>TS!F70</f>
        <v>107.39999999999999</v>
      </c>
      <c r="D70" s="9">
        <v>62.8</v>
      </c>
      <c r="E70" s="9">
        <v>62.2</v>
      </c>
      <c r="F70" s="9">
        <f t="shared" si="4"/>
        <v>0.59999999999999432</v>
      </c>
      <c r="G70" s="9">
        <f t="shared" si="5"/>
        <v>599.99999999999432</v>
      </c>
      <c r="H70" s="9">
        <f t="shared" si="9"/>
        <v>0.1074</v>
      </c>
      <c r="I70" s="49">
        <f t="shared" si="8"/>
        <v>5586.5921787708967</v>
      </c>
    </row>
    <row r="71" spans="1:9">
      <c r="A71" s="57"/>
      <c r="B71" s="9" t="s">
        <v>56</v>
      </c>
      <c r="C71" s="9">
        <f>TS!F71</f>
        <v>124.19999999999999</v>
      </c>
      <c r="D71" s="9">
        <v>62.4</v>
      </c>
      <c r="E71" s="9">
        <v>62.1</v>
      </c>
      <c r="F71" s="9">
        <f t="shared" si="4"/>
        <v>0.29999999999999716</v>
      </c>
      <c r="G71" s="9">
        <f t="shared" si="5"/>
        <v>299.99999999999716</v>
      </c>
      <c r="H71" s="9">
        <f t="shared" si="9"/>
        <v>0.12419999999999999</v>
      </c>
      <c r="I71" s="49">
        <f t="shared" si="8"/>
        <v>2415.4589371980451</v>
      </c>
    </row>
    <row r="72" spans="1:9">
      <c r="A72" s="56">
        <v>38699</v>
      </c>
      <c r="B72" s="9" t="s">
        <v>30</v>
      </c>
      <c r="C72" s="9">
        <f>TS!F72</f>
        <v>65.5</v>
      </c>
      <c r="D72" s="9">
        <v>50.8</v>
      </c>
      <c r="E72" s="9">
        <v>50.5</v>
      </c>
      <c r="F72" s="9">
        <f t="shared" si="4"/>
        <v>0.29999999999999716</v>
      </c>
      <c r="G72" s="9">
        <f t="shared" si="5"/>
        <v>299.99999999999716</v>
      </c>
      <c r="H72" s="9">
        <f t="shared" si="9"/>
        <v>6.5500000000000003E-2</v>
      </c>
      <c r="I72" s="49">
        <f t="shared" si="8"/>
        <v>4580.1526717556817</v>
      </c>
    </row>
    <row r="73" spans="1:9">
      <c r="A73" s="57"/>
      <c r="B73" s="9" t="s">
        <v>31</v>
      </c>
      <c r="C73" s="9">
        <f>TS!F73</f>
        <v>49.199999999999996</v>
      </c>
      <c r="D73" s="9">
        <v>50.1</v>
      </c>
      <c r="E73" s="9">
        <v>49.9</v>
      </c>
      <c r="F73" s="9">
        <f t="shared" si="4"/>
        <v>0.20000000000000284</v>
      </c>
      <c r="G73" s="9">
        <f t="shared" si="5"/>
        <v>200.00000000000284</v>
      </c>
      <c r="H73" s="9">
        <f t="shared" si="9"/>
        <v>4.9199999999999994E-2</v>
      </c>
      <c r="I73" s="49">
        <f t="shared" si="8"/>
        <v>4065.0406504065622</v>
      </c>
    </row>
    <row r="74" spans="1:9">
      <c r="A74" s="57"/>
      <c r="B74" s="9" t="s">
        <v>56</v>
      </c>
      <c r="C74" s="9">
        <f>TS!F74</f>
        <v>87.1</v>
      </c>
      <c r="D74" s="9">
        <v>50.5</v>
      </c>
      <c r="E74" s="9">
        <v>50.3</v>
      </c>
      <c r="F74" s="9">
        <f t="shared" si="4"/>
        <v>0.20000000000000284</v>
      </c>
      <c r="G74" s="9">
        <f t="shared" si="5"/>
        <v>200.00000000000284</v>
      </c>
      <c r="H74" s="9">
        <f t="shared" si="9"/>
        <v>8.7099999999999997E-2</v>
      </c>
      <c r="I74" s="49">
        <f t="shared" si="8"/>
        <v>2296.2112514351647</v>
      </c>
    </row>
    <row r="75" spans="1:9">
      <c r="A75" s="56">
        <v>38700</v>
      </c>
      <c r="B75" s="9" t="s">
        <v>30</v>
      </c>
      <c r="C75" s="9">
        <f>TS!F75</f>
        <v>74</v>
      </c>
      <c r="D75" s="9">
        <v>51.5</v>
      </c>
      <c r="E75" s="9">
        <v>51.2</v>
      </c>
      <c r="F75" s="9">
        <f t="shared" si="4"/>
        <v>0.29999999999999716</v>
      </c>
      <c r="G75" s="9">
        <f t="shared" si="5"/>
        <v>299.99999999999716</v>
      </c>
      <c r="H75" s="9">
        <f t="shared" si="9"/>
        <v>7.3999999999999996E-2</v>
      </c>
      <c r="I75" s="49">
        <f t="shared" si="8"/>
        <v>4054.054054054016</v>
      </c>
    </row>
    <row r="76" spans="1:9">
      <c r="A76" s="57"/>
      <c r="B76" s="9" t="s">
        <v>31</v>
      </c>
      <c r="C76" s="9">
        <f>TS!F76</f>
        <v>67.600000000000009</v>
      </c>
      <c r="D76" s="9">
        <v>57.8</v>
      </c>
      <c r="E76" s="9">
        <v>57.3</v>
      </c>
      <c r="F76" s="9">
        <f t="shared" si="4"/>
        <v>0.5</v>
      </c>
      <c r="G76" s="9">
        <f t="shared" si="5"/>
        <v>500</v>
      </c>
      <c r="H76" s="9">
        <f t="shared" si="9"/>
        <v>6.7600000000000007E-2</v>
      </c>
      <c r="I76" s="49">
        <f t="shared" si="8"/>
        <v>7396.4497041420109</v>
      </c>
    </row>
    <row r="77" spans="1:9">
      <c r="A77" s="57"/>
      <c r="B77" s="9" t="s">
        <v>56</v>
      </c>
      <c r="C77" s="9">
        <f>TS!F77</f>
        <v>76.700000000000017</v>
      </c>
      <c r="D77" s="9">
        <v>60.1</v>
      </c>
      <c r="E77" s="9">
        <v>59.9</v>
      </c>
      <c r="F77" s="9">
        <f t="shared" si="4"/>
        <v>0.20000000000000284</v>
      </c>
      <c r="G77" s="9">
        <f t="shared" si="5"/>
        <v>200.00000000000284</v>
      </c>
      <c r="H77" s="9">
        <f t="shared" si="9"/>
        <v>7.6700000000000018E-2</v>
      </c>
      <c r="I77" s="49">
        <f t="shared" si="8"/>
        <v>2607.5619295958645</v>
      </c>
    </row>
    <row r="78" spans="1:9">
      <c r="A78" s="56">
        <v>38701</v>
      </c>
      <c r="B78" s="9" t="s">
        <v>30</v>
      </c>
      <c r="C78" s="9">
        <f>TS!F78</f>
        <v>62.300000000000004</v>
      </c>
      <c r="D78" s="9">
        <v>50.4</v>
      </c>
      <c r="E78" s="9">
        <v>50.1</v>
      </c>
      <c r="F78" s="9">
        <f t="shared" si="4"/>
        <v>0.29999999999999716</v>
      </c>
      <c r="G78" s="9">
        <f t="shared" si="5"/>
        <v>299.99999999999716</v>
      </c>
      <c r="H78" s="9">
        <f t="shared" si="9"/>
        <v>6.2300000000000001E-2</v>
      </c>
      <c r="I78" s="49">
        <f t="shared" si="8"/>
        <v>4815.4093097912864</v>
      </c>
    </row>
    <row r="79" spans="1:9">
      <c r="A79" s="57"/>
      <c r="B79" s="9" t="s">
        <v>31</v>
      </c>
      <c r="C79" s="9">
        <f>TS!F79</f>
        <v>66.8</v>
      </c>
      <c r="D79" s="9">
        <v>50.2</v>
      </c>
      <c r="E79" s="9">
        <v>50</v>
      </c>
      <c r="F79" s="9">
        <f t="shared" si="4"/>
        <v>0.20000000000000284</v>
      </c>
      <c r="G79" s="9">
        <f t="shared" si="5"/>
        <v>200.00000000000284</v>
      </c>
      <c r="H79" s="9">
        <f t="shared" si="9"/>
        <v>6.6799999999999998E-2</v>
      </c>
      <c r="I79" s="49">
        <f t="shared" si="8"/>
        <v>2994.011976047947</v>
      </c>
    </row>
    <row r="80" spans="1:9">
      <c r="A80" s="57"/>
      <c r="B80" s="9" t="s">
        <v>56</v>
      </c>
      <c r="C80" s="9">
        <f>TS!F80</f>
        <v>75.800000000000011</v>
      </c>
      <c r="D80" s="9">
        <v>49.4</v>
      </c>
      <c r="E80" s="9">
        <v>49.2</v>
      </c>
      <c r="F80" s="9">
        <f t="shared" si="4"/>
        <v>0.19999999999999574</v>
      </c>
      <c r="G80" s="9">
        <f t="shared" si="5"/>
        <v>199.99999999999574</v>
      </c>
      <c r="H80" s="9">
        <f t="shared" si="9"/>
        <v>7.5800000000000006E-2</v>
      </c>
      <c r="I80" s="49">
        <f t="shared" si="8"/>
        <v>2638.5224274405768</v>
      </c>
    </row>
    <row r="81" spans="1:9">
      <c r="A81" s="56">
        <v>38720</v>
      </c>
      <c r="B81" s="9" t="s">
        <v>30</v>
      </c>
      <c r="C81" s="9">
        <f>TS!F81</f>
        <v>85.5</v>
      </c>
      <c r="D81" s="9">
        <v>62.4</v>
      </c>
      <c r="E81" s="9">
        <v>62.1</v>
      </c>
      <c r="F81" s="9">
        <f t="shared" si="4"/>
        <v>0.29999999999999716</v>
      </c>
      <c r="G81" s="9">
        <f t="shared" si="5"/>
        <v>299.99999999999716</v>
      </c>
      <c r="H81" s="9">
        <f t="shared" si="9"/>
        <v>8.5500000000000007E-2</v>
      </c>
      <c r="I81" s="49">
        <f t="shared" si="8"/>
        <v>3508.7719298245279</v>
      </c>
    </row>
    <row r="82" spans="1:9">
      <c r="A82" s="57"/>
      <c r="B82" s="9" t="s">
        <v>31</v>
      </c>
      <c r="C82" s="9">
        <f>TS!F82</f>
        <v>95.199999999999989</v>
      </c>
      <c r="D82" s="9">
        <v>62.5</v>
      </c>
      <c r="E82" s="9">
        <v>62.1</v>
      </c>
      <c r="F82" s="9">
        <f t="shared" si="4"/>
        <v>0.39999999999999858</v>
      </c>
      <c r="G82" s="9">
        <f t="shared" si="5"/>
        <v>399.99999999999858</v>
      </c>
      <c r="H82" s="9">
        <f t="shared" si="9"/>
        <v>9.5199999999999993E-2</v>
      </c>
      <c r="I82" s="49">
        <f t="shared" si="8"/>
        <v>4201.6806722688925</v>
      </c>
    </row>
    <row r="83" spans="1:9">
      <c r="A83" s="57"/>
      <c r="B83" s="9" t="s">
        <v>56</v>
      </c>
      <c r="C83" s="9">
        <f>TS!F83</f>
        <v>101.10000000000001</v>
      </c>
      <c r="D83" s="9">
        <v>68.2</v>
      </c>
      <c r="E83" s="9">
        <v>68</v>
      </c>
      <c r="F83" s="9">
        <f t="shared" si="4"/>
        <v>0.20000000000000284</v>
      </c>
      <c r="G83" s="9">
        <f t="shared" si="5"/>
        <v>200.00000000000284</v>
      </c>
      <c r="H83" s="9">
        <f t="shared" si="9"/>
        <v>0.10110000000000001</v>
      </c>
      <c r="I83" s="49">
        <f t="shared" si="8"/>
        <v>1978.2393669634305</v>
      </c>
    </row>
    <row r="84" spans="1:9">
      <c r="A84" s="56">
        <v>38722</v>
      </c>
      <c r="B84" s="9" t="s">
        <v>30</v>
      </c>
      <c r="C84" s="9">
        <f>TS!F84</f>
        <v>44.3</v>
      </c>
      <c r="D84" s="9">
        <v>69.900000000000006</v>
      </c>
      <c r="E84" s="9">
        <v>69.8</v>
      </c>
      <c r="F84" s="9">
        <f t="shared" si="4"/>
        <v>0.10000000000000853</v>
      </c>
      <c r="G84" s="9">
        <f t="shared" si="5"/>
        <v>100.00000000000853</v>
      </c>
      <c r="H84" s="9">
        <f t="shared" si="9"/>
        <v>4.4299999999999999E-2</v>
      </c>
      <c r="I84" s="49">
        <f t="shared" si="8"/>
        <v>2257.3363431153166</v>
      </c>
    </row>
    <row r="85" spans="1:9">
      <c r="A85" s="57"/>
      <c r="B85" s="9" t="s">
        <v>31</v>
      </c>
      <c r="C85" s="9">
        <f>TS!F85</f>
        <v>36.599999999999994</v>
      </c>
      <c r="D85" s="9">
        <v>50</v>
      </c>
      <c r="E85" s="9">
        <v>49.8</v>
      </c>
      <c r="F85" s="9">
        <f t="shared" si="4"/>
        <v>0.20000000000000284</v>
      </c>
      <c r="G85" s="9">
        <f t="shared" si="5"/>
        <v>200.00000000000284</v>
      </c>
      <c r="H85" s="9">
        <f t="shared" si="9"/>
        <v>3.6599999999999994E-2</v>
      </c>
      <c r="I85" s="49">
        <f t="shared" si="8"/>
        <v>5464.4808743170188</v>
      </c>
    </row>
    <row r="86" spans="1:9">
      <c r="A86" s="57"/>
      <c r="B86" s="9" t="s">
        <v>56</v>
      </c>
      <c r="C86" s="9">
        <f>TS!F86</f>
        <v>71.2</v>
      </c>
      <c r="D86" s="9">
        <v>51.3</v>
      </c>
      <c r="E86" s="9">
        <v>51.2</v>
      </c>
      <c r="F86" s="9">
        <f t="shared" si="4"/>
        <v>9.9999999999994316E-2</v>
      </c>
      <c r="G86" s="9">
        <f t="shared" si="5"/>
        <v>99.999999999994316</v>
      </c>
      <c r="H86" s="9">
        <f t="shared" si="9"/>
        <v>7.1199999999999999E-2</v>
      </c>
      <c r="I86" s="49">
        <f t="shared" si="8"/>
        <v>1404.4943820223921</v>
      </c>
    </row>
    <row r="87" spans="1:9">
      <c r="A87" s="57"/>
      <c r="B87" s="9" t="s">
        <v>57</v>
      </c>
      <c r="C87" s="9">
        <f>TS!F87</f>
        <v>42.400000000000006</v>
      </c>
      <c r="D87" s="9">
        <v>50.3</v>
      </c>
      <c r="E87" s="9">
        <v>50</v>
      </c>
      <c r="F87" s="9">
        <f t="shared" si="4"/>
        <v>0.29999999999999716</v>
      </c>
      <c r="G87" s="9">
        <f t="shared" si="5"/>
        <v>299.99999999999716</v>
      </c>
      <c r="H87" s="9">
        <f t="shared" si="9"/>
        <v>4.2400000000000007E-2</v>
      </c>
      <c r="I87" s="49">
        <f t="shared" si="8"/>
        <v>7075.4716981131396</v>
      </c>
    </row>
    <row r="88" spans="1:9">
      <c r="A88" s="56">
        <v>38724</v>
      </c>
      <c r="B88" s="9" t="s">
        <v>30</v>
      </c>
      <c r="C88" s="9">
        <f>TS!F88</f>
        <v>39.599999999999994</v>
      </c>
      <c r="D88" s="9">
        <v>69</v>
      </c>
      <c r="E88" s="9">
        <v>68.900000000000006</v>
      </c>
      <c r="F88" s="9">
        <f t="shared" si="4"/>
        <v>9.9999999999994316E-2</v>
      </c>
      <c r="G88" s="9">
        <f t="shared" si="5"/>
        <v>99.999999999994316</v>
      </c>
      <c r="H88" s="9">
        <f t="shared" si="9"/>
        <v>3.9599999999999996E-2</v>
      </c>
      <c r="I88" s="49">
        <f t="shared" si="8"/>
        <v>2525.2525252523819</v>
      </c>
    </row>
    <row r="89" spans="1:9">
      <c r="A89" s="57"/>
      <c r="B89" s="9" t="s">
        <v>31</v>
      </c>
      <c r="C89" s="9">
        <f>TS!F89</f>
        <v>42.6</v>
      </c>
      <c r="D89" s="9">
        <v>62.1</v>
      </c>
      <c r="E89" s="9">
        <v>62</v>
      </c>
      <c r="F89" s="9">
        <f t="shared" si="4"/>
        <v>0.10000000000000142</v>
      </c>
      <c r="G89" s="9">
        <f t="shared" si="5"/>
        <v>100.00000000000142</v>
      </c>
      <c r="H89" s="9">
        <f t="shared" si="9"/>
        <v>4.2599999999999999E-2</v>
      </c>
      <c r="I89" s="49">
        <f t="shared" si="8"/>
        <v>2347.4178403756205</v>
      </c>
    </row>
    <row r="90" spans="1:9">
      <c r="A90" s="57"/>
      <c r="B90" s="9" t="s">
        <v>56</v>
      </c>
      <c r="C90" s="9">
        <f>TS!F90</f>
        <v>49.900000000000006</v>
      </c>
      <c r="D90" s="9">
        <v>67.3</v>
      </c>
      <c r="E90" s="9">
        <v>67.3</v>
      </c>
      <c r="F90" s="9">
        <f t="shared" si="4"/>
        <v>0</v>
      </c>
      <c r="G90" s="9">
        <f t="shared" si="5"/>
        <v>0</v>
      </c>
      <c r="H90" s="9">
        <f t="shared" si="9"/>
        <v>4.9900000000000007E-2</v>
      </c>
      <c r="I90" s="49">
        <f t="shared" si="8"/>
        <v>0</v>
      </c>
    </row>
    <row r="91" spans="1:9">
      <c r="A91" s="57"/>
      <c r="B91" s="9" t="s">
        <v>57</v>
      </c>
      <c r="C91" s="9">
        <f>TS!F91</f>
        <v>34.200000000000003</v>
      </c>
      <c r="D91" s="9">
        <v>67.599999999999994</v>
      </c>
      <c r="E91" s="9">
        <v>67.599999999999994</v>
      </c>
      <c r="F91" s="9">
        <f t="shared" si="4"/>
        <v>0</v>
      </c>
      <c r="G91" s="9">
        <f t="shared" si="5"/>
        <v>0</v>
      </c>
      <c r="H91" s="9">
        <f t="shared" si="9"/>
        <v>3.4200000000000001E-2</v>
      </c>
      <c r="I91" s="49">
        <f>(G91)/(H91)</f>
        <v>0</v>
      </c>
    </row>
    <row r="92" spans="1:9">
      <c r="A92" s="56">
        <v>38727</v>
      </c>
      <c r="B92" s="9" t="s">
        <v>30</v>
      </c>
      <c r="C92" s="9">
        <f>TS!F92</f>
        <v>46.899999999999991</v>
      </c>
      <c r="D92" s="9">
        <v>50.2</v>
      </c>
      <c r="E92" s="9">
        <v>50</v>
      </c>
      <c r="F92" s="9">
        <f t="shared" si="4"/>
        <v>0.20000000000000284</v>
      </c>
      <c r="G92" s="9">
        <f t="shared" si="5"/>
        <v>200.00000000000284</v>
      </c>
      <c r="H92" s="9">
        <f t="shared" si="9"/>
        <v>4.689999999999999E-2</v>
      </c>
      <c r="I92" s="49">
        <f>(G92)/(H92)</f>
        <v>4264.3923240938784</v>
      </c>
    </row>
    <row r="93" spans="1:9">
      <c r="A93" s="57"/>
      <c r="B93" s="9" t="s">
        <v>31</v>
      </c>
      <c r="C93" s="9">
        <f>TS!F93</f>
        <v>41.800000000000004</v>
      </c>
      <c r="D93" s="9">
        <v>50.1</v>
      </c>
      <c r="E93" s="9">
        <v>50</v>
      </c>
      <c r="F93" s="9">
        <f t="shared" si="4"/>
        <v>0.10000000000000142</v>
      </c>
      <c r="G93" s="9">
        <f t="shared" si="5"/>
        <v>100.00000000000142</v>
      </c>
      <c r="H93" s="9">
        <f t="shared" si="9"/>
        <v>4.1800000000000004E-2</v>
      </c>
      <c r="I93" s="49">
        <f>(G93)/(H93)</f>
        <v>2392.3444976076894</v>
      </c>
    </row>
    <row r="94" spans="1:9">
      <c r="A94" s="57"/>
      <c r="B94" s="9" t="s">
        <v>56</v>
      </c>
      <c r="C94" s="9">
        <f>TS!F94</f>
        <v>87.700000000000017</v>
      </c>
      <c r="D94" s="9">
        <v>48.1</v>
      </c>
      <c r="E94" s="9">
        <v>48</v>
      </c>
      <c r="F94" s="9">
        <f t="shared" si="4"/>
        <v>0.10000000000000142</v>
      </c>
      <c r="G94" s="9">
        <f t="shared" si="5"/>
        <v>100.00000000000142</v>
      </c>
      <c r="H94" s="9">
        <f t="shared" si="9"/>
        <v>8.7700000000000014E-2</v>
      </c>
      <c r="I94" s="49">
        <f>(G94)/(H94)</f>
        <v>1140.2508551881574</v>
      </c>
    </row>
    <row r="95" spans="1:9">
      <c r="A95" s="56">
        <v>38729</v>
      </c>
      <c r="B95" s="9" t="s">
        <v>30</v>
      </c>
      <c r="C95" s="9">
        <f>TS!F95</f>
        <v>44.6</v>
      </c>
      <c r="D95" s="9">
        <v>49.6</v>
      </c>
      <c r="E95" s="9">
        <v>49.4</v>
      </c>
      <c r="F95" s="9">
        <f t="shared" ref="F95:F165" si="10">D95-E95</f>
        <v>0.20000000000000284</v>
      </c>
      <c r="G95" s="9">
        <f t="shared" ref="G95:G165" si="11">F95*1000</f>
        <v>200.00000000000284</v>
      </c>
      <c r="H95" s="9">
        <f t="shared" si="9"/>
        <v>4.4600000000000001E-2</v>
      </c>
      <c r="I95" s="49">
        <f t="shared" ref="I95:I165" si="12">(G95)/(H95)</f>
        <v>4484.3049327354893</v>
      </c>
    </row>
    <row r="96" spans="1:9">
      <c r="A96" s="57"/>
      <c r="B96" s="9" t="s">
        <v>31</v>
      </c>
      <c r="C96" s="9">
        <f>TS!F96</f>
        <v>43.9</v>
      </c>
      <c r="D96" s="9">
        <v>51.1</v>
      </c>
      <c r="E96" s="9">
        <v>50.9</v>
      </c>
      <c r="F96" s="9">
        <f t="shared" si="10"/>
        <v>0.20000000000000284</v>
      </c>
      <c r="G96" s="9">
        <f t="shared" si="11"/>
        <v>200.00000000000284</v>
      </c>
      <c r="H96" s="9">
        <f t="shared" si="9"/>
        <v>4.3900000000000002E-2</v>
      </c>
      <c r="I96" s="49">
        <f t="shared" si="12"/>
        <v>4555.8086560365109</v>
      </c>
    </row>
    <row r="97" spans="1:9">
      <c r="A97" s="57"/>
      <c r="B97" s="9" t="s">
        <v>56</v>
      </c>
      <c r="C97" s="9">
        <f>TS!F97</f>
        <v>44.8</v>
      </c>
      <c r="D97" s="9">
        <v>49.8</v>
      </c>
      <c r="E97" s="9">
        <v>49.7</v>
      </c>
      <c r="F97" s="9">
        <f t="shared" si="10"/>
        <v>9.9999999999994316E-2</v>
      </c>
      <c r="G97" s="9">
        <f t="shared" si="11"/>
        <v>99.999999999994316</v>
      </c>
      <c r="H97" s="9">
        <f t="shared" si="9"/>
        <v>4.48E-2</v>
      </c>
      <c r="I97" s="49">
        <f t="shared" si="12"/>
        <v>2232.1428571427305</v>
      </c>
    </row>
    <row r="98" spans="1:9">
      <c r="A98" s="56">
        <v>38731</v>
      </c>
      <c r="B98" s="9" t="s">
        <v>30</v>
      </c>
      <c r="C98" s="9">
        <f>TS!F99</f>
        <v>68.599999999999994</v>
      </c>
      <c r="D98" s="9">
        <v>50.2</v>
      </c>
      <c r="E98" s="9">
        <v>49.9</v>
      </c>
      <c r="F98" s="9">
        <f t="shared" si="10"/>
        <v>0.30000000000000426</v>
      </c>
      <c r="G98" s="9">
        <f t="shared" si="11"/>
        <v>300.00000000000426</v>
      </c>
      <c r="H98" s="9">
        <f t="shared" si="9"/>
        <v>6.8599999999999994E-2</v>
      </c>
      <c r="I98" s="49">
        <f t="shared" si="12"/>
        <v>4373.1778425656603</v>
      </c>
    </row>
    <row r="99" spans="1:9">
      <c r="A99" s="57"/>
      <c r="B99" s="9" t="s">
        <v>31</v>
      </c>
      <c r="C99" s="9">
        <f>TS!F100</f>
        <v>55.999999999999993</v>
      </c>
      <c r="D99" s="9">
        <v>50.6</v>
      </c>
      <c r="E99" s="9">
        <v>50.3</v>
      </c>
      <c r="F99" s="9">
        <f t="shared" si="10"/>
        <v>0.30000000000000426</v>
      </c>
      <c r="G99" s="9">
        <f t="shared" si="11"/>
        <v>300.00000000000426</v>
      </c>
      <c r="H99" s="9">
        <f t="shared" si="9"/>
        <v>5.5999999999999994E-2</v>
      </c>
      <c r="I99" s="49">
        <f t="shared" si="12"/>
        <v>5357.1428571429342</v>
      </c>
    </row>
    <row r="100" spans="1:9">
      <c r="A100" s="57"/>
      <c r="B100" s="9" t="s">
        <v>56</v>
      </c>
      <c r="C100" s="9">
        <f>TS!F101</f>
        <v>63.800000000000004</v>
      </c>
      <c r="D100" s="9">
        <v>50.6</v>
      </c>
      <c r="E100" s="9">
        <v>50.4</v>
      </c>
      <c r="F100" s="9">
        <f t="shared" si="10"/>
        <v>0.20000000000000284</v>
      </c>
      <c r="G100" s="9">
        <f t="shared" si="11"/>
        <v>200.00000000000284</v>
      </c>
      <c r="H100" s="9">
        <f t="shared" si="9"/>
        <v>6.3800000000000009E-2</v>
      </c>
      <c r="I100" s="49">
        <f t="shared" si="12"/>
        <v>3134.796238244558</v>
      </c>
    </row>
    <row r="101" spans="1:9">
      <c r="A101" s="56">
        <v>38734</v>
      </c>
      <c r="B101" s="9" t="s">
        <v>30</v>
      </c>
      <c r="C101" s="9">
        <f>TS!F102</f>
        <v>50.9</v>
      </c>
      <c r="D101" s="9">
        <v>57.4</v>
      </c>
      <c r="E101" s="9">
        <v>57.2</v>
      </c>
      <c r="F101" s="9">
        <f t="shared" si="10"/>
        <v>0.19999999999999574</v>
      </c>
      <c r="G101" s="9">
        <f t="shared" si="11"/>
        <v>199.99999999999574</v>
      </c>
      <c r="H101" s="9">
        <f t="shared" si="9"/>
        <v>5.0900000000000001E-2</v>
      </c>
      <c r="I101" s="49">
        <f t="shared" si="12"/>
        <v>3929.2730844792877</v>
      </c>
    </row>
    <row r="102" spans="1:9">
      <c r="A102" s="57"/>
      <c r="B102" s="9" t="s">
        <v>31</v>
      </c>
      <c r="C102" s="9">
        <f>TS!F103</f>
        <v>51.5</v>
      </c>
      <c r="D102" s="9">
        <v>50.3</v>
      </c>
      <c r="E102" s="9">
        <v>50.2</v>
      </c>
      <c r="F102" s="9">
        <f t="shared" si="10"/>
        <v>9.9999999999994316E-2</v>
      </c>
      <c r="G102" s="9">
        <f t="shared" si="11"/>
        <v>99.999999999994316</v>
      </c>
      <c r="H102" s="9">
        <f t="shared" si="9"/>
        <v>5.1499999999999997E-2</v>
      </c>
      <c r="I102" s="49">
        <f t="shared" si="12"/>
        <v>1941.7475728154236</v>
      </c>
    </row>
    <row r="103" spans="1:9">
      <c r="A103" s="57"/>
      <c r="B103" s="9" t="s">
        <v>56</v>
      </c>
      <c r="C103" s="9">
        <f>TS!F104</f>
        <v>53.8</v>
      </c>
      <c r="D103" s="9">
        <v>50.2</v>
      </c>
      <c r="E103" s="9">
        <v>50.1</v>
      </c>
      <c r="F103" s="9">
        <f t="shared" si="10"/>
        <v>0.10000000000000142</v>
      </c>
      <c r="G103" s="9">
        <f t="shared" si="11"/>
        <v>100.00000000000142</v>
      </c>
      <c r="H103" s="9">
        <f t="shared" si="9"/>
        <v>5.3800000000000001E-2</v>
      </c>
      <c r="I103" s="49">
        <f t="shared" si="12"/>
        <v>1858.7360594795803</v>
      </c>
    </row>
    <row r="104" spans="1:9">
      <c r="A104" s="56">
        <v>38736</v>
      </c>
      <c r="B104" s="9" t="s">
        <v>30</v>
      </c>
      <c r="C104" s="9">
        <f>TS!F105</f>
        <v>95.1</v>
      </c>
      <c r="D104" s="9">
        <v>49.1</v>
      </c>
      <c r="E104" s="9">
        <v>48.8</v>
      </c>
      <c r="F104" s="9">
        <f t="shared" si="10"/>
        <v>0.30000000000000426</v>
      </c>
      <c r="G104" s="9">
        <f t="shared" si="11"/>
        <v>300.00000000000426</v>
      </c>
      <c r="H104" s="9">
        <f t="shared" si="9"/>
        <v>9.509999999999999E-2</v>
      </c>
      <c r="I104" s="49">
        <f t="shared" si="12"/>
        <v>3154.5741324921587</v>
      </c>
    </row>
    <row r="105" spans="1:9">
      <c r="A105" s="57"/>
      <c r="B105" s="9" t="s">
        <v>31</v>
      </c>
      <c r="C105" s="9">
        <f>TS!F106</f>
        <v>93.9</v>
      </c>
      <c r="D105" s="9">
        <v>63.4</v>
      </c>
      <c r="E105" s="9">
        <v>63.1</v>
      </c>
      <c r="F105" s="9">
        <f t="shared" si="10"/>
        <v>0.29999999999999716</v>
      </c>
      <c r="G105" s="9">
        <f t="shared" si="11"/>
        <v>299.99999999999716</v>
      </c>
      <c r="H105" s="9">
        <f t="shared" si="9"/>
        <v>9.3900000000000011E-2</v>
      </c>
      <c r="I105" s="49">
        <f t="shared" si="12"/>
        <v>3194.8881789137072</v>
      </c>
    </row>
    <row r="106" spans="1:9">
      <c r="A106" s="57"/>
      <c r="B106" s="9" t="s">
        <v>56</v>
      </c>
      <c r="C106" s="9">
        <f>TS!F107</f>
        <v>103.10000000000001</v>
      </c>
      <c r="D106" s="9">
        <v>51.3</v>
      </c>
      <c r="E106" s="9">
        <v>51.1</v>
      </c>
      <c r="F106" s="9">
        <f t="shared" si="10"/>
        <v>0.19999999999999574</v>
      </c>
      <c r="G106" s="9">
        <f t="shared" si="11"/>
        <v>199.99999999999574</v>
      </c>
      <c r="H106" s="9">
        <f t="shared" si="9"/>
        <v>0.10310000000000001</v>
      </c>
      <c r="I106" s="49">
        <f t="shared" si="12"/>
        <v>1939.864209505293</v>
      </c>
    </row>
    <row r="107" spans="1:9">
      <c r="A107" s="56">
        <v>38738</v>
      </c>
      <c r="B107" s="9" t="s">
        <v>30</v>
      </c>
      <c r="C107" s="9">
        <f>TS!F108</f>
        <v>93.6</v>
      </c>
      <c r="D107" s="9">
        <v>50.4</v>
      </c>
      <c r="E107" s="9">
        <v>50.1</v>
      </c>
      <c r="F107" s="9">
        <f t="shared" si="10"/>
        <v>0.29999999999999716</v>
      </c>
      <c r="G107" s="9">
        <f t="shared" si="11"/>
        <v>299.99999999999716</v>
      </c>
      <c r="H107" s="9">
        <f t="shared" si="9"/>
        <v>9.3599999999999989E-2</v>
      </c>
      <c r="I107" s="49">
        <f t="shared" si="12"/>
        <v>3205.1282051281751</v>
      </c>
    </row>
    <row r="108" spans="1:9">
      <c r="A108" s="57"/>
      <c r="B108" s="9" t="s">
        <v>31</v>
      </c>
      <c r="C108" s="9">
        <f>TS!F109</f>
        <v>98.6</v>
      </c>
      <c r="D108" s="9">
        <v>50.1</v>
      </c>
      <c r="E108" s="9">
        <v>49.8</v>
      </c>
      <c r="F108" s="9">
        <f t="shared" si="10"/>
        <v>0.30000000000000426</v>
      </c>
      <c r="G108" s="9">
        <f t="shared" si="11"/>
        <v>300.00000000000426</v>
      </c>
      <c r="H108" s="9">
        <f t="shared" si="9"/>
        <v>9.8599999999999993E-2</v>
      </c>
      <c r="I108" s="49">
        <f t="shared" si="12"/>
        <v>3042.596348884425</v>
      </c>
    </row>
    <row r="109" spans="1:9">
      <c r="A109" s="57"/>
      <c r="B109" s="9" t="s">
        <v>56</v>
      </c>
      <c r="C109" s="9">
        <f>TS!F110</f>
        <v>99.9</v>
      </c>
      <c r="D109" s="9">
        <v>57.5</v>
      </c>
      <c r="E109" s="9">
        <v>57.3</v>
      </c>
      <c r="F109" s="9">
        <f t="shared" si="10"/>
        <v>0.20000000000000284</v>
      </c>
      <c r="G109" s="9">
        <f t="shared" si="11"/>
        <v>200.00000000000284</v>
      </c>
      <c r="H109" s="9">
        <f t="shared" si="9"/>
        <v>9.9900000000000003E-2</v>
      </c>
      <c r="I109" s="49">
        <f t="shared" si="12"/>
        <v>2002.0020020020304</v>
      </c>
    </row>
    <row r="110" spans="1:9">
      <c r="A110" s="56">
        <v>38741</v>
      </c>
      <c r="B110" s="9" t="s">
        <v>30</v>
      </c>
      <c r="C110" s="9">
        <f>TS!F111</f>
        <v>99.100000000000009</v>
      </c>
      <c r="D110" s="9">
        <v>50.8</v>
      </c>
      <c r="E110" s="9">
        <v>50.5</v>
      </c>
      <c r="F110" s="9">
        <f t="shared" si="10"/>
        <v>0.29999999999999716</v>
      </c>
      <c r="G110" s="9">
        <f t="shared" si="11"/>
        <v>299.99999999999716</v>
      </c>
      <c r="H110" s="9">
        <f t="shared" si="9"/>
        <v>9.9100000000000008E-2</v>
      </c>
      <c r="I110" s="49">
        <f t="shared" si="12"/>
        <v>3027.2452068617267</v>
      </c>
    </row>
    <row r="111" spans="1:9">
      <c r="A111" s="57"/>
      <c r="B111" s="9" t="s">
        <v>31</v>
      </c>
      <c r="C111" s="9">
        <f>TS!F112</f>
        <v>90.300000000000011</v>
      </c>
      <c r="D111" s="9">
        <v>48.1</v>
      </c>
      <c r="E111" s="9">
        <v>47.9</v>
      </c>
      <c r="F111" s="9">
        <f t="shared" si="10"/>
        <v>0.20000000000000284</v>
      </c>
      <c r="G111" s="9">
        <f t="shared" si="11"/>
        <v>200.00000000000284</v>
      </c>
      <c r="H111" s="9">
        <f t="shared" si="9"/>
        <v>9.0300000000000005E-2</v>
      </c>
      <c r="I111" s="49">
        <f t="shared" si="12"/>
        <v>2214.8394241417809</v>
      </c>
    </row>
    <row r="112" spans="1:9">
      <c r="A112" s="57"/>
      <c r="B112" s="9" t="s">
        <v>56</v>
      </c>
      <c r="C112" s="9">
        <f>TS!F113</f>
        <v>91.4</v>
      </c>
      <c r="D112" s="9">
        <v>50.4</v>
      </c>
      <c r="E112" s="9">
        <v>50.2</v>
      </c>
      <c r="F112" s="9">
        <f t="shared" si="10"/>
        <v>0.19999999999999574</v>
      </c>
      <c r="G112" s="9">
        <f t="shared" si="11"/>
        <v>199.99999999999574</v>
      </c>
      <c r="H112" s="9">
        <f t="shared" si="9"/>
        <v>9.1400000000000009E-2</v>
      </c>
      <c r="I112" s="49">
        <f t="shared" si="12"/>
        <v>2188.1838074397779</v>
      </c>
    </row>
    <row r="113" spans="1:10">
      <c r="A113" s="56">
        <v>38743</v>
      </c>
      <c r="B113" s="9" t="s">
        <v>30</v>
      </c>
      <c r="C113" s="9">
        <f>TS!F114</f>
        <v>94</v>
      </c>
      <c r="D113" s="9">
        <v>50</v>
      </c>
      <c r="E113" s="9">
        <v>49.8</v>
      </c>
      <c r="F113" s="9">
        <f t="shared" si="10"/>
        <v>0.20000000000000284</v>
      </c>
      <c r="G113" s="9">
        <f t="shared" si="11"/>
        <v>200.00000000000284</v>
      </c>
      <c r="H113" s="9">
        <f t="shared" si="9"/>
        <v>9.4E-2</v>
      </c>
      <c r="I113" s="49">
        <f t="shared" si="12"/>
        <v>2127.6595744681154</v>
      </c>
    </row>
    <row r="114" spans="1:10">
      <c r="A114" s="57"/>
      <c r="B114" s="9" t="s">
        <v>31</v>
      </c>
      <c r="C114" s="9">
        <f>TS!F115</f>
        <v>85.399999999999991</v>
      </c>
      <c r="D114" s="9">
        <v>72.8</v>
      </c>
      <c r="E114" s="9">
        <v>72.599999999999994</v>
      </c>
      <c r="F114" s="9">
        <f t="shared" si="10"/>
        <v>0.20000000000000284</v>
      </c>
      <c r="G114" s="9">
        <f t="shared" si="11"/>
        <v>200.00000000000284</v>
      </c>
      <c r="H114" s="9">
        <f t="shared" si="9"/>
        <v>8.539999999999999E-2</v>
      </c>
      <c r="I114" s="49">
        <f t="shared" si="12"/>
        <v>2341.9203747072934</v>
      </c>
    </row>
    <row r="115" spans="1:10">
      <c r="A115" s="57"/>
      <c r="B115" s="9" t="s">
        <v>56</v>
      </c>
      <c r="C115" s="9">
        <f>TS!F116</f>
        <v>89.600000000000009</v>
      </c>
      <c r="D115" s="9">
        <v>63.3</v>
      </c>
      <c r="E115" s="9">
        <v>63.1</v>
      </c>
      <c r="F115" s="9">
        <f t="shared" si="10"/>
        <v>0.19999999999999574</v>
      </c>
      <c r="G115" s="9">
        <f t="shared" si="11"/>
        <v>199.99999999999574</v>
      </c>
      <c r="H115" s="9">
        <f t="shared" si="9"/>
        <v>8.9600000000000013E-2</v>
      </c>
      <c r="I115" s="49">
        <f t="shared" si="12"/>
        <v>2232.1428571428091</v>
      </c>
    </row>
    <row r="116" spans="1:10">
      <c r="A116" s="56">
        <v>38745</v>
      </c>
      <c r="B116" s="9" t="s">
        <v>30</v>
      </c>
      <c r="C116" s="9">
        <f>TS!F117</f>
        <v>87.5</v>
      </c>
      <c r="D116" s="9">
        <v>48.1</v>
      </c>
      <c r="E116" s="9">
        <v>47.9</v>
      </c>
      <c r="F116" s="9">
        <f t="shared" si="10"/>
        <v>0.20000000000000284</v>
      </c>
      <c r="G116" s="9">
        <f t="shared" si="11"/>
        <v>200.00000000000284</v>
      </c>
      <c r="H116" s="9">
        <f t="shared" si="9"/>
        <v>8.7499999999999994E-2</v>
      </c>
      <c r="I116" s="49">
        <f t="shared" si="12"/>
        <v>2285.7142857143185</v>
      </c>
    </row>
    <row r="117" spans="1:10">
      <c r="A117" s="57"/>
      <c r="B117" s="9" t="s">
        <v>31</v>
      </c>
      <c r="C117" s="9">
        <f>TS!F118</f>
        <v>92.9</v>
      </c>
      <c r="D117" s="9">
        <v>50.5</v>
      </c>
      <c r="E117" s="9">
        <v>50.2</v>
      </c>
      <c r="F117" s="9">
        <f t="shared" si="10"/>
        <v>0.29999999999999716</v>
      </c>
      <c r="G117" s="9">
        <f t="shared" si="11"/>
        <v>299.99999999999716</v>
      </c>
      <c r="H117" s="9">
        <f t="shared" si="9"/>
        <v>9.290000000000001E-2</v>
      </c>
      <c r="I117" s="49">
        <f t="shared" si="12"/>
        <v>3229.2787944025526</v>
      </c>
      <c r="J117" t="s">
        <v>29</v>
      </c>
    </row>
    <row r="118" spans="1:10">
      <c r="A118" s="56">
        <v>38748</v>
      </c>
      <c r="B118" s="9" t="s">
        <v>30</v>
      </c>
      <c r="C118" s="10">
        <f>TS!F119</f>
        <v>89.2</v>
      </c>
      <c r="D118" s="9"/>
      <c r="E118" s="9"/>
      <c r="F118" s="9"/>
      <c r="G118" s="50">
        <f>H118*I118</f>
        <v>256.49696191892156</v>
      </c>
      <c r="H118" s="9">
        <f t="shared" si="9"/>
        <v>8.9200000000000002E-2</v>
      </c>
      <c r="I118" s="51">
        <v>2875.5264789116763</v>
      </c>
    </row>
    <row r="119" spans="1:10">
      <c r="A119" s="57"/>
      <c r="B119" s="9" t="s">
        <v>31</v>
      </c>
      <c r="C119" s="10">
        <f>TS!F120</f>
        <v>88.699999999999989</v>
      </c>
      <c r="D119" s="9"/>
      <c r="E119" s="9"/>
      <c r="F119" s="9"/>
      <c r="G119" s="50">
        <f t="shared" ref="G119:G129" si="13">H119*I119</f>
        <v>256.4969619189261</v>
      </c>
      <c r="H119" s="9">
        <f t="shared" si="9"/>
        <v>8.8699999999999987E-2</v>
      </c>
      <c r="I119" s="51">
        <v>2891.7357600780851</v>
      </c>
      <c r="J119" t="s">
        <v>59</v>
      </c>
    </row>
    <row r="120" spans="1:10">
      <c r="A120" s="56">
        <v>38750</v>
      </c>
      <c r="B120" s="9" t="s">
        <v>30</v>
      </c>
      <c r="C120" s="10">
        <f>TS!F121</f>
        <v>89.699999999999989</v>
      </c>
      <c r="D120" s="9"/>
      <c r="E120" s="9"/>
      <c r="F120" s="9"/>
      <c r="G120" s="50">
        <f t="shared" si="13"/>
        <v>256.49696191892605</v>
      </c>
      <c r="H120" s="9">
        <f t="shared" si="9"/>
        <v>8.9699999999999988E-2</v>
      </c>
      <c r="I120" s="51">
        <v>2859.4979032210267</v>
      </c>
    </row>
    <row r="121" spans="1:10">
      <c r="A121" s="57"/>
      <c r="B121" s="9" t="s">
        <v>31</v>
      </c>
      <c r="C121" s="10">
        <f>TS!F122</f>
        <v>98.1</v>
      </c>
      <c r="D121" s="9"/>
      <c r="E121" s="9"/>
      <c r="F121" s="9"/>
      <c r="G121" s="50">
        <f t="shared" si="13"/>
        <v>256.4969619189261</v>
      </c>
      <c r="H121" s="9">
        <f t="shared" si="9"/>
        <v>9.8099999999999993E-2</v>
      </c>
      <c r="I121" s="51">
        <v>2614.6479298565355</v>
      </c>
    </row>
    <row r="122" spans="1:10">
      <c r="A122" s="56">
        <v>38752</v>
      </c>
      <c r="B122" s="9" t="s">
        <v>30</v>
      </c>
      <c r="C122" s="10">
        <f>TS!F123</f>
        <v>93.5</v>
      </c>
      <c r="D122" s="9"/>
      <c r="E122" s="9"/>
      <c r="F122" s="9"/>
      <c r="G122" s="50">
        <f t="shared" si="13"/>
        <v>320.6212023986588</v>
      </c>
      <c r="H122" s="9">
        <f t="shared" si="9"/>
        <v>9.35E-2</v>
      </c>
      <c r="I122" s="51">
        <v>3429.1037689696127</v>
      </c>
    </row>
    <row r="123" spans="1:10">
      <c r="A123" s="57"/>
      <c r="B123" s="9" t="s">
        <v>31</v>
      </c>
      <c r="C123" s="10">
        <f>TS!F124</f>
        <v>93.8</v>
      </c>
      <c r="D123" s="9"/>
      <c r="E123" s="9"/>
      <c r="F123" s="9"/>
      <c r="G123" s="50">
        <f t="shared" si="13"/>
        <v>256.4969619189261</v>
      </c>
      <c r="H123" s="9">
        <f t="shared" si="9"/>
        <v>9.3799999999999994E-2</v>
      </c>
      <c r="I123" s="51">
        <v>2734.5091889011314</v>
      </c>
    </row>
    <row r="124" spans="1:10">
      <c r="A124" s="56">
        <v>38755</v>
      </c>
      <c r="B124" s="9" t="s">
        <v>30</v>
      </c>
      <c r="C124" s="10">
        <f>TS!F125</f>
        <v>93.800000000000011</v>
      </c>
      <c r="D124" s="9"/>
      <c r="E124" s="9"/>
      <c r="F124" s="9"/>
      <c r="G124" s="50">
        <f t="shared" si="13"/>
        <v>320.6212023986588</v>
      </c>
      <c r="H124" s="9">
        <f t="shared" si="9"/>
        <v>9.3800000000000008E-2</v>
      </c>
      <c r="I124" s="51">
        <v>3418.136486126426</v>
      </c>
    </row>
    <row r="125" spans="1:10">
      <c r="A125" s="57"/>
      <c r="B125" s="9" t="s">
        <v>31</v>
      </c>
      <c r="C125" s="10">
        <f>TS!F126</f>
        <v>101.5</v>
      </c>
      <c r="D125" s="9"/>
      <c r="E125" s="9"/>
      <c r="F125" s="9"/>
      <c r="G125" s="50">
        <f t="shared" si="13"/>
        <v>256.4969619189261</v>
      </c>
      <c r="H125" s="9">
        <f t="shared" si="9"/>
        <v>0.10150000000000001</v>
      </c>
      <c r="I125" s="51">
        <v>2527.0636642258728</v>
      </c>
    </row>
    <row r="126" spans="1:10">
      <c r="A126" s="56">
        <v>38757</v>
      </c>
      <c r="B126" s="9" t="s">
        <v>30</v>
      </c>
      <c r="C126" s="10">
        <f>TS!F127</f>
        <v>102.96999999999998</v>
      </c>
      <c r="D126" s="9"/>
      <c r="E126" s="9"/>
      <c r="F126" s="9"/>
      <c r="G126" s="50">
        <f t="shared" si="13"/>
        <v>256.49696191893065</v>
      </c>
      <c r="H126" s="9">
        <f t="shared" si="9"/>
        <v>0.10296999999999998</v>
      </c>
      <c r="I126" s="51">
        <v>2490.98729648374</v>
      </c>
    </row>
    <row r="127" spans="1:10">
      <c r="A127" s="57"/>
      <c r="B127" s="9" t="s">
        <v>31</v>
      </c>
      <c r="C127" s="10">
        <f>TS!F128</f>
        <v>89.919999999999987</v>
      </c>
      <c r="D127" s="9"/>
      <c r="E127" s="9"/>
      <c r="F127" s="9"/>
      <c r="G127" s="50">
        <f t="shared" si="13"/>
        <v>128.24848095946078</v>
      </c>
      <c r="H127" s="9">
        <f t="shared" si="9"/>
        <v>8.9919999999999986E-2</v>
      </c>
      <c r="I127" s="51">
        <v>1426.2509003498753</v>
      </c>
    </row>
    <row r="128" spans="1:10">
      <c r="A128" s="56">
        <v>38759</v>
      </c>
      <c r="B128" s="9" t="s">
        <v>30</v>
      </c>
      <c r="C128" s="10">
        <f>TS!F129</f>
        <v>100.63999999999999</v>
      </c>
      <c r="D128" s="9"/>
      <c r="E128" s="9"/>
      <c r="F128" s="9"/>
      <c r="G128" s="50">
        <f t="shared" si="13"/>
        <v>320.62120239865874</v>
      </c>
      <c r="H128" s="9">
        <f t="shared" si="9"/>
        <v>0.10063999999999998</v>
      </c>
      <c r="I128" s="51">
        <v>3185.8227583332555</v>
      </c>
    </row>
    <row r="129" spans="1:9">
      <c r="A129" s="57"/>
      <c r="B129" s="9" t="s">
        <v>31</v>
      </c>
      <c r="C129" s="10">
        <f>TS!F130</f>
        <v>92.800000000000011</v>
      </c>
      <c r="D129" s="9"/>
      <c r="E129" s="9"/>
      <c r="F129" s="9"/>
      <c r="G129" s="50">
        <f t="shared" si="13"/>
        <v>256.4969619189261</v>
      </c>
      <c r="H129" s="9">
        <f t="shared" si="9"/>
        <v>9.2800000000000007E-2</v>
      </c>
      <c r="I129" s="51">
        <v>2763.9758827470482</v>
      </c>
    </row>
    <row r="130" spans="1:9">
      <c r="A130" s="56">
        <v>38762</v>
      </c>
      <c r="B130" s="9" t="s">
        <v>30</v>
      </c>
      <c r="C130" s="9">
        <f>TS!F131</f>
        <v>89.1</v>
      </c>
      <c r="D130" s="9">
        <v>72.900000000000006</v>
      </c>
      <c r="E130" s="9">
        <v>72.599999999999994</v>
      </c>
      <c r="F130" s="9">
        <f t="shared" si="10"/>
        <v>0.30000000000001137</v>
      </c>
      <c r="G130" s="9">
        <f t="shared" si="11"/>
        <v>300.00000000001137</v>
      </c>
      <c r="H130" s="9">
        <f t="shared" si="9"/>
        <v>8.9099999999999999E-2</v>
      </c>
      <c r="I130" s="49">
        <f t="shared" si="12"/>
        <v>3367.0033670034945</v>
      </c>
    </row>
    <row r="131" spans="1:9">
      <c r="A131" s="57"/>
      <c r="B131" s="9" t="s">
        <v>31</v>
      </c>
      <c r="C131" s="9">
        <f>TS!F132</f>
        <v>100.7</v>
      </c>
      <c r="D131" s="9">
        <v>51.3</v>
      </c>
      <c r="E131" s="9">
        <v>51.2</v>
      </c>
      <c r="F131" s="9">
        <f t="shared" si="10"/>
        <v>9.9999999999994316E-2</v>
      </c>
      <c r="G131" s="9">
        <f t="shared" si="11"/>
        <v>99.999999999994316</v>
      </c>
      <c r="H131" s="9">
        <f t="shared" si="9"/>
        <v>0.1007</v>
      </c>
      <c r="I131" s="49">
        <f t="shared" si="12"/>
        <v>993.04865938425337</v>
      </c>
    </row>
    <row r="132" spans="1:9">
      <c r="A132" s="56">
        <v>38764</v>
      </c>
      <c r="B132" s="9" t="s">
        <v>30</v>
      </c>
      <c r="C132" s="9">
        <f>TS!F133</f>
        <v>92.100000000000009</v>
      </c>
      <c r="D132" s="9">
        <v>51.2</v>
      </c>
      <c r="E132" s="9">
        <v>50.9</v>
      </c>
      <c r="F132" s="9">
        <f t="shared" si="10"/>
        <v>0.30000000000000426</v>
      </c>
      <c r="G132" s="9">
        <f t="shared" si="11"/>
        <v>300.00000000000426</v>
      </c>
      <c r="H132" s="9">
        <f t="shared" si="9"/>
        <v>9.2100000000000015E-2</v>
      </c>
      <c r="I132" s="49">
        <f t="shared" si="12"/>
        <v>3257.328990228059</v>
      </c>
    </row>
    <row r="133" spans="1:9">
      <c r="A133" s="57"/>
      <c r="B133" s="9" t="s">
        <v>31</v>
      </c>
      <c r="C133" s="9">
        <f>TS!F134</f>
        <v>101.8</v>
      </c>
      <c r="D133" s="9">
        <v>50.7</v>
      </c>
      <c r="E133" s="9">
        <v>50.5</v>
      </c>
      <c r="F133" s="9">
        <f t="shared" si="10"/>
        <v>0.20000000000000284</v>
      </c>
      <c r="G133" s="9">
        <f t="shared" si="11"/>
        <v>200.00000000000284</v>
      </c>
      <c r="H133" s="9">
        <f t="shared" si="9"/>
        <v>0.1018</v>
      </c>
      <c r="I133" s="49">
        <f t="shared" si="12"/>
        <v>1964.6365422397134</v>
      </c>
    </row>
    <row r="134" spans="1:9">
      <c r="A134" s="56">
        <v>38766</v>
      </c>
      <c r="B134" s="9" t="s">
        <v>30</v>
      </c>
      <c r="C134" s="9">
        <f>TS!F135</f>
        <v>101.29999999999998</v>
      </c>
      <c r="D134" s="9">
        <v>51.4</v>
      </c>
      <c r="E134" s="9">
        <v>51.1</v>
      </c>
      <c r="F134" s="9">
        <f t="shared" si="10"/>
        <v>0.29999999999999716</v>
      </c>
      <c r="G134" s="9">
        <f t="shared" si="11"/>
        <v>299.99999999999716</v>
      </c>
      <c r="H134" s="9">
        <f t="shared" si="9"/>
        <v>0.10129999999999999</v>
      </c>
      <c r="I134" s="49">
        <f t="shared" si="12"/>
        <v>2961.5004935833881</v>
      </c>
    </row>
    <row r="135" spans="1:9">
      <c r="A135" s="57"/>
      <c r="B135" s="9" t="s">
        <v>31</v>
      </c>
      <c r="C135" s="9">
        <f>TS!F136</f>
        <v>95.3</v>
      </c>
      <c r="D135" s="9">
        <v>50.2</v>
      </c>
      <c r="E135" s="9">
        <v>50</v>
      </c>
      <c r="F135" s="9">
        <f t="shared" si="10"/>
        <v>0.20000000000000284</v>
      </c>
      <c r="G135" s="9">
        <f t="shared" si="11"/>
        <v>200.00000000000284</v>
      </c>
      <c r="H135" s="9">
        <f t="shared" si="9"/>
        <v>9.5299999999999996E-2</v>
      </c>
      <c r="I135" s="49">
        <f t="shared" si="12"/>
        <v>2098.6358866736919</v>
      </c>
    </row>
    <row r="136" spans="1:9">
      <c r="A136" s="56">
        <v>38771</v>
      </c>
      <c r="B136" s="9" t="s">
        <v>30</v>
      </c>
      <c r="C136" s="9">
        <f>TS!F137</f>
        <v>83.100000000000009</v>
      </c>
      <c r="D136" s="9">
        <v>72.8</v>
      </c>
      <c r="E136" s="9">
        <v>72.599999999999994</v>
      </c>
      <c r="F136" s="9">
        <f t="shared" si="10"/>
        <v>0.20000000000000284</v>
      </c>
      <c r="G136" s="9">
        <f t="shared" si="11"/>
        <v>200.00000000000284</v>
      </c>
      <c r="H136" s="9">
        <f t="shared" si="9"/>
        <v>8.3100000000000007E-2</v>
      </c>
      <c r="I136" s="49">
        <f t="shared" si="12"/>
        <v>2406.7388688327655</v>
      </c>
    </row>
    <row r="137" spans="1:9">
      <c r="A137" s="57"/>
      <c r="B137" s="9" t="s">
        <v>31</v>
      </c>
      <c r="C137" s="9">
        <f>TS!F138</f>
        <v>94.3</v>
      </c>
      <c r="D137" s="9">
        <v>51.2</v>
      </c>
      <c r="E137" s="9">
        <v>51</v>
      </c>
      <c r="F137" s="9">
        <f t="shared" si="10"/>
        <v>0.20000000000000284</v>
      </c>
      <c r="G137" s="9">
        <f t="shared" si="11"/>
        <v>200.00000000000284</v>
      </c>
      <c r="H137" s="9">
        <f t="shared" si="9"/>
        <v>9.4299999999999995E-2</v>
      </c>
      <c r="I137" s="49">
        <f t="shared" si="12"/>
        <v>2120.8907741251628</v>
      </c>
    </row>
    <row r="138" spans="1:9">
      <c r="A138" s="56">
        <v>38773</v>
      </c>
      <c r="B138" s="9" t="s">
        <v>30</v>
      </c>
      <c r="C138" s="9">
        <f>TS!F139</f>
        <v>85.600000000000009</v>
      </c>
      <c r="D138" s="9">
        <v>50.7</v>
      </c>
      <c r="E138" s="9">
        <v>50.5</v>
      </c>
      <c r="F138" s="9">
        <f t="shared" si="10"/>
        <v>0.20000000000000284</v>
      </c>
      <c r="G138" s="9">
        <f t="shared" si="11"/>
        <v>200.00000000000284</v>
      </c>
      <c r="H138" s="9">
        <f t="shared" si="9"/>
        <v>8.5600000000000009E-2</v>
      </c>
      <c r="I138" s="49">
        <f t="shared" si="12"/>
        <v>2336.448598130874</v>
      </c>
    </row>
    <row r="139" spans="1:9">
      <c r="A139" s="57"/>
      <c r="B139" s="9" t="s">
        <v>31</v>
      </c>
      <c r="C139" s="9">
        <f>TS!F140</f>
        <v>93.5</v>
      </c>
      <c r="D139" s="9">
        <v>50.4</v>
      </c>
      <c r="E139" s="9">
        <v>50.2</v>
      </c>
      <c r="F139" s="9">
        <f t="shared" si="10"/>
        <v>0.19999999999999574</v>
      </c>
      <c r="G139" s="9">
        <f t="shared" si="11"/>
        <v>199.99999999999574</v>
      </c>
      <c r="H139" s="9">
        <f t="shared" si="9"/>
        <v>9.35E-2</v>
      </c>
      <c r="I139" s="49">
        <f t="shared" si="12"/>
        <v>2139.0374331550347</v>
      </c>
    </row>
    <row r="140" spans="1:9">
      <c r="A140" s="56">
        <v>38776</v>
      </c>
      <c r="B140" s="9" t="s">
        <v>30</v>
      </c>
      <c r="C140" s="9">
        <f>TS!F141</f>
        <v>84.2</v>
      </c>
      <c r="D140" s="9">
        <v>72.8</v>
      </c>
      <c r="E140" s="9">
        <v>72.599999999999994</v>
      </c>
      <c r="F140" s="9">
        <f t="shared" si="10"/>
        <v>0.20000000000000284</v>
      </c>
      <c r="G140" s="9">
        <f t="shared" si="11"/>
        <v>200.00000000000284</v>
      </c>
      <c r="H140" s="9">
        <f t="shared" ref="H140:H199" si="14">C140/1000</f>
        <v>8.4199999999999997E-2</v>
      </c>
      <c r="I140" s="49">
        <f t="shared" si="12"/>
        <v>2375.2969121140482</v>
      </c>
    </row>
    <row r="141" spans="1:9">
      <c r="A141" s="57"/>
      <c r="B141" s="9" t="s">
        <v>31</v>
      </c>
      <c r="C141" s="9">
        <f>TS!F142</f>
        <v>89.6</v>
      </c>
      <c r="D141" s="9">
        <v>51.1</v>
      </c>
      <c r="E141" s="9">
        <v>50.9</v>
      </c>
      <c r="F141" s="9">
        <f t="shared" si="10"/>
        <v>0.20000000000000284</v>
      </c>
      <c r="G141" s="9">
        <f t="shared" si="11"/>
        <v>200.00000000000284</v>
      </c>
      <c r="H141" s="9">
        <f t="shared" si="14"/>
        <v>8.9599999999999999E-2</v>
      </c>
      <c r="I141" s="49">
        <f t="shared" si="12"/>
        <v>2232.1428571428887</v>
      </c>
    </row>
    <row r="142" spans="1:9">
      <c r="A142" s="56">
        <v>38778</v>
      </c>
      <c r="B142" s="9" t="s">
        <v>30</v>
      </c>
      <c r="C142" s="9">
        <f>TS!F143</f>
        <v>94.8</v>
      </c>
      <c r="D142" s="9">
        <v>50.3</v>
      </c>
      <c r="E142" s="9">
        <v>50</v>
      </c>
      <c r="F142" s="9">
        <f t="shared" si="10"/>
        <v>0.29999999999999716</v>
      </c>
      <c r="G142" s="9">
        <f t="shared" si="11"/>
        <v>299.99999999999716</v>
      </c>
      <c r="H142" s="9">
        <f t="shared" si="14"/>
        <v>9.4799999999999995E-2</v>
      </c>
      <c r="I142" s="49">
        <f t="shared" si="12"/>
        <v>3164.5569620252868</v>
      </c>
    </row>
    <row r="143" spans="1:9">
      <c r="A143" s="57"/>
      <c r="B143" s="9" t="s">
        <v>31</v>
      </c>
      <c r="C143" s="9">
        <f>TS!F144</f>
        <v>93</v>
      </c>
      <c r="D143" s="9">
        <v>57.5</v>
      </c>
      <c r="E143" s="9">
        <v>57.2</v>
      </c>
      <c r="F143" s="9">
        <f t="shared" si="10"/>
        <v>0.29999999999999716</v>
      </c>
      <c r="G143" s="9">
        <f t="shared" si="11"/>
        <v>299.99999999999716</v>
      </c>
      <c r="H143" s="9">
        <f t="shared" si="14"/>
        <v>9.2999999999999999E-2</v>
      </c>
      <c r="I143" s="49">
        <f t="shared" si="12"/>
        <v>3225.8064516128725</v>
      </c>
    </row>
    <row r="144" spans="1:9">
      <c r="A144" s="56">
        <v>38780</v>
      </c>
      <c r="B144" s="9" t="s">
        <v>30</v>
      </c>
      <c r="C144" s="9">
        <f>TS!F145</f>
        <v>93.190000000000012</v>
      </c>
      <c r="D144" s="9">
        <v>50.11</v>
      </c>
      <c r="E144" s="9">
        <v>49.9</v>
      </c>
      <c r="F144" s="9">
        <f t="shared" si="10"/>
        <v>0.21000000000000085</v>
      </c>
      <c r="G144" s="9">
        <f t="shared" si="11"/>
        <v>210.00000000000085</v>
      </c>
      <c r="H144" s="9">
        <f t="shared" si="14"/>
        <v>9.3190000000000009E-2</v>
      </c>
      <c r="I144" s="49">
        <f t="shared" si="12"/>
        <v>2253.4606717459046</v>
      </c>
    </row>
    <row r="145" spans="1:9">
      <c r="A145" s="57"/>
      <c r="B145" s="9" t="s">
        <v>31</v>
      </c>
      <c r="C145" s="9">
        <f>TS!F146</f>
        <v>99.02000000000001</v>
      </c>
      <c r="D145" s="9">
        <v>50.28</v>
      </c>
      <c r="E145" s="9">
        <v>50.1</v>
      </c>
      <c r="F145" s="9">
        <f t="shared" si="10"/>
        <v>0.17999999999999972</v>
      </c>
      <c r="G145" s="9">
        <f t="shared" si="11"/>
        <v>179.99999999999972</v>
      </c>
      <c r="H145" s="9">
        <f t="shared" si="14"/>
        <v>9.9020000000000011E-2</v>
      </c>
      <c r="I145" s="49">
        <f t="shared" si="12"/>
        <v>1817.8145829125399</v>
      </c>
    </row>
    <row r="146" spans="1:9">
      <c r="A146" s="56">
        <v>38783</v>
      </c>
      <c r="B146" s="9" t="s">
        <v>30</v>
      </c>
      <c r="C146" s="9">
        <f>TS!F147</f>
        <v>89.199999999999989</v>
      </c>
      <c r="D146" s="9">
        <v>50.4</v>
      </c>
      <c r="E146" s="9">
        <v>50.2</v>
      </c>
      <c r="F146" s="9">
        <f t="shared" si="10"/>
        <v>0.19999999999999574</v>
      </c>
      <c r="G146" s="9">
        <f t="shared" si="11"/>
        <v>199.99999999999574</v>
      </c>
      <c r="H146" s="9">
        <f t="shared" si="14"/>
        <v>8.9199999999999988E-2</v>
      </c>
      <c r="I146" s="49">
        <f t="shared" si="12"/>
        <v>2242.1524663676655</v>
      </c>
    </row>
    <row r="147" spans="1:9">
      <c r="A147" s="57"/>
      <c r="B147" s="9" t="s">
        <v>31</v>
      </c>
      <c r="C147" s="9">
        <f>TS!F148</f>
        <v>95.4</v>
      </c>
      <c r="D147" s="9">
        <v>51.1</v>
      </c>
      <c r="E147" s="9">
        <v>51</v>
      </c>
      <c r="F147" s="9">
        <f t="shared" si="10"/>
        <v>0.10000000000000142</v>
      </c>
      <c r="G147" s="9">
        <f t="shared" si="11"/>
        <v>100.00000000000142</v>
      </c>
      <c r="H147" s="9">
        <f t="shared" si="14"/>
        <v>9.5400000000000013E-2</v>
      </c>
      <c r="I147" s="49">
        <f t="shared" si="12"/>
        <v>1048.2180293501197</v>
      </c>
    </row>
    <row r="148" spans="1:9">
      <c r="A148" s="56">
        <v>38785</v>
      </c>
      <c r="B148" s="9" t="s">
        <v>30</v>
      </c>
      <c r="C148" s="9">
        <f>TS!F149</f>
        <v>95.5</v>
      </c>
      <c r="D148" s="9">
        <v>57.4</v>
      </c>
      <c r="E148" s="9">
        <v>57.3</v>
      </c>
      <c r="F148" s="9">
        <f t="shared" si="10"/>
        <v>0.10000000000000142</v>
      </c>
      <c r="G148" s="9">
        <f t="shared" si="11"/>
        <v>100.00000000000142</v>
      </c>
      <c r="H148" s="9">
        <f t="shared" si="14"/>
        <v>9.5500000000000002E-2</v>
      </c>
      <c r="I148" s="49">
        <f t="shared" si="12"/>
        <v>1047.1204188481825</v>
      </c>
    </row>
    <row r="149" spans="1:9">
      <c r="A149" s="57"/>
      <c r="B149" s="9" t="s">
        <v>31</v>
      </c>
      <c r="C149" s="9">
        <f>TS!F150</f>
        <v>97.7</v>
      </c>
      <c r="D149" s="9">
        <v>50.2</v>
      </c>
      <c r="E149" s="9">
        <v>50</v>
      </c>
      <c r="F149" s="9">
        <f t="shared" si="10"/>
        <v>0.20000000000000284</v>
      </c>
      <c r="G149" s="9">
        <f t="shared" si="11"/>
        <v>200.00000000000284</v>
      </c>
      <c r="H149" s="9">
        <f t="shared" si="14"/>
        <v>9.7700000000000009E-2</v>
      </c>
      <c r="I149" s="49">
        <f t="shared" si="12"/>
        <v>2047.0829068577566</v>
      </c>
    </row>
    <row r="150" spans="1:9">
      <c r="A150" s="56">
        <v>38787</v>
      </c>
      <c r="B150" s="9" t="s">
        <v>30</v>
      </c>
      <c r="C150" s="9">
        <f>TS!F151</f>
        <v>97.600000000000009</v>
      </c>
      <c r="D150" s="9">
        <v>50.3</v>
      </c>
      <c r="E150" s="9">
        <v>50.1</v>
      </c>
      <c r="F150" s="9">
        <f t="shared" si="10"/>
        <v>0.19999999999999574</v>
      </c>
      <c r="G150" s="9">
        <f t="shared" si="11"/>
        <v>199.99999999999574</v>
      </c>
      <c r="H150" s="9">
        <f t="shared" si="14"/>
        <v>9.7600000000000006E-2</v>
      </c>
      <c r="I150" s="49">
        <f t="shared" si="12"/>
        <v>2049.1803278688085</v>
      </c>
    </row>
    <row r="151" spans="1:9">
      <c r="A151" s="57"/>
      <c r="B151" s="9" t="s">
        <v>31</v>
      </c>
      <c r="C151" s="9">
        <f>TS!F152</f>
        <v>90.799999999999983</v>
      </c>
      <c r="D151" s="9">
        <v>50.4</v>
      </c>
      <c r="E151" s="9">
        <v>50.1</v>
      </c>
      <c r="F151" s="9">
        <f t="shared" si="10"/>
        <v>0.29999999999999716</v>
      </c>
      <c r="G151" s="9">
        <f t="shared" si="11"/>
        <v>299.99999999999716</v>
      </c>
      <c r="H151" s="9">
        <f t="shared" si="14"/>
        <v>9.0799999999999978E-2</v>
      </c>
      <c r="I151" s="49">
        <f t="shared" si="12"/>
        <v>3303.9647577092205</v>
      </c>
    </row>
    <row r="152" spans="1:9">
      <c r="A152" s="56">
        <v>38790</v>
      </c>
      <c r="B152" s="9" t="s">
        <v>30</v>
      </c>
      <c r="C152" s="9">
        <f>TS!F153</f>
        <v>90.600000000000009</v>
      </c>
      <c r="D152" s="9">
        <v>51.2</v>
      </c>
      <c r="E152" s="9">
        <v>51</v>
      </c>
      <c r="F152" s="9">
        <f t="shared" si="10"/>
        <v>0.20000000000000284</v>
      </c>
      <c r="G152" s="9">
        <f t="shared" si="11"/>
        <v>200.00000000000284</v>
      </c>
      <c r="H152" s="9">
        <f t="shared" si="14"/>
        <v>9.0600000000000014E-2</v>
      </c>
      <c r="I152" s="49">
        <f t="shared" si="12"/>
        <v>2207.5055187638281</v>
      </c>
    </row>
    <row r="153" spans="1:9">
      <c r="A153" s="57"/>
      <c r="B153" s="9" t="s">
        <v>31</v>
      </c>
      <c r="C153" s="9">
        <f>TS!F154</f>
        <v>97</v>
      </c>
      <c r="D153" s="9">
        <v>49.9</v>
      </c>
      <c r="E153" s="9">
        <v>49.7</v>
      </c>
      <c r="F153" s="9">
        <f t="shared" si="10"/>
        <v>0.19999999999999574</v>
      </c>
      <c r="G153" s="9">
        <f t="shared" si="11"/>
        <v>199.99999999999574</v>
      </c>
      <c r="H153" s="9">
        <f t="shared" si="14"/>
        <v>9.7000000000000003E-2</v>
      </c>
      <c r="I153" s="49">
        <f t="shared" si="12"/>
        <v>2061.8556701030489</v>
      </c>
    </row>
    <row r="154" spans="1:9">
      <c r="A154" s="56">
        <v>38793</v>
      </c>
      <c r="B154" s="9" t="s">
        <v>30</v>
      </c>
      <c r="C154" s="9">
        <f>TS!F155</f>
        <v>89.4</v>
      </c>
      <c r="D154" s="9">
        <v>51.4</v>
      </c>
      <c r="E154" s="9">
        <v>51.1</v>
      </c>
      <c r="F154" s="9">
        <f t="shared" si="10"/>
        <v>0.29999999999999716</v>
      </c>
      <c r="G154" s="9">
        <f t="shared" si="11"/>
        <v>299.99999999999716</v>
      </c>
      <c r="H154" s="9">
        <f t="shared" si="14"/>
        <v>8.9400000000000007E-2</v>
      </c>
      <c r="I154" s="49">
        <f t="shared" si="12"/>
        <v>3355.7046979865449</v>
      </c>
    </row>
    <row r="155" spans="1:9">
      <c r="A155" s="57"/>
      <c r="B155" s="9" t="s">
        <v>31</v>
      </c>
      <c r="C155" s="9">
        <f>TS!F156</f>
        <v>97.899999999999991</v>
      </c>
      <c r="D155" s="9">
        <v>50.2</v>
      </c>
      <c r="E155" s="9">
        <v>50</v>
      </c>
      <c r="F155" s="9">
        <f t="shared" si="10"/>
        <v>0.20000000000000284</v>
      </c>
      <c r="G155" s="9">
        <f t="shared" si="11"/>
        <v>200.00000000000284</v>
      </c>
      <c r="H155" s="9">
        <f t="shared" si="14"/>
        <v>9.7899999999999987E-2</v>
      </c>
      <c r="I155" s="49">
        <f t="shared" si="12"/>
        <v>2042.900919305443</v>
      </c>
    </row>
    <row r="156" spans="1:9">
      <c r="A156" s="56">
        <v>38797</v>
      </c>
      <c r="B156" s="9" t="s">
        <v>30</v>
      </c>
      <c r="C156" s="9">
        <f>TS!F157</f>
        <v>85.100000000000009</v>
      </c>
      <c r="D156" s="9">
        <v>51.2</v>
      </c>
      <c r="E156" s="9">
        <v>51</v>
      </c>
      <c r="F156" s="9">
        <f t="shared" si="10"/>
        <v>0.20000000000000284</v>
      </c>
      <c r="G156" s="9">
        <f t="shared" si="11"/>
        <v>200.00000000000284</v>
      </c>
      <c r="H156" s="9">
        <f t="shared" si="14"/>
        <v>8.5100000000000009E-2</v>
      </c>
      <c r="I156" s="49">
        <f t="shared" si="12"/>
        <v>2350.1762632197747</v>
      </c>
    </row>
    <row r="157" spans="1:9">
      <c r="A157" s="57"/>
      <c r="B157" s="9" t="s">
        <v>31</v>
      </c>
      <c r="C157" s="9">
        <f>TS!F158</f>
        <v>87.999999999999986</v>
      </c>
      <c r="D157" s="9">
        <v>50.2</v>
      </c>
      <c r="E157" s="9">
        <v>50.1</v>
      </c>
      <c r="F157" s="9">
        <f t="shared" si="10"/>
        <v>0.10000000000000142</v>
      </c>
      <c r="G157" s="9">
        <f t="shared" si="11"/>
        <v>100.00000000000142</v>
      </c>
      <c r="H157" s="9">
        <f t="shared" si="14"/>
        <v>8.7999999999999981E-2</v>
      </c>
      <c r="I157" s="49">
        <f t="shared" si="12"/>
        <v>1136.3636363636529</v>
      </c>
    </row>
    <row r="158" spans="1:9">
      <c r="A158" s="56">
        <v>38799</v>
      </c>
      <c r="B158" s="9" t="s">
        <v>30</v>
      </c>
      <c r="C158" s="9">
        <f>TS!F159</f>
        <v>92.6</v>
      </c>
      <c r="D158" s="9">
        <v>50</v>
      </c>
      <c r="E158" s="9">
        <v>49.8</v>
      </c>
      <c r="F158" s="9">
        <f t="shared" si="10"/>
        <v>0.20000000000000284</v>
      </c>
      <c r="G158" s="9">
        <f t="shared" si="11"/>
        <v>200.00000000000284</v>
      </c>
      <c r="H158" s="9">
        <f t="shared" si="14"/>
        <v>9.2599999999999988E-2</v>
      </c>
      <c r="I158" s="49">
        <f t="shared" si="12"/>
        <v>2159.8272138229249</v>
      </c>
    </row>
    <row r="159" spans="1:9">
      <c r="A159" s="57"/>
      <c r="B159" s="9" t="s">
        <v>31</v>
      </c>
      <c r="C159" s="9">
        <f>TS!F160</f>
        <v>94.3</v>
      </c>
      <c r="D159" s="9">
        <v>50.2</v>
      </c>
      <c r="E159" s="9">
        <v>50</v>
      </c>
      <c r="F159" s="9">
        <f t="shared" si="10"/>
        <v>0.20000000000000284</v>
      </c>
      <c r="G159" s="9">
        <f t="shared" si="11"/>
        <v>200.00000000000284</v>
      </c>
      <c r="H159" s="9">
        <f t="shared" si="14"/>
        <v>9.4299999999999995E-2</v>
      </c>
      <c r="I159" s="49">
        <f t="shared" si="12"/>
        <v>2120.8907741251628</v>
      </c>
    </row>
    <row r="160" spans="1:9">
      <c r="A160" s="56">
        <v>38801</v>
      </c>
      <c r="B160" s="9" t="s">
        <v>30</v>
      </c>
      <c r="C160" s="9">
        <f>TS!F161</f>
        <v>95.199999999999989</v>
      </c>
      <c r="D160" s="9">
        <v>57.5</v>
      </c>
      <c r="E160" s="9">
        <v>57.3</v>
      </c>
      <c r="F160" s="9">
        <f t="shared" si="10"/>
        <v>0.20000000000000284</v>
      </c>
      <c r="G160" s="9">
        <f t="shared" si="11"/>
        <v>200.00000000000284</v>
      </c>
      <c r="H160" s="9">
        <f t="shared" si="14"/>
        <v>9.5199999999999993E-2</v>
      </c>
      <c r="I160" s="49">
        <f t="shared" si="12"/>
        <v>2100.840336134484</v>
      </c>
    </row>
    <row r="161" spans="1:9">
      <c r="A161" s="57"/>
      <c r="B161" s="9" t="s">
        <v>31</v>
      </c>
      <c r="C161" s="9">
        <f>TS!F162</f>
        <v>87.300000000000011</v>
      </c>
      <c r="D161" s="9">
        <v>51.1</v>
      </c>
      <c r="E161" s="9">
        <v>51</v>
      </c>
      <c r="F161" s="9">
        <f t="shared" si="10"/>
        <v>0.10000000000000142</v>
      </c>
      <c r="G161" s="9">
        <f t="shared" si="11"/>
        <v>100.00000000000142</v>
      </c>
      <c r="H161" s="9">
        <f t="shared" si="14"/>
        <v>8.7300000000000016E-2</v>
      </c>
      <c r="I161" s="49">
        <f t="shared" si="12"/>
        <v>1145.4753722795122</v>
      </c>
    </row>
    <row r="162" spans="1:9">
      <c r="A162" s="56">
        <v>38804</v>
      </c>
      <c r="B162" s="9" t="s">
        <v>30</v>
      </c>
      <c r="C162" s="9">
        <f>TS!F163</f>
        <v>81.899999999999991</v>
      </c>
      <c r="D162" s="9">
        <v>72.8</v>
      </c>
      <c r="E162" s="9">
        <v>72.599999999999994</v>
      </c>
      <c r="F162" s="9">
        <f t="shared" si="10"/>
        <v>0.20000000000000284</v>
      </c>
      <c r="G162" s="9">
        <f t="shared" si="11"/>
        <v>200.00000000000284</v>
      </c>
      <c r="H162" s="9">
        <f t="shared" si="14"/>
        <v>8.1899999999999987E-2</v>
      </c>
      <c r="I162" s="49">
        <f t="shared" si="12"/>
        <v>2442.002442002477</v>
      </c>
    </row>
    <row r="163" spans="1:9">
      <c r="A163" s="57"/>
      <c r="B163" s="9" t="s">
        <v>31</v>
      </c>
      <c r="C163" s="9">
        <f>TS!F164</f>
        <v>85.399999999999991</v>
      </c>
      <c r="D163" s="9">
        <v>50.7</v>
      </c>
      <c r="E163" s="9">
        <v>50.5</v>
      </c>
      <c r="F163" s="9">
        <f t="shared" si="10"/>
        <v>0.20000000000000284</v>
      </c>
      <c r="G163" s="9">
        <f t="shared" si="11"/>
        <v>200.00000000000284</v>
      </c>
      <c r="H163" s="9">
        <f t="shared" si="14"/>
        <v>8.539999999999999E-2</v>
      </c>
      <c r="I163" s="49">
        <f t="shared" si="12"/>
        <v>2341.9203747072934</v>
      </c>
    </row>
    <row r="164" spans="1:9">
      <c r="A164" s="56">
        <v>38806</v>
      </c>
      <c r="B164" s="9" t="s">
        <v>30</v>
      </c>
      <c r="C164" s="9">
        <f>TS!F165</f>
        <v>90.199999999999989</v>
      </c>
      <c r="D164" s="9">
        <v>50.4</v>
      </c>
      <c r="E164" s="9">
        <v>50.3</v>
      </c>
      <c r="F164" s="9">
        <f t="shared" si="10"/>
        <v>0.10000000000000142</v>
      </c>
      <c r="G164" s="9">
        <f t="shared" si="11"/>
        <v>100.00000000000142</v>
      </c>
      <c r="H164" s="9">
        <f t="shared" si="14"/>
        <v>9.0199999999999989E-2</v>
      </c>
      <c r="I164" s="49">
        <f t="shared" si="12"/>
        <v>1108.6474501108808</v>
      </c>
    </row>
    <row r="165" spans="1:9">
      <c r="A165" s="57"/>
      <c r="B165" s="9" t="s">
        <v>31</v>
      </c>
      <c r="C165" s="9">
        <f>TS!F166</f>
        <v>88.399999999999991</v>
      </c>
      <c r="D165" s="9">
        <v>50.2</v>
      </c>
      <c r="E165" s="9">
        <v>50</v>
      </c>
      <c r="F165" s="9">
        <f t="shared" si="10"/>
        <v>0.20000000000000284</v>
      </c>
      <c r="G165" s="9">
        <f t="shared" si="11"/>
        <v>200.00000000000284</v>
      </c>
      <c r="H165" s="9">
        <f t="shared" si="14"/>
        <v>8.8399999999999992E-2</v>
      </c>
      <c r="I165" s="49">
        <f t="shared" si="12"/>
        <v>2262.4434389140597</v>
      </c>
    </row>
    <row r="166" spans="1:9">
      <c r="A166" s="56">
        <v>38808</v>
      </c>
      <c r="B166" s="9" t="s">
        <v>30</v>
      </c>
      <c r="C166" s="9">
        <f>TS!F167</f>
        <v>90.6</v>
      </c>
      <c r="D166" s="9">
        <v>48.1</v>
      </c>
      <c r="E166" s="9">
        <v>47.9</v>
      </c>
      <c r="F166" s="9">
        <f t="shared" ref="F166:F228" si="15">D166-E166</f>
        <v>0.20000000000000284</v>
      </c>
      <c r="G166" s="9">
        <f t="shared" ref="G166:G216" si="16">F166*1000</f>
        <v>200.00000000000284</v>
      </c>
      <c r="H166" s="9">
        <f t="shared" si="14"/>
        <v>9.06E-2</v>
      </c>
      <c r="I166" s="49">
        <f t="shared" ref="I166:I216" si="17">(G166)/(H166)</f>
        <v>2207.5055187638281</v>
      </c>
    </row>
    <row r="167" spans="1:9">
      <c r="A167" s="57"/>
      <c r="B167" s="9" t="s">
        <v>31</v>
      </c>
      <c r="C167" s="9">
        <f>TS!F168</f>
        <v>97.9</v>
      </c>
      <c r="D167" s="9">
        <v>57.5</v>
      </c>
      <c r="E167" s="9">
        <v>57.2</v>
      </c>
      <c r="F167" s="9">
        <f t="shared" si="15"/>
        <v>0.29999999999999716</v>
      </c>
      <c r="G167" s="9">
        <f t="shared" si="16"/>
        <v>299.99999999999716</v>
      </c>
      <c r="H167" s="9">
        <f t="shared" si="14"/>
        <v>9.7900000000000001E-2</v>
      </c>
      <c r="I167" s="49">
        <f t="shared" si="17"/>
        <v>3064.3513789580916</v>
      </c>
    </row>
    <row r="168" spans="1:9">
      <c r="A168" s="56">
        <v>38811</v>
      </c>
      <c r="B168" s="9" t="s">
        <v>30</v>
      </c>
      <c r="C168" s="9">
        <f>TS!F169</f>
        <v>94.699999999999989</v>
      </c>
      <c r="D168" s="9">
        <v>50</v>
      </c>
      <c r="E168" s="9">
        <v>49.8</v>
      </c>
      <c r="F168" s="9">
        <f t="shared" si="15"/>
        <v>0.20000000000000284</v>
      </c>
      <c r="G168" s="9">
        <f t="shared" si="16"/>
        <v>200.00000000000284</v>
      </c>
      <c r="H168" s="9">
        <f t="shared" si="14"/>
        <v>9.4699999999999993E-2</v>
      </c>
      <c r="I168" s="49">
        <f t="shared" si="17"/>
        <v>2111.9324181626489</v>
      </c>
    </row>
    <row r="169" spans="1:9">
      <c r="A169" s="57"/>
      <c r="B169" s="9" t="s">
        <v>31</v>
      </c>
      <c r="C169" s="9">
        <f>TS!F170</f>
        <v>95.5</v>
      </c>
      <c r="D169" s="9">
        <v>50.1</v>
      </c>
      <c r="E169" s="9">
        <v>49.9</v>
      </c>
      <c r="F169" s="9">
        <f t="shared" si="15"/>
        <v>0.20000000000000284</v>
      </c>
      <c r="G169" s="9">
        <f t="shared" si="16"/>
        <v>200.00000000000284</v>
      </c>
      <c r="H169" s="9">
        <f t="shared" si="14"/>
        <v>9.5500000000000002E-2</v>
      </c>
      <c r="I169" s="49">
        <f t="shared" si="17"/>
        <v>2094.2408376963649</v>
      </c>
    </row>
    <row r="170" spans="1:9">
      <c r="A170" s="56">
        <v>38813</v>
      </c>
      <c r="B170" s="9" t="s">
        <v>30</v>
      </c>
      <c r="C170" s="9">
        <f>TS!F171</f>
        <v>86.299999999999983</v>
      </c>
      <c r="D170" s="9">
        <v>72.900000000000006</v>
      </c>
      <c r="E170" s="9">
        <v>72.7</v>
      </c>
      <c r="F170" s="9">
        <f t="shared" si="15"/>
        <v>0.20000000000000284</v>
      </c>
      <c r="G170" s="9">
        <f t="shared" si="16"/>
        <v>200.00000000000284</v>
      </c>
      <c r="H170" s="9">
        <f t="shared" si="14"/>
        <v>8.6299999999999988E-2</v>
      </c>
      <c r="I170" s="49">
        <f t="shared" si="17"/>
        <v>2317.4971031286545</v>
      </c>
    </row>
    <row r="171" spans="1:9">
      <c r="A171" s="57"/>
      <c r="B171" s="9" t="s">
        <v>31</v>
      </c>
      <c r="C171" s="9">
        <f>TS!F172</f>
        <v>83.8</v>
      </c>
      <c r="D171" s="9">
        <v>50.8</v>
      </c>
      <c r="E171" s="9">
        <v>50.4</v>
      </c>
      <c r="F171" s="9">
        <f t="shared" si="15"/>
        <v>0.39999999999999858</v>
      </c>
      <c r="G171" s="9">
        <f t="shared" si="16"/>
        <v>399.99999999999858</v>
      </c>
      <c r="H171" s="9">
        <f t="shared" si="14"/>
        <v>8.3799999999999999E-2</v>
      </c>
      <c r="I171" s="49">
        <f t="shared" si="17"/>
        <v>4773.2696897374535</v>
      </c>
    </row>
    <row r="172" spans="1:9">
      <c r="A172" s="56">
        <v>38815</v>
      </c>
      <c r="B172" s="9" t="s">
        <v>30</v>
      </c>
      <c r="C172" s="9">
        <f>TS!F173</f>
        <v>90.6</v>
      </c>
      <c r="D172" s="9">
        <v>57.6</v>
      </c>
      <c r="E172" s="9">
        <v>57.3</v>
      </c>
      <c r="F172" s="9">
        <f t="shared" si="15"/>
        <v>0.30000000000000426</v>
      </c>
      <c r="G172" s="9">
        <f t="shared" si="16"/>
        <v>300.00000000000426</v>
      </c>
      <c r="H172" s="9">
        <f t="shared" si="14"/>
        <v>9.06E-2</v>
      </c>
      <c r="I172" s="49">
        <f t="shared" si="17"/>
        <v>3311.2582781457422</v>
      </c>
    </row>
    <row r="173" spans="1:9">
      <c r="A173" s="56"/>
      <c r="B173" s="9" t="s">
        <v>31</v>
      </c>
      <c r="C173" s="9">
        <f>TS!F174</f>
        <v>88.9</v>
      </c>
      <c r="D173" s="9">
        <v>48.1</v>
      </c>
      <c r="E173" s="9">
        <v>47.9</v>
      </c>
      <c r="F173" s="9">
        <f t="shared" si="15"/>
        <v>0.20000000000000284</v>
      </c>
      <c r="G173" s="9">
        <f t="shared" si="16"/>
        <v>200.00000000000284</v>
      </c>
      <c r="H173" s="9">
        <f t="shared" si="14"/>
        <v>8.8900000000000007E-2</v>
      </c>
      <c r="I173" s="49">
        <f t="shared" si="17"/>
        <v>2249.7187851518879</v>
      </c>
    </row>
    <row r="174" spans="1:9">
      <c r="A174" s="56">
        <v>38820</v>
      </c>
      <c r="B174" s="9" t="s">
        <v>30</v>
      </c>
      <c r="C174" s="9">
        <f>TS!F175</f>
        <v>78.599999999999994</v>
      </c>
      <c r="D174" s="9">
        <v>73</v>
      </c>
      <c r="E174" s="9">
        <v>72.7</v>
      </c>
      <c r="F174" s="9">
        <f t="shared" si="15"/>
        <v>0.29999999999999716</v>
      </c>
      <c r="G174" s="9">
        <f t="shared" si="16"/>
        <v>299.99999999999716</v>
      </c>
      <c r="H174" s="9">
        <f t="shared" si="14"/>
        <v>7.8599999999999989E-2</v>
      </c>
      <c r="I174" s="49">
        <f t="shared" si="17"/>
        <v>3816.7938931297354</v>
      </c>
    </row>
    <row r="175" spans="1:9">
      <c r="A175" s="56"/>
      <c r="B175" s="9" t="s">
        <v>31</v>
      </c>
      <c r="C175" s="9">
        <f>TS!E176</f>
        <v>49.7</v>
      </c>
      <c r="D175" s="9">
        <v>50.1</v>
      </c>
      <c r="E175" s="9">
        <v>49.9</v>
      </c>
      <c r="F175" s="9">
        <f t="shared" si="15"/>
        <v>0.20000000000000284</v>
      </c>
      <c r="G175" s="9">
        <f t="shared" si="16"/>
        <v>200.00000000000284</v>
      </c>
      <c r="H175" s="9">
        <f t="shared" si="14"/>
        <v>4.9700000000000001E-2</v>
      </c>
      <c r="I175" s="49">
        <f t="shared" si="17"/>
        <v>4024.144869215349</v>
      </c>
    </row>
    <row r="176" spans="1:9">
      <c r="A176" s="56">
        <v>38822</v>
      </c>
      <c r="B176" s="9" t="s">
        <v>30</v>
      </c>
      <c r="C176" s="9">
        <f>TS!F177</f>
        <v>102.50000000000001</v>
      </c>
      <c r="D176" s="9">
        <v>51.3</v>
      </c>
      <c r="E176" s="9">
        <v>51</v>
      </c>
      <c r="F176" s="9">
        <f t="shared" si="15"/>
        <v>0.29999999999999716</v>
      </c>
      <c r="G176" s="9">
        <f t="shared" si="16"/>
        <v>299.99999999999716</v>
      </c>
      <c r="H176" s="9">
        <f t="shared" si="14"/>
        <v>0.10250000000000001</v>
      </c>
      <c r="I176" s="49">
        <f t="shared" si="17"/>
        <v>2926.8292682926549</v>
      </c>
    </row>
    <row r="177" spans="1:9">
      <c r="A177" s="57"/>
      <c r="B177" s="9" t="s">
        <v>31</v>
      </c>
      <c r="C177" s="9">
        <f>TS!F178</f>
        <v>79.399999999999991</v>
      </c>
      <c r="D177" s="9">
        <v>50.2</v>
      </c>
      <c r="E177" s="9">
        <v>50.1</v>
      </c>
      <c r="F177" s="9">
        <f t="shared" si="15"/>
        <v>0.10000000000000142</v>
      </c>
      <c r="G177" s="9">
        <f t="shared" si="16"/>
        <v>100.00000000000142</v>
      </c>
      <c r="H177" s="9">
        <f t="shared" si="14"/>
        <v>7.9399999999999998E-2</v>
      </c>
      <c r="I177" s="49">
        <f t="shared" si="17"/>
        <v>1259.4458438287334</v>
      </c>
    </row>
    <row r="178" spans="1:9">
      <c r="A178" s="56">
        <v>38825</v>
      </c>
      <c r="B178" s="9" t="s">
        <v>30</v>
      </c>
      <c r="C178" s="9">
        <f>TS!F179</f>
        <v>99.2</v>
      </c>
      <c r="D178" s="9">
        <v>50.2</v>
      </c>
      <c r="E178" s="9">
        <v>50</v>
      </c>
      <c r="F178" s="9">
        <f t="shared" si="15"/>
        <v>0.20000000000000284</v>
      </c>
      <c r="G178" s="9">
        <f t="shared" si="16"/>
        <v>200.00000000000284</v>
      </c>
      <c r="H178" s="9">
        <f t="shared" si="14"/>
        <v>9.9199999999999997E-2</v>
      </c>
      <c r="I178" s="49">
        <f t="shared" si="17"/>
        <v>2016.1290322580933</v>
      </c>
    </row>
    <row r="179" spans="1:9">
      <c r="A179" s="57"/>
      <c r="B179" s="9" t="s">
        <v>31</v>
      </c>
      <c r="C179" s="9">
        <f>TS!F180</f>
        <v>87.399999999999991</v>
      </c>
      <c r="D179" s="9">
        <v>72.8</v>
      </c>
      <c r="E179" s="9">
        <v>72.599999999999994</v>
      </c>
      <c r="F179" s="9">
        <f t="shared" si="15"/>
        <v>0.20000000000000284</v>
      </c>
      <c r="G179" s="9">
        <f t="shared" si="16"/>
        <v>200.00000000000284</v>
      </c>
      <c r="H179" s="9">
        <f t="shared" si="14"/>
        <v>8.7399999999999992E-2</v>
      </c>
      <c r="I179" s="49">
        <f t="shared" si="17"/>
        <v>2288.3295194508337</v>
      </c>
    </row>
    <row r="180" spans="1:9">
      <c r="A180" s="56">
        <v>38827</v>
      </c>
      <c r="B180" s="9" t="s">
        <v>30</v>
      </c>
      <c r="C180" s="9">
        <f>TS!F181</f>
        <v>91.62</v>
      </c>
      <c r="D180" s="9">
        <v>50.78</v>
      </c>
      <c r="E180" s="9">
        <v>50.56</v>
      </c>
      <c r="F180" s="9">
        <f t="shared" si="15"/>
        <v>0.21999999999999886</v>
      </c>
      <c r="G180" s="9">
        <f t="shared" si="16"/>
        <v>219.99999999999886</v>
      </c>
      <c r="H180" s="9">
        <f t="shared" si="14"/>
        <v>9.1620000000000007E-2</v>
      </c>
      <c r="I180" s="49">
        <f t="shared" si="17"/>
        <v>2401.2224405151587</v>
      </c>
    </row>
    <row r="181" spans="1:9">
      <c r="A181" s="57"/>
      <c r="B181" s="9" t="s">
        <v>31</v>
      </c>
      <c r="C181" s="9">
        <f>TS!F182</f>
        <v>93.44</v>
      </c>
      <c r="D181" s="9">
        <v>58.16</v>
      </c>
      <c r="E181" s="9">
        <v>57.96</v>
      </c>
      <c r="F181" s="9">
        <f t="shared" si="15"/>
        <v>0.19999999999999574</v>
      </c>
      <c r="G181" s="9">
        <f t="shared" si="16"/>
        <v>199.99999999999574</v>
      </c>
      <c r="H181" s="9">
        <f t="shared" si="14"/>
        <v>9.3439999999999995E-2</v>
      </c>
      <c r="I181" s="49">
        <f t="shared" si="17"/>
        <v>2140.410958904064</v>
      </c>
    </row>
    <row r="182" spans="1:9">
      <c r="A182" s="56">
        <v>38829</v>
      </c>
      <c r="B182" s="9" t="s">
        <v>30</v>
      </c>
      <c r="C182" s="9">
        <f>TS!F183</f>
        <v>88.28</v>
      </c>
      <c r="D182" s="9">
        <v>48.06</v>
      </c>
      <c r="E182" s="9">
        <v>47.94</v>
      </c>
      <c r="F182" s="9">
        <f t="shared" si="15"/>
        <v>0.12000000000000455</v>
      </c>
      <c r="G182" s="9">
        <f t="shared" si="16"/>
        <v>120.00000000000455</v>
      </c>
      <c r="H182" s="9">
        <f t="shared" si="14"/>
        <v>8.8279999999999997E-2</v>
      </c>
      <c r="I182" s="49">
        <f t="shared" si="17"/>
        <v>1359.3112822836945</v>
      </c>
    </row>
    <row r="183" spans="1:9">
      <c r="A183" s="57"/>
      <c r="B183" s="9" t="s">
        <v>31</v>
      </c>
      <c r="C183" s="9">
        <f>TS!F184</f>
        <v>97.95</v>
      </c>
      <c r="D183" s="9">
        <v>50.3</v>
      </c>
      <c r="E183" s="9">
        <v>50.06</v>
      </c>
      <c r="F183" s="9">
        <f t="shared" si="15"/>
        <v>0.23999999999999488</v>
      </c>
      <c r="G183" s="9">
        <f t="shared" si="16"/>
        <v>239.99999999999488</v>
      </c>
      <c r="H183" s="9">
        <f t="shared" si="14"/>
        <v>9.7950000000000009E-2</v>
      </c>
      <c r="I183" s="49">
        <f t="shared" si="17"/>
        <v>2450.2297090351694</v>
      </c>
    </row>
    <row r="184" spans="1:9">
      <c r="A184" s="56">
        <v>38832</v>
      </c>
      <c r="B184" s="9" t="s">
        <v>30</v>
      </c>
      <c r="C184" s="9">
        <f>TS!F185</f>
        <v>88.110000000000014</v>
      </c>
      <c r="D184" s="9">
        <v>50.47</v>
      </c>
      <c r="E184" s="9">
        <v>50.27</v>
      </c>
      <c r="F184" s="9">
        <f t="shared" si="15"/>
        <v>0.19999999999999574</v>
      </c>
      <c r="G184" s="9">
        <f t="shared" si="16"/>
        <v>199.99999999999574</v>
      </c>
      <c r="H184" s="9">
        <f t="shared" si="14"/>
        <v>8.8110000000000008E-2</v>
      </c>
      <c r="I184" s="49">
        <f t="shared" si="17"/>
        <v>2269.8899103393001</v>
      </c>
    </row>
    <row r="185" spans="1:9">
      <c r="A185" s="57"/>
      <c r="B185" s="9" t="s">
        <v>31</v>
      </c>
      <c r="C185" s="9">
        <f>TS!F186</f>
        <v>92.25</v>
      </c>
      <c r="D185" s="9">
        <v>50.25</v>
      </c>
      <c r="E185" s="9">
        <v>50.06</v>
      </c>
      <c r="F185" s="9">
        <f t="shared" si="15"/>
        <v>0.18999999999999773</v>
      </c>
      <c r="G185" s="9">
        <f t="shared" si="16"/>
        <v>189.99999999999773</v>
      </c>
      <c r="H185" s="9">
        <f t="shared" si="14"/>
        <v>9.2249999999999999E-2</v>
      </c>
      <c r="I185" s="49">
        <f t="shared" si="17"/>
        <v>2059.6205962059375</v>
      </c>
    </row>
    <row r="186" spans="1:9">
      <c r="A186" s="56">
        <v>38834</v>
      </c>
      <c r="B186" s="9" t="s">
        <v>30</v>
      </c>
      <c r="C186" s="9">
        <f>TS!F187</f>
        <v>84.19</v>
      </c>
      <c r="D186" s="9">
        <v>51.23</v>
      </c>
      <c r="E186" s="9">
        <v>51.03</v>
      </c>
      <c r="F186" s="9">
        <f t="shared" si="15"/>
        <v>0.19999999999999574</v>
      </c>
      <c r="G186" s="9">
        <f t="shared" si="16"/>
        <v>199.99999999999574</v>
      </c>
      <c r="H186" s="9">
        <f t="shared" si="14"/>
        <v>8.4190000000000001E-2</v>
      </c>
      <c r="I186" s="49">
        <f t="shared" si="17"/>
        <v>2375.5790473927514</v>
      </c>
    </row>
    <row r="187" spans="1:9">
      <c r="A187" s="57"/>
      <c r="B187" s="9" t="s">
        <v>31</v>
      </c>
      <c r="C187" s="9">
        <f>TS!F188</f>
        <v>91.07</v>
      </c>
      <c r="D187" s="9">
        <v>50.69</v>
      </c>
      <c r="E187" s="9">
        <v>50.53</v>
      </c>
      <c r="F187" s="9">
        <f t="shared" si="15"/>
        <v>0.15999999999999659</v>
      </c>
      <c r="G187" s="9">
        <f t="shared" si="16"/>
        <v>159.99999999999659</v>
      </c>
      <c r="H187" s="9">
        <f t="shared" si="14"/>
        <v>9.1069999999999998E-2</v>
      </c>
      <c r="I187" s="49">
        <f t="shared" si="17"/>
        <v>1756.8903041615965</v>
      </c>
    </row>
    <row r="188" spans="1:9">
      <c r="A188" s="56">
        <v>38836</v>
      </c>
      <c r="B188" s="9" t="s">
        <v>30</v>
      </c>
      <c r="C188" s="9">
        <f>TS!F189</f>
        <v>88.530000000000015</v>
      </c>
      <c r="D188" s="9">
        <v>50.3</v>
      </c>
      <c r="E188" s="9">
        <v>50.14</v>
      </c>
      <c r="F188" s="9">
        <f t="shared" si="15"/>
        <v>0.15999999999999659</v>
      </c>
      <c r="G188" s="9">
        <f t="shared" si="16"/>
        <v>159.99999999999659</v>
      </c>
      <c r="H188" s="9">
        <f t="shared" si="14"/>
        <v>8.8530000000000011E-2</v>
      </c>
      <c r="I188" s="49">
        <f t="shared" si="17"/>
        <v>1807.2969614819447</v>
      </c>
    </row>
    <row r="189" spans="1:9">
      <c r="A189" s="57"/>
      <c r="B189" s="9" t="s">
        <v>31</v>
      </c>
      <c r="C189" s="9">
        <f>TS!F190</f>
        <v>95.169999999999987</v>
      </c>
      <c r="D189" s="9">
        <v>50.4</v>
      </c>
      <c r="E189" s="9">
        <v>50.24</v>
      </c>
      <c r="F189" s="9">
        <f t="shared" si="15"/>
        <v>0.15999999999999659</v>
      </c>
      <c r="G189" s="9">
        <f t="shared" si="16"/>
        <v>159.99999999999659</v>
      </c>
      <c r="H189" s="9">
        <f t="shared" si="14"/>
        <v>9.5169999999999991E-2</v>
      </c>
      <c r="I189" s="49">
        <f t="shared" si="17"/>
        <v>1681.2020594724872</v>
      </c>
    </row>
    <row r="190" spans="1:9">
      <c r="A190" s="56">
        <v>38839</v>
      </c>
      <c r="B190" s="9" t="s">
        <v>30</v>
      </c>
      <c r="C190" s="9">
        <f>TS!F191</f>
        <v>96.449999999999989</v>
      </c>
      <c r="D190" s="9">
        <v>50.28</v>
      </c>
      <c r="E190" s="9">
        <v>50.02</v>
      </c>
      <c r="F190" s="9">
        <f t="shared" si="15"/>
        <v>0.25999999999999801</v>
      </c>
      <c r="G190" s="9">
        <f t="shared" si="16"/>
        <v>259.99999999999801</v>
      </c>
      <c r="H190" s="9">
        <f t="shared" si="14"/>
        <v>9.6449999999999994E-2</v>
      </c>
      <c r="I190" s="49">
        <f t="shared" si="17"/>
        <v>2695.6972524623952</v>
      </c>
    </row>
    <row r="191" spans="1:9">
      <c r="A191" s="57"/>
      <c r="B191" s="9" t="s">
        <v>31</v>
      </c>
      <c r="C191" s="9">
        <f>TS!F192</f>
        <v>87.600000000000009</v>
      </c>
      <c r="D191" s="9">
        <v>72.77</v>
      </c>
      <c r="E191" s="9">
        <v>72.58</v>
      </c>
      <c r="F191" s="9">
        <f t="shared" si="15"/>
        <v>0.18999999999999773</v>
      </c>
      <c r="G191" s="9">
        <f t="shared" si="16"/>
        <v>189.99999999999773</v>
      </c>
      <c r="H191" s="9">
        <f t="shared" si="14"/>
        <v>8.7600000000000011E-2</v>
      </c>
      <c r="I191" s="49">
        <f t="shared" si="17"/>
        <v>2168.9497716894716</v>
      </c>
    </row>
    <row r="192" spans="1:9">
      <c r="A192" s="56">
        <v>38841</v>
      </c>
      <c r="B192" s="9" t="s">
        <v>30</v>
      </c>
      <c r="C192" s="9">
        <f>TS!F193</f>
        <v>88.149999999999991</v>
      </c>
      <c r="D192" s="9">
        <v>51.3</v>
      </c>
      <c r="E192" s="9">
        <v>51</v>
      </c>
      <c r="F192" s="9">
        <f t="shared" si="15"/>
        <v>0.29999999999999716</v>
      </c>
      <c r="G192" s="9">
        <f t="shared" si="16"/>
        <v>299.99999999999716</v>
      </c>
      <c r="H192" s="9">
        <f t="shared" si="14"/>
        <v>8.8149999999999992E-2</v>
      </c>
      <c r="I192" s="49">
        <f t="shared" si="17"/>
        <v>3403.2898468519247</v>
      </c>
    </row>
    <row r="193" spans="1:9">
      <c r="A193" s="57"/>
      <c r="B193" s="9" t="s">
        <v>31</v>
      </c>
      <c r="C193" s="9">
        <f>TS!F194</f>
        <v>82.259999999999991</v>
      </c>
      <c r="D193" s="9">
        <v>50.25</v>
      </c>
      <c r="E193" s="9">
        <v>50.06</v>
      </c>
      <c r="F193" s="9">
        <f t="shared" si="15"/>
        <v>0.18999999999999773</v>
      </c>
      <c r="G193" s="9">
        <f t="shared" si="16"/>
        <v>189.99999999999773</v>
      </c>
      <c r="H193" s="9">
        <f t="shared" si="14"/>
        <v>8.2259999999999986E-2</v>
      </c>
      <c r="I193" s="49">
        <f t="shared" si="17"/>
        <v>2309.749574519788</v>
      </c>
    </row>
    <row r="194" spans="1:9">
      <c r="A194" s="56">
        <v>38846</v>
      </c>
      <c r="B194" s="9" t="s">
        <v>30</v>
      </c>
      <c r="C194" s="9">
        <f>TS!F195</f>
        <v>92.74</v>
      </c>
      <c r="D194" s="9">
        <v>63.45</v>
      </c>
      <c r="E194" s="9">
        <v>63.19</v>
      </c>
      <c r="F194" s="9">
        <f t="shared" si="15"/>
        <v>0.26000000000000512</v>
      </c>
      <c r="G194" s="9">
        <f t="shared" si="16"/>
        <v>260.00000000000512</v>
      </c>
      <c r="H194" s="9">
        <f t="shared" si="14"/>
        <v>9.2739999999999989E-2</v>
      </c>
      <c r="I194" s="49">
        <f t="shared" si="17"/>
        <v>2803.5367694630704</v>
      </c>
    </row>
    <row r="195" spans="1:9">
      <c r="A195" s="57"/>
      <c r="B195" s="9" t="s">
        <v>31</v>
      </c>
      <c r="C195" s="9">
        <f>TS!F196</f>
        <v>78.010000000000005</v>
      </c>
      <c r="D195" s="9">
        <v>50.61</v>
      </c>
      <c r="E195" s="9">
        <v>50.45</v>
      </c>
      <c r="F195" s="9">
        <f t="shared" si="15"/>
        <v>0.15999999999999659</v>
      </c>
      <c r="G195" s="9">
        <f t="shared" si="16"/>
        <v>159.99999999999659</v>
      </c>
      <c r="H195" s="9">
        <f t="shared" si="14"/>
        <v>7.801000000000001E-2</v>
      </c>
      <c r="I195" s="49">
        <f t="shared" si="17"/>
        <v>2051.0191001153257</v>
      </c>
    </row>
    <row r="196" spans="1:9">
      <c r="A196" s="56">
        <v>38848</v>
      </c>
      <c r="B196" s="9" t="s">
        <v>30</v>
      </c>
      <c r="C196" s="9">
        <f>TS!F197</f>
        <v>97.24</v>
      </c>
      <c r="D196" s="9">
        <v>72.98</v>
      </c>
      <c r="E196" s="9">
        <v>72.7</v>
      </c>
      <c r="F196" s="9">
        <f t="shared" si="15"/>
        <v>0.28000000000000114</v>
      </c>
      <c r="G196" s="9">
        <f t="shared" si="16"/>
        <v>280.00000000000114</v>
      </c>
      <c r="H196" s="9">
        <f t="shared" si="14"/>
        <v>9.7239999999999993E-2</v>
      </c>
      <c r="I196" s="49">
        <f t="shared" si="17"/>
        <v>2879.4734677087736</v>
      </c>
    </row>
    <row r="197" spans="1:9">
      <c r="A197" s="57"/>
      <c r="B197" s="9" t="s">
        <v>31</v>
      </c>
      <c r="C197" s="9">
        <f>TS!F198</f>
        <v>97.4</v>
      </c>
      <c r="D197" s="9">
        <v>51.18</v>
      </c>
      <c r="E197" s="9">
        <v>50.9</v>
      </c>
      <c r="F197" s="9">
        <f t="shared" si="15"/>
        <v>0.28000000000000114</v>
      </c>
      <c r="G197" s="9">
        <f t="shared" si="16"/>
        <v>280.00000000000114</v>
      </c>
      <c r="H197" s="9">
        <f t="shared" si="14"/>
        <v>9.74E-2</v>
      </c>
      <c r="I197" s="49">
        <f t="shared" si="17"/>
        <v>2874.7433264887181</v>
      </c>
    </row>
    <row r="198" spans="1:9">
      <c r="A198" s="56">
        <v>38850</v>
      </c>
      <c r="B198" s="9" t="s">
        <v>30</v>
      </c>
      <c r="C198" s="9">
        <f>TS!F199</f>
        <v>97.78</v>
      </c>
      <c r="D198" s="9">
        <v>50.12</v>
      </c>
      <c r="E198" s="9">
        <v>49.8</v>
      </c>
      <c r="F198" s="9">
        <f t="shared" si="15"/>
        <v>0.32000000000000028</v>
      </c>
      <c r="G198" s="9">
        <f t="shared" si="16"/>
        <v>320.00000000000028</v>
      </c>
      <c r="H198" s="9">
        <f t="shared" si="14"/>
        <v>9.7780000000000006E-2</v>
      </c>
      <c r="I198" s="49">
        <f t="shared" si="17"/>
        <v>3272.652894252406</v>
      </c>
    </row>
    <row r="199" spans="1:9">
      <c r="A199" s="57"/>
      <c r="B199" s="9" t="s">
        <v>31</v>
      </c>
      <c r="C199" s="9">
        <f>TS!F200</f>
        <v>71.75</v>
      </c>
      <c r="D199" s="9">
        <v>51.05</v>
      </c>
      <c r="E199" s="9">
        <v>50.9</v>
      </c>
      <c r="F199" s="9">
        <f t="shared" si="15"/>
        <v>0.14999999999999858</v>
      </c>
      <c r="G199" s="9">
        <f t="shared" si="16"/>
        <v>149.99999999999858</v>
      </c>
      <c r="H199" s="9">
        <f t="shared" si="14"/>
        <v>7.1749999999999994E-2</v>
      </c>
      <c r="I199" s="49">
        <f t="shared" si="17"/>
        <v>2090.5923344947537</v>
      </c>
    </row>
    <row r="200" spans="1:9">
      <c r="A200" s="56">
        <v>38853</v>
      </c>
      <c r="B200" s="9" t="s">
        <v>30</v>
      </c>
      <c r="C200" s="9">
        <f>TS!F201</f>
        <v>97.550000000000011</v>
      </c>
      <c r="D200" s="9">
        <v>50.85</v>
      </c>
      <c r="E200" s="9">
        <v>50.5</v>
      </c>
      <c r="F200" s="9">
        <f t="shared" si="15"/>
        <v>0.35000000000000142</v>
      </c>
      <c r="G200" s="9">
        <f t="shared" si="16"/>
        <v>350.00000000000142</v>
      </c>
      <c r="H200" s="9">
        <f t="shared" ref="H200:H257" si="18">C200/1000</f>
        <v>9.7550000000000012E-2</v>
      </c>
      <c r="I200" s="49">
        <f t="shared" si="17"/>
        <v>3587.9036391594195</v>
      </c>
    </row>
    <row r="201" spans="1:9">
      <c r="A201" s="57"/>
      <c r="B201" s="9" t="s">
        <v>31</v>
      </c>
      <c r="C201" s="9">
        <f>TS!F202</f>
        <v>92.15</v>
      </c>
      <c r="D201" s="9">
        <v>50.25</v>
      </c>
      <c r="E201" s="9">
        <v>50.1</v>
      </c>
      <c r="F201" s="9">
        <f t="shared" si="15"/>
        <v>0.14999999999999858</v>
      </c>
      <c r="G201" s="9">
        <f t="shared" si="16"/>
        <v>149.99999999999858</v>
      </c>
      <c r="H201" s="9">
        <f t="shared" si="18"/>
        <v>9.215000000000001E-2</v>
      </c>
      <c r="I201" s="49">
        <f t="shared" si="17"/>
        <v>1627.7807921866365</v>
      </c>
    </row>
    <row r="202" spans="1:9">
      <c r="A202" s="56">
        <v>38855</v>
      </c>
      <c r="B202" s="9" t="s">
        <v>30</v>
      </c>
      <c r="C202" s="9">
        <f>TS!F203</f>
        <v>96.87</v>
      </c>
      <c r="D202" s="9">
        <v>50.13</v>
      </c>
      <c r="E202" s="9">
        <v>49.82</v>
      </c>
      <c r="F202" s="9">
        <f t="shared" si="15"/>
        <v>0.31000000000000227</v>
      </c>
      <c r="G202" s="9">
        <f t="shared" si="16"/>
        <v>310.00000000000227</v>
      </c>
      <c r="H202" s="9">
        <f t="shared" si="18"/>
        <v>9.6869999999999998E-2</v>
      </c>
      <c r="I202" s="49">
        <f t="shared" si="17"/>
        <v>3200.16516981524</v>
      </c>
    </row>
    <row r="203" spans="1:9">
      <c r="A203" s="57"/>
      <c r="B203" s="9" t="s">
        <v>31</v>
      </c>
      <c r="C203" s="9">
        <f>TS!F204</f>
        <v>89.29</v>
      </c>
      <c r="D203" s="9">
        <v>51.11</v>
      </c>
      <c r="E203" s="9">
        <v>50.87</v>
      </c>
      <c r="F203" s="9">
        <f t="shared" si="15"/>
        <v>0.24000000000000199</v>
      </c>
      <c r="G203" s="9">
        <f t="shared" si="16"/>
        <v>240.00000000000199</v>
      </c>
      <c r="H203" s="9">
        <f t="shared" si="18"/>
        <v>8.9290000000000008E-2</v>
      </c>
      <c r="I203" s="49">
        <f t="shared" si="17"/>
        <v>2687.8709821928769</v>
      </c>
    </row>
    <row r="204" spans="1:9">
      <c r="A204" s="56">
        <v>38857</v>
      </c>
      <c r="B204" s="9" t="s">
        <v>30</v>
      </c>
      <c r="C204" s="9">
        <f>TS!F205</f>
        <v>99.32</v>
      </c>
      <c r="D204" s="9">
        <v>51.35</v>
      </c>
      <c r="E204" s="9">
        <v>51.02</v>
      </c>
      <c r="F204" s="9">
        <f t="shared" si="15"/>
        <v>0.32999999999999829</v>
      </c>
      <c r="G204" s="9">
        <f t="shared" si="16"/>
        <v>329.99999999999829</v>
      </c>
      <c r="H204" s="9">
        <f t="shared" si="18"/>
        <v>9.9319999999999992E-2</v>
      </c>
      <c r="I204" s="49">
        <f t="shared" si="17"/>
        <v>3322.5936367297454</v>
      </c>
    </row>
    <row r="205" spans="1:9">
      <c r="A205" s="57"/>
      <c r="B205" s="9" t="s">
        <v>31</v>
      </c>
      <c r="C205" s="9">
        <f>TS!F206</f>
        <v>100.28</v>
      </c>
      <c r="D205" s="9">
        <v>49.96</v>
      </c>
      <c r="E205" s="9">
        <v>49.86</v>
      </c>
      <c r="F205" s="9">
        <f t="shared" si="15"/>
        <v>0.10000000000000142</v>
      </c>
      <c r="G205" s="9">
        <f t="shared" si="16"/>
        <v>100.00000000000142</v>
      </c>
      <c r="H205" s="9">
        <f t="shared" si="18"/>
        <v>0.10028000000000001</v>
      </c>
      <c r="I205" s="49">
        <f t="shared" si="17"/>
        <v>997.20781810930805</v>
      </c>
    </row>
    <row r="206" spans="1:9">
      <c r="A206" s="56">
        <v>38867</v>
      </c>
      <c r="B206" s="9" t="s">
        <v>30</v>
      </c>
      <c r="C206" s="9">
        <f>TS!F207</f>
        <v>99.18</v>
      </c>
      <c r="D206" s="9">
        <v>50.34</v>
      </c>
      <c r="E206" s="9">
        <v>50.07</v>
      </c>
      <c r="F206" s="9">
        <f t="shared" si="15"/>
        <v>0.27000000000000313</v>
      </c>
      <c r="G206" s="9">
        <f t="shared" si="16"/>
        <v>270.00000000000313</v>
      </c>
      <c r="H206" s="9">
        <f t="shared" si="18"/>
        <v>9.9180000000000004E-2</v>
      </c>
      <c r="I206" s="49">
        <f t="shared" si="17"/>
        <v>2722.3230490018464</v>
      </c>
    </row>
    <row r="207" spans="1:9">
      <c r="A207" s="57"/>
      <c r="B207" s="9" t="s">
        <v>31</v>
      </c>
      <c r="C207" s="9">
        <f>TS!F208</f>
        <v>88.31</v>
      </c>
      <c r="D207" s="9">
        <v>51.09</v>
      </c>
      <c r="E207" s="9">
        <v>50.93</v>
      </c>
      <c r="F207" s="9">
        <f t="shared" si="15"/>
        <v>0.16000000000000369</v>
      </c>
      <c r="G207" s="9">
        <f t="shared" si="16"/>
        <v>160.00000000000369</v>
      </c>
      <c r="H207" s="9">
        <f t="shared" si="18"/>
        <v>8.831E-2</v>
      </c>
      <c r="I207" s="49">
        <f t="shared" si="17"/>
        <v>1811.79934322278</v>
      </c>
    </row>
    <row r="208" spans="1:9">
      <c r="A208" s="56">
        <v>38869</v>
      </c>
      <c r="B208" s="9" t="s">
        <v>30</v>
      </c>
      <c r="C208" s="9">
        <f>TS!F209</f>
        <v>96.4</v>
      </c>
      <c r="D208" s="9">
        <v>51.29</v>
      </c>
      <c r="E208" s="9">
        <v>51.04</v>
      </c>
      <c r="F208" s="9">
        <f t="shared" si="15"/>
        <v>0.25</v>
      </c>
      <c r="G208" s="9">
        <f t="shared" si="16"/>
        <v>250</v>
      </c>
      <c r="H208" s="9">
        <f t="shared" si="18"/>
        <v>9.64E-2</v>
      </c>
      <c r="I208" s="49">
        <f t="shared" si="17"/>
        <v>2593.3609958506222</v>
      </c>
    </row>
    <row r="209" spans="1:9">
      <c r="A209" s="57"/>
      <c r="B209" s="9" t="s">
        <v>31</v>
      </c>
      <c r="C209" s="9">
        <f>TS!F210</f>
        <v>98.52000000000001</v>
      </c>
      <c r="D209" s="9">
        <v>50.01</v>
      </c>
      <c r="E209" s="9">
        <v>49.8</v>
      </c>
      <c r="F209" s="9">
        <f t="shared" si="15"/>
        <v>0.21000000000000085</v>
      </c>
      <c r="G209" s="9">
        <f t="shared" si="16"/>
        <v>210.00000000000085</v>
      </c>
      <c r="H209" s="9">
        <f t="shared" si="18"/>
        <v>9.852000000000001E-2</v>
      </c>
      <c r="I209" s="49">
        <f t="shared" si="17"/>
        <v>2131.5468940316773</v>
      </c>
    </row>
    <row r="210" spans="1:9">
      <c r="A210" s="56">
        <v>38871</v>
      </c>
      <c r="B210" s="9" t="s">
        <v>30</v>
      </c>
      <c r="C210" s="9">
        <f>TS!F211</f>
        <v>90.28</v>
      </c>
      <c r="D210" s="9">
        <v>72.900000000000006</v>
      </c>
      <c r="E210" s="9">
        <v>72.62</v>
      </c>
      <c r="F210" s="9">
        <f t="shared" si="15"/>
        <v>0.28000000000000114</v>
      </c>
      <c r="G210" s="9">
        <f t="shared" si="16"/>
        <v>280.00000000000114</v>
      </c>
      <c r="H210" s="9">
        <f t="shared" si="18"/>
        <v>9.0279999999999999E-2</v>
      </c>
      <c r="I210" s="49">
        <f t="shared" si="17"/>
        <v>3101.4621178555731</v>
      </c>
    </row>
    <row r="211" spans="1:9">
      <c r="A211" s="57"/>
      <c r="B211" s="9" t="s">
        <v>31</v>
      </c>
      <c r="C211" s="9">
        <f>TS!F212</f>
        <v>92.670000000000016</v>
      </c>
      <c r="D211" s="9">
        <v>50.44</v>
      </c>
      <c r="E211" s="9">
        <v>50.23</v>
      </c>
      <c r="F211" s="9">
        <f t="shared" si="15"/>
        <v>0.21000000000000085</v>
      </c>
      <c r="G211" s="9">
        <f t="shared" si="16"/>
        <v>210.00000000000085</v>
      </c>
      <c r="H211" s="9">
        <f t="shared" si="18"/>
        <v>9.2670000000000016E-2</v>
      </c>
      <c r="I211" s="49">
        <f t="shared" si="17"/>
        <v>2266.1055357721034</v>
      </c>
    </row>
    <row r="212" spans="1:9">
      <c r="A212" s="56">
        <v>38874</v>
      </c>
      <c r="B212" s="9" t="s">
        <v>30</v>
      </c>
      <c r="C212" s="9">
        <f>TS!F213</f>
        <v>97.15</v>
      </c>
      <c r="D212" s="9">
        <v>51.35</v>
      </c>
      <c r="E212" s="9">
        <v>51</v>
      </c>
      <c r="F212" s="9">
        <f t="shared" si="15"/>
        <v>0.35000000000000142</v>
      </c>
      <c r="G212" s="9">
        <f t="shared" si="16"/>
        <v>350.00000000000142</v>
      </c>
      <c r="H212" s="9">
        <f t="shared" si="18"/>
        <v>9.715E-2</v>
      </c>
      <c r="I212" s="49">
        <f t="shared" si="17"/>
        <v>3602.6762738034113</v>
      </c>
    </row>
    <row r="213" spans="1:9">
      <c r="A213" s="57"/>
      <c r="B213" s="9" t="s">
        <v>31</v>
      </c>
      <c r="C213" s="9">
        <f>TS!F214</f>
        <v>98.1</v>
      </c>
      <c r="D213" s="9">
        <v>50.04</v>
      </c>
      <c r="E213" s="9">
        <v>49.77</v>
      </c>
      <c r="F213" s="9">
        <f t="shared" si="15"/>
        <v>0.26999999999999602</v>
      </c>
      <c r="G213" s="9">
        <f t="shared" si="16"/>
        <v>269.99999999999602</v>
      </c>
      <c r="H213" s="9">
        <f t="shared" si="18"/>
        <v>9.8099999999999993E-2</v>
      </c>
      <c r="I213" s="49">
        <f t="shared" si="17"/>
        <v>2752.2935779816112</v>
      </c>
    </row>
    <row r="214" spans="1:9">
      <c r="A214" s="56">
        <v>38876</v>
      </c>
      <c r="B214" s="9" t="s">
        <v>30</v>
      </c>
      <c r="C214" s="9">
        <f>TS!F215</f>
        <v>96.740000000000009</v>
      </c>
      <c r="D214" s="9">
        <v>50.41</v>
      </c>
      <c r="E214" s="9">
        <v>50.07</v>
      </c>
      <c r="F214" s="9">
        <f t="shared" si="15"/>
        <v>0.33999999999999631</v>
      </c>
      <c r="G214" s="9">
        <f t="shared" si="16"/>
        <v>339.99999999999631</v>
      </c>
      <c r="H214" s="9">
        <f t="shared" si="18"/>
        <v>9.6740000000000007E-2</v>
      </c>
      <c r="I214" s="49">
        <f t="shared" si="17"/>
        <v>3514.5751498862546</v>
      </c>
    </row>
    <row r="215" spans="1:9">
      <c r="A215" s="57"/>
      <c r="B215" s="9" t="s">
        <v>31</v>
      </c>
      <c r="C215" s="9">
        <f>TS!F216</f>
        <v>92.44</v>
      </c>
      <c r="D215" s="9">
        <v>51.18</v>
      </c>
      <c r="E215" s="9">
        <v>50.91</v>
      </c>
      <c r="F215" s="9">
        <f t="shared" si="15"/>
        <v>0.27000000000000313</v>
      </c>
      <c r="G215" s="9">
        <f t="shared" si="16"/>
        <v>270.00000000000313</v>
      </c>
      <c r="H215" s="9">
        <f t="shared" si="18"/>
        <v>9.2439999999999994E-2</v>
      </c>
      <c r="I215" s="49">
        <f t="shared" si="17"/>
        <v>2920.8135006491038</v>
      </c>
    </row>
    <row r="216" spans="1:9">
      <c r="A216" s="56">
        <v>38878</v>
      </c>
      <c r="B216" s="9" t="s">
        <v>30</v>
      </c>
      <c r="C216" s="9">
        <f>TS!F217</f>
        <v>92.6</v>
      </c>
      <c r="D216" s="9">
        <v>50.74</v>
      </c>
      <c r="E216" s="9">
        <v>50.49</v>
      </c>
      <c r="F216" s="9">
        <f t="shared" si="15"/>
        <v>0.25</v>
      </c>
      <c r="G216" s="9">
        <f t="shared" si="16"/>
        <v>250</v>
      </c>
      <c r="H216" s="9">
        <f t="shared" si="18"/>
        <v>9.2599999999999988E-2</v>
      </c>
      <c r="I216" s="49">
        <f t="shared" si="17"/>
        <v>2699.7840172786182</v>
      </c>
    </row>
    <row r="217" spans="1:9">
      <c r="A217" s="57"/>
      <c r="B217" s="9" t="s">
        <v>31</v>
      </c>
      <c r="C217" s="9">
        <f>TS!F218</f>
        <v>95.950000000000017</v>
      </c>
      <c r="D217" s="9">
        <v>50.41</v>
      </c>
      <c r="E217" s="9">
        <v>50.23</v>
      </c>
      <c r="F217" s="9">
        <f t="shared" si="15"/>
        <v>0.17999999999999972</v>
      </c>
      <c r="G217" s="9">
        <f t="shared" ref="G217:G273" si="19">F217*1000</f>
        <v>179.99999999999972</v>
      </c>
      <c r="H217" s="9">
        <f t="shared" si="18"/>
        <v>9.5950000000000021E-2</v>
      </c>
      <c r="I217" s="49">
        <f t="shared" ref="I217:I273" si="20">(G217)/(H217)</f>
        <v>1875.9770713913463</v>
      </c>
    </row>
    <row r="218" spans="1:9">
      <c r="A218" s="56">
        <v>38881</v>
      </c>
      <c r="B218" s="9" t="s">
        <v>30</v>
      </c>
      <c r="C218" s="9">
        <f>TS!F219</f>
        <v>94.03</v>
      </c>
      <c r="D218" s="9">
        <v>50.09</v>
      </c>
      <c r="E218" s="9">
        <v>49.8</v>
      </c>
      <c r="F218" s="9">
        <f t="shared" si="15"/>
        <v>0.29000000000000625</v>
      </c>
      <c r="G218" s="9">
        <f t="shared" si="19"/>
        <v>290.00000000000625</v>
      </c>
      <c r="H218" s="9">
        <f t="shared" si="18"/>
        <v>9.4030000000000002E-2</v>
      </c>
      <c r="I218" s="49">
        <f t="shared" si="20"/>
        <v>3084.1220886951637</v>
      </c>
    </row>
    <row r="219" spans="1:9">
      <c r="A219" s="57"/>
      <c r="B219" s="9" t="s">
        <v>31</v>
      </c>
      <c r="C219" s="9">
        <f>TS!F220</f>
        <v>88.32</v>
      </c>
      <c r="D219" s="9">
        <v>51.16</v>
      </c>
      <c r="E219" s="9">
        <v>50.9</v>
      </c>
      <c r="F219" s="9">
        <f t="shared" si="15"/>
        <v>0.25999999999999801</v>
      </c>
      <c r="G219" s="9">
        <f t="shared" si="19"/>
        <v>259.99999999999801</v>
      </c>
      <c r="H219" s="9">
        <f t="shared" si="18"/>
        <v>8.8319999999999996E-2</v>
      </c>
      <c r="I219" s="49">
        <f t="shared" si="20"/>
        <v>2943.8405797101227</v>
      </c>
    </row>
    <row r="220" spans="1:9">
      <c r="A220" s="56">
        <v>38883</v>
      </c>
      <c r="B220" s="9" t="s">
        <v>30</v>
      </c>
      <c r="C220" s="9">
        <f>TS!F221</f>
        <v>93.03</v>
      </c>
      <c r="D220" s="9">
        <v>50.47</v>
      </c>
      <c r="E220" s="9">
        <v>50.22</v>
      </c>
      <c r="F220" s="9">
        <f t="shared" si="15"/>
        <v>0.25</v>
      </c>
      <c r="G220" s="9">
        <f t="shared" si="19"/>
        <v>250</v>
      </c>
      <c r="H220" s="9">
        <f t="shared" si="18"/>
        <v>9.3030000000000002E-2</v>
      </c>
      <c r="I220" s="49">
        <f t="shared" si="20"/>
        <v>2687.3051703751476</v>
      </c>
    </row>
    <row r="221" spans="1:9">
      <c r="A221" s="57"/>
      <c r="B221" s="9" t="s">
        <v>31</v>
      </c>
      <c r="C221" s="9">
        <f>TS!F222</f>
        <v>90.710000000000008</v>
      </c>
      <c r="D221" s="9">
        <v>50.69</v>
      </c>
      <c r="E221" s="9">
        <v>50.52</v>
      </c>
      <c r="F221" s="9">
        <f t="shared" si="15"/>
        <v>0.1699999999999946</v>
      </c>
      <c r="G221" s="9">
        <f t="shared" si="19"/>
        <v>169.9999999999946</v>
      </c>
      <c r="H221" s="9">
        <f t="shared" si="18"/>
        <v>9.0710000000000013E-2</v>
      </c>
      <c r="I221" s="49">
        <f t="shared" si="20"/>
        <v>1874.1042883915177</v>
      </c>
    </row>
    <row r="222" spans="1:9">
      <c r="A222" s="56">
        <v>38885</v>
      </c>
      <c r="B222" s="9" t="s">
        <v>30</v>
      </c>
      <c r="C222" s="9">
        <f>TS!F223</f>
        <v>92.32</v>
      </c>
      <c r="D222" s="9">
        <v>50.38</v>
      </c>
      <c r="E222" s="9">
        <v>50.2</v>
      </c>
      <c r="F222" s="9">
        <f t="shared" si="15"/>
        <v>0.17999999999999972</v>
      </c>
      <c r="G222" s="9">
        <f t="shared" si="19"/>
        <v>179.99999999999972</v>
      </c>
      <c r="H222" s="9">
        <f t="shared" si="18"/>
        <v>9.2319999999999999E-2</v>
      </c>
      <c r="I222" s="49">
        <f t="shared" si="20"/>
        <v>1949.740034662042</v>
      </c>
    </row>
    <row r="223" spans="1:9">
      <c r="A223" s="57"/>
      <c r="B223" s="9" t="s">
        <v>31</v>
      </c>
      <c r="C223" s="9">
        <f>TS!F224</f>
        <v>84.67</v>
      </c>
      <c r="D223" s="9">
        <v>51.17</v>
      </c>
      <c r="E223" s="9">
        <v>51.07</v>
      </c>
      <c r="F223" s="9">
        <f t="shared" si="15"/>
        <v>0.10000000000000142</v>
      </c>
      <c r="G223" s="9">
        <f t="shared" si="19"/>
        <v>100.00000000000142</v>
      </c>
      <c r="H223" s="9">
        <f t="shared" si="18"/>
        <v>8.4669999999999995E-2</v>
      </c>
      <c r="I223" s="49">
        <f t="shared" si="20"/>
        <v>1181.0558639423814</v>
      </c>
    </row>
    <row r="224" spans="1:9">
      <c r="A224" s="56">
        <v>38888</v>
      </c>
      <c r="B224" s="9" t="s">
        <v>30</v>
      </c>
      <c r="C224" s="9">
        <f>TS!F225</f>
        <v>92.450000000000017</v>
      </c>
      <c r="D224" s="9">
        <v>50.85</v>
      </c>
      <c r="E224" s="26">
        <v>50.5</v>
      </c>
      <c r="F224" s="9">
        <f t="shared" si="15"/>
        <v>0.35000000000000142</v>
      </c>
      <c r="G224" s="9">
        <f t="shared" si="19"/>
        <v>350.00000000000142</v>
      </c>
      <c r="H224" s="9">
        <f t="shared" si="18"/>
        <v>9.2450000000000018E-2</v>
      </c>
      <c r="I224" s="49">
        <f t="shared" si="20"/>
        <v>3785.830178474866</v>
      </c>
    </row>
    <row r="225" spans="1:9">
      <c r="A225" s="57"/>
      <c r="B225" s="9" t="s">
        <v>31</v>
      </c>
      <c r="C225" s="9">
        <f>TS!F226</f>
        <v>88.33</v>
      </c>
      <c r="D225" s="9">
        <v>50.39</v>
      </c>
      <c r="E225" s="9">
        <v>50.07</v>
      </c>
      <c r="F225" s="9">
        <f t="shared" si="15"/>
        <v>0.32000000000000028</v>
      </c>
      <c r="G225" s="9">
        <f t="shared" si="19"/>
        <v>320.00000000000028</v>
      </c>
      <c r="H225" s="9">
        <f t="shared" si="18"/>
        <v>8.8329999999999992E-2</v>
      </c>
      <c r="I225" s="49">
        <f t="shared" si="20"/>
        <v>3622.7782180459676</v>
      </c>
    </row>
    <row r="226" spans="1:9">
      <c r="A226" s="56">
        <v>38890</v>
      </c>
      <c r="B226" s="9" t="s">
        <v>30</v>
      </c>
      <c r="C226" s="9">
        <f>TS!F227</f>
        <v>91.169999999999987</v>
      </c>
      <c r="D226" s="9">
        <v>63.46</v>
      </c>
      <c r="E226" s="9">
        <v>63.15</v>
      </c>
      <c r="F226" s="9">
        <f t="shared" si="15"/>
        <v>0.31000000000000227</v>
      </c>
      <c r="G226" s="9">
        <f t="shared" si="19"/>
        <v>310.00000000000227</v>
      </c>
      <c r="H226" s="9">
        <f t="shared" si="18"/>
        <v>9.1169999999999987E-2</v>
      </c>
      <c r="I226" s="49">
        <f t="shared" si="20"/>
        <v>3400.2413074476508</v>
      </c>
    </row>
    <row r="227" spans="1:9">
      <c r="A227" s="57"/>
      <c r="B227" s="9" t="s">
        <v>31</v>
      </c>
      <c r="C227" s="9">
        <f>TS!F228</f>
        <v>93.929999999999993</v>
      </c>
      <c r="D227" s="9">
        <v>50.2</v>
      </c>
      <c r="E227" s="9">
        <v>49.93</v>
      </c>
      <c r="F227" s="9">
        <f t="shared" si="15"/>
        <v>0.27000000000000313</v>
      </c>
      <c r="G227" s="9">
        <f t="shared" si="19"/>
        <v>270.00000000000313</v>
      </c>
      <c r="H227" s="9">
        <f t="shared" si="18"/>
        <v>9.3929999999999986E-2</v>
      </c>
      <c r="I227" s="49">
        <f t="shared" si="20"/>
        <v>2874.4809964867791</v>
      </c>
    </row>
    <row r="228" spans="1:9">
      <c r="A228" s="56">
        <v>38892</v>
      </c>
      <c r="B228" s="9" t="s">
        <v>30</v>
      </c>
      <c r="C228" s="9">
        <f>TS!F229</f>
        <v>87.730000000000018</v>
      </c>
      <c r="D228" s="9">
        <v>50.22</v>
      </c>
      <c r="E228" s="100">
        <v>50.08</v>
      </c>
      <c r="F228" s="9">
        <f t="shared" si="15"/>
        <v>0.14000000000000057</v>
      </c>
      <c r="G228" s="9">
        <f t="shared" si="19"/>
        <v>140.00000000000057</v>
      </c>
      <c r="H228" s="9">
        <f t="shared" si="18"/>
        <v>8.7730000000000016E-2</v>
      </c>
      <c r="I228" s="49">
        <f t="shared" si="20"/>
        <v>1595.8053117519723</v>
      </c>
    </row>
    <row r="229" spans="1:9">
      <c r="A229" s="57"/>
      <c r="B229" s="9" t="s">
        <v>31</v>
      </c>
      <c r="C229" s="9">
        <f>TS!F230</f>
        <v>85.700000000000017</v>
      </c>
      <c r="D229" s="9">
        <v>50.48</v>
      </c>
      <c r="E229" s="100">
        <v>50.37</v>
      </c>
      <c r="F229" s="9">
        <f t="shared" ref="F229:F283" si="21">D229-E229</f>
        <v>0.10999999999999943</v>
      </c>
      <c r="G229" s="9">
        <f t="shared" si="19"/>
        <v>109.99999999999943</v>
      </c>
      <c r="H229" s="9">
        <f t="shared" si="18"/>
        <v>8.5700000000000012E-2</v>
      </c>
      <c r="I229" s="49">
        <f t="shared" si="20"/>
        <v>1283.5472578763058</v>
      </c>
    </row>
    <row r="230" spans="1:9">
      <c r="A230" s="56">
        <v>38895</v>
      </c>
      <c r="B230" s="9" t="s">
        <v>30</v>
      </c>
      <c r="C230" s="9">
        <f>TS!F231</f>
        <v>85.300000000000011</v>
      </c>
      <c r="D230" s="9">
        <v>50.38</v>
      </c>
      <c r="E230" s="9">
        <v>50.13</v>
      </c>
      <c r="F230" s="9">
        <f t="shared" si="21"/>
        <v>0.25</v>
      </c>
      <c r="G230" s="9">
        <f t="shared" si="19"/>
        <v>250</v>
      </c>
      <c r="H230" s="9">
        <f t="shared" si="18"/>
        <v>8.5300000000000015E-2</v>
      </c>
      <c r="I230" s="49">
        <f t="shared" si="20"/>
        <v>2930.8323563892141</v>
      </c>
    </row>
    <row r="231" spans="1:9">
      <c r="A231" s="57"/>
      <c r="B231" s="9" t="s">
        <v>31</v>
      </c>
      <c r="C231" s="9">
        <f>TS!F232</f>
        <v>86.199999999999989</v>
      </c>
      <c r="D231" s="9">
        <v>51.19</v>
      </c>
      <c r="E231" s="9">
        <v>50.98</v>
      </c>
      <c r="F231" s="9">
        <f t="shared" si="21"/>
        <v>0.21000000000000085</v>
      </c>
      <c r="G231" s="9">
        <f t="shared" si="19"/>
        <v>210.00000000000085</v>
      </c>
      <c r="H231" s="9">
        <f t="shared" si="18"/>
        <v>8.6199999999999985E-2</v>
      </c>
      <c r="I231" s="49">
        <f t="shared" si="20"/>
        <v>2436.1948955916578</v>
      </c>
    </row>
    <row r="232" spans="1:9">
      <c r="A232" s="56">
        <v>38897</v>
      </c>
      <c r="B232" s="9" t="s">
        <v>30</v>
      </c>
      <c r="C232" s="9">
        <f>TS!F233</f>
        <v>89.669999999999987</v>
      </c>
      <c r="D232" s="9">
        <v>50.06</v>
      </c>
      <c r="E232" s="9">
        <v>49.77</v>
      </c>
      <c r="F232" s="9">
        <f t="shared" si="21"/>
        <v>0.28999999999999915</v>
      </c>
      <c r="G232" s="9">
        <f t="shared" si="19"/>
        <v>289.99999999999915</v>
      </c>
      <c r="H232" s="9">
        <f t="shared" si="18"/>
        <v>8.9669999999999986E-2</v>
      </c>
      <c r="I232" s="49">
        <f t="shared" si="20"/>
        <v>3234.0805174528737</v>
      </c>
    </row>
    <row r="233" spans="1:9">
      <c r="A233" s="57"/>
      <c r="B233" s="9" t="s">
        <v>31</v>
      </c>
      <c r="C233" s="9">
        <f>TS!F234</f>
        <v>89.169999999999987</v>
      </c>
      <c r="D233" s="9">
        <v>50.5</v>
      </c>
      <c r="E233" s="9">
        <v>50.21</v>
      </c>
      <c r="F233" s="9">
        <f t="shared" si="21"/>
        <v>0.28999999999999915</v>
      </c>
      <c r="G233" s="9">
        <f t="shared" si="19"/>
        <v>289.99999999999915</v>
      </c>
      <c r="H233" s="9">
        <f t="shared" si="18"/>
        <v>8.9169999999999985E-2</v>
      </c>
      <c r="I233" s="49">
        <f t="shared" si="20"/>
        <v>3252.214870472123</v>
      </c>
    </row>
    <row r="234" spans="1:9">
      <c r="A234" s="56">
        <v>38900</v>
      </c>
      <c r="B234" s="9" t="s">
        <v>30</v>
      </c>
      <c r="C234" s="9">
        <f>TS!F235</f>
        <v>99.440000000000012</v>
      </c>
      <c r="D234" s="9">
        <v>51.36</v>
      </c>
      <c r="E234" s="9">
        <v>50.95</v>
      </c>
      <c r="F234" s="9">
        <f t="shared" si="21"/>
        <v>0.40999999999999659</v>
      </c>
      <c r="G234" s="9">
        <f t="shared" si="19"/>
        <v>409.99999999999659</v>
      </c>
      <c r="H234" s="9">
        <f t="shared" si="18"/>
        <v>9.9440000000000014E-2</v>
      </c>
      <c r="I234" s="49">
        <f t="shared" si="20"/>
        <v>4123.0893000804153</v>
      </c>
    </row>
    <row r="235" spans="1:9">
      <c r="A235" s="57"/>
      <c r="B235" s="9" t="s">
        <v>31</v>
      </c>
      <c r="C235" s="9">
        <f>TS!F236</f>
        <v>94.809999999999988</v>
      </c>
      <c r="D235" s="9">
        <v>50.35</v>
      </c>
      <c r="E235" s="9">
        <v>50.1</v>
      </c>
      <c r="F235" s="9">
        <f t="shared" si="21"/>
        <v>0.25</v>
      </c>
      <c r="G235" s="9">
        <f t="shared" si="19"/>
        <v>250</v>
      </c>
      <c r="H235" s="9">
        <f t="shared" si="18"/>
        <v>9.4809999999999992E-2</v>
      </c>
      <c r="I235" s="49">
        <f t="shared" si="20"/>
        <v>2636.8526526737687</v>
      </c>
    </row>
    <row r="236" spans="1:9">
      <c r="A236" s="56">
        <v>38902</v>
      </c>
      <c r="B236" s="9" t="s">
        <v>30</v>
      </c>
      <c r="C236" s="9">
        <f>TS!F237</f>
        <v>92.05</v>
      </c>
      <c r="D236" s="9">
        <v>50.05</v>
      </c>
      <c r="E236" s="9">
        <v>49.77</v>
      </c>
      <c r="F236" s="9">
        <f t="shared" si="21"/>
        <v>0.27999999999999403</v>
      </c>
      <c r="G236" s="9">
        <f t="shared" si="19"/>
        <v>279.99999999999403</v>
      </c>
      <c r="H236" s="9">
        <f t="shared" si="18"/>
        <v>9.2049999999999993E-2</v>
      </c>
      <c r="I236" s="49">
        <f t="shared" si="20"/>
        <v>3041.8250950569695</v>
      </c>
    </row>
    <row r="237" spans="1:9">
      <c r="A237" s="57"/>
      <c r="B237" s="9" t="s">
        <v>31</v>
      </c>
      <c r="C237" s="9">
        <f>TS!F238</f>
        <v>89.28</v>
      </c>
      <c r="D237" s="9">
        <v>50.41</v>
      </c>
      <c r="E237" s="9">
        <v>50.19</v>
      </c>
      <c r="F237" s="9">
        <f t="shared" si="21"/>
        <v>0.21999999999999886</v>
      </c>
      <c r="G237" s="9">
        <f t="shared" si="19"/>
        <v>219.99999999999886</v>
      </c>
      <c r="H237" s="9">
        <f t="shared" si="18"/>
        <v>8.9279999999999998E-2</v>
      </c>
      <c r="I237" s="49">
        <f t="shared" si="20"/>
        <v>2464.1577060931772</v>
      </c>
    </row>
    <row r="238" spans="1:9">
      <c r="A238" s="56">
        <v>38904</v>
      </c>
      <c r="B238" s="9" t="s">
        <v>30</v>
      </c>
      <c r="C238" s="9">
        <f>TS!F239</f>
        <v>83.230000000000018</v>
      </c>
      <c r="D238" s="9">
        <v>50.38</v>
      </c>
      <c r="E238" s="9">
        <v>50.05</v>
      </c>
      <c r="F238" s="9">
        <f t="shared" si="21"/>
        <v>0.3300000000000054</v>
      </c>
      <c r="G238" s="9">
        <f t="shared" si="19"/>
        <v>330.0000000000054</v>
      </c>
      <c r="H238" s="9">
        <f t="shared" si="18"/>
        <v>8.3230000000000012E-2</v>
      </c>
      <c r="I238" s="49">
        <f t="shared" si="20"/>
        <v>3964.9164964556694</v>
      </c>
    </row>
    <row r="239" spans="1:9">
      <c r="A239" s="57"/>
      <c r="B239" s="9" t="s">
        <v>31</v>
      </c>
      <c r="C239" s="9">
        <f>TS!F240</f>
        <v>96.169999999999987</v>
      </c>
      <c r="D239" s="9">
        <v>50.22</v>
      </c>
      <c r="E239" s="9">
        <v>49.92</v>
      </c>
      <c r="F239" s="9">
        <f t="shared" si="21"/>
        <v>0.29999999999999716</v>
      </c>
      <c r="G239" s="9">
        <f t="shared" si="19"/>
        <v>299.99999999999716</v>
      </c>
      <c r="H239" s="9">
        <f t="shared" si="18"/>
        <v>9.6169999999999992E-2</v>
      </c>
      <c r="I239" s="49">
        <f t="shared" si="20"/>
        <v>3119.4759280440594</v>
      </c>
    </row>
    <row r="240" spans="1:9">
      <c r="A240" s="56">
        <v>38906</v>
      </c>
      <c r="B240" s="9" t="s">
        <v>30</v>
      </c>
      <c r="C240" s="9">
        <f>TS!F241</f>
        <v>91.35</v>
      </c>
      <c r="D240" s="9">
        <v>50.4</v>
      </c>
      <c r="E240" s="9">
        <v>50.05</v>
      </c>
      <c r="F240" s="9">
        <f t="shared" si="21"/>
        <v>0.35000000000000142</v>
      </c>
      <c r="G240" s="9">
        <f t="shared" si="19"/>
        <v>350.00000000000142</v>
      </c>
      <c r="H240" s="9">
        <f t="shared" si="18"/>
        <v>9.1350000000000001E-2</v>
      </c>
      <c r="I240" s="49">
        <f t="shared" si="20"/>
        <v>3831.4176245210883</v>
      </c>
    </row>
    <row r="241" spans="1:9">
      <c r="A241" s="57"/>
      <c r="B241" s="9" t="s">
        <v>31</v>
      </c>
      <c r="C241" s="9">
        <f>TS!F242</f>
        <v>95.52</v>
      </c>
      <c r="D241" s="9">
        <v>50.09</v>
      </c>
      <c r="E241" s="9">
        <v>49.79</v>
      </c>
      <c r="F241" s="9">
        <f t="shared" si="21"/>
        <v>0.30000000000000426</v>
      </c>
      <c r="G241" s="9">
        <f t="shared" si="19"/>
        <v>300.00000000000426</v>
      </c>
      <c r="H241" s="9">
        <f t="shared" si="18"/>
        <v>9.5519999999999994E-2</v>
      </c>
      <c r="I241" s="49">
        <f t="shared" si="20"/>
        <v>3140.7035175879846</v>
      </c>
    </row>
    <row r="242" spans="1:9">
      <c r="A242" s="56">
        <v>38909</v>
      </c>
      <c r="B242" s="9" t="s">
        <v>30</v>
      </c>
      <c r="C242" s="10">
        <f>TS!F243</f>
        <v>88.450000000000017</v>
      </c>
      <c r="D242" s="9">
        <v>51.26</v>
      </c>
      <c r="E242" s="9">
        <v>50.92</v>
      </c>
      <c r="F242" s="9">
        <f t="shared" si="21"/>
        <v>0.33999999999999631</v>
      </c>
      <c r="G242" s="9">
        <f t="shared" si="19"/>
        <v>339.99999999999631</v>
      </c>
      <c r="H242" s="9">
        <f t="shared" si="18"/>
        <v>8.8450000000000015E-2</v>
      </c>
      <c r="I242" s="49">
        <f t="shared" si="20"/>
        <v>3843.9796495194601</v>
      </c>
    </row>
    <row r="243" spans="1:9">
      <c r="A243" s="57"/>
      <c r="B243" s="9" t="s">
        <v>31</v>
      </c>
      <c r="C243" s="10">
        <f>TS!F244</f>
        <v>86.22999999999999</v>
      </c>
      <c r="D243" s="9">
        <v>50.43</v>
      </c>
      <c r="E243" s="9">
        <v>50.19</v>
      </c>
      <c r="F243" s="9">
        <f t="shared" si="21"/>
        <v>0.24000000000000199</v>
      </c>
      <c r="G243" s="9">
        <f t="shared" si="19"/>
        <v>240.00000000000199</v>
      </c>
      <c r="H243" s="9">
        <f t="shared" si="18"/>
        <v>8.6229999999999987E-2</v>
      </c>
      <c r="I243" s="49">
        <f t="shared" si="20"/>
        <v>2783.254087904465</v>
      </c>
    </row>
    <row r="244" spans="1:9">
      <c r="A244" s="56">
        <v>38911</v>
      </c>
      <c r="B244" s="9" t="s">
        <v>30</v>
      </c>
      <c r="C244" s="10">
        <f>TS!F245</f>
        <v>89.910000000000011</v>
      </c>
      <c r="D244" s="9">
        <v>49.8</v>
      </c>
      <c r="E244" s="9">
        <v>49.48</v>
      </c>
      <c r="F244" s="9">
        <f t="shared" si="21"/>
        <v>0.32000000000000028</v>
      </c>
      <c r="G244" s="9">
        <f t="shared" si="19"/>
        <v>320.00000000000028</v>
      </c>
      <c r="H244" s="9">
        <f t="shared" si="18"/>
        <v>8.9910000000000018E-2</v>
      </c>
      <c r="I244" s="49">
        <f t="shared" si="20"/>
        <v>3559.1146702257838</v>
      </c>
    </row>
    <row r="245" spans="1:9">
      <c r="A245" s="57"/>
      <c r="B245" s="9" t="s">
        <v>31</v>
      </c>
      <c r="C245" s="10">
        <f>TS!F246</f>
        <v>86.12</v>
      </c>
      <c r="D245" s="9">
        <v>49.99</v>
      </c>
      <c r="E245" s="9">
        <v>49.73</v>
      </c>
      <c r="F245" s="9">
        <f t="shared" si="21"/>
        <v>0.26000000000000512</v>
      </c>
      <c r="G245" s="9">
        <f t="shared" si="19"/>
        <v>260.00000000000512</v>
      </c>
      <c r="H245" s="9">
        <f t="shared" si="18"/>
        <v>8.6120000000000002E-2</v>
      </c>
      <c r="I245" s="49">
        <f t="shared" si="20"/>
        <v>3019.0431955411646</v>
      </c>
    </row>
    <row r="246" spans="1:9">
      <c r="A246" s="56">
        <v>38913</v>
      </c>
      <c r="B246" s="9" t="s">
        <v>30</v>
      </c>
      <c r="C246" s="10">
        <f>TS!F247</f>
        <v>94.53</v>
      </c>
      <c r="D246" s="9">
        <v>50.47</v>
      </c>
      <c r="E246" s="9">
        <v>50.12</v>
      </c>
      <c r="F246" s="9">
        <f t="shared" si="21"/>
        <v>0.35000000000000142</v>
      </c>
      <c r="G246" s="9">
        <f t="shared" si="19"/>
        <v>350.00000000000142</v>
      </c>
      <c r="H246" s="9">
        <f t="shared" si="18"/>
        <v>9.4530000000000003E-2</v>
      </c>
      <c r="I246" s="49">
        <f t="shared" si="20"/>
        <v>3702.528297894863</v>
      </c>
    </row>
    <row r="247" spans="1:9">
      <c r="A247" s="57"/>
      <c r="B247" s="9" t="s">
        <v>31</v>
      </c>
      <c r="C247" s="10">
        <f>TS!F248</f>
        <v>92.1</v>
      </c>
      <c r="D247" s="9">
        <v>50.49</v>
      </c>
      <c r="E247" s="9">
        <v>50.2</v>
      </c>
      <c r="F247" s="9">
        <f t="shared" si="21"/>
        <v>0.28999999999999915</v>
      </c>
      <c r="G247" s="9">
        <f t="shared" si="19"/>
        <v>289.99999999999915</v>
      </c>
      <c r="H247" s="9">
        <f t="shared" si="18"/>
        <v>9.2099999999999987E-2</v>
      </c>
      <c r="I247" s="49">
        <f t="shared" si="20"/>
        <v>3148.7513572204039</v>
      </c>
    </row>
    <row r="248" spans="1:9">
      <c r="A248" s="56">
        <v>38916</v>
      </c>
      <c r="B248" s="9" t="s">
        <v>30</v>
      </c>
      <c r="C248" s="10">
        <f>TS!F249</f>
        <v>89.66</v>
      </c>
      <c r="D248" s="9">
        <v>50.24</v>
      </c>
      <c r="E248" s="9">
        <v>49.91</v>
      </c>
      <c r="F248" s="9">
        <f t="shared" si="21"/>
        <v>0.3300000000000054</v>
      </c>
      <c r="G248" s="9">
        <f t="shared" si="19"/>
        <v>330.0000000000054</v>
      </c>
      <c r="H248" s="9">
        <f t="shared" si="18"/>
        <v>8.965999999999999E-2</v>
      </c>
      <c r="I248" s="49">
        <f t="shared" si="20"/>
        <v>3680.5710461744975</v>
      </c>
    </row>
    <row r="249" spans="1:9">
      <c r="A249" s="57"/>
      <c r="B249" s="9" t="s">
        <v>31</v>
      </c>
      <c r="C249" s="10">
        <f>TS!F250</f>
        <v>97.99</v>
      </c>
      <c r="D249" s="9">
        <v>50.11</v>
      </c>
      <c r="E249" s="9">
        <v>49.8</v>
      </c>
      <c r="F249" s="9">
        <f t="shared" si="21"/>
        <v>0.31000000000000227</v>
      </c>
      <c r="G249" s="9">
        <f t="shared" si="19"/>
        <v>310.00000000000227</v>
      </c>
      <c r="H249" s="9">
        <f t="shared" si="18"/>
        <v>9.7989999999999994E-2</v>
      </c>
      <c r="I249" s="49">
        <f t="shared" si="20"/>
        <v>3163.5881212368845</v>
      </c>
    </row>
    <row r="250" spans="1:9">
      <c r="A250" s="56">
        <v>38918</v>
      </c>
      <c r="B250" s="9" t="s">
        <v>30</v>
      </c>
      <c r="C250" s="10">
        <f>TS!F251</f>
        <v>82.019999999999982</v>
      </c>
      <c r="D250" s="9">
        <v>50.49</v>
      </c>
      <c r="E250" s="9">
        <v>50.17</v>
      </c>
      <c r="F250" s="9">
        <f t="shared" si="21"/>
        <v>0.32000000000000028</v>
      </c>
      <c r="G250" s="9">
        <f t="shared" si="19"/>
        <v>320.00000000000028</v>
      </c>
      <c r="H250" s="9">
        <f t="shared" si="18"/>
        <v>8.2019999999999982E-2</v>
      </c>
      <c r="I250" s="49">
        <f t="shared" si="20"/>
        <v>3901.4874420873002</v>
      </c>
    </row>
    <row r="251" spans="1:9">
      <c r="A251" s="57"/>
      <c r="B251" s="9" t="s">
        <v>31</v>
      </c>
      <c r="C251" s="10">
        <f>TS!F252</f>
        <v>92.84</v>
      </c>
      <c r="D251" s="9">
        <v>50.43</v>
      </c>
      <c r="E251" s="9">
        <v>50.12</v>
      </c>
      <c r="F251" s="9">
        <f t="shared" si="21"/>
        <v>0.31000000000000227</v>
      </c>
      <c r="G251" s="9">
        <f t="shared" si="19"/>
        <v>310.00000000000227</v>
      </c>
      <c r="H251" s="9">
        <f t="shared" si="18"/>
        <v>9.2840000000000006E-2</v>
      </c>
      <c r="I251" s="49">
        <f t="shared" si="20"/>
        <v>3339.0779836277711</v>
      </c>
    </row>
    <row r="252" spans="1:9">
      <c r="A252" s="56">
        <v>38920</v>
      </c>
      <c r="B252" s="9" t="s">
        <v>30</v>
      </c>
      <c r="C252" s="10">
        <f>TS!F253</f>
        <v>84.510000000000019</v>
      </c>
      <c r="D252" s="9">
        <v>51.26</v>
      </c>
      <c r="E252" s="9">
        <v>50.94</v>
      </c>
      <c r="F252" s="9">
        <f t="shared" si="21"/>
        <v>0.32000000000000028</v>
      </c>
      <c r="G252" s="9">
        <f t="shared" si="19"/>
        <v>320.00000000000028</v>
      </c>
      <c r="H252" s="9">
        <f t="shared" si="18"/>
        <v>8.4510000000000016E-2</v>
      </c>
      <c r="I252" s="49">
        <f t="shared" si="20"/>
        <v>3786.5341379718402</v>
      </c>
    </row>
    <row r="253" spans="1:9">
      <c r="A253" s="57"/>
      <c r="B253" s="9" t="s">
        <v>31</v>
      </c>
      <c r="C253" s="10">
        <f>TS!F254</f>
        <v>85.079999999999984</v>
      </c>
      <c r="D253" s="9">
        <v>50.34</v>
      </c>
      <c r="E253" s="9">
        <v>50.05</v>
      </c>
      <c r="F253" s="9">
        <f t="shared" si="21"/>
        <v>0.29000000000000625</v>
      </c>
      <c r="G253" s="9">
        <f t="shared" si="19"/>
        <v>290.00000000000625</v>
      </c>
      <c r="H253" s="9">
        <f t="shared" si="18"/>
        <v>8.5079999999999989E-2</v>
      </c>
      <c r="I253" s="49">
        <f t="shared" si="20"/>
        <v>3408.5566525623681</v>
      </c>
    </row>
    <row r="254" spans="1:9">
      <c r="A254" s="56">
        <v>38923</v>
      </c>
      <c r="B254" s="9" t="s">
        <v>30</v>
      </c>
      <c r="C254" s="10">
        <f>TS!F255</f>
        <v>93.799999999999983</v>
      </c>
      <c r="D254" s="9">
        <v>50.15</v>
      </c>
      <c r="E254" s="9">
        <v>49.8</v>
      </c>
      <c r="F254" s="9">
        <f t="shared" si="21"/>
        <v>0.35000000000000142</v>
      </c>
      <c r="G254" s="9">
        <f t="shared" si="19"/>
        <v>350.00000000000142</v>
      </c>
      <c r="H254" s="9">
        <f t="shared" si="18"/>
        <v>9.3799999999999981E-2</v>
      </c>
      <c r="I254" s="49">
        <f t="shared" si="20"/>
        <v>3731.3432835821054</v>
      </c>
    </row>
    <row r="255" spans="1:9">
      <c r="A255" s="57"/>
      <c r="B255" s="9" t="s">
        <v>31</v>
      </c>
      <c r="C255" s="10">
        <f>TS!F256</f>
        <v>86.920000000000016</v>
      </c>
      <c r="D255" s="9">
        <v>50.19</v>
      </c>
      <c r="E255" s="9">
        <v>49.9</v>
      </c>
      <c r="F255" s="9">
        <f t="shared" si="21"/>
        <v>0.28999999999999915</v>
      </c>
      <c r="G255" s="9">
        <f t="shared" si="19"/>
        <v>289.99999999999915</v>
      </c>
      <c r="H255" s="9">
        <f t="shared" si="18"/>
        <v>8.6920000000000011E-2</v>
      </c>
      <c r="I255" s="49">
        <f t="shared" si="20"/>
        <v>3336.4012885411771</v>
      </c>
    </row>
    <row r="256" spans="1:9">
      <c r="A256" s="56">
        <v>38927</v>
      </c>
      <c r="B256" s="9" t="s">
        <v>30</v>
      </c>
      <c r="C256" s="10">
        <f>TS!F257</f>
        <v>91.70999999999998</v>
      </c>
      <c r="D256" s="9">
        <v>50.43</v>
      </c>
      <c r="E256" s="9">
        <v>50.09</v>
      </c>
      <c r="F256" s="9">
        <f t="shared" si="21"/>
        <v>0.33999999999999631</v>
      </c>
      <c r="G256" s="9">
        <f t="shared" si="19"/>
        <v>339.99999999999631</v>
      </c>
      <c r="H256" s="9">
        <f t="shared" si="18"/>
        <v>9.1709999999999986E-2</v>
      </c>
      <c r="I256" s="49">
        <f t="shared" si="20"/>
        <v>3707.3383491440013</v>
      </c>
    </row>
    <row r="257" spans="1:9">
      <c r="A257" s="57"/>
      <c r="B257" s="9" t="s">
        <v>31</v>
      </c>
      <c r="C257" s="10">
        <f>TS!F258</f>
        <v>83.329999999999984</v>
      </c>
      <c r="D257" s="9">
        <v>51.18</v>
      </c>
      <c r="E257" s="9">
        <v>50.96</v>
      </c>
      <c r="F257" s="9">
        <f t="shared" si="21"/>
        <v>0.21999999999999886</v>
      </c>
      <c r="G257" s="9">
        <f t="shared" si="19"/>
        <v>219.99999999999886</v>
      </c>
      <c r="H257" s="9">
        <f t="shared" si="18"/>
        <v>8.3329999999999987E-2</v>
      </c>
      <c r="I257" s="49">
        <f t="shared" si="20"/>
        <v>2640.1056042241557</v>
      </c>
    </row>
    <row r="258" spans="1:9">
      <c r="A258" s="56">
        <v>38930</v>
      </c>
      <c r="B258" s="9" t="s">
        <v>30</v>
      </c>
      <c r="C258" s="10">
        <f>TS!F259</f>
        <v>88.41</v>
      </c>
      <c r="D258" s="9">
        <v>50.47</v>
      </c>
      <c r="E258" s="9">
        <v>50.13</v>
      </c>
      <c r="F258" s="9">
        <f t="shared" si="21"/>
        <v>0.33999999999999631</v>
      </c>
      <c r="G258" s="9">
        <f t="shared" si="19"/>
        <v>339.99999999999631</v>
      </c>
      <c r="H258" s="9">
        <f t="shared" ref="H258:H308" si="22">C258/1000</f>
        <v>8.8410000000000002E-2</v>
      </c>
      <c r="I258" s="49">
        <f t="shared" si="20"/>
        <v>3845.7188100893145</v>
      </c>
    </row>
    <row r="259" spans="1:9">
      <c r="A259" s="57"/>
      <c r="B259" s="9" t="s">
        <v>31</v>
      </c>
      <c r="C259" s="10">
        <f>TS!F260</f>
        <v>80.27</v>
      </c>
      <c r="D259" s="9">
        <v>50.42</v>
      </c>
      <c r="E259" s="9">
        <v>50.16</v>
      </c>
      <c r="F259" s="9">
        <f t="shared" si="21"/>
        <v>0.26000000000000512</v>
      </c>
      <c r="G259" s="9">
        <f t="shared" si="19"/>
        <v>260.00000000000512</v>
      </c>
      <c r="H259" s="9">
        <f t="shared" si="22"/>
        <v>8.0269999999999994E-2</v>
      </c>
      <c r="I259" s="49">
        <f t="shared" si="20"/>
        <v>3239.0681450106531</v>
      </c>
    </row>
    <row r="260" spans="1:9">
      <c r="A260" s="56">
        <v>38932</v>
      </c>
      <c r="B260" s="9" t="s">
        <v>30</v>
      </c>
      <c r="C260" s="10">
        <f>TS!F261</f>
        <v>86.950000000000017</v>
      </c>
      <c r="D260" s="9">
        <v>50.41</v>
      </c>
      <c r="E260" s="9">
        <v>50.07</v>
      </c>
      <c r="F260" s="9">
        <f t="shared" si="21"/>
        <v>0.33999999999999631</v>
      </c>
      <c r="G260" s="9">
        <f t="shared" si="19"/>
        <v>339.99999999999631</v>
      </c>
      <c r="H260" s="9">
        <f t="shared" si="22"/>
        <v>8.6950000000000013E-2</v>
      </c>
      <c r="I260" s="49">
        <f t="shared" si="20"/>
        <v>3910.2932719953565</v>
      </c>
    </row>
    <row r="261" spans="1:9">
      <c r="A261" s="57"/>
      <c r="B261" s="9" t="s">
        <v>31</v>
      </c>
      <c r="C261" s="10">
        <f>TS!F262</f>
        <v>85.35</v>
      </c>
      <c r="D261" s="9">
        <v>50.21</v>
      </c>
      <c r="E261" s="9">
        <v>49.9</v>
      </c>
      <c r="F261" s="9">
        <f t="shared" si="21"/>
        <v>0.31000000000000227</v>
      </c>
      <c r="G261" s="9">
        <f t="shared" si="19"/>
        <v>310.00000000000227</v>
      </c>
      <c r="H261" s="9">
        <f t="shared" si="22"/>
        <v>8.5349999999999995E-2</v>
      </c>
      <c r="I261" s="49">
        <f t="shared" si="20"/>
        <v>3632.1031048623586</v>
      </c>
    </row>
    <row r="262" spans="1:9">
      <c r="A262" s="56">
        <v>38934</v>
      </c>
      <c r="B262" s="9" t="s">
        <v>30</v>
      </c>
      <c r="C262" s="10">
        <f>TS!F263</f>
        <v>89.36</v>
      </c>
      <c r="D262" s="9">
        <v>50.08</v>
      </c>
      <c r="E262" s="9">
        <v>49.73</v>
      </c>
      <c r="F262" s="9">
        <f t="shared" si="21"/>
        <v>0.35000000000000142</v>
      </c>
      <c r="G262" s="9">
        <f t="shared" si="19"/>
        <v>350.00000000000142</v>
      </c>
      <c r="H262" s="9">
        <f t="shared" si="22"/>
        <v>8.9359999999999995E-2</v>
      </c>
      <c r="I262" s="49">
        <f t="shared" si="20"/>
        <v>3916.7412712623259</v>
      </c>
    </row>
    <row r="263" spans="1:9">
      <c r="A263" s="57"/>
      <c r="B263" s="9" t="s">
        <v>31</v>
      </c>
      <c r="C263" s="10">
        <f>TS!F264</f>
        <v>79.2</v>
      </c>
      <c r="D263" s="9">
        <v>50.42</v>
      </c>
      <c r="E263" s="9">
        <v>50.15</v>
      </c>
      <c r="F263" s="9">
        <f t="shared" si="21"/>
        <v>0.27000000000000313</v>
      </c>
      <c r="G263" s="9">
        <f t="shared" si="19"/>
        <v>270.00000000000313</v>
      </c>
      <c r="H263" s="9">
        <f t="shared" si="22"/>
        <v>7.9200000000000007E-2</v>
      </c>
      <c r="I263" s="49">
        <f t="shared" si="20"/>
        <v>3409.0909090909481</v>
      </c>
    </row>
    <row r="264" spans="1:9">
      <c r="A264" s="56">
        <v>38937</v>
      </c>
      <c r="B264" s="9" t="s">
        <v>30</v>
      </c>
      <c r="C264" s="10">
        <f>TS!F265</f>
        <v>89.11999999999999</v>
      </c>
      <c r="D264" s="9">
        <v>51.3</v>
      </c>
      <c r="E264" s="9">
        <v>50.96</v>
      </c>
      <c r="F264" s="9">
        <f t="shared" si="21"/>
        <v>0.33999999999999631</v>
      </c>
      <c r="G264" s="9">
        <f t="shared" si="19"/>
        <v>339.99999999999631</v>
      </c>
      <c r="H264" s="9">
        <f t="shared" si="22"/>
        <v>8.9119999999999991E-2</v>
      </c>
      <c r="I264" s="49">
        <f t="shared" si="20"/>
        <v>3815.0807899460988</v>
      </c>
    </row>
    <row r="265" spans="1:9">
      <c r="A265" s="57"/>
      <c r="B265" s="9" t="s">
        <v>31</v>
      </c>
      <c r="C265" s="10">
        <f>TS!F266</f>
        <v>95.56</v>
      </c>
      <c r="D265" s="9">
        <v>50.41</v>
      </c>
      <c r="E265" s="9">
        <v>50.12</v>
      </c>
      <c r="F265" s="9">
        <f t="shared" si="21"/>
        <v>0.28999999999999915</v>
      </c>
      <c r="G265" s="9">
        <f t="shared" si="19"/>
        <v>289.99999999999915</v>
      </c>
      <c r="H265" s="9">
        <f t="shared" si="22"/>
        <v>9.5560000000000006E-2</v>
      </c>
      <c r="I265" s="49">
        <f t="shared" si="20"/>
        <v>3034.7425701130087</v>
      </c>
    </row>
    <row r="266" spans="1:9">
      <c r="A266" s="56">
        <v>38939</v>
      </c>
      <c r="B266" s="9" t="s">
        <v>30</v>
      </c>
      <c r="C266" s="10">
        <f>TS!F267</f>
        <v>87.57</v>
      </c>
      <c r="D266" s="9">
        <v>50.27</v>
      </c>
      <c r="E266" s="9">
        <v>49.93</v>
      </c>
      <c r="F266" s="9">
        <f t="shared" si="21"/>
        <v>0.34000000000000341</v>
      </c>
      <c r="G266" s="9">
        <f t="shared" si="19"/>
        <v>340.00000000000341</v>
      </c>
      <c r="H266" s="9">
        <f t="shared" si="22"/>
        <v>8.7569999999999995E-2</v>
      </c>
      <c r="I266" s="49">
        <f t="shared" si="20"/>
        <v>3882.6081991550009</v>
      </c>
    </row>
    <row r="267" spans="1:9">
      <c r="A267" s="57"/>
      <c r="B267" s="9" t="s">
        <v>31</v>
      </c>
      <c r="C267" s="10">
        <f>TS!F268</f>
        <v>86.809999999999988</v>
      </c>
      <c r="D267" s="9">
        <v>50.33</v>
      </c>
      <c r="E267" s="9">
        <v>50.05</v>
      </c>
      <c r="F267" s="9">
        <f t="shared" si="21"/>
        <v>0.28000000000000114</v>
      </c>
      <c r="G267" s="9">
        <f t="shared" si="19"/>
        <v>280.00000000000114</v>
      </c>
      <c r="H267" s="9">
        <f t="shared" si="22"/>
        <v>8.6809999999999984E-2</v>
      </c>
      <c r="I267" s="49">
        <f t="shared" si="20"/>
        <v>3225.4348577352976</v>
      </c>
    </row>
    <row r="268" spans="1:9">
      <c r="A268" s="56">
        <v>38941</v>
      </c>
      <c r="B268" s="9" t="s">
        <v>30</v>
      </c>
      <c r="C268" s="10">
        <f>TS!F269</f>
        <v>96.94</v>
      </c>
      <c r="D268" s="9">
        <v>50.91</v>
      </c>
      <c r="E268" s="9">
        <v>50.57</v>
      </c>
      <c r="F268" s="9">
        <f t="shared" si="21"/>
        <v>0.33999999999999631</v>
      </c>
      <c r="G268" s="9">
        <f t="shared" si="19"/>
        <v>339.99999999999631</v>
      </c>
      <c r="H268" s="9">
        <f t="shared" si="22"/>
        <v>9.6939999999999998E-2</v>
      </c>
      <c r="I268" s="49">
        <f t="shared" si="20"/>
        <v>3507.3241180111027</v>
      </c>
    </row>
    <row r="269" spans="1:9">
      <c r="A269" s="57"/>
      <c r="B269" s="9" t="s">
        <v>31</v>
      </c>
      <c r="C269" s="10">
        <f>TS!F270</f>
        <v>83.05</v>
      </c>
      <c r="D269" s="9">
        <v>50.42</v>
      </c>
      <c r="E269" s="9">
        <v>50.2</v>
      </c>
      <c r="F269" s="9">
        <f t="shared" si="21"/>
        <v>0.21999999999999886</v>
      </c>
      <c r="G269" s="9">
        <f t="shared" si="19"/>
        <v>219.99999999999886</v>
      </c>
      <c r="H269" s="9">
        <f t="shared" si="22"/>
        <v>8.3049999999999999E-2</v>
      </c>
      <c r="I269" s="49">
        <f t="shared" si="20"/>
        <v>2649.0066225165428</v>
      </c>
    </row>
    <row r="270" spans="1:9">
      <c r="A270" s="56">
        <v>38944</v>
      </c>
      <c r="B270" s="9" t="s">
        <v>30</v>
      </c>
      <c r="C270" s="10">
        <f>TS!F271</f>
        <v>89.25</v>
      </c>
      <c r="D270" s="9">
        <v>50.09</v>
      </c>
      <c r="E270" s="9">
        <v>49.7</v>
      </c>
      <c r="F270" s="9">
        <f t="shared" si="21"/>
        <v>0.39000000000000057</v>
      </c>
      <c r="G270" s="9">
        <f t="shared" si="19"/>
        <v>390.00000000000057</v>
      </c>
      <c r="H270" s="9">
        <f t="shared" si="22"/>
        <v>8.9249999999999996E-2</v>
      </c>
      <c r="I270" s="49">
        <f t="shared" si="20"/>
        <v>4369.7478991596709</v>
      </c>
    </row>
    <row r="271" spans="1:9">
      <c r="A271" s="57"/>
      <c r="B271" s="9" t="s">
        <v>31</v>
      </c>
      <c r="C271" s="10">
        <f>TS!F272</f>
        <v>86.8</v>
      </c>
      <c r="D271" s="9">
        <v>51.2</v>
      </c>
      <c r="E271" s="9">
        <v>50.9</v>
      </c>
      <c r="F271" s="9">
        <f t="shared" si="21"/>
        <v>0.30000000000000426</v>
      </c>
      <c r="G271" s="9">
        <f t="shared" si="19"/>
        <v>300.00000000000426</v>
      </c>
      <c r="H271" s="9">
        <f t="shared" si="22"/>
        <v>8.6800000000000002E-2</v>
      </c>
      <c r="I271" s="49">
        <f t="shared" si="20"/>
        <v>3456.2211981567311</v>
      </c>
    </row>
    <row r="272" spans="1:9">
      <c r="A272" s="56">
        <v>38946</v>
      </c>
      <c r="B272" s="9" t="s">
        <v>30</v>
      </c>
      <c r="C272" s="10">
        <f>TS!F273</f>
        <v>89.890000000000015</v>
      </c>
      <c r="D272" s="9">
        <v>50.51</v>
      </c>
      <c r="E272" s="9">
        <v>50.14</v>
      </c>
      <c r="F272" s="9">
        <f t="shared" si="21"/>
        <v>0.36999999999999744</v>
      </c>
      <c r="G272" s="9">
        <f t="shared" si="19"/>
        <v>369.99999999999744</v>
      </c>
      <c r="H272" s="9">
        <f t="shared" si="22"/>
        <v>8.9890000000000012E-2</v>
      </c>
      <c r="I272" s="49">
        <f t="shared" si="20"/>
        <v>4116.1419512737502</v>
      </c>
    </row>
    <row r="273" spans="1:9">
      <c r="A273" s="57"/>
      <c r="B273" s="9" t="s">
        <v>31</v>
      </c>
      <c r="C273" s="10">
        <f>TS!F274</f>
        <v>92.960000000000008</v>
      </c>
      <c r="D273" s="9">
        <v>50.34</v>
      </c>
      <c r="E273" s="9">
        <v>50.05</v>
      </c>
      <c r="F273" s="9">
        <f t="shared" si="21"/>
        <v>0.29000000000000625</v>
      </c>
      <c r="G273" s="9">
        <f t="shared" si="19"/>
        <v>290.00000000000625</v>
      </c>
      <c r="H273" s="9">
        <f t="shared" si="22"/>
        <v>9.2960000000000015E-2</v>
      </c>
      <c r="I273" s="49">
        <f t="shared" si="20"/>
        <v>3119.6213425129754</v>
      </c>
    </row>
    <row r="274" spans="1:9">
      <c r="A274" s="56">
        <v>38948</v>
      </c>
      <c r="B274" s="9" t="s">
        <v>30</v>
      </c>
      <c r="C274" s="10">
        <f>TS!F275</f>
        <v>94.059999999999988</v>
      </c>
      <c r="D274" s="9">
        <v>50.2</v>
      </c>
      <c r="E274" s="9">
        <v>49.75</v>
      </c>
      <c r="F274" s="9">
        <f t="shared" si="21"/>
        <v>0.45000000000000284</v>
      </c>
      <c r="G274" s="9">
        <f t="shared" ref="G274:G336" si="23">F274*1000</f>
        <v>450.00000000000284</v>
      </c>
      <c r="H274" s="9">
        <f t="shared" si="22"/>
        <v>9.4059999999999991E-2</v>
      </c>
      <c r="I274" s="49">
        <f t="shared" ref="I274:I336" si="24">(G274)/(H274)</f>
        <v>4784.1803104401752</v>
      </c>
    </row>
    <row r="275" spans="1:9">
      <c r="A275" s="57"/>
      <c r="B275" s="9" t="s">
        <v>31</v>
      </c>
      <c r="C275" s="10">
        <f>TS!F276</f>
        <v>89.9</v>
      </c>
      <c r="D275" s="9">
        <v>51.22</v>
      </c>
      <c r="E275" s="9">
        <v>50.91</v>
      </c>
      <c r="F275" s="9">
        <f t="shared" si="21"/>
        <v>0.31000000000000227</v>
      </c>
      <c r="G275" s="9">
        <f t="shared" si="23"/>
        <v>310.00000000000227</v>
      </c>
      <c r="H275" s="9">
        <f t="shared" si="22"/>
        <v>8.9900000000000008E-2</v>
      </c>
      <c r="I275" s="49">
        <f t="shared" si="24"/>
        <v>3448.2758620689906</v>
      </c>
    </row>
    <row r="276" spans="1:9">
      <c r="A276" s="56">
        <v>38953</v>
      </c>
      <c r="B276" s="9" t="s">
        <v>30</v>
      </c>
      <c r="C276" s="10">
        <f>TS!F277</f>
        <v>91.01</v>
      </c>
      <c r="D276" s="9">
        <v>50.61</v>
      </c>
      <c r="E276" s="9">
        <v>50.17</v>
      </c>
      <c r="F276" s="9">
        <f t="shared" si="21"/>
        <v>0.43999999999999773</v>
      </c>
      <c r="G276" s="9">
        <f t="shared" si="23"/>
        <v>439.99999999999773</v>
      </c>
      <c r="H276" s="9">
        <f t="shared" si="22"/>
        <v>9.1010000000000008E-2</v>
      </c>
      <c r="I276" s="49">
        <f t="shared" si="24"/>
        <v>4834.63355675198</v>
      </c>
    </row>
    <row r="277" spans="1:9">
      <c r="A277" s="57"/>
      <c r="B277" s="9" t="s">
        <v>31</v>
      </c>
      <c r="C277" s="10">
        <f>TS!F278</f>
        <v>86.16</v>
      </c>
      <c r="D277" s="9">
        <v>50.34</v>
      </c>
      <c r="E277" s="9">
        <v>50.04</v>
      </c>
      <c r="F277" s="9">
        <f t="shared" si="21"/>
        <v>0.30000000000000426</v>
      </c>
      <c r="G277" s="9">
        <f t="shared" si="23"/>
        <v>300.00000000000426</v>
      </c>
      <c r="H277" s="9">
        <f t="shared" si="22"/>
        <v>8.616E-2</v>
      </c>
      <c r="I277" s="49">
        <f t="shared" si="24"/>
        <v>3481.894150417877</v>
      </c>
    </row>
    <row r="278" spans="1:9">
      <c r="A278" s="56">
        <v>38955</v>
      </c>
      <c r="B278" s="9" t="s">
        <v>30</v>
      </c>
      <c r="C278" s="10">
        <f>TS!F279</f>
        <v>90.95</v>
      </c>
      <c r="D278" s="9">
        <v>50.2</v>
      </c>
      <c r="E278" s="9">
        <v>49.76</v>
      </c>
      <c r="F278" s="9">
        <f t="shared" si="21"/>
        <v>0.44000000000000483</v>
      </c>
      <c r="G278" s="9">
        <f t="shared" si="23"/>
        <v>440.00000000000483</v>
      </c>
      <c r="H278" s="9">
        <f t="shared" si="22"/>
        <v>9.0950000000000003E-2</v>
      </c>
      <c r="I278" s="49">
        <f t="shared" si="24"/>
        <v>4837.8229796592068</v>
      </c>
    </row>
    <row r="279" spans="1:9">
      <c r="A279" s="57"/>
      <c r="B279" s="9" t="s">
        <v>31</v>
      </c>
      <c r="C279" s="10">
        <f>TS!F280</f>
        <v>92.34</v>
      </c>
      <c r="D279" s="9">
        <v>50.23</v>
      </c>
      <c r="E279" s="9">
        <v>49.92</v>
      </c>
      <c r="F279" s="9">
        <f t="shared" si="21"/>
        <v>0.30999999999999517</v>
      </c>
      <c r="G279" s="9">
        <f t="shared" si="23"/>
        <v>309.99999999999517</v>
      </c>
      <c r="H279" s="9">
        <f t="shared" si="22"/>
        <v>9.2340000000000005E-2</v>
      </c>
      <c r="I279" s="49">
        <f t="shared" si="24"/>
        <v>3357.1583279185093</v>
      </c>
    </row>
    <row r="280" spans="1:9">
      <c r="A280" s="56">
        <v>38958</v>
      </c>
      <c r="B280" s="9" t="s">
        <v>30</v>
      </c>
      <c r="C280" s="10">
        <f>TS!F281</f>
        <v>85.82</v>
      </c>
      <c r="D280" s="9">
        <v>51.44</v>
      </c>
      <c r="E280" s="9">
        <v>51</v>
      </c>
      <c r="F280" s="9">
        <f t="shared" si="21"/>
        <v>0.43999999999999773</v>
      </c>
      <c r="G280" s="9">
        <f t="shared" si="23"/>
        <v>439.99999999999773</v>
      </c>
      <c r="H280" s="9">
        <f t="shared" si="22"/>
        <v>8.5819999999999994E-2</v>
      </c>
      <c r="I280" s="49">
        <f t="shared" si="24"/>
        <v>5127.0100209741058</v>
      </c>
    </row>
    <row r="281" spans="1:9">
      <c r="A281" s="57"/>
      <c r="B281" s="9" t="s">
        <v>31</v>
      </c>
      <c r="C281" s="10">
        <f>TS!F282</f>
        <v>83.420000000000016</v>
      </c>
      <c r="D281" s="9">
        <v>50.44</v>
      </c>
      <c r="E281" s="9">
        <v>50.15</v>
      </c>
      <c r="F281" s="9">
        <f t="shared" si="21"/>
        <v>0.28999999999999915</v>
      </c>
      <c r="G281" s="9">
        <f t="shared" si="23"/>
        <v>289.99999999999915</v>
      </c>
      <c r="H281" s="9">
        <f t="shared" si="22"/>
        <v>8.3420000000000022E-2</v>
      </c>
      <c r="I281" s="49">
        <f t="shared" si="24"/>
        <v>3476.3845600575291</v>
      </c>
    </row>
    <row r="282" spans="1:9">
      <c r="A282" s="56">
        <v>38960</v>
      </c>
      <c r="B282" s="9" t="s">
        <v>30</v>
      </c>
      <c r="C282" s="10">
        <f>TS!F283</f>
        <v>91.78</v>
      </c>
      <c r="D282" s="9">
        <v>51.09</v>
      </c>
      <c r="E282" s="9">
        <v>50.62</v>
      </c>
      <c r="F282" s="9">
        <f t="shared" si="21"/>
        <v>0.47000000000000597</v>
      </c>
      <c r="G282" s="9">
        <f t="shared" si="23"/>
        <v>470.00000000000597</v>
      </c>
      <c r="H282" s="9">
        <f t="shared" si="22"/>
        <v>9.178E-2</v>
      </c>
      <c r="I282" s="49">
        <f t="shared" si="24"/>
        <v>5120.9413815646758</v>
      </c>
    </row>
    <row r="283" spans="1:9">
      <c r="A283" s="57"/>
      <c r="B283" s="9" t="s">
        <v>31</v>
      </c>
      <c r="C283" s="10">
        <f>TS!F284</f>
        <v>97.15</v>
      </c>
      <c r="D283" s="9">
        <v>50.05</v>
      </c>
      <c r="E283" s="9">
        <v>49.71</v>
      </c>
      <c r="F283" s="9">
        <f t="shared" si="21"/>
        <v>0.33999999999999631</v>
      </c>
      <c r="G283" s="9">
        <f t="shared" si="23"/>
        <v>339.99999999999631</v>
      </c>
      <c r="H283" s="9">
        <f t="shared" si="22"/>
        <v>9.715E-2</v>
      </c>
      <c r="I283" s="49">
        <f t="shared" si="24"/>
        <v>3499.7426659804046</v>
      </c>
    </row>
    <row r="284" spans="1:9">
      <c r="A284" s="56">
        <v>38962</v>
      </c>
      <c r="B284" s="9" t="s">
        <v>30</v>
      </c>
      <c r="C284" s="10">
        <f>TS!F285</f>
        <v>86.249999999999986</v>
      </c>
      <c r="D284" s="9">
        <v>51.45</v>
      </c>
      <c r="E284" s="9">
        <v>51.01</v>
      </c>
      <c r="F284" s="9">
        <f t="shared" ref="F284:F339" si="25">D284-E284</f>
        <v>0.44000000000000483</v>
      </c>
      <c r="G284" s="9">
        <f t="shared" si="23"/>
        <v>440.00000000000483</v>
      </c>
      <c r="H284" s="9">
        <f t="shared" si="22"/>
        <v>8.6249999999999979E-2</v>
      </c>
      <c r="I284" s="49">
        <f t="shared" si="24"/>
        <v>5101.4492753623763</v>
      </c>
    </row>
    <row r="285" spans="1:9">
      <c r="A285" s="57"/>
      <c r="B285" s="9" t="s">
        <v>31</v>
      </c>
      <c r="C285" s="10">
        <f>TS!F286</f>
        <v>84.249999999999986</v>
      </c>
      <c r="D285" s="9">
        <v>50.45</v>
      </c>
      <c r="E285" s="9">
        <v>50.17</v>
      </c>
      <c r="F285" s="9">
        <f t="shared" si="25"/>
        <v>0.28000000000000114</v>
      </c>
      <c r="G285" s="9">
        <f t="shared" si="23"/>
        <v>280.00000000000114</v>
      </c>
      <c r="H285" s="9">
        <f t="shared" si="22"/>
        <v>8.4249999999999992E-2</v>
      </c>
      <c r="I285" s="49">
        <f t="shared" si="24"/>
        <v>3323.4421364985301</v>
      </c>
    </row>
    <row r="286" spans="1:9">
      <c r="A286" s="56">
        <v>38966</v>
      </c>
      <c r="B286" s="9" t="s">
        <v>30</v>
      </c>
      <c r="C286" s="10">
        <f>TS!F287</f>
        <v>82</v>
      </c>
      <c r="D286" s="9">
        <v>50.54</v>
      </c>
      <c r="E286" s="9">
        <v>50.13</v>
      </c>
      <c r="F286" s="9">
        <f t="shared" si="25"/>
        <v>0.40999999999999659</v>
      </c>
      <c r="G286" s="9">
        <f t="shared" si="23"/>
        <v>409.99999999999659</v>
      </c>
      <c r="H286" s="9">
        <f t="shared" si="22"/>
        <v>8.2000000000000003E-2</v>
      </c>
      <c r="I286" s="49">
        <f t="shared" si="24"/>
        <v>4999.9999999999582</v>
      </c>
    </row>
    <row r="287" spans="1:9">
      <c r="A287" s="57"/>
      <c r="B287" s="9" t="s">
        <v>31</v>
      </c>
      <c r="C287" s="10">
        <f>TS!F288</f>
        <v>89.13000000000001</v>
      </c>
      <c r="D287" s="9">
        <v>50.39</v>
      </c>
      <c r="E287" s="9">
        <v>50.1</v>
      </c>
      <c r="F287" s="9">
        <f t="shared" si="25"/>
        <v>0.28999999999999915</v>
      </c>
      <c r="G287" s="9">
        <f t="shared" si="23"/>
        <v>289.99999999999915</v>
      </c>
      <c r="H287" s="9">
        <f t="shared" si="22"/>
        <v>8.9130000000000015E-2</v>
      </c>
      <c r="I287" s="49">
        <f t="shared" si="24"/>
        <v>3253.6744081678348</v>
      </c>
    </row>
    <row r="288" spans="1:9">
      <c r="A288" s="56">
        <v>38968</v>
      </c>
      <c r="B288" s="9" t="s">
        <v>30</v>
      </c>
      <c r="C288" s="10">
        <f>TS!F289</f>
        <v>90.03</v>
      </c>
      <c r="D288" s="9">
        <v>52.24</v>
      </c>
      <c r="E288" s="9">
        <v>51.77</v>
      </c>
      <c r="F288" s="9">
        <f t="shared" si="25"/>
        <v>0.46999999999999886</v>
      </c>
      <c r="G288" s="9">
        <f t="shared" si="23"/>
        <v>469.99999999999886</v>
      </c>
      <c r="H288" s="9">
        <f t="shared" si="22"/>
        <v>9.0029999999999999E-2</v>
      </c>
      <c r="I288" s="49">
        <f t="shared" si="24"/>
        <v>5220.4820615350309</v>
      </c>
    </row>
    <row r="289" spans="1:9">
      <c r="A289" s="57"/>
      <c r="B289" s="9" t="s">
        <v>31</v>
      </c>
      <c r="C289" s="10">
        <f>TS!F290</f>
        <v>79.490000000000009</v>
      </c>
      <c r="D289" s="9">
        <v>74.59</v>
      </c>
      <c r="E289" s="9">
        <v>74.31</v>
      </c>
      <c r="F289" s="9">
        <f t="shared" si="25"/>
        <v>0.28000000000000114</v>
      </c>
      <c r="G289" s="9">
        <f t="shared" si="23"/>
        <v>280.00000000000114</v>
      </c>
      <c r="H289" s="9">
        <f t="shared" si="22"/>
        <v>7.9490000000000005E-2</v>
      </c>
      <c r="I289" s="49">
        <f t="shared" si="24"/>
        <v>3522.4556547993598</v>
      </c>
    </row>
    <row r="290" spans="1:9">
      <c r="A290" s="56">
        <v>38970</v>
      </c>
      <c r="B290" s="9" t="s">
        <v>30</v>
      </c>
      <c r="C290" s="10">
        <f>TS!F291</f>
        <v>86.789999999999992</v>
      </c>
      <c r="D290" s="9">
        <v>50.44</v>
      </c>
      <c r="E290" s="9">
        <v>50.11</v>
      </c>
      <c r="F290" s="9">
        <f t="shared" si="25"/>
        <v>0.32999999999999829</v>
      </c>
      <c r="G290" s="9">
        <f t="shared" si="23"/>
        <v>329.99999999999829</v>
      </c>
      <c r="H290" s="9">
        <f t="shared" si="22"/>
        <v>8.6789999999999992E-2</v>
      </c>
      <c r="I290" s="49">
        <f t="shared" si="24"/>
        <v>3802.2813688212736</v>
      </c>
    </row>
    <row r="291" spans="1:9">
      <c r="A291" s="57"/>
      <c r="B291" s="9" t="s">
        <v>31</v>
      </c>
      <c r="C291" s="10">
        <f>TS!F292</f>
        <v>89.700000000000017</v>
      </c>
      <c r="D291" s="9">
        <v>50.6</v>
      </c>
      <c r="E291" s="9">
        <v>50.15</v>
      </c>
      <c r="F291" s="9">
        <f t="shared" si="25"/>
        <v>0.45000000000000284</v>
      </c>
      <c r="G291" s="9">
        <f t="shared" si="23"/>
        <v>450.00000000000284</v>
      </c>
      <c r="H291" s="9">
        <f t="shared" si="22"/>
        <v>8.9700000000000016E-2</v>
      </c>
      <c r="I291" s="49">
        <f t="shared" si="24"/>
        <v>5016.722408026787</v>
      </c>
    </row>
    <row r="292" spans="1:9">
      <c r="A292" s="56">
        <v>38972</v>
      </c>
      <c r="B292" s="9" t="s">
        <v>30</v>
      </c>
      <c r="C292" s="10">
        <f>TS!F293</f>
        <v>76.53</v>
      </c>
      <c r="D292" s="9">
        <v>50.38</v>
      </c>
      <c r="E292" s="9">
        <v>49.97</v>
      </c>
      <c r="F292" s="9">
        <f t="shared" si="25"/>
        <v>0.41000000000000369</v>
      </c>
      <c r="G292" s="9">
        <f t="shared" si="23"/>
        <v>410.00000000000369</v>
      </c>
      <c r="H292" s="9">
        <f t="shared" si="22"/>
        <v>7.6530000000000001E-2</v>
      </c>
      <c r="I292" s="49">
        <f t="shared" si="24"/>
        <v>5357.3761923429201</v>
      </c>
    </row>
    <row r="293" spans="1:9">
      <c r="A293" s="57"/>
      <c r="B293" s="9" t="s">
        <v>31</v>
      </c>
      <c r="C293" s="10">
        <f>TS!F294</f>
        <v>92.300000000000011</v>
      </c>
      <c r="D293" s="9">
        <v>50</v>
      </c>
      <c r="E293" s="9">
        <v>49.65</v>
      </c>
      <c r="F293" s="9">
        <f t="shared" si="25"/>
        <v>0.35000000000000142</v>
      </c>
      <c r="G293" s="9">
        <f t="shared" si="23"/>
        <v>350.00000000000142</v>
      </c>
      <c r="H293" s="9">
        <f t="shared" si="22"/>
        <v>9.2300000000000007E-2</v>
      </c>
      <c r="I293" s="49">
        <f t="shared" si="24"/>
        <v>3791.9826652221168</v>
      </c>
    </row>
    <row r="294" spans="1:9">
      <c r="A294" s="56">
        <v>38974</v>
      </c>
      <c r="B294" s="9" t="s">
        <v>30</v>
      </c>
      <c r="C294" s="10">
        <f>TS!F295</f>
        <v>77.63</v>
      </c>
      <c r="D294" s="9">
        <v>50.57</v>
      </c>
      <c r="E294" s="9">
        <v>50.12</v>
      </c>
      <c r="F294" s="9">
        <f t="shared" si="25"/>
        <v>0.45000000000000284</v>
      </c>
      <c r="G294" s="9">
        <f t="shared" si="23"/>
        <v>450.00000000000284</v>
      </c>
      <c r="H294" s="9">
        <f t="shared" si="22"/>
        <v>7.7629999999999991E-2</v>
      </c>
      <c r="I294" s="49">
        <f t="shared" si="24"/>
        <v>5796.7280690455091</v>
      </c>
    </row>
    <row r="295" spans="1:9">
      <c r="A295" s="57"/>
      <c r="B295" s="9" t="s">
        <v>31</v>
      </c>
      <c r="C295" s="10">
        <f>TS!F296</f>
        <v>85.6</v>
      </c>
      <c r="D295" s="9">
        <v>50.4</v>
      </c>
      <c r="E295" s="9">
        <v>50.08</v>
      </c>
      <c r="F295" s="9">
        <f t="shared" si="25"/>
        <v>0.32000000000000028</v>
      </c>
      <c r="G295" s="9">
        <f t="shared" si="23"/>
        <v>320.00000000000028</v>
      </c>
      <c r="H295" s="9">
        <f t="shared" si="22"/>
        <v>8.5599999999999996E-2</v>
      </c>
      <c r="I295" s="49">
        <f t="shared" si="24"/>
        <v>3738.3177570093494</v>
      </c>
    </row>
    <row r="296" spans="1:9">
      <c r="A296" s="56">
        <v>38976</v>
      </c>
      <c r="B296" s="9" t="s">
        <v>30</v>
      </c>
      <c r="C296" s="10">
        <f>TS!F297</f>
        <v>89.95</v>
      </c>
      <c r="D296" s="9">
        <v>50.17</v>
      </c>
      <c r="E296" s="9">
        <v>49.64</v>
      </c>
      <c r="F296" s="9">
        <f t="shared" si="25"/>
        <v>0.53000000000000114</v>
      </c>
      <c r="G296" s="9">
        <f t="shared" si="23"/>
        <v>530.00000000000114</v>
      </c>
      <c r="H296" s="9">
        <f t="shared" si="22"/>
        <v>8.9950000000000002E-2</v>
      </c>
      <c r="I296" s="49">
        <f t="shared" si="24"/>
        <v>5892.1623123957879</v>
      </c>
    </row>
    <row r="297" spans="1:9">
      <c r="A297" s="57"/>
      <c r="B297" s="9" t="s">
        <v>31</v>
      </c>
      <c r="C297" s="10">
        <f>TS!F298</f>
        <v>84.570000000000022</v>
      </c>
      <c r="D297" s="9">
        <v>50.48</v>
      </c>
      <c r="E297" s="9">
        <v>50.17</v>
      </c>
      <c r="F297" s="9">
        <f t="shared" si="25"/>
        <v>0.30999999999999517</v>
      </c>
      <c r="G297" s="9">
        <f t="shared" si="23"/>
        <v>309.99999999999517</v>
      </c>
      <c r="H297" s="9">
        <f t="shared" si="22"/>
        <v>8.457000000000002E-2</v>
      </c>
      <c r="I297" s="49">
        <f t="shared" si="24"/>
        <v>3665.6024595009471</v>
      </c>
    </row>
    <row r="298" spans="1:9">
      <c r="A298" s="56">
        <v>38980</v>
      </c>
      <c r="B298" s="9" t="s">
        <v>30</v>
      </c>
      <c r="C298" s="10">
        <f>TS!F299</f>
        <v>80.320000000000022</v>
      </c>
      <c r="D298" s="9">
        <v>51.48</v>
      </c>
      <c r="E298" s="9">
        <v>51.02</v>
      </c>
      <c r="F298" s="9">
        <f t="shared" si="25"/>
        <v>0.45999999999999375</v>
      </c>
      <c r="G298" s="9">
        <f t="shared" si="23"/>
        <v>459.99999999999375</v>
      </c>
      <c r="H298" s="9">
        <f t="shared" si="22"/>
        <v>8.0320000000000016E-2</v>
      </c>
      <c r="I298" s="49">
        <f t="shared" si="24"/>
        <v>5727.091633466056</v>
      </c>
    </row>
    <row r="299" spans="1:9">
      <c r="A299" s="56"/>
      <c r="B299" s="9" t="s">
        <v>31</v>
      </c>
      <c r="C299" s="10">
        <f>TS!F300</f>
        <v>83.960000000000008</v>
      </c>
      <c r="D299" s="9">
        <v>50.34</v>
      </c>
      <c r="E299" s="9">
        <v>50.02</v>
      </c>
      <c r="F299" s="9">
        <f t="shared" si="25"/>
        <v>0.32000000000000028</v>
      </c>
      <c r="G299" s="9">
        <f t="shared" si="23"/>
        <v>320.00000000000028</v>
      </c>
      <c r="H299" s="9">
        <f t="shared" si="22"/>
        <v>8.3960000000000007E-2</v>
      </c>
      <c r="I299" s="49">
        <f t="shared" si="24"/>
        <v>3811.3387327298747</v>
      </c>
    </row>
    <row r="300" spans="1:9">
      <c r="A300" s="56">
        <v>38982</v>
      </c>
      <c r="B300" s="9" t="s">
        <v>30</v>
      </c>
      <c r="C300" s="10">
        <f>TS!F301</f>
        <v>91.039999999999992</v>
      </c>
      <c r="D300" s="9">
        <v>50.16</v>
      </c>
      <c r="E300" s="9">
        <v>49.64</v>
      </c>
      <c r="F300" s="9">
        <f t="shared" si="25"/>
        <v>0.51999999999999602</v>
      </c>
      <c r="G300" s="9">
        <f t="shared" si="23"/>
        <v>519.99999999999602</v>
      </c>
      <c r="H300" s="9">
        <f t="shared" si="22"/>
        <v>9.1039999999999996E-2</v>
      </c>
      <c r="I300" s="49">
        <f t="shared" si="24"/>
        <v>5711.7750439366873</v>
      </c>
    </row>
    <row r="301" spans="1:9">
      <c r="A301" s="57"/>
      <c r="B301" s="9" t="s">
        <v>31</v>
      </c>
      <c r="C301" s="10">
        <f>TS!F302</f>
        <v>90.260000000000019</v>
      </c>
      <c r="D301" s="9">
        <v>50.54</v>
      </c>
      <c r="E301" s="9">
        <v>50.17</v>
      </c>
      <c r="F301" s="9">
        <f t="shared" si="25"/>
        <v>0.36999999999999744</v>
      </c>
      <c r="G301" s="9">
        <f t="shared" si="23"/>
        <v>369.99999999999744</v>
      </c>
      <c r="H301" s="9">
        <f t="shared" si="22"/>
        <v>9.0260000000000021E-2</v>
      </c>
      <c r="I301" s="49">
        <f t="shared" si="24"/>
        <v>4099.2687790826212</v>
      </c>
    </row>
    <row r="302" spans="1:9">
      <c r="A302" s="56">
        <v>38984</v>
      </c>
      <c r="B302" s="9" t="s">
        <v>30</v>
      </c>
      <c r="C302" s="10">
        <f>TS!F303</f>
        <v>90.389999999999986</v>
      </c>
      <c r="D302" s="9">
        <v>50.31</v>
      </c>
      <c r="E302" s="9">
        <v>49.77</v>
      </c>
      <c r="F302" s="9">
        <f t="shared" si="25"/>
        <v>0.53999999999999915</v>
      </c>
      <c r="G302" s="9">
        <f t="shared" si="23"/>
        <v>539.99999999999909</v>
      </c>
      <c r="H302" s="9">
        <f t="shared" si="22"/>
        <v>9.0389999999999984E-2</v>
      </c>
      <c r="I302" s="49">
        <f t="shared" si="24"/>
        <v>5974.1121805509365</v>
      </c>
    </row>
    <row r="303" spans="1:9">
      <c r="A303" s="57"/>
      <c r="B303" s="9" t="s">
        <v>31</v>
      </c>
      <c r="C303" s="10">
        <f>TS!F304</f>
        <v>92.490000000000009</v>
      </c>
      <c r="D303" s="9">
        <v>50.31</v>
      </c>
      <c r="E303" s="9">
        <v>49.93</v>
      </c>
      <c r="F303" s="9">
        <f t="shared" si="25"/>
        <v>0.38000000000000256</v>
      </c>
      <c r="G303" s="9">
        <f t="shared" si="23"/>
        <v>380.00000000000256</v>
      </c>
      <c r="H303" s="9">
        <f t="shared" si="22"/>
        <v>9.2490000000000003E-2</v>
      </c>
      <c r="I303" s="49">
        <f t="shared" si="24"/>
        <v>4108.5522759217492</v>
      </c>
    </row>
    <row r="304" spans="1:9">
      <c r="A304" s="56">
        <v>38986</v>
      </c>
      <c r="B304" s="9" t="s">
        <v>30</v>
      </c>
      <c r="C304" s="10">
        <f>TS!F305</f>
        <v>84.84</v>
      </c>
      <c r="D304" s="9">
        <v>50.66</v>
      </c>
      <c r="E304" s="9">
        <v>50.2</v>
      </c>
      <c r="F304" s="9">
        <f t="shared" si="25"/>
        <v>0.45999999999999375</v>
      </c>
      <c r="G304" s="9">
        <f t="shared" si="23"/>
        <v>459.99999999999375</v>
      </c>
      <c r="H304" s="9">
        <f t="shared" si="22"/>
        <v>8.4839999999999999E-2</v>
      </c>
      <c r="I304" s="49">
        <f t="shared" si="24"/>
        <v>5421.9707685053481</v>
      </c>
    </row>
    <row r="305" spans="1:9">
      <c r="A305" s="56"/>
      <c r="B305" s="9" t="s">
        <v>31</v>
      </c>
      <c r="C305" s="9">
        <v>0</v>
      </c>
      <c r="D305" s="9">
        <v>0</v>
      </c>
      <c r="E305" s="9">
        <v>0</v>
      </c>
      <c r="F305" s="9">
        <f t="shared" si="25"/>
        <v>0</v>
      </c>
      <c r="G305" s="9">
        <f t="shared" si="23"/>
        <v>0</v>
      </c>
      <c r="H305" s="9">
        <f t="shared" si="22"/>
        <v>0</v>
      </c>
      <c r="I305" s="49">
        <v>0</v>
      </c>
    </row>
    <row r="306" spans="1:9">
      <c r="A306" s="56">
        <v>38988</v>
      </c>
      <c r="B306" s="9" t="s">
        <v>30</v>
      </c>
      <c r="C306" s="10">
        <f>TS!F306</f>
        <v>80.360000000000014</v>
      </c>
      <c r="D306" s="9">
        <v>51.44</v>
      </c>
      <c r="E306" s="9">
        <v>51.01</v>
      </c>
      <c r="F306" s="9">
        <f t="shared" si="25"/>
        <v>0.42999999999999972</v>
      </c>
      <c r="G306" s="9">
        <f t="shared" si="23"/>
        <v>429.99999999999972</v>
      </c>
      <c r="H306" s="9">
        <f t="shared" si="22"/>
        <v>8.0360000000000015E-2</v>
      </c>
      <c r="I306" s="49">
        <f t="shared" si="24"/>
        <v>5350.9208561473324</v>
      </c>
    </row>
    <row r="307" spans="1:9">
      <c r="A307" s="57"/>
      <c r="B307" s="9" t="s">
        <v>31</v>
      </c>
      <c r="C307" s="10">
        <f>TS!F307</f>
        <v>82.95</v>
      </c>
      <c r="D307" s="9">
        <v>50.55</v>
      </c>
      <c r="E307" s="9">
        <v>50.02</v>
      </c>
      <c r="F307" s="9">
        <f t="shared" si="25"/>
        <v>0.52999999999999403</v>
      </c>
      <c r="G307" s="9">
        <f t="shared" si="23"/>
        <v>529.99999999999409</v>
      </c>
      <c r="H307" s="9">
        <f t="shared" si="22"/>
        <v>8.2949999999999996E-2</v>
      </c>
      <c r="I307" s="49">
        <f t="shared" si="24"/>
        <v>6389.3911995177104</v>
      </c>
    </row>
    <row r="308" spans="1:9">
      <c r="A308" s="56">
        <v>38990</v>
      </c>
      <c r="B308" s="9" t="s">
        <v>30</v>
      </c>
      <c r="C308" s="10">
        <f>TS!F308</f>
        <v>86.009999999999991</v>
      </c>
      <c r="D308" s="9">
        <v>50.19</v>
      </c>
      <c r="E308" s="9">
        <v>49.75</v>
      </c>
      <c r="F308" s="9">
        <f t="shared" si="25"/>
        <v>0.43999999999999773</v>
      </c>
      <c r="G308" s="9">
        <f t="shared" si="23"/>
        <v>439.99999999999773</v>
      </c>
      <c r="H308" s="9">
        <f t="shared" si="22"/>
        <v>8.6009999999999989E-2</v>
      </c>
      <c r="I308" s="49">
        <f t="shared" si="24"/>
        <v>5115.6842227647694</v>
      </c>
    </row>
    <row r="309" spans="1:9">
      <c r="A309" s="57"/>
      <c r="B309" s="9" t="s">
        <v>31</v>
      </c>
      <c r="C309" s="10">
        <f>TS!F309</f>
        <v>96.62</v>
      </c>
      <c r="D309" s="9">
        <v>50.48</v>
      </c>
      <c r="E309" s="9">
        <v>50.09</v>
      </c>
      <c r="F309" s="9">
        <f t="shared" si="25"/>
        <v>0.38999999999999346</v>
      </c>
      <c r="G309" s="9">
        <f t="shared" si="23"/>
        <v>389.99999999999346</v>
      </c>
      <c r="H309" s="9">
        <f>C309/1000</f>
        <v>9.6620000000000011E-2</v>
      </c>
      <c r="I309" s="49">
        <f t="shared" si="24"/>
        <v>4036.4313806664604</v>
      </c>
    </row>
    <row r="310" spans="1:9">
      <c r="A310" s="56">
        <v>38993</v>
      </c>
      <c r="B310" s="9" t="s">
        <v>30</v>
      </c>
      <c r="C310" s="10">
        <f>TS!F310</f>
        <v>88.9</v>
      </c>
      <c r="D310" s="9">
        <v>50.1</v>
      </c>
      <c r="E310" s="9">
        <v>49.6</v>
      </c>
      <c r="F310" s="9">
        <f t="shared" si="25"/>
        <v>0.5</v>
      </c>
      <c r="G310" s="9">
        <f t="shared" si="23"/>
        <v>500</v>
      </c>
      <c r="H310" s="9">
        <f t="shared" ref="H310:H336" si="26">C310/1000</f>
        <v>8.8900000000000007E-2</v>
      </c>
      <c r="I310" s="49">
        <f t="shared" si="24"/>
        <v>5624.29696287964</v>
      </c>
    </row>
    <row r="311" spans="1:9">
      <c r="A311" s="57"/>
      <c r="B311" s="9" t="s">
        <v>31</v>
      </c>
      <c r="C311" s="10">
        <f>TS!F311</f>
        <v>85.000000000000014</v>
      </c>
      <c r="D311" s="9">
        <v>50.3</v>
      </c>
      <c r="E311" s="9">
        <v>49.9</v>
      </c>
      <c r="F311" s="9">
        <f t="shared" si="25"/>
        <v>0.39999999999999858</v>
      </c>
      <c r="G311" s="9">
        <f t="shared" si="23"/>
        <v>399.99999999999858</v>
      </c>
      <c r="H311" s="9">
        <f t="shared" si="26"/>
        <v>8.500000000000002E-2</v>
      </c>
      <c r="I311" s="49">
        <f t="shared" si="24"/>
        <v>4705.8823529411584</v>
      </c>
    </row>
    <row r="312" spans="1:9">
      <c r="A312" s="56">
        <v>38995</v>
      </c>
      <c r="B312" s="9" t="s">
        <v>30</v>
      </c>
      <c r="C312" s="10">
        <f>TS!F312</f>
        <v>81.400000000000006</v>
      </c>
      <c r="D312" s="9">
        <v>50.6</v>
      </c>
      <c r="E312" s="9">
        <v>50.2</v>
      </c>
      <c r="F312" s="9">
        <f t="shared" si="25"/>
        <v>0.39999999999999858</v>
      </c>
      <c r="G312" s="9">
        <f t="shared" si="23"/>
        <v>399.99999999999858</v>
      </c>
      <c r="H312" s="9">
        <f t="shared" si="26"/>
        <v>8.14E-2</v>
      </c>
      <c r="I312" s="49">
        <f t="shared" si="24"/>
        <v>4914.0049140048968</v>
      </c>
    </row>
    <row r="313" spans="1:9">
      <c r="A313" s="57"/>
      <c r="B313" s="9" t="s">
        <v>31</v>
      </c>
      <c r="C313" s="10">
        <f>TS!F313</f>
        <v>83.1</v>
      </c>
      <c r="D313" s="9">
        <v>50.5</v>
      </c>
      <c r="E313" s="9">
        <v>50.2</v>
      </c>
      <c r="F313" s="9">
        <f t="shared" si="25"/>
        <v>0.29999999999999716</v>
      </c>
      <c r="G313" s="9">
        <f t="shared" si="23"/>
        <v>299.99999999999716</v>
      </c>
      <c r="H313" s="9">
        <f t="shared" si="26"/>
        <v>8.3099999999999993E-2</v>
      </c>
      <c r="I313" s="49">
        <f t="shared" si="24"/>
        <v>3610.1083032490637</v>
      </c>
    </row>
    <row r="314" spans="1:9">
      <c r="A314" s="56">
        <v>38997</v>
      </c>
      <c r="B314" s="9" t="s">
        <v>30</v>
      </c>
      <c r="C314" s="10">
        <f>TS!F314</f>
        <v>88.2</v>
      </c>
      <c r="D314" s="9">
        <v>50.2</v>
      </c>
      <c r="E314" s="9">
        <v>49.7</v>
      </c>
      <c r="F314" s="9">
        <f t="shared" si="25"/>
        <v>0.5</v>
      </c>
      <c r="G314" s="9">
        <f t="shared" si="23"/>
        <v>500</v>
      </c>
      <c r="H314" s="9">
        <f t="shared" si="26"/>
        <v>8.8200000000000001E-2</v>
      </c>
      <c r="I314" s="49">
        <f t="shared" si="24"/>
        <v>5668.9342403628116</v>
      </c>
    </row>
    <row r="315" spans="1:9">
      <c r="A315" s="57"/>
      <c r="B315" s="9" t="s">
        <v>31</v>
      </c>
      <c r="C315" s="10">
        <f>TS!F315</f>
        <v>82.699999999999989</v>
      </c>
      <c r="D315" s="9">
        <v>50.4</v>
      </c>
      <c r="E315" s="9">
        <v>50.1</v>
      </c>
      <c r="F315" s="9">
        <f t="shared" si="25"/>
        <v>0.29999999999999716</v>
      </c>
      <c r="G315" s="9">
        <f t="shared" si="23"/>
        <v>299.99999999999716</v>
      </c>
      <c r="H315" s="9">
        <f t="shared" si="26"/>
        <v>8.2699999999999982E-2</v>
      </c>
      <c r="I315" s="49">
        <f t="shared" si="24"/>
        <v>3627.5695284159278</v>
      </c>
    </row>
    <row r="316" spans="1:9">
      <c r="A316" s="56">
        <v>38999</v>
      </c>
      <c r="B316" s="9" t="s">
        <v>30</v>
      </c>
      <c r="C316" s="10">
        <f>TS!F316</f>
        <v>86.1</v>
      </c>
      <c r="D316" s="9">
        <v>51.4</v>
      </c>
      <c r="E316" s="9">
        <v>51</v>
      </c>
      <c r="F316" s="9">
        <f t="shared" si="25"/>
        <v>0.39999999999999858</v>
      </c>
      <c r="G316" s="9">
        <f t="shared" si="23"/>
        <v>399.99999999999858</v>
      </c>
      <c r="H316" s="9">
        <f t="shared" si="26"/>
        <v>8.6099999999999996E-2</v>
      </c>
      <c r="I316" s="49">
        <f t="shared" si="24"/>
        <v>4645.7607433217026</v>
      </c>
    </row>
    <row r="317" spans="1:9">
      <c r="A317" s="57"/>
      <c r="B317" s="9" t="s">
        <v>31</v>
      </c>
      <c r="C317" s="10">
        <f>TS!F317</f>
        <v>82.4</v>
      </c>
      <c r="D317" s="9">
        <v>50.5</v>
      </c>
      <c r="E317" s="9">
        <v>50.2</v>
      </c>
      <c r="F317" s="9">
        <f t="shared" si="25"/>
        <v>0.29999999999999716</v>
      </c>
      <c r="G317" s="9">
        <f t="shared" si="23"/>
        <v>299.99999999999716</v>
      </c>
      <c r="H317" s="9">
        <f t="shared" si="26"/>
        <v>8.2400000000000001E-2</v>
      </c>
      <c r="I317" s="49">
        <f t="shared" si="24"/>
        <v>3640.7766990290916</v>
      </c>
    </row>
    <row r="318" spans="1:9">
      <c r="A318" s="56">
        <v>39002</v>
      </c>
      <c r="B318" s="9" t="s">
        <v>30</v>
      </c>
      <c r="C318" s="10">
        <f>TS!F318</f>
        <v>79.5</v>
      </c>
      <c r="D318" s="9">
        <v>50.6</v>
      </c>
      <c r="E318" s="9">
        <v>50.2</v>
      </c>
      <c r="F318" s="9">
        <f t="shared" si="25"/>
        <v>0.39999999999999858</v>
      </c>
      <c r="G318" s="9">
        <f t="shared" si="23"/>
        <v>399.99999999999858</v>
      </c>
      <c r="H318" s="9">
        <f t="shared" si="26"/>
        <v>7.9500000000000001E-2</v>
      </c>
      <c r="I318" s="49">
        <f t="shared" si="24"/>
        <v>5031.4465408804854</v>
      </c>
    </row>
    <row r="319" spans="1:9">
      <c r="A319" s="57"/>
      <c r="B319" s="9" t="s">
        <v>31</v>
      </c>
      <c r="C319" s="10">
        <f>TS!F319</f>
        <v>75.900000000000006</v>
      </c>
      <c r="D319" s="9">
        <v>50.3</v>
      </c>
      <c r="E319" s="9">
        <v>49.9</v>
      </c>
      <c r="F319" s="9">
        <f t="shared" si="25"/>
        <v>0.39999999999999858</v>
      </c>
      <c r="G319" s="9">
        <f t="shared" si="23"/>
        <v>399.99999999999858</v>
      </c>
      <c r="H319" s="9">
        <f t="shared" si="26"/>
        <v>7.5900000000000009E-2</v>
      </c>
      <c r="I319" s="49">
        <f t="shared" si="24"/>
        <v>5270.092226613946</v>
      </c>
    </row>
    <row r="320" spans="1:9">
      <c r="A320" s="56">
        <v>39004</v>
      </c>
      <c r="B320" s="9" t="s">
        <v>30</v>
      </c>
      <c r="C320" s="10">
        <f>TS!F320</f>
        <v>86</v>
      </c>
      <c r="D320" s="9">
        <v>50.6</v>
      </c>
      <c r="E320" s="9">
        <v>50.1</v>
      </c>
      <c r="F320" s="9">
        <f t="shared" si="25"/>
        <v>0.5</v>
      </c>
      <c r="G320" s="9">
        <f t="shared" si="23"/>
        <v>500</v>
      </c>
      <c r="H320" s="9">
        <f t="shared" si="26"/>
        <v>8.5999999999999993E-2</v>
      </c>
      <c r="I320" s="49">
        <f t="shared" si="24"/>
        <v>5813.9534883720935</v>
      </c>
    </row>
    <row r="321" spans="1:9">
      <c r="A321" s="57"/>
      <c r="B321" s="9" t="s">
        <v>31</v>
      </c>
      <c r="C321" s="10">
        <f>TS!F321</f>
        <v>84.800000000000011</v>
      </c>
      <c r="D321" s="9">
        <v>50.6</v>
      </c>
      <c r="E321" s="9">
        <v>50.2</v>
      </c>
      <c r="F321" s="9">
        <f t="shared" si="25"/>
        <v>0.39999999999999858</v>
      </c>
      <c r="G321" s="9">
        <f t="shared" si="23"/>
        <v>399.99999999999858</v>
      </c>
      <c r="H321" s="9">
        <f t="shared" si="26"/>
        <v>8.4800000000000014E-2</v>
      </c>
      <c r="I321" s="49">
        <f t="shared" si="24"/>
        <v>4716.9811320754543</v>
      </c>
    </row>
    <row r="322" spans="1:9">
      <c r="A322" s="56">
        <v>39007</v>
      </c>
      <c r="B322" s="9" t="s">
        <v>30</v>
      </c>
      <c r="C322" s="10">
        <f>TS!F322</f>
        <v>73.599999999999994</v>
      </c>
      <c r="D322" s="9">
        <v>51.4</v>
      </c>
      <c r="E322" s="9">
        <v>51</v>
      </c>
      <c r="F322" s="9">
        <f t="shared" si="25"/>
        <v>0.39999999999999858</v>
      </c>
      <c r="G322" s="9">
        <f t="shared" si="23"/>
        <v>399.99999999999858</v>
      </c>
      <c r="H322" s="9">
        <f t="shared" si="26"/>
        <v>7.3599999999999999E-2</v>
      </c>
      <c r="I322" s="49">
        <f t="shared" si="24"/>
        <v>5434.7826086956329</v>
      </c>
    </row>
    <row r="323" spans="1:9">
      <c r="A323" s="57"/>
      <c r="B323" s="9" t="s">
        <v>31</v>
      </c>
      <c r="C323" s="10">
        <f>TS!F323</f>
        <v>77.400000000000006</v>
      </c>
      <c r="D323" s="9">
        <v>50</v>
      </c>
      <c r="E323" s="9">
        <v>49.7</v>
      </c>
      <c r="F323" s="9">
        <f t="shared" si="25"/>
        <v>0.29999999999999716</v>
      </c>
      <c r="G323" s="9">
        <f t="shared" si="23"/>
        <v>299.99999999999716</v>
      </c>
      <c r="H323" s="9">
        <f t="shared" si="26"/>
        <v>7.740000000000001E-2</v>
      </c>
      <c r="I323" s="49">
        <f t="shared" si="24"/>
        <v>3875.9689922480247</v>
      </c>
    </row>
    <row r="324" spans="1:9">
      <c r="A324" s="56">
        <v>39009</v>
      </c>
      <c r="B324" s="9" t="s">
        <v>30</v>
      </c>
      <c r="C324" s="10">
        <f>TS!F324</f>
        <v>70.500000000000014</v>
      </c>
      <c r="D324" s="9">
        <v>74.8</v>
      </c>
      <c r="E324" s="9">
        <v>74.400000000000006</v>
      </c>
      <c r="F324" s="9">
        <f t="shared" si="25"/>
        <v>0.39999999999999147</v>
      </c>
      <c r="G324" s="9">
        <f t="shared" si="23"/>
        <v>399.99999999999147</v>
      </c>
      <c r="H324" s="9">
        <f t="shared" si="26"/>
        <v>7.0500000000000021E-2</v>
      </c>
      <c r="I324" s="49">
        <f t="shared" si="24"/>
        <v>5673.7588652481045</v>
      </c>
    </row>
    <row r="325" spans="1:9">
      <c r="A325" s="57"/>
      <c r="B325" s="9" t="s">
        <v>31</v>
      </c>
      <c r="C325" s="10">
        <f>TS!F325</f>
        <v>84.799999999999983</v>
      </c>
      <c r="D325" s="9">
        <v>49.9</v>
      </c>
      <c r="E325" s="9">
        <v>49.6</v>
      </c>
      <c r="F325" s="9">
        <f t="shared" si="25"/>
        <v>0.29999999999999716</v>
      </c>
      <c r="G325" s="9">
        <f t="shared" si="23"/>
        <v>299.99999999999716</v>
      </c>
      <c r="H325" s="9">
        <f t="shared" si="26"/>
        <v>8.4799999999999986E-2</v>
      </c>
      <c r="I325" s="49">
        <f t="shared" si="24"/>
        <v>3537.7358490565707</v>
      </c>
    </row>
    <row r="326" spans="1:9">
      <c r="A326" s="56">
        <v>39011</v>
      </c>
      <c r="B326" s="9" t="s">
        <v>30</v>
      </c>
      <c r="C326" s="10">
        <f>TS!F326</f>
        <v>76.900000000000006</v>
      </c>
      <c r="D326" s="9">
        <v>50.4</v>
      </c>
      <c r="E326" s="9">
        <v>50</v>
      </c>
      <c r="F326" s="9">
        <f t="shared" si="25"/>
        <v>0.39999999999999858</v>
      </c>
      <c r="G326" s="9">
        <f t="shared" si="23"/>
        <v>399.99999999999858</v>
      </c>
      <c r="H326" s="9">
        <f t="shared" si="26"/>
        <v>7.690000000000001E-2</v>
      </c>
      <c r="I326" s="49">
        <f t="shared" si="24"/>
        <v>5201.5604681404229</v>
      </c>
    </row>
    <row r="327" spans="1:9">
      <c r="A327" s="57"/>
      <c r="B327" s="9" t="s">
        <v>31</v>
      </c>
      <c r="C327" s="10">
        <f>TS!F327</f>
        <v>95.1</v>
      </c>
      <c r="D327" s="9">
        <v>50.5</v>
      </c>
      <c r="E327" s="9">
        <v>50.2</v>
      </c>
      <c r="F327" s="9">
        <f t="shared" si="25"/>
        <v>0.29999999999999716</v>
      </c>
      <c r="G327" s="9">
        <f t="shared" si="23"/>
        <v>299.99999999999716</v>
      </c>
      <c r="H327" s="9">
        <f t="shared" si="26"/>
        <v>9.509999999999999E-2</v>
      </c>
      <c r="I327" s="49">
        <f t="shared" si="24"/>
        <v>3154.5741324920841</v>
      </c>
    </row>
    <row r="328" spans="1:9">
      <c r="A328" s="56">
        <v>39014</v>
      </c>
      <c r="B328" s="9" t="s">
        <v>30</v>
      </c>
      <c r="C328" s="10">
        <f>TS!F328</f>
        <v>83.199999999999989</v>
      </c>
      <c r="D328" s="9">
        <v>50.5</v>
      </c>
      <c r="E328" s="9">
        <v>50.1</v>
      </c>
      <c r="F328" s="9">
        <f t="shared" si="25"/>
        <v>0.39999999999999858</v>
      </c>
      <c r="G328" s="9">
        <f t="shared" si="23"/>
        <v>399.99999999999858</v>
      </c>
      <c r="H328" s="9">
        <f t="shared" si="26"/>
        <v>8.3199999999999982E-2</v>
      </c>
      <c r="I328" s="49">
        <f t="shared" si="24"/>
        <v>4807.6923076922913</v>
      </c>
    </row>
    <row r="329" spans="1:9">
      <c r="A329" s="57"/>
      <c r="B329" s="9" t="s">
        <v>31</v>
      </c>
      <c r="C329" s="10">
        <f>TS!F329</f>
        <v>80.300000000000011</v>
      </c>
      <c r="D329" s="9">
        <v>50.1</v>
      </c>
      <c r="E329" s="9">
        <v>49.7</v>
      </c>
      <c r="F329" s="9">
        <f t="shared" si="25"/>
        <v>0.39999999999999858</v>
      </c>
      <c r="G329" s="9">
        <f t="shared" si="23"/>
        <v>399.99999999999858</v>
      </c>
      <c r="H329" s="9">
        <f t="shared" si="26"/>
        <v>8.030000000000001E-2</v>
      </c>
      <c r="I329" s="49">
        <f t="shared" si="24"/>
        <v>4981.3200498131819</v>
      </c>
    </row>
    <row r="330" spans="1:9">
      <c r="A330" s="56">
        <v>39016</v>
      </c>
      <c r="B330" s="9" t="s">
        <v>30</v>
      </c>
      <c r="C330" s="10">
        <f>TS!F330</f>
        <v>84.100000000000009</v>
      </c>
      <c r="D330" s="9">
        <v>52.2</v>
      </c>
      <c r="E330" s="9">
        <v>51.7</v>
      </c>
      <c r="F330" s="9">
        <f t="shared" si="25"/>
        <v>0.5</v>
      </c>
      <c r="G330" s="9">
        <f t="shared" si="23"/>
        <v>500</v>
      </c>
      <c r="H330" s="9">
        <f t="shared" si="26"/>
        <v>8.4100000000000008E-2</v>
      </c>
      <c r="I330" s="49">
        <f t="shared" si="24"/>
        <v>5945.3032104637332</v>
      </c>
    </row>
    <row r="331" spans="1:9">
      <c r="A331" s="57"/>
      <c r="B331" s="9" t="s">
        <v>31</v>
      </c>
      <c r="C331" s="10">
        <f>TS!F331</f>
        <v>83.8</v>
      </c>
      <c r="D331" s="9">
        <v>51.3</v>
      </c>
      <c r="E331" s="9">
        <v>51</v>
      </c>
      <c r="F331" s="9">
        <f t="shared" si="25"/>
        <v>0.29999999999999716</v>
      </c>
      <c r="G331" s="9">
        <f t="shared" si="23"/>
        <v>299.99999999999716</v>
      </c>
      <c r="H331" s="9">
        <f t="shared" si="26"/>
        <v>8.3799999999999999E-2</v>
      </c>
      <c r="I331" s="49">
        <f t="shared" si="24"/>
        <v>3579.9522673030688</v>
      </c>
    </row>
    <row r="332" spans="1:9">
      <c r="A332" s="56">
        <v>39018</v>
      </c>
      <c r="B332" s="9" t="s">
        <v>30</v>
      </c>
      <c r="C332" s="10">
        <f>TS!F332</f>
        <v>85.799999999999983</v>
      </c>
      <c r="D332" s="9">
        <v>74.900000000000006</v>
      </c>
      <c r="E332" s="9">
        <v>74.400000000000006</v>
      </c>
      <c r="F332" s="9">
        <f>D332-E332</f>
        <v>0.5</v>
      </c>
      <c r="G332" s="9">
        <f t="shared" si="23"/>
        <v>500</v>
      </c>
      <c r="H332" s="9">
        <f t="shared" si="26"/>
        <v>8.5799999999999987E-2</v>
      </c>
      <c r="I332" s="49">
        <f t="shared" si="24"/>
        <v>5827.5058275058282</v>
      </c>
    </row>
    <row r="333" spans="1:9">
      <c r="A333" s="57"/>
      <c r="B333" s="9" t="s">
        <v>31</v>
      </c>
      <c r="C333" s="10">
        <f>TS!F333</f>
        <v>82.6</v>
      </c>
      <c r="D333" s="9">
        <v>50.5</v>
      </c>
      <c r="E333" s="9">
        <v>50.1</v>
      </c>
      <c r="F333" s="9">
        <f t="shared" si="25"/>
        <v>0.39999999999999858</v>
      </c>
      <c r="G333" s="9">
        <f t="shared" si="23"/>
        <v>399.99999999999858</v>
      </c>
      <c r="H333" s="9">
        <f t="shared" si="26"/>
        <v>8.2599999999999993E-2</v>
      </c>
      <c r="I333" s="49">
        <f t="shared" si="24"/>
        <v>4842.6150121065211</v>
      </c>
    </row>
    <row r="334" spans="1:9">
      <c r="A334" s="56">
        <v>39021</v>
      </c>
      <c r="B334" s="9" t="s">
        <v>30</v>
      </c>
      <c r="C334" s="10">
        <f>TS!F334</f>
        <v>88.5</v>
      </c>
      <c r="D334" s="9">
        <v>50.5</v>
      </c>
      <c r="E334" s="9">
        <v>50</v>
      </c>
      <c r="F334" s="9">
        <f t="shared" si="25"/>
        <v>0.5</v>
      </c>
      <c r="G334" s="9">
        <f t="shared" si="23"/>
        <v>500</v>
      </c>
      <c r="H334" s="9">
        <f t="shared" si="26"/>
        <v>8.8499999999999995E-2</v>
      </c>
      <c r="I334" s="49">
        <f t="shared" si="24"/>
        <v>5649.7175141242942</v>
      </c>
    </row>
    <row r="335" spans="1:9">
      <c r="A335" s="57"/>
      <c r="B335" s="9" t="s">
        <v>31</v>
      </c>
      <c r="C335" s="10">
        <f>TS!F335</f>
        <v>83.699999999999989</v>
      </c>
      <c r="D335" s="9">
        <v>50.5</v>
      </c>
      <c r="E335" s="9">
        <v>50.1</v>
      </c>
      <c r="F335" s="9">
        <f t="shared" si="25"/>
        <v>0.39999999999999858</v>
      </c>
      <c r="G335" s="9">
        <f t="shared" si="23"/>
        <v>399.99999999999858</v>
      </c>
      <c r="H335" s="9">
        <f t="shared" si="26"/>
        <v>8.3699999999999983E-2</v>
      </c>
      <c r="I335" s="49">
        <f t="shared" si="24"/>
        <v>4778.9725209079888</v>
      </c>
    </row>
    <row r="336" spans="1:9">
      <c r="A336" s="56">
        <v>39023</v>
      </c>
      <c r="B336" s="9" t="s">
        <v>30</v>
      </c>
      <c r="C336" s="10">
        <f>TS!F336</f>
        <v>82.6</v>
      </c>
      <c r="D336" s="9">
        <v>51.5</v>
      </c>
      <c r="E336" s="9">
        <v>51</v>
      </c>
      <c r="F336" s="9">
        <f t="shared" si="25"/>
        <v>0.5</v>
      </c>
      <c r="G336" s="9">
        <f t="shared" si="23"/>
        <v>500</v>
      </c>
      <c r="H336" s="9">
        <f t="shared" si="26"/>
        <v>8.2599999999999993E-2</v>
      </c>
      <c r="I336" s="49">
        <f t="shared" si="24"/>
        <v>6053.2687651331726</v>
      </c>
    </row>
    <row r="337" spans="1:9">
      <c r="A337" s="57"/>
      <c r="B337" s="9" t="s">
        <v>31</v>
      </c>
      <c r="C337" s="10">
        <f>TS!F337</f>
        <v>88.300000000000011</v>
      </c>
      <c r="D337" s="9">
        <v>50.1</v>
      </c>
      <c r="E337" s="9">
        <v>49.5</v>
      </c>
      <c r="F337" s="9">
        <f t="shared" si="25"/>
        <v>0.60000000000000142</v>
      </c>
      <c r="G337" s="9">
        <f>F337*1000</f>
        <v>600.00000000000136</v>
      </c>
      <c r="H337" s="9">
        <f>C337/1000</f>
        <v>8.8300000000000017E-2</v>
      </c>
      <c r="I337" s="49">
        <f>(G337)/(H337)</f>
        <v>6795.0169875424826</v>
      </c>
    </row>
    <row r="338" spans="1:9">
      <c r="A338" s="56">
        <v>39025</v>
      </c>
      <c r="B338" s="9" t="s">
        <v>30</v>
      </c>
      <c r="C338" s="10">
        <f>TS!F338</f>
        <v>82.6</v>
      </c>
      <c r="D338" s="9">
        <v>50.6</v>
      </c>
      <c r="E338" s="9">
        <v>50.1</v>
      </c>
      <c r="F338" s="9">
        <f t="shared" si="25"/>
        <v>0.5</v>
      </c>
      <c r="G338" s="9">
        <f>F338*1000</f>
        <v>500</v>
      </c>
      <c r="H338" s="9">
        <f>D338/1000</f>
        <v>5.0599999999999999E-2</v>
      </c>
      <c r="I338" s="49">
        <f>(G338)/(H338)</f>
        <v>9881.422924901186</v>
      </c>
    </row>
    <row r="339" spans="1:9">
      <c r="A339" s="57"/>
      <c r="B339" s="9" t="s">
        <v>31</v>
      </c>
      <c r="C339" s="10">
        <f>TS!F339</f>
        <v>88.100000000000009</v>
      </c>
      <c r="D339" s="9">
        <v>50.7</v>
      </c>
      <c r="E339" s="9">
        <v>50.2</v>
      </c>
      <c r="F339" s="9">
        <f t="shared" si="25"/>
        <v>0.5</v>
      </c>
      <c r="G339" s="9">
        <f>F339*1000</f>
        <v>500</v>
      </c>
      <c r="H339" s="9">
        <f>D339/1000</f>
        <v>5.0700000000000002E-2</v>
      </c>
      <c r="I339" s="49">
        <f>(G339)/(H339)</f>
        <v>9861.9329388560145</v>
      </c>
    </row>
    <row r="1612" spans="1:1">
      <c r="A1612" s="59"/>
    </row>
    <row r="1614" spans="1:1">
      <c r="A1614" s="59"/>
    </row>
    <row r="1616" spans="1:1">
      <c r="A1616" s="59"/>
    </row>
    <row r="1618" spans="1:1">
      <c r="A1618" s="59"/>
    </row>
    <row r="1620" spans="1:1">
      <c r="A1620" s="59"/>
    </row>
    <row r="1622" spans="1:1">
      <c r="A1622" s="59"/>
    </row>
    <row r="1624" spans="1:1">
      <c r="A1624" s="59"/>
    </row>
    <row r="1627" spans="1:1">
      <c r="A1627" s="59"/>
    </row>
    <row r="1629" spans="1:1">
      <c r="A1629" s="59"/>
    </row>
    <row r="1632" spans="1:1">
      <c r="A1632" s="59"/>
    </row>
    <row r="1634" spans="1:1">
      <c r="A1634" s="59"/>
    </row>
    <row r="1636" spans="1:1">
      <c r="A1636" s="59"/>
    </row>
    <row r="1638" spans="1:1">
      <c r="A1638" s="59"/>
    </row>
  </sheetData>
  <autoFilter ref="A2:L1639"/>
  <mergeCells count="2">
    <mergeCell ref="A1:J1"/>
    <mergeCell ref="A26:I2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Sheet3" enableFormatConditionsCalculation="0"/>
  <dimension ref="A1:P802"/>
  <sheetViews>
    <sheetView topLeftCell="A5" workbookViewId="0">
      <selection activeCell="F5" sqref="F5"/>
    </sheetView>
  </sheetViews>
  <sheetFormatPr baseColWidth="10" defaultColWidth="8.83203125" defaultRowHeight="14" x14ac:dyDescent="0"/>
  <cols>
    <col min="1" max="1" width="8.83203125" style="60"/>
    <col min="2" max="2" width="8.83203125" style="8"/>
    <col min="3" max="3" width="8.83203125" style="18"/>
    <col min="4" max="4" width="7.5" style="18" customWidth="1"/>
    <col min="5" max="5" width="8.83203125" style="18"/>
    <col min="6" max="6" width="11.5" style="18" customWidth="1"/>
    <col min="7" max="7" width="13.5" style="6" customWidth="1"/>
    <col min="8" max="8" width="8.83203125" style="15"/>
    <col min="9" max="11" width="8.83203125" style="18"/>
    <col min="12" max="12" width="8.83203125" style="6"/>
    <col min="13" max="13" width="8.83203125" style="18"/>
  </cols>
  <sheetData>
    <row r="1" spans="1:13">
      <c r="A1" s="211" t="s">
        <v>65</v>
      </c>
      <c r="B1" s="212"/>
      <c r="C1" s="212"/>
      <c r="D1" s="212"/>
      <c r="E1" s="212"/>
      <c r="F1" s="212"/>
      <c r="G1" s="212"/>
      <c r="H1" s="212"/>
      <c r="I1" s="212"/>
      <c r="J1" s="213"/>
    </row>
    <row r="2" spans="1:13" s="3" customFormat="1" ht="28">
      <c r="A2" s="55" t="s">
        <v>3</v>
      </c>
      <c r="B2" s="47" t="s">
        <v>9</v>
      </c>
      <c r="C2" s="61" t="s">
        <v>21</v>
      </c>
      <c r="D2" s="61" t="s">
        <v>63</v>
      </c>
      <c r="E2" s="62" t="s">
        <v>66</v>
      </c>
      <c r="F2" s="62" t="s">
        <v>64</v>
      </c>
      <c r="G2" s="62" t="s">
        <v>27</v>
      </c>
      <c r="H2" s="78" t="s">
        <v>22</v>
      </c>
      <c r="I2" s="61" t="s">
        <v>23</v>
      </c>
      <c r="J2" s="61" t="s">
        <v>28</v>
      </c>
      <c r="K2" s="61" t="s">
        <v>24</v>
      </c>
      <c r="L2" s="61" t="s">
        <v>25</v>
      </c>
      <c r="M2" s="61" t="s">
        <v>26</v>
      </c>
    </row>
    <row r="3" spans="1:13" s="3" customFormat="1">
      <c r="A3" s="79">
        <v>38621</v>
      </c>
      <c r="B3" s="80" t="s">
        <v>0</v>
      </c>
      <c r="C3" s="20">
        <v>6.75</v>
      </c>
      <c r="D3" s="80">
        <v>35</v>
      </c>
      <c r="E3" s="20">
        <v>648.79999999999995</v>
      </c>
      <c r="F3" s="83">
        <v>300</v>
      </c>
      <c r="G3" s="84">
        <f>(E3*F3*273.15)/((D3+273.15)*760)</f>
        <v>227.01655892123622</v>
      </c>
      <c r="H3" s="85">
        <f>K3/100*G3</f>
        <v>0</v>
      </c>
      <c r="I3" s="20">
        <f>(M3*G3)/100</f>
        <v>0</v>
      </c>
      <c r="J3" s="20">
        <f>(L3*G3)/100</f>
        <v>0</v>
      </c>
      <c r="K3" s="17"/>
      <c r="L3" s="16"/>
      <c r="M3" s="17"/>
    </row>
    <row r="4" spans="1:13" s="3" customFormat="1">
      <c r="A4" s="81"/>
      <c r="B4" s="80" t="s">
        <v>1</v>
      </c>
      <c r="C4" s="20">
        <v>6.76</v>
      </c>
      <c r="D4" s="80">
        <v>35</v>
      </c>
      <c r="E4" s="20">
        <v>648.79999999999995</v>
      </c>
      <c r="F4" s="83">
        <v>200</v>
      </c>
      <c r="G4" s="84">
        <f t="shared" ref="G4:G67" si="0">(E4*F4*273.15)/((D4+273.15)*760)</f>
        <v>151.34437261415749</v>
      </c>
      <c r="H4" s="85">
        <f t="shared" ref="H4:H67" si="1">K4/100*G4</f>
        <v>0</v>
      </c>
      <c r="I4" s="20">
        <f t="shared" ref="I4:I67" si="2">(M4*G4)/100</f>
        <v>0</v>
      </c>
      <c r="J4" s="20">
        <f t="shared" ref="J4:J67" si="3">(L4*G4)/100</f>
        <v>0</v>
      </c>
      <c r="K4" s="17"/>
      <c r="L4" s="16"/>
      <c r="M4" s="17"/>
    </row>
    <row r="5" spans="1:13" s="3" customFormat="1">
      <c r="A5" s="79">
        <v>38622</v>
      </c>
      <c r="B5" s="80" t="s">
        <v>0</v>
      </c>
      <c r="C5" s="20">
        <v>6.35</v>
      </c>
      <c r="D5" s="80">
        <v>35</v>
      </c>
      <c r="E5" s="20">
        <v>646.70000000000005</v>
      </c>
      <c r="F5" s="83">
        <v>200</v>
      </c>
      <c r="G5" s="84">
        <f t="shared" si="0"/>
        <v>150.85450950921035</v>
      </c>
      <c r="H5" s="85">
        <f t="shared" si="1"/>
        <v>0</v>
      </c>
      <c r="I5" s="20">
        <f t="shared" si="2"/>
        <v>0</v>
      </c>
      <c r="J5" s="20">
        <f t="shared" si="3"/>
        <v>0</v>
      </c>
      <c r="K5" s="17"/>
      <c r="L5" s="16"/>
      <c r="M5" s="17"/>
    </row>
    <row r="6" spans="1:13" s="3" customFormat="1">
      <c r="A6" s="81"/>
      <c r="B6" s="80" t="s">
        <v>1</v>
      </c>
      <c r="C6" s="20">
        <v>6.38</v>
      </c>
      <c r="D6" s="80">
        <v>35</v>
      </c>
      <c r="E6" s="20">
        <v>646.70000000000005</v>
      </c>
      <c r="F6" s="83">
        <v>200</v>
      </c>
      <c r="G6" s="84">
        <f t="shared" si="0"/>
        <v>150.85450950921035</v>
      </c>
      <c r="H6" s="85">
        <f t="shared" si="1"/>
        <v>0</v>
      </c>
      <c r="I6" s="20">
        <f t="shared" si="2"/>
        <v>0</v>
      </c>
      <c r="J6" s="20">
        <f t="shared" si="3"/>
        <v>0</v>
      </c>
      <c r="K6" s="17"/>
      <c r="L6" s="16"/>
      <c r="M6" s="17"/>
    </row>
    <row r="7" spans="1:13" s="3" customFormat="1">
      <c r="A7" s="79">
        <v>38624</v>
      </c>
      <c r="B7" s="80" t="s">
        <v>0</v>
      </c>
      <c r="C7" s="20">
        <v>6.04</v>
      </c>
      <c r="D7" s="80">
        <v>35</v>
      </c>
      <c r="E7" s="20">
        <v>648.70000000000005</v>
      </c>
      <c r="F7" s="83">
        <v>200</v>
      </c>
      <c r="G7" s="84">
        <f t="shared" si="0"/>
        <v>151.32104579963621</v>
      </c>
      <c r="H7" s="85">
        <f t="shared" si="1"/>
        <v>0</v>
      </c>
      <c r="I7" s="20">
        <f t="shared" si="2"/>
        <v>0</v>
      </c>
      <c r="J7" s="20">
        <f t="shared" si="3"/>
        <v>0</v>
      </c>
      <c r="K7" s="17"/>
      <c r="L7" s="16"/>
      <c r="M7" s="17"/>
    </row>
    <row r="8" spans="1:13" s="27" customFormat="1">
      <c r="A8" s="79"/>
      <c r="B8" s="80" t="s">
        <v>0</v>
      </c>
      <c r="C8" s="20">
        <v>5.34</v>
      </c>
      <c r="D8" s="80">
        <v>35</v>
      </c>
      <c r="E8" s="20">
        <v>648.70000000000005</v>
      </c>
      <c r="F8" s="83">
        <v>200</v>
      </c>
      <c r="G8" s="84">
        <f t="shared" si="0"/>
        <v>151.32104579963621</v>
      </c>
      <c r="H8" s="85">
        <f t="shared" si="1"/>
        <v>0</v>
      </c>
      <c r="I8" s="20">
        <f t="shared" si="2"/>
        <v>0</v>
      </c>
      <c r="J8" s="20">
        <f t="shared" si="3"/>
        <v>0</v>
      </c>
      <c r="K8" s="17"/>
      <c r="L8" s="16"/>
      <c r="M8" s="17"/>
    </row>
    <row r="9" spans="1:13" s="3" customFormat="1">
      <c r="A9" s="79">
        <v>38625</v>
      </c>
      <c r="B9" s="80" t="s">
        <v>0</v>
      </c>
      <c r="C9" s="20">
        <v>6.01</v>
      </c>
      <c r="D9" s="80">
        <v>35</v>
      </c>
      <c r="E9" s="20">
        <v>650.6</v>
      </c>
      <c r="F9" s="83">
        <v>200</v>
      </c>
      <c r="G9" s="84">
        <f t="shared" si="0"/>
        <v>151.76425527554082</v>
      </c>
      <c r="H9" s="85">
        <f t="shared" si="1"/>
        <v>0</v>
      </c>
      <c r="I9" s="20">
        <f t="shared" si="2"/>
        <v>0</v>
      </c>
      <c r="J9" s="20">
        <f t="shared" si="3"/>
        <v>0</v>
      </c>
      <c r="K9" s="17"/>
      <c r="L9" s="16"/>
      <c r="M9" s="17"/>
    </row>
    <row r="10" spans="1:13" s="3" customFormat="1">
      <c r="A10" s="81"/>
      <c r="B10" s="80" t="s">
        <v>1</v>
      </c>
      <c r="C10" s="20">
        <v>5.61</v>
      </c>
      <c r="D10" s="80">
        <v>35</v>
      </c>
      <c r="E10" s="20">
        <v>650.6</v>
      </c>
      <c r="F10" s="83">
        <v>50</v>
      </c>
      <c r="G10" s="84">
        <f t="shared" si="0"/>
        <v>37.941063818885205</v>
      </c>
      <c r="H10" s="85">
        <f t="shared" si="1"/>
        <v>0</v>
      </c>
      <c r="I10" s="20">
        <f t="shared" si="2"/>
        <v>0</v>
      </c>
      <c r="J10" s="20">
        <f t="shared" si="3"/>
        <v>0</v>
      </c>
      <c r="K10" s="17"/>
      <c r="L10" s="16"/>
      <c r="M10" s="17"/>
    </row>
    <row r="11" spans="1:13" s="3" customFormat="1">
      <c r="A11" s="79">
        <v>38626</v>
      </c>
      <c r="B11" s="80" t="s">
        <v>0</v>
      </c>
      <c r="C11" s="20">
        <v>6.29</v>
      </c>
      <c r="D11" s="80">
        <v>35</v>
      </c>
      <c r="E11" s="20">
        <v>658.6</v>
      </c>
      <c r="F11" s="83">
        <v>100</v>
      </c>
      <c r="G11" s="84">
        <f>(E11*F11*273.15)/((D11+273.15)*760)</f>
        <v>76.815200218622181</v>
      </c>
      <c r="H11" s="85">
        <f t="shared" si="1"/>
        <v>6.2297127377302584</v>
      </c>
      <c r="I11" s="20">
        <f t="shared" si="2"/>
        <v>0</v>
      </c>
      <c r="J11" s="20">
        <f t="shared" si="3"/>
        <v>0</v>
      </c>
      <c r="K11" s="20">
        <v>8.11</v>
      </c>
      <c r="L11" s="16"/>
      <c r="M11" s="17"/>
    </row>
    <row r="12" spans="1:13" s="3" customFormat="1">
      <c r="A12" s="81"/>
      <c r="B12" s="80" t="s">
        <v>1</v>
      </c>
      <c r="C12" s="20">
        <v>6.04</v>
      </c>
      <c r="D12" s="80">
        <v>35</v>
      </c>
      <c r="E12" s="20">
        <v>658.6</v>
      </c>
      <c r="F12" s="83">
        <v>0</v>
      </c>
      <c r="G12" s="84">
        <f t="shared" si="0"/>
        <v>0</v>
      </c>
      <c r="H12" s="85">
        <f t="shared" si="1"/>
        <v>0</v>
      </c>
      <c r="I12" s="20">
        <f t="shared" si="2"/>
        <v>0</v>
      </c>
      <c r="J12" s="20">
        <f t="shared" si="3"/>
        <v>0</v>
      </c>
      <c r="K12" s="20">
        <v>3.2</v>
      </c>
      <c r="L12" s="16"/>
      <c r="M12" s="17"/>
    </row>
    <row r="13" spans="1:13" s="3" customFormat="1">
      <c r="A13" s="79">
        <v>38627</v>
      </c>
      <c r="B13" s="80" t="s">
        <v>0</v>
      </c>
      <c r="C13" s="20">
        <v>6.01</v>
      </c>
      <c r="D13" s="80">
        <v>35</v>
      </c>
      <c r="E13" s="20">
        <v>640</v>
      </c>
      <c r="F13" s="83">
        <v>500</v>
      </c>
      <c r="G13" s="84">
        <f t="shared" si="0"/>
        <v>373.22903234070901</v>
      </c>
      <c r="H13" s="85">
        <f t="shared" si="1"/>
        <v>0</v>
      </c>
      <c r="I13" s="20">
        <f t="shared" si="2"/>
        <v>0</v>
      </c>
      <c r="J13" s="20">
        <f t="shared" si="3"/>
        <v>0</v>
      </c>
      <c r="K13" s="17"/>
      <c r="L13" s="16"/>
      <c r="M13" s="17"/>
    </row>
    <row r="14" spans="1:13" s="3" customFormat="1">
      <c r="A14" s="81"/>
      <c r="B14" s="80" t="s">
        <v>1</v>
      </c>
      <c r="C14" s="20">
        <v>5.76</v>
      </c>
      <c r="D14" s="80">
        <v>35</v>
      </c>
      <c r="E14" s="20">
        <v>640</v>
      </c>
      <c r="F14" s="83">
        <v>1000</v>
      </c>
      <c r="G14" s="84">
        <f t="shared" si="0"/>
        <v>746.45806468141802</v>
      </c>
      <c r="H14" s="85">
        <f t="shared" si="1"/>
        <v>0</v>
      </c>
      <c r="I14" s="20">
        <f t="shared" si="2"/>
        <v>0</v>
      </c>
      <c r="J14" s="20">
        <f t="shared" si="3"/>
        <v>0</v>
      </c>
      <c r="K14" s="17"/>
      <c r="L14" s="16"/>
      <c r="M14" s="17"/>
    </row>
    <row r="15" spans="1:13" s="3" customFormat="1">
      <c r="A15" s="79">
        <v>38629</v>
      </c>
      <c r="B15" s="80" t="s">
        <v>0</v>
      </c>
      <c r="C15" s="20">
        <v>6.06</v>
      </c>
      <c r="D15" s="80">
        <v>35</v>
      </c>
      <c r="E15" s="20">
        <v>642.79999999999995</v>
      </c>
      <c r="F15" s="83">
        <v>100</v>
      </c>
      <c r="G15" s="84">
        <f t="shared" si="0"/>
        <v>74.972381871439907</v>
      </c>
      <c r="H15" s="85">
        <f t="shared" si="1"/>
        <v>14.537144844872198</v>
      </c>
      <c r="I15" s="20">
        <f t="shared" si="2"/>
        <v>0</v>
      </c>
      <c r="J15" s="20">
        <f t="shared" si="3"/>
        <v>0</v>
      </c>
      <c r="K15" s="20">
        <v>19.39</v>
      </c>
      <c r="L15" s="16"/>
      <c r="M15" s="17"/>
    </row>
    <row r="16" spans="1:13" s="3" customFormat="1">
      <c r="A16" s="81"/>
      <c r="B16" s="80" t="s">
        <v>1</v>
      </c>
      <c r="C16" s="20">
        <v>6.06</v>
      </c>
      <c r="D16" s="80">
        <v>35</v>
      </c>
      <c r="E16" s="20">
        <v>642.79999999999995</v>
      </c>
      <c r="F16" s="83">
        <v>0</v>
      </c>
      <c r="G16" s="84">
        <f t="shared" si="0"/>
        <v>0</v>
      </c>
      <c r="H16" s="85">
        <f t="shared" si="1"/>
        <v>0</v>
      </c>
      <c r="I16" s="20">
        <f t="shared" si="2"/>
        <v>0</v>
      </c>
      <c r="J16" s="20">
        <f t="shared" si="3"/>
        <v>0</v>
      </c>
      <c r="K16" s="20">
        <v>3.64</v>
      </c>
      <c r="L16" s="16"/>
      <c r="M16" s="17"/>
    </row>
    <row r="17" spans="1:13" s="3" customFormat="1">
      <c r="A17" s="79">
        <v>38631</v>
      </c>
      <c r="B17" s="80" t="s">
        <v>0</v>
      </c>
      <c r="C17" s="20">
        <v>5.99</v>
      </c>
      <c r="D17" s="80">
        <v>35</v>
      </c>
      <c r="E17" s="20">
        <v>645.5</v>
      </c>
      <c r="F17" s="83">
        <v>200</v>
      </c>
      <c r="G17" s="84">
        <f t="shared" si="0"/>
        <v>150.5745877349548</v>
      </c>
      <c r="H17" s="85">
        <f t="shared" si="1"/>
        <v>33.367328642065985</v>
      </c>
      <c r="I17" s="20">
        <f t="shared" si="2"/>
        <v>0</v>
      </c>
      <c r="J17" s="20">
        <f t="shared" si="3"/>
        <v>0</v>
      </c>
      <c r="K17" s="20">
        <v>22.16</v>
      </c>
      <c r="L17" s="16"/>
      <c r="M17" s="17"/>
    </row>
    <row r="18" spans="1:13" s="3" customFormat="1">
      <c r="A18" s="81"/>
      <c r="B18" s="80" t="s">
        <v>1</v>
      </c>
      <c r="C18" s="20">
        <v>5.73</v>
      </c>
      <c r="D18" s="80">
        <v>35</v>
      </c>
      <c r="E18" s="20">
        <v>645.5</v>
      </c>
      <c r="F18" s="83">
        <v>300</v>
      </c>
      <c r="G18" s="84">
        <f t="shared" si="0"/>
        <v>225.86188160243216</v>
      </c>
      <c r="H18" s="85">
        <f t="shared" si="1"/>
        <v>4.8786166426125348</v>
      </c>
      <c r="I18" s="20">
        <f t="shared" si="2"/>
        <v>0</v>
      </c>
      <c r="J18" s="20">
        <f t="shared" si="3"/>
        <v>0</v>
      </c>
      <c r="K18" s="20">
        <v>2.16</v>
      </c>
      <c r="L18" s="16"/>
      <c r="M18" s="17"/>
    </row>
    <row r="19" spans="1:13" s="3" customFormat="1">
      <c r="A19" s="79">
        <v>38633</v>
      </c>
      <c r="B19" s="80" t="s">
        <v>0</v>
      </c>
      <c r="C19" s="20">
        <v>5.79</v>
      </c>
      <c r="D19" s="80">
        <v>35</v>
      </c>
      <c r="E19" s="20">
        <v>646</v>
      </c>
      <c r="F19" s="83">
        <v>300</v>
      </c>
      <c r="G19" s="84">
        <f t="shared" si="0"/>
        <v>226.03683271134187</v>
      </c>
      <c r="H19" s="85">
        <f t="shared" si="1"/>
        <v>57.435959191951966</v>
      </c>
      <c r="I19" s="20">
        <f t="shared" si="2"/>
        <v>0</v>
      </c>
      <c r="J19" s="20">
        <f t="shared" si="3"/>
        <v>0</v>
      </c>
      <c r="K19" s="20">
        <v>25.41</v>
      </c>
      <c r="L19" s="16"/>
      <c r="M19" s="17"/>
    </row>
    <row r="20" spans="1:13" s="3" customFormat="1">
      <c r="A20" s="81"/>
      <c r="B20" s="80" t="s">
        <v>1</v>
      </c>
      <c r="C20" s="20">
        <v>5.49</v>
      </c>
      <c r="D20" s="80">
        <v>35</v>
      </c>
      <c r="E20" s="20">
        <v>646</v>
      </c>
      <c r="F20" s="83">
        <v>200</v>
      </c>
      <c r="G20" s="84">
        <f t="shared" si="0"/>
        <v>150.69122180756128</v>
      </c>
      <c r="H20" s="85">
        <f t="shared" si="1"/>
        <v>1.6274651955216619</v>
      </c>
      <c r="I20" s="20">
        <f t="shared" si="2"/>
        <v>0</v>
      </c>
      <c r="J20" s="20">
        <f t="shared" si="3"/>
        <v>0</v>
      </c>
      <c r="K20" s="20">
        <v>1.08</v>
      </c>
      <c r="L20" s="16"/>
      <c r="M20" s="17"/>
    </row>
    <row r="21" spans="1:13" s="3" customFormat="1">
      <c r="A21" s="79">
        <v>38634</v>
      </c>
      <c r="B21" s="80" t="s">
        <v>0</v>
      </c>
      <c r="C21" s="20">
        <v>5.3</v>
      </c>
      <c r="D21" s="80">
        <v>35</v>
      </c>
      <c r="E21" s="17"/>
      <c r="F21" s="83">
        <v>200</v>
      </c>
      <c r="G21" s="84">
        <f t="shared" si="0"/>
        <v>0</v>
      </c>
      <c r="H21" s="85">
        <f t="shared" si="1"/>
        <v>0</v>
      </c>
      <c r="I21" s="20">
        <f t="shared" si="2"/>
        <v>0</v>
      </c>
      <c r="J21" s="20">
        <f t="shared" si="3"/>
        <v>0</v>
      </c>
      <c r="K21" s="17"/>
      <c r="L21" s="16"/>
      <c r="M21" s="17"/>
    </row>
    <row r="22" spans="1:13" s="3" customFormat="1">
      <c r="A22" s="81"/>
      <c r="B22" s="80" t="s">
        <v>1</v>
      </c>
      <c r="C22" s="20">
        <v>4.3899999999999997</v>
      </c>
      <c r="D22" s="80">
        <v>35</v>
      </c>
      <c r="E22" s="17"/>
      <c r="F22" s="83">
        <v>100</v>
      </c>
      <c r="G22" s="84">
        <f t="shared" si="0"/>
        <v>0</v>
      </c>
      <c r="H22" s="85">
        <f t="shared" si="1"/>
        <v>0</v>
      </c>
      <c r="I22" s="20">
        <f t="shared" si="2"/>
        <v>0</v>
      </c>
      <c r="J22" s="20">
        <f t="shared" si="3"/>
        <v>0</v>
      </c>
      <c r="K22" s="17"/>
      <c r="L22" s="16"/>
      <c r="M22" s="17"/>
    </row>
    <row r="23" spans="1:13" s="3" customFormat="1">
      <c r="A23" s="79">
        <v>38636</v>
      </c>
      <c r="B23" s="80" t="s">
        <v>0</v>
      </c>
      <c r="C23" s="20">
        <v>5.59</v>
      </c>
      <c r="D23" s="80">
        <v>35</v>
      </c>
      <c r="E23" s="17"/>
      <c r="F23" s="83">
        <v>400</v>
      </c>
      <c r="G23" s="84">
        <f t="shared" si="0"/>
        <v>0</v>
      </c>
      <c r="H23" s="85">
        <f t="shared" si="1"/>
        <v>0</v>
      </c>
      <c r="I23" s="20">
        <f t="shared" si="2"/>
        <v>0</v>
      </c>
      <c r="J23" s="20">
        <f t="shared" si="3"/>
        <v>0</v>
      </c>
      <c r="K23" s="17"/>
      <c r="L23" s="16"/>
      <c r="M23" s="17"/>
    </row>
    <row r="24" spans="1:13" s="3" customFormat="1">
      <c r="A24" s="82"/>
      <c r="B24" s="86" t="s">
        <v>1</v>
      </c>
      <c r="C24" s="87">
        <v>5.59</v>
      </c>
      <c r="D24" s="80">
        <v>35</v>
      </c>
      <c r="E24" s="19"/>
      <c r="F24" s="88">
        <v>200</v>
      </c>
      <c r="G24" s="84">
        <f t="shared" si="0"/>
        <v>0</v>
      </c>
      <c r="H24" s="85">
        <f t="shared" si="1"/>
        <v>0</v>
      </c>
      <c r="I24" s="20">
        <f t="shared" si="2"/>
        <v>0</v>
      </c>
      <c r="J24" s="20">
        <f t="shared" si="3"/>
        <v>0</v>
      </c>
      <c r="K24" s="19"/>
      <c r="L24" s="89"/>
      <c r="M24" s="19"/>
    </row>
    <row r="25" spans="1:13" s="3" customFormat="1">
      <c r="A25" s="1">
        <v>38641</v>
      </c>
      <c r="B25" s="8" t="s">
        <v>0</v>
      </c>
      <c r="C25" s="18">
        <v>6.95</v>
      </c>
      <c r="D25" s="8">
        <v>35</v>
      </c>
      <c r="E25" s="18">
        <v>649.20000000000005</v>
      </c>
      <c r="F25" s="8">
        <v>600</v>
      </c>
      <c r="G25" s="84">
        <f t="shared" si="0"/>
        <v>454.31303961672802</v>
      </c>
      <c r="H25" s="85">
        <f t="shared" si="1"/>
        <v>18.626834624285845</v>
      </c>
      <c r="I25" s="20">
        <f t="shared" si="2"/>
        <v>0</v>
      </c>
      <c r="J25" s="20">
        <f t="shared" si="3"/>
        <v>0</v>
      </c>
      <c r="K25" s="18">
        <v>4.0999999999999996</v>
      </c>
      <c r="L25" s="6"/>
      <c r="M25" s="18"/>
    </row>
    <row r="26" spans="1:13">
      <c r="A26"/>
      <c r="B26" s="8" t="s">
        <v>1</v>
      </c>
      <c r="C26" s="18">
        <v>6.98</v>
      </c>
      <c r="D26" s="8">
        <v>35</v>
      </c>
      <c r="E26" s="18">
        <v>649.20000000000005</v>
      </c>
      <c r="F26" s="8">
        <v>450</v>
      </c>
      <c r="G26" s="90">
        <f t="shared" si="0"/>
        <v>340.73477971254607</v>
      </c>
      <c r="H26" s="15">
        <f t="shared" si="1"/>
        <v>8.1776347131011065</v>
      </c>
      <c r="I26" s="20">
        <f t="shared" si="2"/>
        <v>0</v>
      </c>
      <c r="J26" s="20">
        <f t="shared" si="3"/>
        <v>0</v>
      </c>
      <c r="K26" s="18">
        <v>2.4</v>
      </c>
    </row>
    <row r="27" spans="1:13">
      <c r="A27" s="1">
        <v>38643</v>
      </c>
      <c r="B27" s="8" t="s">
        <v>0</v>
      </c>
      <c r="C27" s="18">
        <v>6.6</v>
      </c>
      <c r="D27" s="8">
        <v>35</v>
      </c>
      <c r="F27" s="8">
        <v>400</v>
      </c>
      <c r="G27" s="90">
        <f t="shared" si="0"/>
        <v>0</v>
      </c>
      <c r="H27" s="15">
        <f t="shared" si="1"/>
        <v>0</v>
      </c>
      <c r="I27" s="20">
        <f t="shared" si="2"/>
        <v>0</v>
      </c>
      <c r="J27" s="20">
        <f t="shared" si="3"/>
        <v>0</v>
      </c>
      <c r="K27" s="18">
        <v>7.3</v>
      </c>
    </row>
    <row r="28" spans="1:13">
      <c r="A28"/>
      <c r="B28" s="8" t="s">
        <v>1</v>
      </c>
      <c r="C28" s="18">
        <v>6.8</v>
      </c>
      <c r="D28" s="8">
        <v>35</v>
      </c>
      <c r="F28" s="8">
        <v>200</v>
      </c>
      <c r="G28" s="90">
        <f t="shared" si="0"/>
        <v>0</v>
      </c>
      <c r="H28" s="15">
        <f t="shared" si="1"/>
        <v>0</v>
      </c>
      <c r="I28" s="20">
        <f t="shared" si="2"/>
        <v>0</v>
      </c>
      <c r="J28" s="20">
        <f t="shared" si="3"/>
        <v>0</v>
      </c>
      <c r="K28" s="18">
        <v>3.4</v>
      </c>
    </row>
    <row r="29" spans="1:13">
      <c r="A29" s="1">
        <v>38645</v>
      </c>
      <c r="B29" s="8" t="s">
        <v>0</v>
      </c>
      <c r="C29" s="18">
        <v>6.47</v>
      </c>
      <c r="D29" s="8">
        <v>35</v>
      </c>
      <c r="E29" s="18">
        <v>646.6</v>
      </c>
      <c r="F29" s="8">
        <v>400</v>
      </c>
      <c r="G29" s="90">
        <f t="shared" si="0"/>
        <v>301.66236538937807</v>
      </c>
      <c r="H29" s="15">
        <f t="shared" si="1"/>
        <v>38.311120404451017</v>
      </c>
      <c r="I29" s="20">
        <f t="shared" si="2"/>
        <v>0</v>
      </c>
      <c r="J29" s="20">
        <f t="shared" si="3"/>
        <v>0</v>
      </c>
      <c r="K29" s="18">
        <v>12.7</v>
      </c>
    </row>
    <row r="30" spans="1:13">
      <c r="A30"/>
      <c r="B30" s="8" t="s">
        <v>1</v>
      </c>
      <c r="C30" s="18">
        <v>6.46</v>
      </c>
      <c r="D30" s="8">
        <v>35</v>
      </c>
      <c r="E30" s="18">
        <v>646.6</v>
      </c>
      <c r="F30" s="8">
        <v>300</v>
      </c>
      <c r="G30" s="90">
        <f t="shared" si="0"/>
        <v>226.24677404203354</v>
      </c>
      <c r="H30" s="15">
        <f t="shared" si="1"/>
        <v>13.348559668479979</v>
      </c>
      <c r="I30" s="20">
        <f t="shared" si="2"/>
        <v>0</v>
      </c>
      <c r="J30" s="20">
        <f t="shared" si="3"/>
        <v>0</v>
      </c>
      <c r="K30" s="18">
        <v>5.9</v>
      </c>
    </row>
    <row r="31" spans="1:13">
      <c r="A31" s="1">
        <v>38647</v>
      </c>
      <c r="B31" s="8" t="s">
        <v>0</v>
      </c>
      <c r="C31" s="18">
        <v>6.71</v>
      </c>
      <c r="D31" s="8">
        <v>35</v>
      </c>
      <c r="E31" s="18">
        <v>648.79999999999995</v>
      </c>
      <c r="F31" s="8">
        <v>600</v>
      </c>
      <c r="G31" s="90">
        <f t="shared" si="0"/>
        <v>454.03311784247245</v>
      </c>
      <c r="H31" s="15">
        <f t="shared" si="1"/>
        <v>237.91335374945558</v>
      </c>
      <c r="I31" s="20">
        <f t="shared" si="2"/>
        <v>0</v>
      </c>
      <c r="J31" s="20">
        <f t="shared" si="3"/>
        <v>0</v>
      </c>
      <c r="K31" s="18">
        <v>52.4</v>
      </c>
    </row>
    <row r="32" spans="1:13">
      <c r="A32"/>
      <c r="B32" s="8" t="s">
        <v>1</v>
      </c>
      <c r="C32" s="18">
        <v>6.55</v>
      </c>
      <c r="D32" s="8">
        <v>35</v>
      </c>
      <c r="E32" s="18">
        <v>648.79999999999995</v>
      </c>
      <c r="F32" s="8">
        <v>300</v>
      </c>
      <c r="G32" s="90">
        <f t="shared" si="0"/>
        <v>227.01655892123622</v>
      </c>
      <c r="H32" s="15">
        <f t="shared" si="1"/>
        <v>61.294470908733786</v>
      </c>
      <c r="I32" s="20">
        <f t="shared" si="2"/>
        <v>0</v>
      </c>
      <c r="J32" s="20">
        <f t="shared" si="3"/>
        <v>0</v>
      </c>
      <c r="K32" s="18">
        <v>27</v>
      </c>
    </row>
    <row r="33" spans="1:13">
      <c r="A33" s="1">
        <v>38648</v>
      </c>
      <c r="B33" s="8" t="s">
        <v>0</v>
      </c>
      <c r="C33" s="18">
        <v>6.78</v>
      </c>
      <c r="D33" s="8">
        <v>35</v>
      </c>
      <c r="E33" s="18">
        <v>645.6</v>
      </c>
      <c r="F33" s="8">
        <v>500</v>
      </c>
      <c r="G33" s="90">
        <f t="shared" si="0"/>
        <v>376.49478637369026</v>
      </c>
      <c r="H33" s="15">
        <f t="shared" si="1"/>
        <v>188.81213536640564</v>
      </c>
      <c r="I33" s="20">
        <f t="shared" si="2"/>
        <v>135.1616283081548</v>
      </c>
      <c r="J33" s="20">
        <f t="shared" si="3"/>
        <v>19.502429934157156</v>
      </c>
      <c r="K33" s="18">
        <v>50.15</v>
      </c>
      <c r="L33" s="6">
        <v>5.18</v>
      </c>
      <c r="M33" s="18">
        <v>35.9</v>
      </c>
    </row>
    <row r="34" spans="1:13">
      <c r="A34"/>
      <c r="B34" s="8" t="s">
        <v>1</v>
      </c>
      <c r="C34" s="18">
        <v>6.66</v>
      </c>
      <c r="D34" s="8">
        <v>35</v>
      </c>
      <c r="E34" s="18">
        <v>645.6</v>
      </c>
      <c r="F34" s="8">
        <v>200</v>
      </c>
      <c r="G34" s="90">
        <f t="shared" si="0"/>
        <v>150.59791454947609</v>
      </c>
      <c r="H34" s="15">
        <f t="shared" si="1"/>
        <v>59.937969990691478</v>
      </c>
      <c r="I34" s="20">
        <f t="shared" si="2"/>
        <v>65.058299085373676</v>
      </c>
      <c r="J34" s="20">
        <f t="shared" si="3"/>
        <v>25.601645473410937</v>
      </c>
      <c r="K34" s="18">
        <v>39.799999999999997</v>
      </c>
      <c r="L34" s="6">
        <v>17</v>
      </c>
      <c r="M34" s="18">
        <v>43.2</v>
      </c>
    </row>
    <row r="35" spans="1:13">
      <c r="A35" s="1">
        <v>38649</v>
      </c>
      <c r="B35" s="8" t="s">
        <v>0</v>
      </c>
      <c r="D35" s="8">
        <v>35</v>
      </c>
      <c r="E35" s="18">
        <v>650.24</v>
      </c>
      <c r="F35" s="8">
        <v>650</v>
      </c>
      <c r="G35" s="90">
        <f t="shared" si="0"/>
        <v>492.96090591560846</v>
      </c>
      <c r="H35" s="15">
        <f t="shared" si="1"/>
        <v>319.43866703331429</v>
      </c>
      <c r="I35" s="20">
        <f t="shared" si="2"/>
        <v>172.04335616454733</v>
      </c>
      <c r="J35" s="20">
        <f t="shared" si="3"/>
        <v>11.831061741974601</v>
      </c>
      <c r="K35" s="18">
        <v>64.8</v>
      </c>
      <c r="L35" s="6">
        <v>2.4</v>
      </c>
      <c r="M35" s="18">
        <v>34.9</v>
      </c>
    </row>
    <row r="36" spans="1:13">
      <c r="A36"/>
      <c r="B36" s="8" t="s">
        <v>1</v>
      </c>
      <c r="D36" s="8">
        <v>35</v>
      </c>
      <c r="E36" s="18">
        <v>650.24</v>
      </c>
      <c r="F36" s="8">
        <v>450</v>
      </c>
      <c r="G36" s="90">
        <f t="shared" si="0"/>
        <v>341.28062717234428</v>
      </c>
      <c r="H36" s="15">
        <f t="shared" si="1"/>
        <v>108.18595881363314</v>
      </c>
      <c r="I36" s="18">
        <f t="shared" si="2"/>
        <v>83.955034284396703</v>
      </c>
      <c r="J36" s="18">
        <f t="shared" si="3"/>
        <v>29.691414563993948</v>
      </c>
      <c r="K36" s="18">
        <v>31.7</v>
      </c>
      <c r="L36" s="6">
        <v>8.6999999999999993</v>
      </c>
      <c r="M36" s="18">
        <v>24.6</v>
      </c>
    </row>
    <row r="37" spans="1:13">
      <c r="A37"/>
      <c r="B37" s="8" t="s">
        <v>2</v>
      </c>
      <c r="D37" s="8">
        <v>35</v>
      </c>
      <c r="E37" s="18">
        <v>650.24</v>
      </c>
      <c r="F37" s="8">
        <v>300</v>
      </c>
      <c r="G37" s="90">
        <f t="shared" si="0"/>
        <v>227.52041811489622</v>
      </c>
      <c r="H37" s="15">
        <f t="shared" si="1"/>
        <v>109.89236194949487</v>
      </c>
      <c r="I37" s="18">
        <f t="shared" si="2"/>
        <v>48.916889894702692</v>
      </c>
      <c r="J37" s="18">
        <f t="shared" si="3"/>
        <v>14.561306759353359</v>
      </c>
      <c r="K37" s="18">
        <v>48.3</v>
      </c>
      <c r="L37" s="6">
        <v>6.4</v>
      </c>
      <c r="M37" s="18">
        <v>21.5</v>
      </c>
    </row>
    <row r="38" spans="1:13">
      <c r="A38" s="1">
        <v>38650</v>
      </c>
      <c r="B38" s="8" t="s">
        <v>0</v>
      </c>
      <c r="C38" s="18">
        <v>7.06</v>
      </c>
      <c r="D38" s="8">
        <v>35</v>
      </c>
      <c r="E38" s="18">
        <v>649.79999999999995</v>
      </c>
      <c r="F38" s="8">
        <v>600</v>
      </c>
      <c r="G38" s="90">
        <f t="shared" si="0"/>
        <v>454.73292227811129</v>
      </c>
      <c r="H38" s="15">
        <f t="shared" si="1"/>
        <v>282.84387765698523</v>
      </c>
      <c r="I38" s="18">
        <f t="shared" si="2"/>
        <v>134.60094499432094</v>
      </c>
      <c r="J38" s="18">
        <f t="shared" si="3"/>
        <v>10.458857212396559</v>
      </c>
      <c r="K38" s="18">
        <v>62.2</v>
      </c>
      <c r="L38" s="6">
        <v>2.2999999999999998</v>
      </c>
      <c r="M38" s="18">
        <v>29.6</v>
      </c>
    </row>
    <row r="39" spans="1:13">
      <c r="A39"/>
      <c r="B39" s="8" t="s">
        <v>1</v>
      </c>
      <c r="C39" s="18">
        <v>6.7</v>
      </c>
      <c r="D39" s="8">
        <v>35</v>
      </c>
      <c r="E39" s="18">
        <v>649.79999999999995</v>
      </c>
      <c r="F39" s="8">
        <v>200</v>
      </c>
      <c r="G39" s="90">
        <f t="shared" si="0"/>
        <v>151.57764075937041</v>
      </c>
      <c r="H39" s="15">
        <f t="shared" si="1"/>
        <v>77.00144150576017</v>
      </c>
      <c r="I39" s="18">
        <f t="shared" si="2"/>
        <v>62.449987992860613</v>
      </c>
      <c r="J39" s="18">
        <f t="shared" si="3"/>
        <v>12.277788901509002</v>
      </c>
      <c r="K39" s="18">
        <v>50.8</v>
      </c>
      <c r="L39" s="6">
        <v>8.1</v>
      </c>
      <c r="M39" s="18">
        <v>41.2</v>
      </c>
    </row>
    <row r="40" spans="1:13">
      <c r="A40"/>
      <c r="B40" s="8" t="s">
        <v>2</v>
      </c>
      <c r="C40" s="18">
        <v>7.08</v>
      </c>
      <c r="D40" s="8">
        <v>35</v>
      </c>
      <c r="E40" s="18">
        <v>649.79999999999995</v>
      </c>
      <c r="F40" s="8">
        <v>400</v>
      </c>
      <c r="G40" s="90">
        <f t="shared" si="0"/>
        <v>303.15528151874082</v>
      </c>
      <c r="H40" s="15">
        <f t="shared" si="1"/>
        <v>180.98370306668826</v>
      </c>
      <c r="I40" s="18">
        <f t="shared" si="2"/>
        <v>93.674981989290913</v>
      </c>
      <c r="J40" s="18">
        <f t="shared" si="3"/>
        <v>28.496596462761641</v>
      </c>
      <c r="K40" s="18">
        <v>59.7</v>
      </c>
      <c r="L40" s="6">
        <v>9.4</v>
      </c>
      <c r="M40" s="18">
        <v>30.9</v>
      </c>
    </row>
    <row r="41" spans="1:13">
      <c r="A41" s="1">
        <v>38652</v>
      </c>
      <c r="B41" s="8" t="s">
        <v>0</v>
      </c>
      <c r="C41" s="18">
        <v>7.21</v>
      </c>
      <c r="D41" s="8">
        <v>35</v>
      </c>
      <c r="E41" s="18">
        <v>639.74</v>
      </c>
      <c r="F41" s="8">
        <v>1200</v>
      </c>
      <c r="G41" s="90">
        <f t="shared" si="0"/>
        <v>895.38577931116947</v>
      </c>
      <c r="H41" s="15">
        <f t="shared" si="1"/>
        <v>646.4685326626643</v>
      </c>
      <c r="I41" s="18">
        <f t="shared" si="2"/>
        <v>205.93872924156898</v>
      </c>
      <c r="J41" s="18">
        <f t="shared" si="3"/>
        <v>23.28003026209041</v>
      </c>
      <c r="K41" s="18">
        <v>72.2</v>
      </c>
      <c r="L41" s="6">
        <v>2.6</v>
      </c>
      <c r="M41" s="18">
        <v>23</v>
      </c>
    </row>
    <row r="42" spans="1:13">
      <c r="A42"/>
      <c r="B42" s="8" t="s">
        <v>1</v>
      </c>
      <c r="C42" s="18">
        <v>7.01</v>
      </c>
      <c r="D42" s="8">
        <v>35</v>
      </c>
      <c r="E42" s="18">
        <v>639.74</v>
      </c>
      <c r="F42" s="8">
        <v>700</v>
      </c>
      <c r="G42" s="90">
        <f t="shared" si="0"/>
        <v>522.3083712648488</v>
      </c>
      <c r="H42" s="15">
        <f t="shared" si="1"/>
        <v>308.16193904626078</v>
      </c>
      <c r="I42" s="18">
        <f t="shared" si="2"/>
        <v>125.87631747482857</v>
      </c>
      <c r="J42" s="18">
        <f t="shared" si="3"/>
        <v>34.472352503480018</v>
      </c>
      <c r="K42" s="18">
        <v>59</v>
      </c>
      <c r="L42" s="6">
        <v>6.6</v>
      </c>
      <c r="M42" s="18">
        <v>24.1</v>
      </c>
    </row>
    <row r="43" spans="1:13">
      <c r="A43"/>
      <c r="B43" s="8" t="s">
        <v>2</v>
      </c>
      <c r="C43" s="18">
        <v>7.01</v>
      </c>
      <c r="D43" s="8">
        <v>35</v>
      </c>
      <c r="E43" s="18">
        <v>639.74</v>
      </c>
      <c r="F43" s="8">
        <v>500</v>
      </c>
      <c r="G43" s="90">
        <f t="shared" si="0"/>
        <v>373.07740804632061</v>
      </c>
      <c r="H43" s="15">
        <f t="shared" si="1"/>
        <v>249.21570857494214</v>
      </c>
      <c r="I43" s="18">
        <f t="shared" si="2"/>
        <v>97.746280908136001</v>
      </c>
      <c r="J43" s="18">
        <f t="shared" si="3"/>
        <v>14.176941505760183</v>
      </c>
      <c r="K43" s="18">
        <v>66.8</v>
      </c>
      <c r="L43" s="6">
        <v>3.8</v>
      </c>
      <c r="M43" s="18">
        <v>26.2</v>
      </c>
    </row>
    <row r="44" spans="1:13">
      <c r="A44" s="1">
        <v>38654</v>
      </c>
      <c r="B44" s="8" t="s">
        <v>0</v>
      </c>
      <c r="C44" s="18">
        <v>7.46</v>
      </c>
      <c r="D44" s="8">
        <v>35</v>
      </c>
      <c r="E44" s="18">
        <v>648.20000000000005</v>
      </c>
      <c r="F44" s="8">
        <v>1000</v>
      </c>
      <c r="G44" s="90">
        <f t="shared" si="0"/>
        <v>756.02205863514871</v>
      </c>
      <c r="H44" s="15">
        <f t="shared" si="1"/>
        <v>542.06781604140167</v>
      </c>
      <c r="I44" s="18">
        <f t="shared" si="2"/>
        <v>113.40330879527231</v>
      </c>
      <c r="J44" s="18">
        <f t="shared" si="3"/>
        <v>12.096352938162379</v>
      </c>
      <c r="K44" s="18">
        <v>71.7</v>
      </c>
      <c r="L44" s="6">
        <v>1.6</v>
      </c>
      <c r="M44" s="18">
        <v>15</v>
      </c>
    </row>
    <row r="45" spans="1:13">
      <c r="A45"/>
      <c r="B45" s="8" t="s">
        <v>1</v>
      </c>
      <c r="C45" s="18">
        <v>7.38</v>
      </c>
      <c r="D45" s="8">
        <v>35</v>
      </c>
      <c r="E45" s="18">
        <v>648.20000000000005</v>
      </c>
      <c r="F45" s="8">
        <v>900</v>
      </c>
      <c r="G45" s="90">
        <f t="shared" si="0"/>
        <v>680.41985277163383</v>
      </c>
      <c r="H45" s="15">
        <f t="shared" si="1"/>
        <v>544.33588221730713</v>
      </c>
      <c r="I45" s="18">
        <f t="shared" si="2"/>
        <v>88.454580860312404</v>
      </c>
      <c r="J45" s="18">
        <f t="shared" si="3"/>
        <v>9.5258779388028731</v>
      </c>
      <c r="K45" s="18">
        <v>80</v>
      </c>
      <c r="L45" s="6">
        <v>1.4</v>
      </c>
      <c r="M45" s="18">
        <v>13</v>
      </c>
    </row>
    <row r="46" spans="1:13">
      <c r="A46"/>
      <c r="B46" s="8" t="s">
        <v>2</v>
      </c>
      <c r="C46" s="18">
        <v>7.04</v>
      </c>
      <c r="D46" s="8">
        <v>35</v>
      </c>
      <c r="E46" s="18">
        <v>648.20000000000005</v>
      </c>
      <c r="F46" s="8">
        <v>500</v>
      </c>
      <c r="G46" s="90">
        <f t="shared" si="0"/>
        <v>378.01102931757435</v>
      </c>
      <c r="H46" s="15">
        <f t="shared" si="1"/>
        <v>231.72076097167309</v>
      </c>
      <c r="I46" s="18">
        <f t="shared" si="2"/>
        <v>99.416900710522057</v>
      </c>
      <c r="J46" s="18">
        <f t="shared" si="3"/>
        <v>8.3162426449866356</v>
      </c>
      <c r="K46" s="18">
        <v>61.3</v>
      </c>
      <c r="L46" s="6">
        <v>2.2000000000000002</v>
      </c>
      <c r="M46" s="18">
        <v>26.3</v>
      </c>
    </row>
    <row r="47" spans="1:13">
      <c r="A47" s="1">
        <v>38655</v>
      </c>
      <c r="B47" s="8" t="s">
        <v>0</v>
      </c>
      <c r="C47" s="18">
        <v>7.46</v>
      </c>
      <c r="D47" s="8">
        <v>35</v>
      </c>
      <c r="E47" s="18">
        <v>650.6</v>
      </c>
      <c r="F47" s="8">
        <v>400</v>
      </c>
      <c r="G47" s="90">
        <f t="shared" si="0"/>
        <v>303.52851055108164</v>
      </c>
      <c r="H47" s="15">
        <f t="shared" si="1"/>
        <v>219.14758461788094</v>
      </c>
      <c r="I47" s="18">
        <f t="shared" si="2"/>
        <v>43.708105519355762</v>
      </c>
      <c r="J47" s="18">
        <f t="shared" si="3"/>
        <v>16.997596590860571</v>
      </c>
      <c r="K47" s="18">
        <v>72.2</v>
      </c>
      <c r="L47" s="6">
        <v>5.6</v>
      </c>
      <c r="M47" s="18">
        <v>14.4</v>
      </c>
    </row>
    <row r="48" spans="1:13">
      <c r="A48"/>
      <c r="B48" s="8" t="s">
        <v>1</v>
      </c>
      <c r="C48" s="18">
        <v>7.43</v>
      </c>
      <c r="D48" s="8">
        <v>35</v>
      </c>
      <c r="E48" s="18">
        <v>650.6</v>
      </c>
      <c r="F48" s="8">
        <v>400</v>
      </c>
      <c r="G48" s="90">
        <f t="shared" si="0"/>
        <v>303.52851055108164</v>
      </c>
      <c r="H48" s="15">
        <f t="shared" si="1"/>
        <v>230.37813950827098</v>
      </c>
      <c r="I48" s="18">
        <f t="shared" si="2"/>
        <v>38.851649350538452</v>
      </c>
      <c r="J48" s="18">
        <f t="shared" si="3"/>
        <v>10.319969358736776</v>
      </c>
      <c r="K48" s="18">
        <v>75.900000000000006</v>
      </c>
      <c r="L48" s="6">
        <v>3.4</v>
      </c>
      <c r="M48" s="18">
        <v>12.8</v>
      </c>
    </row>
    <row r="49" spans="1:13">
      <c r="A49"/>
      <c r="B49" s="8" t="s">
        <v>2</v>
      </c>
      <c r="C49" s="18">
        <v>7.02</v>
      </c>
      <c r="D49" s="8">
        <v>35</v>
      </c>
      <c r="E49" s="18">
        <v>650.6</v>
      </c>
      <c r="F49" s="8">
        <v>300</v>
      </c>
      <c r="G49" s="90">
        <f t="shared" si="0"/>
        <v>227.64638291331119</v>
      </c>
      <c r="H49" s="15">
        <f t="shared" si="1"/>
        <v>153.20601570065841</v>
      </c>
      <c r="I49" s="18">
        <f t="shared" si="2"/>
        <v>64.196279981553758</v>
      </c>
      <c r="J49" s="18">
        <f t="shared" si="3"/>
        <v>11.837611911492182</v>
      </c>
      <c r="K49" s="18">
        <v>67.3</v>
      </c>
      <c r="L49" s="6">
        <v>5.2</v>
      </c>
      <c r="M49" s="18">
        <v>28.2</v>
      </c>
    </row>
    <row r="50" spans="1:13">
      <c r="A50" s="1">
        <v>38657</v>
      </c>
      <c r="B50" s="8" t="s">
        <v>0</v>
      </c>
      <c r="C50" s="18">
        <v>7.45</v>
      </c>
      <c r="D50" s="8">
        <v>35</v>
      </c>
      <c r="E50" s="18">
        <v>652.4</v>
      </c>
      <c r="F50" s="8">
        <v>1100</v>
      </c>
      <c r="G50" s="90">
        <f t="shared" si="0"/>
        <v>837.01275865308241</v>
      </c>
      <c r="H50" s="15">
        <f t="shared" si="1"/>
        <v>604.32321174752553</v>
      </c>
      <c r="I50" s="18">
        <f t="shared" si="2"/>
        <v>120.52983724604387</v>
      </c>
      <c r="J50" s="18">
        <f t="shared" si="3"/>
        <v>25.947395518245557</v>
      </c>
      <c r="K50" s="18">
        <v>72.2</v>
      </c>
      <c r="L50" s="6">
        <v>3.1</v>
      </c>
      <c r="M50" s="18">
        <v>14.4</v>
      </c>
    </row>
    <row r="51" spans="1:13">
      <c r="A51"/>
      <c r="B51" s="8" t="s">
        <v>1</v>
      </c>
      <c r="C51" s="18">
        <v>7.47</v>
      </c>
      <c r="D51" s="8">
        <v>35</v>
      </c>
      <c r="E51" s="18">
        <v>652.4</v>
      </c>
      <c r="F51" s="8">
        <v>1000</v>
      </c>
      <c r="G51" s="90">
        <f t="shared" si="0"/>
        <v>760.92068968462058</v>
      </c>
      <c r="H51" s="15">
        <f t="shared" si="1"/>
        <v>549.38473795229606</v>
      </c>
      <c r="I51" s="18">
        <f t="shared" si="2"/>
        <v>78.374831037515918</v>
      </c>
      <c r="J51" s="18">
        <f t="shared" si="3"/>
        <v>25.871303449277097</v>
      </c>
      <c r="K51" s="18">
        <v>72.2</v>
      </c>
      <c r="L51" s="6">
        <v>3.4</v>
      </c>
      <c r="M51" s="18">
        <v>10.3</v>
      </c>
    </row>
    <row r="52" spans="1:13">
      <c r="A52"/>
      <c r="B52" s="8" t="s">
        <v>2</v>
      </c>
      <c r="C52" s="18">
        <v>7</v>
      </c>
      <c r="D52" s="8">
        <v>35</v>
      </c>
      <c r="E52" s="18">
        <v>652.4</v>
      </c>
      <c r="F52" s="8">
        <v>300</v>
      </c>
      <c r="G52" s="90">
        <f t="shared" si="0"/>
        <v>228.27620690538612</v>
      </c>
      <c r="H52" s="15">
        <f t="shared" si="1"/>
        <v>164.81542138568878</v>
      </c>
      <c r="I52" s="18">
        <f t="shared" si="2"/>
        <v>52.731803795144195</v>
      </c>
      <c r="J52" s="18">
        <f t="shared" si="3"/>
        <v>10.04415310383699</v>
      </c>
      <c r="K52" s="18">
        <v>72.2</v>
      </c>
      <c r="L52" s="6">
        <v>4.4000000000000004</v>
      </c>
      <c r="M52" s="18">
        <v>23.1</v>
      </c>
    </row>
    <row r="53" spans="1:13">
      <c r="A53" s="1">
        <v>38659</v>
      </c>
      <c r="B53" s="8" t="s">
        <v>0</v>
      </c>
      <c r="C53" s="18">
        <v>7.44</v>
      </c>
      <c r="D53" s="8">
        <v>35</v>
      </c>
      <c r="E53" s="18">
        <v>651.1</v>
      </c>
      <c r="F53" s="8">
        <v>1100</v>
      </c>
      <c r="G53" s="90">
        <f t="shared" si="0"/>
        <v>835.34489141480992</v>
      </c>
      <c r="H53" s="15">
        <f t="shared" si="1"/>
        <v>639.87418682374437</v>
      </c>
      <c r="I53" s="18">
        <f t="shared" si="2"/>
        <v>138.66725197485846</v>
      </c>
      <c r="J53" s="18">
        <f t="shared" si="3"/>
        <v>16.706897828296199</v>
      </c>
      <c r="K53" s="18">
        <v>76.599999999999994</v>
      </c>
      <c r="L53" s="6">
        <v>2</v>
      </c>
      <c r="M53" s="18">
        <v>16.600000000000001</v>
      </c>
    </row>
    <row r="54" spans="1:13">
      <c r="A54"/>
      <c r="B54" s="8" t="s">
        <v>1</v>
      </c>
      <c r="C54" s="18">
        <v>7.43</v>
      </c>
      <c r="D54" s="8">
        <v>35</v>
      </c>
      <c r="E54" s="18">
        <v>651.1</v>
      </c>
      <c r="F54" s="8">
        <v>900</v>
      </c>
      <c r="G54" s="90">
        <f t="shared" si="0"/>
        <v>683.46400206666272</v>
      </c>
      <c r="H54" s="15">
        <f t="shared" si="1"/>
        <v>527.63420959546363</v>
      </c>
      <c r="I54" s="18">
        <f t="shared" si="2"/>
        <v>88.850320268666152</v>
      </c>
      <c r="J54" s="18">
        <f t="shared" si="3"/>
        <v>18.453528055799897</v>
      </c>
      <c r="K54" s="18">
        <v>77.2</v>
      </c>
      <c r="L54" s="6">
        <v>2.7</v>
      </c>
      <c r="M54" s="18">
        <v>13</v>
      </c>
    </row>
    <row r="55" spans="1:13">
      <c r="A55"/>
      <c r="B55" s="8" t="s">
        <v>2</v>
      </c>
      <c r="C55" s="18">
        <v>6.84</v>
      </c>
      <c r="D55" s="8">
        <v>35</v>
      </c>
      <c r="E55" s="18">
        <v>651.1</v>
      </c>
      <c r="F55" s="8">
        <v>400</v>
      </c>
      <c r="G55" s="90">
        <f t="shared" si="0"/>
        <v>303.76177869629458</v>
      </c>
      <c r="H55" s="15">
        <f t="shared" si="1"/>
        <v>175.57430808645825</v>
      </c>
      <c r="I55" s="18">
        <f t="shared" si="2"/>
        <v>78.066777124947706</v>
      </c>
      <c r="J55" s="18">
        <f t="shared" si="3"/>
        <v>12.757994705244373</v>
      </c>
      <c r="K55" s="18">
        <v>57.8</v>
      </c>
      <c r="L55" s="6">
        <v>4.2</v>
      </c>
      <c r="M55" s="18">
        <v>25.7</v>
      </c>
    </row>
    <row r="56" spans="1:13">
      <c r="A56" s="1">
        <v>38661</v>
      </c>
      <c r="B56" s="8" t="s">
        <v>0</v>
      </c>
      <c r="C56" s="18">
        <v>7.5</v>
      </c>
      <c r="D56" s="8">
        <v>35</v>
      </c>
      <c r="E56" s="18">
        <v>645</v>
      </c>
      <c r="F56" s="8">
        <v>950</v>
      </c>
      <c r="G56" s="90">
        <f t="shared" si="0"/>
        <v>714.67527989615451</v>
      </c>
      <c r="H56" s="15">
        <f t="shared" si="1"/>
        <v>547.44126440045432</v>
      </c>
      <c r="I56" s="18">
        <f t="shared" si="2"/>
        <v>125.7828492617232</v>
      </c>
      <c r="J56" s="18">
        <f t="shared" si="3"/>
        <v>12.149479758234627</v>
      </c>
      <c r="K56" s="18">
        <v>76.599999999999994</v>
      </c>
      <c r="L56" s="6">
        <v>1.7</v>
      </c>
      <c r="M56" s="18">
        <v>17.600000000000001</v>
      </c>
    </row>
    <row r="57" spans="1:13">
      <c r="A57"/>
      <c r="B57" s="8" t="s">
        <v>1</v>
      </c>
      <c r="C57" s="18">
        <v>7.55</v>
      </c>
      <c r="D57" s="8">
        <v>35</v>
      </c>
      <c r="E57" s="18">
        <v>645</v>
      </c>
      <c r="F57" s="8">
        <v>400</v>
      </c>
      <c r="G57" s="90">
        <f t="shared" si="0"/>
        <v>300.91590732469666</v>
      </c>
      <c r="H57" s="15">
        <f t="shared" si="1"/>
        <v>205.22464879544313</v>
      </c>
      <c r="I57" s="18">
        <f t="shared" si="2"/>
        <v>32.799833898391938</v>
      </c>
      <c r="J57" s="18">
        <f t="shared" si="3"/>
        <v>15.045795366234834</v>
      </c>
      <c r="K57" s="18">
        <v>68.2</v>
      </c>
      <c r="L57" s="6">
        <v>5</v>
      </c>
      <c r="M57" s="18">
        <v>10.9</v>
      </c>
    </row>
    <row r="58" spans="1:13">
      <c r="A58"/>
      <c r="B58" s="8" t="s">
        <v>2</v>
      </c>
      <c r="C58" s="18">
        <v>6.84</v>
      </c>
      <c r="D58" s="8">
        <v>35</v>
      </c>
      <c r="E58" s="18">
        <v>645</v>
      </c>
      <c r="F58" s="8">
        <v>400</v>
      </c>
      <c r="G58" s="90">
        <f t="shared" si="0"/>
        <v>300.91590732469666</v>
      </c>
      <c r="H58" s="15">
        <f t="shared" si="1"/>
        <v>88.770192660785511</v>
      </c>
      <c r="I58" s="18">
        <f t="shared" si="2"/>
        <v>190.7806852438577</v>
      </c>
      <c r="J58" s="18">
        <f t="shared" si="3"/>
        <v>22.267777142027555</v>
      </c>
      <c r="K58" s="18">
        <v>29.5</v>
      </c>
      <c r="L58" s="6">
        <v>7.4</v>
      </c>
      <c r="M58" s="18">
        <v>63.4</v>
      </c>
    </row>
    <row r="59" spans="1:13">
      <c r="A59" s="1">
        <v>38664</v>
      </c>
      <c r="B59" s="8" t="s">
        <v>0</v>
      </c>
      <c r="C59" s="18">
        <v>7.23</v>
      </c>
      <c r="D59" s="8">
        <v>35</v>
      </c>
      <c r="E59" s="18">
        <v>650</v>
      </c>
      <c r="F59" s="8">
        <v>600</v>
      </c>
      <c r="G59" s="90">
        <f t="shared" si="0"/>
        <v>454.87288316523905</v>
      </c>
      <c r="H59" s="15">
        <f t="shared" si="1"/>
        <v>296.57711982373587</v>
      </c>
      <c r="I59" s="18">
        <f t="shared" si="2"/>
        <v>109.16949195965736</v>
      </c>
      <c r="J59" s="18">
        <f t="shared" si="3"/>
        <v>13.646186494957171</v>
      </c>
      <c r="K59" s="18">
        <v>65.2</v>
      </c>
      <c r="L59" s="6">
        <v>3</v>
      </c>
      <c r="M59" s="18">
        <v>24</v>
      </c>
    </row>
    <row r="60" spans="1:13">
      <c r="A60"/>
      <c r="B60" s="8" t="s">
        <v>1</v>
      </c>
      <c r="C60" s="18">
        <v>7.31</v>
      </c>
      <c r="D60" s="8">
        <v>35</v>
      </c>
      <c r="E60" s="18">
        <v>650</v>
      </c>
      <c r="F60" s="8">
        <v>200</v>
      </c>
      <c r="G60" s="90">
        <f t="shared" si="0"/>
        <v>151.62429438841303</v>
      </c>
      <c r="H60" s="15">
        <f t="shared" si="1"/>
        <v>113.71822079130978</v>
      </c>
      <c r="I60" s="18">
        <f t="shared" si="2"/>
        <v>20.469279742435759</v>
      </c>
      <c r="J60" s="18">
        <f t="shared" si="3"/>
        <v>5.0036017148176297</v>
      </c>
      <c r="K60" s="18">
        <v>75</v>
      </c>
      <c r="L60" s="6">
        <v>3.3</v>
      </c>
      <c r="M60" s="18">
        <v>13.5</v>
      </c>
    </row>
    <row r="61" spans="1:13">
      <c r="A61"/>
      <c r="B61" s="8" t="s">
        <v>2</v>
      </c>
      <c r="C61" s="18">
        <v>6.66</v>
      </c>
      <c r="D61" s="8">
        <v>35</v>
      </c>
      <c r="E61" s="18">
        <v>650</v>
      </c>
      <c r="F61" s="8">
        <v>100</v>
      </c>
      <c r="G61" s="90">
        <f t="shared" si="0"/>
        <v>75.812147194206517</v>
      </c>
      <c r="H61" s="15">
        <f t="shared" si="1"/>
        <v>40.483686601706282</v>
      </c>
      <c r="I61" s="18">
        <f t="shared" si="2"/>
        <v>23.956638513369263</v>
      </c>
      <c r="J61" s="18">
        <f t="shared" si="3"/>
        <v>3.2599223293508799</v>
      </c>
      <c r="K61" s="18">
        <v>53.4</v>
      </c>
      <c r="L61" s="6">
        <v>4.3</v>
      </c>
      <c r="M61" s="18">
        <v>31.6</v>
      </c>
    </row>
    <row r="62" spans="1:13">
      <c r="A62" s="1">
        <v>38666</v>
      </c>
      <c r="B62" s="8" t="s">
        <v>0</v>
      </c>
      <c r="C62" s="18">
        <v>7.36</v>
      </c>
      <c r="D62" s="8">
        <v>35</v>
      </c>
      <c r="E62" s="18">
        <v>646.20000000000005</v>
      </c>
      <c r="F62" s="8">
        <v>300</v>
      </c>
      <c r="G62" s="90">
        <f t="shared" si="0"/>
        <v>226.10681315490575</v>
      </c>
      <c r="H62" s="15">
        <f t="shared" si="1"/>
        <v>151.03935118747702</v>
      </c>
      <c r="I62" s="18">
        <f t="shared" si="2"/>
        <v>51.326246586163606</v>
      </c>
      <c r="J62" s="18">
        <f t="shared" si="3"/>
        <v>6.7832043946471732</v>
      </c>
      <c r="K62" s="18">
        <v>66.8</v>
      </c>
      <c r="L62" s="6">
        <v>3</v>
      </c>
      <c r="M62" s="18">
        <v>22.7</v>
      </c>
    </row>
    <row r="63" spans="1:13">
      <c r="A63"/>
      <c r="B63" s="8" t="s">
        <v>1</v>
      </c>
      <c r="C63" s="18">
        <v>7.36</v>
      </c>
      <c r="D63" s="8">
        <v>35</v>
      </c>
      <c r="E63" s="18">
        <v>646.20000000000005</v>
      </c>
      <c r="F63" s="8">
        <v>200</v>
      </c>
      <c r="G63" s="90">
        <f t="shared" si="0"/>
        <v>150.73787543660387</v>
      </c>
      <c r="H63" s="15">
        <f t="shared" si="1"/>
        <v>105.81798855649593</v>
      </c>
      <c r="I63" s="18">
        <f t="shared" si="2"/>
        <v>19.143710180448689</v>
      </c>
      <c r="J63" s="18">
        <f t="shared" si="3"/>
        <v>6.7832043946471741</v>
      </c>
      <c r="K63" s="18">
        <v>70.2</v>
      </c>
      <c r="L63" s="6">
        <v>4.5</v>
      </c>
      <c r="M63" s="18">
        <v>12.7</v>
      </c>
    </row>
    <row r="64" spans="1:13">
      <c r="A64"/>
      <c r="B64" s="8" t="s">
        <v>2</v>
      </c>
      <c r="C64" s="18">
        <v>6.5</v>
      </c>
      <c r="D64" s="8">
        <v>35</v>
      </c>
      <c r="E64" s="18">
        <v>646.20000000000005</v>
      </c>
      <c r="F64" s="8">
        <v>400</v>
      </c>
      <c r="G64" s="90">
        <f t="shared" si="0"/>
        <v>301.47575087320774</v>
      </c>
      <c r="H64" s="15">
        <f t="shared" si="1"/>
        <v>153.75263294533596</v>
      </c>
      <c r="I64" s="18">
        <f t="shared" si="2"/>
        <v>100.08994928990498</v>
      </c>
      <c r="J64" s="18">
        <f t="shared" si="3"/>
        <v>13.867884540167557</v>
      </c>
      <c r="K64" s="18">
        <v>51</v>
      </c>
      <c r="L64" s="6">
        <v>4.5999999999999996</v>
      </c>
      <c r="M64" s="18">
        <v>33.200000000000003</v>
      </c>
    </row>
    <row r="65" spans="1:13">
      <c r="A65" s="1">
        <v>38668</v>
      </c>
      <c r="B65" s="8" t="s">
        <v>0</v>
      </c>
      <c r="C65" s="18">
        <v>7.2</v>
      </c>
      <c r="D65" s="8">
        <v>35</v>
      </c>
      <c r="E65" s="18">
        <v>639.74</v>
      </c>
      <c r="F65" s="8">
        <v>300</v>
      </c>
      <c r="G65" s="90">
        <f t="shared" si="0"/>
        <v>223.84644482779237</v>
      </c>
      <c r="H65" s="15">
        <f t="shared" si="1"/>
        <v>147.06711425185958</v>
      </c>
      <c r="I65" s="18">
        <f t="shared" si="2"/>
        <v>46.783906969008605</v>
      </c>
      <c r="J65" s="18">
        <f t="shared" si="3"/>
        <v>8.50616490345611</v>
      </c>
      <c r="K65" s="18">
        <v>65.7</v>
      </c>
      <c r="L65" s="6">
        <v>3.8</v>
      </c>
      <c r="M65" s="18">
        <v>20.9</v>
      </c>
    </row>
    <row r="66" spans="1:13">
      <c r="A66"/>
      <c r="B66" s="8" t="s">
        <v>1</v>
      </c>
      <c r="C66" s="18">
        <v>7.13</v>
      </c>
      <c r="D66" s="8">
        <v>35</v>
      </c>
      <c r="E66" s="18">
        <v>639.74</v>
      </c>
      <c r="F66" s="8">
        <v>400</v>
      </c>
      <c r="G66" s="90">
        <f t="shared" si="0"/>
        <v>298.46192643705643</v>
      </c>
      <c r="H66" s="15">
        <f t="shared" si="1"/>
        <v>217.87720629905118</v>
      </c>
      <c r="I66" s="18">
        <f t="shared" si="2"/>
        <v>45.366212818432579</v>
      </c>
      <c r="J66" s="18">
        <f t="shared" si="3"/>
        <v>10.446167425296975</v>
      </c>
      <c r="K66" s="18">
        <v>73</v>
      </c>
      <c r="L66" s="6">
        <v>3.5</v>
      </c>
      <c r="M66" s="18">
        <v>15.2</v>
      </c>
    </row>
    <row r="67" spans="1:13">
      <c r="A67"/>
      <c r="B67" s="8" t="s">
        <v>2</v>
      </c>
      <c r="C67" s="18">
        <v>6.33</v>
      </c>
      <c r="D67" s="8">
        <v>35</v>
      </c>
      <c r="E67" s="18">
        <v>639.74</v>
      </c>
      <c r="F67" s="8">
        <v>100</v>
      </c>
      <c r="G67" s="90">
        <f t="shared" si="0"/>
        <v>74.615481609264108</v>
      </c>
      <c r="H67" s="15">
        <f t="shared" si="1"/>
        <v>38.800050436817337</v>
      </c>
      <c r="I67" s="18">
        <f t="shared" si="2"/>
        <v>23.354645743699667</v>
      </c>
      <c r="J67" s="18">
        <f t="shared" si="3"/>
        <v>3.5815431172446774</v>
      </c>
      <c r="K67" s="18">
        <v>52</v>
      </c>
      <c r="L67" s="6">
        <v>4.8</v>
      </c>
      <c r="M67" s="18">
        <v>31.3</v>
      </c>
    </row>
    <row r="68" spans="1:13">
      <c r="A68" s="1">
        <v>38671</v>
      </c>
      <c r="B68" s="8" t="s">
        <v>0</v>
      </c>
      <c r="C68" s="18">
        <v>7.09</v>
      </c>
      <c r="D68" s="8">
        <v>35</v>
      </c>
      <c r="E68" s="18">
        <v>653.6</v>
      </c>
      <c r="F68" s="8">
        <v>500</v>
      </c>
      <c r="G68" s="90">
        <f t="shared" ref="G68:G131" si="4">(E68*F68*273.15)/((D68+273.15)*760)</f>
        <v>381.16014927794907</v>
      </c>
      <c r="H68" s="15">
        <f t="shared" ref="H68:H131" si="5">K68/100*G68</f>
        <v>254.61497971766997</v>
      </c>
      <c r="I68" s="18">
        <f t="shared" ref="I68:I131" si="6">(M68*G68)/100</f>
        <v>96.433517767321121</v>
      </c>
      <c r="J68" s="18">
        <f t="shared" ref="J68:J131" si="7">(L68*G68)/100</f>
        <v>17.15220671750771</v>
      </c>
      <c r="K68" s="18">
        <v>66.8</v>
      </c>
      <c r="L68" s="6">
        <v>4.5</v>
      </c>
      <c r="M68" s="18">
        <v>25.3</v>
      </c>
    </row>
    <row r="69" spans="1:13">
      <c r="A69"/>
      <c r="B69" s="8" t="s">
        <v>1</v>
      </c>
      <c r="C69" s="18">
        <v>7.01</v>
      </c>
      <c r="D69" s="8">
        <v>35</v>
      </c>
      <c r="E69" s="18">
        <v>653.6</v>
      </c>
      <c r="F69" s="8">
        <v>300</v>
      </c>
      <c r="G69" s="90">
        <f t="shared" si="4"/>
        <v>228.69608956676942</v>
      </c>
      <c r="H69" s="15">
        <f t="shared" si="5"/>
        <v>179.06903813078043</v>
      </c>
      <c r="I69" s="18">
        <f t="shared" si="6"/>
        <v>56.030541943858509</v>
      </c>
      <c r="J69" s="18">
        <f t="shared" si="7"/>
        <v>6.6321865974363128</v>
      </c>
      <c r="K69" s="18">
        <v>78.3</v>
      </c>
      <c r="L69" s="6">
        <v>2.9</v>
      </c>
      <c r="M69" s="18">
        <v>24.5</v>
      </c>
    </row>
    <row r="70" spans="1:13">
      <c r="A70"/>
      <c r="B70" s="8" t="s">
        <v>2</v>
      </c>
      <c r="C70" s="18">
        <v>6.03</v>
      </c>
      <c r="D70" s="8">
        <v>35</v>
      </c>
      <c r="E70" s="18">
        <v>653.6</v>
      </c>
      <c r="F70" s="8">
        <v>300</v>
      </c>
      <c r="G70" s="90">
        <f t="shared" si="4"/>
        <v>228.69608956676942</v>
      </c>
      <c r="H70" s="15">
        <f t="shared" si="5"/>
        <v>126.01154535128995</v>
      </c>
      <c r="I70" s="18">
        <f t="shared" si="6"/>
        <v>59.689679376926826</v>
      </c>
      <c r="J70" s="18">
        <f t="shared" si="7"/>
        <v>9.605235761804316</v>
      </c>
      <c r="K70" s="18">
        <v>55.1</v>
      </c>
      <c r="L70" s="6">
        <v>4.2</v>
      </c>
      <c r="M70" s="18">
        <v>26.1</v>
      </c>
    </row>
    <row r="71" spans="1:13">
      <c r="A71" s="1">
        <v>38673</v>
      </c>
      <c r="B71" s="8" t="s">
        <v>0</v>
      </c>
      <c r="C71" s="18">
        <v>7</v>
      </c>
      <c r="D71" s="8">
        <v>35</v>
      </c>
      <c r="E71" s="18">
        <v>645.1</v>
      </c>
      <c r="F71" s="8">
        <v>950</v>
      </c>
      <c r="G71" s="90">
        <f t="shared" si="4"/>
        <v>714.78608226513074</v>
      </c>
      <c r="H71" s="15">
        <f t="shared" si="5"/>
        <v>403.85413647979885</v>
      </c>
      <c r="I71" s="18">
        <f t="shared" si="6"/>
        <v>168.68951541457085</v>
      </c>
      <c r="J71" s="18">
        <f t="shared" si="7"/>
        <v>142.95721645302615</v>
      </c>
      <c r="K71" s="18">
        <v>56.5</v>
      </c>
      <c r="L71" s="6">
        <v>20</v>
      </c>
      <c r="M71" s="18">
        <v>23.6</v>
      </c>
    </row>
    <row r="72" spans="1:13">
      <c r="A72"/>
      <c r="B72" s="8" t="s">
        <v>1</v>
      </c>
      <c r="C72" s="18">
        <v>7.05</v>
      </c>
      <c r="D72" s="8">
        <v>35</v>
      </c>
      <c r="E72" s="18">
        <v>645.1</v>
      </c>
      <c r="F72" s="8">
        <v>100</v>
      </c>
      <c r="G72" s="90">
        <f t="shared" si="4"/>
        <v>75.240640238434807</v>
      </c>
      <c r="H72" s="15">
        <f t="shared" si="5"/>
        <v>57.55908978240263</v>
      </c>
      <c r="I72" s="18">
        <f t="shared" si="6"/>
        <v>14.220481005064178</v>
      </c>
      <c r="J72" s="18">
        <f t="shared" si="7"/>
        <v>3.5363100912064365</v>
      </c>
      <c r="K72" s="18">
        <v>76.5</v>
      </c>
      <c r="L72" s="6">
        <v>4.7</v>
      </c>
      <c r="M72" s="18">
        <v>18.899999999999999</v>
      </c>
    </row>
    <row r="73" spans="1:13">
      <c r="A73"/>
      <c r="B73" s="8" t="s">
        <v>2</v>
      </c>
      <c r="C73" s="18">
        <v>6.04</v>
      </c>
      <c r="D73" s="8">
        <v>35</v>
      </c>
      <c r="E73" s="18">
        <v>645.1</v>
      </c>
      <c r="F73" s="8">
        <v>300</v>
      </c>
      <c r="G73" s="90">
        <f t="shared" si="4"/>
        <v>225.72192071530441</v>
      </c>
      <c r="H73" s="15">
        <f t="shared" si="5"/>
        <v>123.01844678984091</v>
      </c>
      <c r="I73" s="18">
        <f t="shared" si="6"/>
        <v>83.517110664662638</v>
      </c>
      <c r="J73" s="18">
        <f t="shared" si="7"/>
        <v>19.186363260800874</v>
      </c>
      <c r="K73" s="18">
        <v>54.5</v>
      </c>
      <c r="L73" s="6">
        <v>8.5</v>
      </c>
      <c r="M73" s="18">
        <v>37</v>
      </c>
    </row>
    <row r="74" spans="1:13">
      <c r="A74" s="1">
        <v>38675</v>
      </c>
      <c r="B74" s="8" t="s">
        <v>0</v>
      </c>
      <c r="C74" s="18">
        <v>7.21</v>
      </c>
      <c r="D74" s="8">
        <v>35</v>
      </c>
      <c r="E74" s="18">
        <v>644.47</v>
      </c>
      <c r="F74" s="8">
        <v>300</v>
      </c>
      <c r="G74" s="90">
        <f t="shared" si="4"/>
        <v>225.50148231807819</v>
      </c>
      <c r="H74" s="15">
        <f t="shared" si="5"/>
        <v>110.72122781817639</v>
      </c>
      <c r="I74" s="18">
        <f t="shared" si="6"/>
        <v>51.414337968521835</v>
      </c>
      <c r="J74" s="18">
        <f t="shared" si="7"/>
        <v>16.236106726901632</v>
      </c>
      <c r="K74" s="18">
        <v>49.1</v>
      </c>
      <c r="L74" s="6">
        <v>7.2</v>
      </c>
      <c r="M74" s="18">
        <v>22.8</v>
      </c>
    </row>
    <row r="75" spans="1:13">
      <c r="A75"/>
      <c r="B75" s="8" t="s">
        <v>1</v>
      </c>
      <c r="C75" s="18">
        <v>7.19</v>
      </c>
      <c r="D75" s="8">
        <v>35</v>
      </c>
      <c r="E75" s="18">
        <v>644.47</v>
      </c>
      <c r="F75" s="8">
        <v>100</v>
      </c>
      <c r="G75" s="90">
        <f t="shared" si="4"/>
        <v>75.167160772692725</v>
      </c>
      <c r="H75" s="15">
        <f t="shared" si="5"/>
        <v>52.316343897794134</v>
      </c>
      <c r="I75" s="18">
        <f t="shared" si="6"/>
        <v>13.755590421402768</v>
      </c>
      <c r="J75" s="18">
        <f t="shared" si="7"/>
        <v>9.0952264534958189</v>
      </c>
      <c r="K75" s="18">
        <v>69.599999999999994</v>
      </c>
      <c r="L75" s="6">
        <v>12.1</v>
      </c>
      <c r="M75" s="18">
        <v>18.3</v>
      </c>
    </row>
    <row r="76" spans="1:13">
      <c r="A76"/>
      <c r="B76" s="8" t="s">
        <v>2</v>
      </c>
      <c r="C76" s="18">
        <v>6.15</v>
      </c>
      <c r="D76" s="8">
        <v>35</v>
      </c>
      <c r="E76" s="18">
        <v>644.47</v>
      </c>
      <c r="F76" s="8">
        <v>400</v>
      </c>
      <c r="G76" s="90">
        <f t="shared" si="4"/>
        <v>300.6686430907709</v>
      </c>
      <c r="H76" s="15">
        <f t="shared" si="5"/>
        <v>133.79754617539305</v>
      </c>
      <c r="I76" s="18">
        <f t="shared" si="6"/>
        <v>100.12265814922669</v>
      </c>
      <c r="J76" s="18">
        <f t="shared" si="7"/>
        <v>67.650444695423445</v>
      </c>
      <c r="K76" s="18">
        <v>44.5</v>
      </c>
      <c r="L76" s="6">
        <v>22.5</v>
      </c>
      <c r="M76" s="18">
        <v>33.299999999999997</v>
      </c>
    </row>
    <row r="77" spans="1:13">
      <c r="A77" s="1">
        <v>38677</v>
      </c>
      <c r="B77" s="8" t="s">
        <v>0</v>
      </c>
      <c r="C77" s="18">
        <v>7.24</v>
      </c>
      <c r="D77" s="8">
        <v>35</v>
      </c>
      <c r="E77" s="18">
        <v>643.87</v>
      </c>
      <c r="F77" s="8">
        <v>200</v>
      </c>
      <c r="G77" s="90">
        <f t="shared" si="4"/>
        <v>150.19436065825766</v>
      </c>
      <c r="H77" s="15">
        <f t="shared" si="5"/>
        <v>104.53527501814733</v>
      </c>
      <c r="I77" s="18">
        <f t="shared" si="6"/>
        <v>34.995286033374036</v>
      </c>
      <c r="J77" s="18">
        <f t="shared" si="7"/>
        <v>10.663799606736292</v>
      </c>
      <c r="K77" s="18">
        <v>69.599999999999994</v>
      </c>
      <c r="L77" s="6">
        <v>7.1</v>
      </c>
      <c r="M77" s="18">
        <v>23.3</v>
      </c>
    </row>
    <row r="78" spans="1:13">
      <c r="A78"/>
      <c r="B78" s="8" t="s">
        <v>1</v>
      </c>
      <c r="C78" s="18">
        <v>7.23</v>
      </c>
      <c r="D78" s="8">
        <v>35</v>
      </c>
      <c r="E78" s="18">
        <v>643.87</v>
      </c>
      <c r="F78" s="8">
        <v>200</v>
      </c>
      <c r="G78" s="90">
        <f t="shared" si="4"/>
        <v>150.19436065825766</v>
      </c>
      <c r="H78" s="15">
        <f t="shared" si="5"/>
        <v>108.29013403460377</v>
      </c>
      <c r="I78" s="18">
        <f t="shared" si="6"/>
        <v>24.932263869270773</v>
      </c>
      <c r="J78" s="18">
        <f t="shared" si="7"/>
        <v>15.47001914780054</v>
      </c>
      <c r="K78" s="18">
        <v>72.099999999999994</v>
      </c>
      <c r="L78" s="6">
        <v>10.3</v>
      </c>
      <c r="M78" s="18">
        <v>16.600000000000001</v>
      </c>
    </row>
    <row r="79" spans="1:13">
      <c r="A79"/>
      <c r="B79" s="8" t="s">
        <v>2</v>
      </c>
      <c r="C79" s="18">
        <v>6.02</v>
      </c>
      <c r="D79" s="8">
        <v>35</v>
      </c>
      <c r="E79" s="18">
        <v>643.87</v>
      </c>
      <c r="F79" s="8">
        <v>0</v>
      </c>
      <c r="G79" s="90">
        <f t="shared" si="4"/>
        <v>0</v>
      </c>
      <c r="H79" s="15">
        <f t="shared" si="5"/>
        <v>0</v>
      </c>
      <c r="I79" s="18">
        <f t="shared" si="6"/>
        <v>0</v>
      </c>
      <c r="J79" s="18">
        <f t="shared" si="7"/>
        <v>0</v>
      </c>
      <c r="K79" s="18">
        <v>38.6</v>
      </c>
      <c r="L79" s="6">
        <v>17.2</v>
      </c>
      <c r="M79" s="18">
        <v>44.1</v>
      </c>
    </row>
    <row r="80" spans="1:13">
      <c r="A80" s="1">
        <v>38680</v>
      </c>
      <c r="B80" s="8" t="s">
        <v>0</v>
      </c>
      <c r="C80" s="18">
        <v>7.21</v>
      </c>
      <c r="D80" s="8">
        <v>35</v>
      </c>
      <c r="E80" s="18">
        <v>654.21</v>
      </c>
      <c r="F80" s="8">
        <v>375</v>
      </c>
      <c r="G80" s="90">
        <f t="shared" si="4"/>
        <v>286.13691239954909</v>
      </c>
      <c r="H80" s="15">
        <f t="shared" si="5"/>
        <v>184.27217158530962</v>
      </c>
      <c r="I80" s="18">
        <f t="shared" si="6"/>
        <v>75.826281785880511</v>
      </c>
      <c r="J80" s="18">
        <f t="shared" si="7"/>
        <v>26.038459028358965</v>
      </c>
      <c r="K80" s="18">
        <v>64.400000000000006</v>
      </c>
      <c r="L80" s="6">
        <v>9.1</v>
      </c>
      <c r="M80" s="18">
        <v>26.5</v>
      </c>
    </row>
    <row r="81" spans="1:13">
      <c r="A81"/>
      <c r="B81" s="8" t="s">
        <v>1</v>
      </c>
      <c r="C81" s="18">
        <v>7.23</v>
      </c>
      <c r="D81" s="8">
        <v>35</v>
      </c>
      <c r="E81" s="18">
        <v>654.21</v>
      </c>
      <c r="F81" s="8">
        <v>167</v>
      </c>
      <c r="G81" s="90">
        <f t="shared" si="4"/>
        <v>127.4263049885992</v>
      </c>
      <c r="H81" s="15">
        <f t="shared" si="5"/>
        <v>82.189966717646485</v>
      </c>
      <c r="I81" s="18">
        <f t="shared" si="6"/>
        <v>21.152766628107472</v>
      </c>
      <c r="J81" s="18">
        <f t="shared" si="7"/>
        <v>23.573866422890852</v>
      </c>
      <c r="K81" s="18">
        <v>64.5</v>
      </c>
      <c r="L81" s="6">
        <v>18.5</v>
      </c>
      <c r="M81" s="18">
        <v>16.600000000000001</v>
      </c>
    </row>
    <row r="82" spans="1:13">
      <c r="A82"/>
      <c r="B82" s="8" t="s">
        <v>2</v>
      </c>
      <c r="C82" s="18">
        <v>6.03</v>
      </c>
      <c r="D82" s="8">
        <v>35</v>
      </c>
      <c r="E82" s="18">
        <v>654.21</v>
      </c>
      <c r="F82" s="8">
        <v>250</v>
      </c>
      <c r="G82" s="90">
        <f t="shared" si="4"/>
        <v>190.75794159969942</v>
      </c>
      <c r="H82" s="15">
        <f t="shared" si="5"/>
        <v>68.482101034292086</v>
      </c>
      <c r="I82" s="18">
        <f t="shared" si="6"/>
        <v>67.337553384693891</v>
      </c>
      <c r="J82" s="18">
        <f t="shared" si="7"/>
        <v>55.12904512231313</v>
      </c>
      <c r="K82" s="18">
        <v>35.9</v>
      </c>
      <c r="L82" s="6">
        <v>28.9</v>
      </c>
      <c r="M82" s="18">
        <v>35.299999999999997</v>
      </c>
    </row>
    <row r="83" spans="1:13">
      <c r="A83" s="1">
        <v>38683</v>
      </c>
      <c r="B83" s="8" t="s">
        <v>0</v>
      </c>
      <c r="C83" s="18">
        <v>7.21</v>
      </c>
      <c r="D83" s="8">
        <v>35</v>
      </c>
      <c r="E83" s="18">
        <v>644.6</v>
      </c>
      <c r="F83" s="8">
        <v>400</v>
      </c>
      <c r="G83" s="90">
        <f t="shared" si="4"/>
        <v>300.72929280852628</v>
      </c>
      <c r="H83" s="15">
        <f t="shared" si="5"/>
        <v>181.03903427073283</v>
      </c>
      <c r="I83" s="18">
        <f t="shared" si="6"/>
        <v>80.896179765493557</v>
      </c>
      <c r="J83" s="18">
        <f t="shared" si="7"/>
        <v>38.493349479491364</v>
      </c>
      <c r="K83" s="18">
        <v>60.2</v>
      </c>
      <c r="L83" s="6">
        <v>12.8</v>
      </c>
      <c r="M83" s="18">
        <v>26.9</v>
      </c>
    </row>
    <row r="84" spans="1:13">
      <c r="A84"/>
      <c r="B84" s="8" t="s">
        <v>1</v>
      </c>
      <c r="C84" s="18">
        <v>7.15</v>
      </c>
      <c r="D84" s="8">
        <v>35</v>
      </c>
      <c r="E84" s="18">
        <v>644.6</v>
      </c>
      <c r="F84" s="8">
        <v>310</v>
      </c>
      <c r="G84" s="90">
        <f t="shared" si="4"/>
        <v>233.06520192660787</v>
      </c>
      <c r="H84" s="15">
        <f t="shared" si="5"/>
        <v>155.92062008890068</v>
      </c>
      <c r="I84" s="18">
        <f t="shared" si="6"/>
        <v>50.342083616147299</v>
      </c>
      <c r="J84" s="18">
        <f t="shared" si="7"/>
        <v>26.336367817706691</v>
      </c>
      <c r="K84" s="18">
        <v>66.900000000000006</v>
      </c>
      <c r="L84" s="6">
        <v>11.3</v>
      </c>
      <c r="M84" s="18">
        <v>21.6</v>
      </c>
    </row>
    <row r="85" spans="1:13">
      <c r="A85"/>
      <c r="B85" s="8" t="s">
        <v>2</v>
      </c>
      <c r="C85" s="18">
        <v>5.88</v>
      </c>
      <c r="D85" s="8">
        <v>35</v>
      </c>
      <c r="E85" s="18">
        <v>644.6</v>
      </c>
      <c r="F85" s="8">
        <v>400</v>
      </c>
      <c r="G85" s="90">
        <f t="shared" si="4"/>
        <v>300.72929280852628</v>
      </c>
      <c r="H85" s="15">
        <f t="shared" si="5"/>
        <v>100.44358379804777</v>
      </c>
      <c r="I85" s="18">
        <f t="shared" si="6"/>
        <v>131.71943025013451</v>
      </c>
      <c r="J85" s="18">
        <f t="shared" si="7"/>
        <v>69.167737345961044</v>
      </c>
      <c r="K85" s="18">
        <v>33.4</v>
      </c>
      <c r="L85" s="6">
        <v>23</v>
      </c>
      <c r="M85" s="18">
        <v>43.8</v>
      </c>
    </row>
    <row r="86" spans="1:13">
      <c r="A86" s="1">
        <v>38687</v>
      </c>
      <c r="B86" s="8" t="s">
        <v>0</v>
      </c>
      <c r="C86" s="18">
        <v>7.54</v>
      </c>
      <c r="D86" s="8">
        <v>35</v>
      </c>
      <c r="E86" s="18">
        <v>658</v>
      </c>
      <c r="F86" s="8">
        <v>400</v>
      </c>
      <c r="G86" s="90">
        <f t="shared" si="4"/>
        <v>306.98087910023315</v>
      </c>
      <c r="H86" s="15">
        <f t="shared" si="5"/>
        <v>152.8764777919161</v>
      </c>
      <c r="I86" s="18">
        <f t="shared" si="6"/>
        <v>56.791462633543134</v>
      </c>
      <c r="J86" s="18">
        <f t="shared" si="7"/>
        <v>23.944508569818186</v>
      </c>
      <c r="K86" s="18">
        <v>49.8</v>
      </c>
      <c r="L86" s="6">
        <v>7.8</v>
      </c>
      <c r="M86" s="18">
        <v>18.5</v>
      </c>
    </row>
    <row r="87" spans="1:13">
      <c r="A87"/>
      <c r="B87" s="8" t="s">
        <v>1</v>
      </c>
      <c r="C87" s="18">
        <v>7.13</v>
      </c>
      <c r="D87" s="8">
        <v>35</v>
      </c>
      <c r="E87" s="18">
        <v>658</v>
      </c>
      <c r="F87" s="8">
        <v>500</v>
      </c>
      <c r="G87" s="90">
        <f t="shared" si="4"/>
        <v>383.72609887529143</v>
      </c>
      <c r="H87" s="15">
        <f t="shared" si="5"/>
        <v>187.25833625114223</v>
      </c>
      <c r="I87" s="18">
        <f t="shared" si="6"/>
        <v>112.4317469704604</v>
      </c>
      <c r="J87" s="18">
        <f t="shared" si="7"/>
        <v>21.872387635891613</v>
      </c>
      <c r="K87" s="18">
        <v>48.8</v>
      </c>
      <c r="L87" s="6">
        <v>5.7</v>
      </c>
      <c r="M87" s="18">
        <v>29.3</v>
      </c>
    </row>
    <row r="88" spans="1:13">
      <c r="A88"/>
      <c r="B88" s="8" t="s">
        <v>2</v>
      </c>
      <c r="C88" s="18">
        <v>5.76</v>
      </c>
      <c r="D88" s="8">
        <v>35</v>
      </c>
      <c r="E88" s="18">
        <v>658</v>
      </c>
      <c r="F88" s="8">
        <v>500</v>
      </c>
      <c r="G88" s="90">
        <f t="shared" si="4"/>
        <v>383.72609887529143</v>
      </c>
      <c r="H88" s="15">
        <f t="shared" si="5"/>
        <v>62.931080215547787</v>
      </c>
      <c r="I88" s="18">
        <f t="shared" si="6"/>
        <v>100.91996400420165</v>
      </c>
      <c r="J88" s="18">
        <f t="shared" si="7"/>
        <v>48.733214557162007</v>
      </c>
      <c r="K88" s="18">
        <v>16.399999999999999</v>
      </c>
      <c r="L88" s="6">
        <v>12.7</v>
      </c>
      <c r="M88" s="18">
        <v>26.3</v>
      </c>
    </row>
    <row r="89" spans="1:13">
      <c r="A89" s="1">
        <v>38689</v>
      </c>
      <c r="B89" s="8" t="s">
        <v>0</v>
      </c>
      <c r="C89" s="18">
        <v>7.27</v>
      </c>
      <c r="D89" s="8">
        <v>35</v>
      </c>
      <c r="E89" s="18">
        <v>647.16</v>
      </c>
      <c r="F89" s="8">
        <v>600</v>
      </c>
      <c r="G89" s="90">
        <f t="shared" si="4"/>
        <v>452.88543856802482</v>
      </c>
      <c r="H89" s="15">
        <f t="shared" si="5"/>
        <v>245.01102226530145</v>
      </c>
      <c r="I89" s="18">
        <f t="shared" si="6"/>
        <v>131.3367771847272</v>
      </c>
      <c r="J89" s="18">
        <f t="shared" si="7"/>
        <v>20.379844735561118</v>
      </c>
      <c r="K89" s="18">
        <v>54.1</v>
      </c>
      <c r="L89" s="6">
        <v>4.5</v>
      </c>
      <c r="M89" s="18">
        <v>29</v>
      </c>
    </row>
    <row r="90" spans="1:13">
      <c r="A90"/>
      <c r="B90" s="8" t="s">
        <v>1</v>
      </c>
      <c r="C90" s="18">
        <v>7.24</v>
      </c>
      <c r="D90" s="8">
        <v>35</v>
      </c>
      <c r="E90" s="18">
        <v>647.16</v>
      </c>
      <c r="F90" s="8">
        <v>300</v>
      </c>
      <c r="G90" s="90">
        <f t="shared" si="4"/>
        <v>226.44271928401241</v>
      </c>
      <c r="H90" s="15">
        <f t="shared" si="5"/>
        <v>133.82764709685134</v>
      </c>
      <c r="I90" s="18">
        <f t="shared" si="6"/>
        <v>59.554435171695268</v>
      </c>
      <c r="J90" s="18">
        <f t="shared" si="7"/>
        <v>8.831266052076483</v>
      </c>
      <c r="K90" s="18">
        <v>59.1</v>
      </c>
      <c r="L90" s="6">
        <v>3.9</v>
      </c>
      <c r="M90" s="18">
        <v>26.3</v>
      </c>
    </row>
    <row r="91" spans="1:13">
      <c r="A91"/>
      <c r="B91" s="8" t="s">
        <v>2</v>
      </c>
      <c r="C91" s="18">
        <v>5.47</v>
      </c>
      <c r="D91" s="8">
        <v>35</v>
      </c>
      <c r="E91" s="18">
        <v>647.16</v>
      </c>
      <c r="F91" s="8">
        <v>300</v>
      </c>
      <c r="G91" s="90">
        <f t="shared" si="4"/>
        <v>226.44271928401241</v>
      </c>
      <c r="H91" s="15">
        <f t="shared" si="5"/>
        <v>39.853918593986187</v>
      </c>
      <c r="I91" s="18">
        <f t="shared" si="6"/>
        <v>51.855382716038839</v>
      </c>
      <c r="J91" s="18">
        <f t="shared" si="7"/>
        <v>29.663996226205626</v>
      </c>
      <c r="K91" s="18">
        <v>17.600000000000001</v>
      </c>
      <c r="L91" s="6">
        <v>13.1</v>
      </c>
      <c r="M91" s="18">
        <v>22.9</v>
      </c>
    </row>
    <row r="92" spans="1:13">
      <c r="A92" s="1">
        <v>38692</v>
      </c>
      <c r="B92" s="8" t="s">
        <v>0</v>
      </c>
      <c r="C92" s="18">
        <v>7.21</v>
      </c>
      <c r="D92" s="8">
        <v>35</v>
      </c>
      <c r="E92" s="18">
        <v>636.94000000000005</v>
      </c>
      <c r="F92" s="8">
        <v>400</v>
      </c>
      <c r="G92" s="90">
        <f t="shared" si="4"/>
        <v>297.15562482386406</v>
      </c>
      <c r="H92" s="15">
        <f t="shared" si="5"/>
        <v>148.87496803675589</v>
      </c>
      <c r="I92" s="18">
        <f t="shared" si="6"/>
        <v>94.495488693988776</v>
      </c>
      <c r="J92" s="18">
        <f t="shared" si="7"/>
        <v>15.452092490840933</v>
      </c>
      <c r="K92" s="18">
        <v>50.1</v>
      </c>
      <c r="L92" s="6">
        <v>5.2</v>
      </c>
      <c r="M92" s="18">
        <v>31.8</v>
      </c>
    </row>
    <row r="93" spans="1:13">
      <c r="A93"/>
      <c r="B93" s="8" t="s">
        <v>1</v>
      </c>
      <c r="C93" s="18">
        <v>7.15</v>
      </c>
      <c r="D93" s="8">
        <v>35</v>
      </c>
      <c r="E93" s="18">
        <v>636.94000000000005</v>
      </c>
      <c r="F93" s="8">
        <v>200</v>
      </c>
      <c r="G93" s="90">
        <f t="shared" si="4"/>
        <v>148.57781241193203</v>
      </c>
      <c r="H93" s="15">
        <f t="shared" si="5"/>
        <v>89.74099869680694</v>
      </c>
      <c r="I93" s="18">
        <f t="shared" si="6"/>
        <v>34.321474667156302</v>
      </c>
      <c r="J93" s="18">
        <f t="shared" si="7"/>
        <v>8.7660909323039906</v>
      </c>
      <c r="K93" s="18">
        <v>60.4</v>
      </c>
      <c r="L93" s="6">
        <v>5.9</v>
      </c>
      <c r="M93" s="18">
        <v>23.1</v>
      </c>
    </row>
    <row r="94" spans="1:13">
      <c r="A94"/>
      <c r="B94" s="8" t="s">
        <v>2</v>
      </c>
      <c r="C94" s="18">
        <v>5.42</v>
      </c>
      <c r="D94" s="8">
        <v>35</v>
      </c>
      <c r="E94" s="18">
        <v>636.94000000000005</v>
      </c>
      <c r="F94" s="8">
        <v>300</v>
      </c>
      <c r="G94" s="90">
        <f t="shared" si="4"/>
        <v>222.86671861789802</v>
      </c>
      <c r="H94" s="15">
        <f t="shared" si="5"/>
        <v>58.39108027788928</v>
      </c>
      <c r="I94" s="18">
        <f t="shared" si="6"/>
        <v>106.08455806211947</v>
      </c>
      <c r="J94" s="18">
        <f t="shared" si="7"/>
        <v>27.635473108619355</v>
      </c>
      <c r="K94" s="18">
        <v>26.2</v>
      </c>
      <c r="L94" s="6">
        <v>12.4</v>
      </c>
      <c r="M94" s="18">
        <v>47.6</v>
      </c>
    </row>
    <row r="95" spans="1:13">
      <c r="A95" s="1">
        <v>38696</v>
      </c>
      <c r="B95" s="8" t="s">
        <v>0</v>
      </c>
      <c r="C95" s="18">
        <v>7.17</v>
      </c>
      <c r="D95" s="8">
        <v>35</v>
      </c>
      <c r="E95" s="18">
        <v>646</v>
      </c>
      <c r="F95" s="8">
        <v>400</v>
      </c>
      <c r="G95" s="90">
        <f t="shared" si="4"/>
        <v>301.38244361512255</v>
      </c>
      <c r="H95" s="15">
        <f t="shared" si="5"/>
        <v>181.13084861268865</v>
      </c>
      <c r="I95" s="18">
        <f t="shared" si="6"/>
        <v>62.084783384715244</v>
      </c>
      <c r="J95" s="18">
        <f t="shared" si="7"/>
        <v>16.576034398831741</v>
      </c>
      <c r="K95" s="18">
        <v>60.1</v>
      </c>
      <c r="L95" s="6">
        <v>5.5</v>
      </c>
      <c r="M95" s="18">
        <v>20.6</v>
      </c>
    </row>
    <row r="96" spans="1:13">
      <c r="A96"/>
      <c r="B96" s="8" t="s">
        <v>1</v>
      </c>
      <c r="C96" s="18">
        <v>7.08</v>
      </c>
      <c r="D96" s="8">
        <v>35</v>
      </c>
      <c r="E96" s="18">
        <v>646</v>
      </c>
      <c r="F96" s="8">
        <v>300</v>
      </c>
      <c r="G96" s="90">
        <f t="shared" si="4"/>
        <v>226.03683271134187</v>
      </c>
      <c r="H96" s="15">
        <f t="shared" si="5"/>
        <v>136.75228379036182</v>
      </c>
      <c r="I96" s="18">
        <f t="shared" si="6"/>
        <v>52.892618854453993</v>
      </c>
      <c r="J96" s="18">
        <f t="shared" si="7"/>
        <v>9.9456206392990438</v>
      </c>
      <c r="K96" s="18">
        <v>60.5</v>
      </c>
      <c r="L96" s="6">
        <v>4.4000000000000004</v>
      </c>
      <c r="M96" s="18">
        <v>23.4</v>
      </c>
    </row>
    <row r="97" spans="1:13">
      <c r="A97"/>
      <c r="B97" s="8" t="s">
        <v>2</v>
      </c>
      <c r="C97" s="18">
        <v>5.17</v>
      </c>
      <c r="D97" s="8">
        <v>35</v>
      </c>
      <c r="E97" s="18">
        <v>646</v>
      </c>
      <c r="F97" s="8">
        <v>300</v>
      </c>
      <c r="G97" s="90">
        <f t="shared" si="4"/>
        <v>226.03683271134187</v>
      </c>
      <c r="H97" s="15">
        <f t="shared" si="5"/>
        <v>71.653675969495382</v>
      </c>
      <c r="I97" s="18">
        <f t="shared" si="6"/>
        <v>88.832475255557341</v>
      </c>
      <c r="J97" s="18">
        <f t="shared" si="7"/>
        <v>14.692394126237224</v>
      </c>
      <c r="K97" s="18">
        <v>31.7</v>
      </c>
      <c r="L97" s="6">
        <v>6.5</v>
      </c>
      <c r="M97" s="18">
        <v>39.299999999999997</v>
      </c>
    </row>
    <row r="98" spans="1:13">
      <c r="A98" s="1">
        <v>38699</v>
      </c>
      <c r="B98" s="8" t="s">
        <v>0</v>
      </c>
      <c r="C98" s="18">
        <v>7.26</v>
      </c>
      <c r="D98" s="8">
        <v>35</v>
      </c>
      <c r="E98" s="18">
        <v>647.6</v>
      </c>
      <c r="F98" s="8">
        <v>300</v>
      </c>
      <c r="G98" s="90">
        <f t="shared" si="4"/>
        <v>226.59667625985293</v>
      </c>
      <c r="H98" s="15">
        <f t="shared" si="5"/>
        <v>127.57392873429718</v>
      </c>
      <c r="I98" s="18">
        <f t="shared" si="6"/>
        <v>61.181102590160293</v>
      </c>
      <c r="J98" s="18">
        <f t="shared" si="7"/>
        <v>9.9702537554335304</v>
      </c>
      <c r="K98" s="18">
        <v>56.3</v>
      </c>
      <c r="L98" s="6">
        <v>4.4000000000000004</v>
      </c>
      <c r="M98" s="18">
        <v>27</v>
      </c>
    </row>
    <row r="99" spans="1:13">
      <c r="A99"/>
      <c r="B99" s="8" t="s">
        <v>1</v>
      </c>
      <c r="C99" s="18">
        <v>7.31</v>
      </c>
      <c r="D99" s="8">
        <v>35</v>
      </c>
      <c r="E99" s="18">
        <v>647.6</v>
      </c>
      <c r="F99" s="8">
        <v>200</v>
      </c>
      <c r="G99" s="90">
        <f t="shared" si="4"/>
        <v>151.06445083990198</v>
      </c>
      <c r="H99" s="15">
        <f t="shared" si="5"/>
        <v>90.18547715142148</v>
      </c>
      <c r="I99" s="18">
        <f t="shared" si="6"/>
        <v>27.040536700342454</v>
      </c>
      <c r="J99" s="18">
        <f t="shared" si="7"/>
        <v>9.5170604029138239</v>
      </c>
      <c r="K99" s="18">
        <v>59.7</v>
      </c>
      <c r="L99" s="6">
        <v>6.3</v>
      </c>
      <c r="M99" s="18">
        <v>17.899999999999999</v>
      </c>
    </row>
    <row r="100" spans="1:13">
      <c r="A100"/>
      <c r="B100" s="8" t="s">
        <v>2</v>
      </c>
      <c r="C100" s="18">
        <v>5</v>
      </c>
      <c r="D100" s="8">
        <v>35</v>
      </c>
      <c r="E100" s="18">
        <v>647.6</v>
      </c>
      <c r="F100" s="8">
        <v>300</v>
      </c>
      <c r="G100" s="90">
        <f t="shared" si="4"/>
        <v>226.59667625985293</v>
      </c>
      <c r="H100" s="15">
        <f t="shared" si="5"/>
        <v>73.870516460712054</v>
      </c>
      <c r="I100" s="18">
        <f t="shared" si="6"/>
        <v>58.235345798782198</v>
      </c>
      <c r="J100" s="18">
        <f t="shared" si="7"/>
        <v>20.846894215906467</v>
      </c>
      <c r="K100" s="18">
        <v>32.6</v>
      </c>
      <c r="L100" s="6">
        <v>9.1999999999999993</v>
      </c>
      <c r="M100" s="18">
        <v>25.7</v>
      </c>
    </row>
    <row r="101" spans="1:13">
      <c r="A101" s="1">
        <v>38700</v>
      </c>
      <c r="B101" s="8" t="s">
        <v>0</v>
      </c>
      <c r="C101" s="18">
        <v>7.29</v>
      </c>
      <c r="D101" s="8">
        <v>35</v>
      </c>
      <c r="E101" s="18">
        <v>650.6</v>
      </c>
      <c r="F101" s="8">
        <v>200</v>
      </c>
      <c r="G101" s="90">
        <f t="shared" si="4"/>
        <v>151.76425527554082</v>
      </c>
      <c r="H101" s="15">
        <f t="shared" si="5"/>
        <v>81.649169338240952</v>
      </c>
      <c r="I101" s="18">
        <f t="shared" si="6"/>
        <v>31.56696509731249</v>
      </c>
      <c r="J101" s="18">
        <f t="shared" si="7"/>
        <v>9.7129123376346129</v>
      </c>
      <c r="K101" s="18">
        <v>53.8</v>
      </c>
      <c r="L101" s="6">
        <v>6.4</v>
      </c>
      <c r="M101" s="18">
        <v>20.8</v>
      </c>
    </row>
    <row r="102" spans="1:13">
      <c r="A102"/>
      <c r="B102" s="8" t="s">
        <v>1</v>
      </c>
      <c r="C102" s="18">
        <v>7.22</v>
      </c>
      <c r="D102" s="8">
        <v>35</v>
      </c>
      <c r="E102" s="18">
        <v>650.6</v>
      </c>
      <c r="F102" s="8">
        <v>100</v>
      </c>
      <c r="G102" s="90">
        <f t="shared" si="4"/>
        <v>75.882127637770409</v>
      </c>
      <c r="H102" s="15">
        <f t="shared" si="5"/>
        <v>43.632223391717979</v>
      </c>
      <c r="I102" s="18">
        <f t="shared" si="6"/>
        <v>16.618185952671716</v>
      </c>
      <c r="J102" s="18">
        <f t="shared" si="7"/>
        <v>4.021752764801831</v>
      </c>
      <c r="K102" s="18">
        <v>57.5</v>
      </c>
      <c r="L102" s="6">
        <v>5.3</v>
      </c>
      <c r="M102" s="18">
        <v>21.9</v>
      </c>
    </row>
    <row r="103" spans="1:13">
      <c r="A103"/>
      <c r="B103" s="8" t="s">
        <v>2</v>
      </c>
      <c r="C103" s="18">
        <v>5.04</v>
      </c>
      <c r="D103" s="8">
        <v>35</v>
      </c>
      <c r="E103" s="18">
        <v>650.6</v>
      </c>
      <c r="F103" s="8">
        <v>400</v>
      </c>
      <c r="G103" s="90">
        <f t="shared" si="4"/>
        <v>303.52851055108164</v>
      </c>
      <c r="H103" s="15">
        <f t="shared" si="5"/>
        <v>64.34804423682931</v>
      </c>
      <c r="I103" s="18">
        <f t="shared" si="6"/>
        <v>56.152774451950101</v>
      </c>
      <c r="J103" s="18">
        <f t="shared" si="7"/>
        <v>40.369291903293863</v>
      </c>
      <c r="K103" s="18">
        <v>21.2</v>
      </c>
      <c r="L103" s="6">
        <v>13.3</v>
      </c>
      <c r="M103" s="18">
        <v>18.5</v>
      </c>
    </row>
    <row r="104" spans="1:13">
      <c r="A104" s="1">
        <v>38701</v>
      </c>
      <c r="B104" s="8" t="s">
        <v>0</v>
      </c>
      <c r="C104" s="18">
        <v>7.32</v>
      </c>
      <c r="D104" s="8">
        <v>35</v>
      </c>
      <c r="E104" s="18">
        <v>651.4</v>
      </c>
      <c r="F104" s="8">
        <v>300</v>
      </c>
      <c r="G104" s="90">
        <f t="shared" si="4"/>
        <v>227.92630468756673</v>
      </c>
      <c r="H104" s="15">
        <f t="shared" si="5"/>
        <v>121.9405730078482</v>
      </c>
      <c r="I104" s="18">
        <f t="shared" si="6"/>
        <v>54.246460515640884</v>
      </c>
      <c r="J104" s="18">
        <f t="shared" si="7"/>
        <v>12.308020453128604</v>
      </c>
      <c r="K104" s="18">
        <v>53.5</v>
      </c>
      <c r="L104" s="6">
        <v>5.4</v>
      </c>
      <c r="M104" s="18">
        <v>23.8</v>
      </c>
    </row>
    <row r="105" spans="1:13">
      <c r="A105"/>
      <c r="B105" s="8" t="s">
        <v>1</v>
      </c>
      <c r="C105" s="18">
        <v>7.21</v>
      </c>
      <c r="D105" s="8">
        <v>35</v>
      </c>
      <c r="E105" s="18">
        <v>651.4</v>
      </c>
      <c r="F105" s="8">
        <v>100</v>
      </c>
      <c r="G105" s="90">
        <f t="shared" si="4"/>
        <v>75.975434895855585</v>
      </c>
      <c r="H105" s="15">
        <f t="shared" si="5"/>
        <v>43.68587506511696</v>
      </c>
      <c r="I105" s="18">
        <f t="shared" si="6"/>
        <v>18.234104375005341</v>
      </c>
      <c r="J105" s="18">
        <f t="shared" si="7"/>
        <v>3.3429191354176457</v>
      </c>
      <c r="K105" s="18">
        <v>57.5</v>
      </c>
      <c r="L105" s="6">
        <v>4.4000000000000004</v>
      </c>
      <c r="M105" s="18">
        <v>24</v>
      </c>
    </row>
    <row r="106" spans="1:13">
      <c r="A106"/>
      <c r="B106" s="8" t="s">
        <v>2</v>
      </c>
      <c r="C106" s="18">
        <v>5.08</v>
      </c>
      <c r="D106" s="8">
        <v>35</v>
      </c>
      <c r="E106" s="18">
        <v>651.4</v>
      </c>
      <c r="F106" s="8">
        <v>300</v>
      </c>
      <c r="G106" s="90">
        <f t="shared" si="4"/>
        <v>227.92630468756673</v>
      </c>
      <c r="H106" s="15">
        <f t="shared" si="5"/>
        <v>15.954841328129673</v>
      </c>
      <c r="I106" s="18">
        <f t="shared" si="6"/>
        <v>12.53594675781617</v>
      </c>
      <c r="J106" s="18">
        <f t="shared" si="7"/>
        <v>42.166366367199842</v>
      </c>
      <c r="K106" s="18">
        <v>7</v>
      </c>
      <c r="L106" s="6">
        <v>18.5</v>
      </c>
      <c r="M106" s="18">
        <v>5.5</v>
      </c>
    </row>
    <row r="107" spans="1:13">
      <c r="A107" s="1">
        <v>38702</v>
      </c>
      <c r="B107" s="8" t="s">
        <v>0</v>
      </c>
      <c r="C107" s="18">
        <v>7.31</v>
      </c>
      <c r="D107" s="8">
        <v>35</v>
      </c>
      <c r="E107" s="18">
        <v>652</v>
      </c>
      <c r="F107" s="8">
        <v>500</v>
      </c>
      <c r="G107" s="90">
        <f t="shared" si="4"/>
        <v>380.22707669709735</v>
      </c>
      <c r="H107" s="15">
        <f t="shared" si="5"/>
        <v>197.71807988249063</v>
      </c>
      <c r="I107" s="18">
        <f t="shared" si="6"/>
        <v>99.999721171336603</v>
      </c>
      <c r="J107" s="18">
        <f t="shared" si="7"/>
        <v>27.376349522191006</v>
      </c>
      <c r="K107" s="18">
        <v>52</v>
      </c>
      <c r="L107" s="6">
        <v>7.2</v>
      </c>
      <c r="M107" s="18">
        <v>26.3</v>
      </c>
    </row>
    <row r="108" spans="1:13">
      <c r="A108"/>
      <c r="B108" s="8" t="s">
        <v>1</v>
      </c>
      <c r="C108" s="18">
        <v>7.35</v>
      </c>
      <c r="D108" s="8">
        <v>35</v>
      </c>
      <c r="E108" s="18">
        <v>652</v>
      </c>
      <c r="F108" s="8">
        <v>150</v>
      </c>
      <c r="G108" s="90">
        <f t="shared" si="4"/>
        <v>114.06812300912918</v>
      </c>
      <c r="H108" s="15">
        <f t="shared" si="5"/>
        <v>27.376349522191003</v>
      </c>
      <c r="I108" s="18">
        <f t="shared" si="6"/>
        <v>12.775629777022468</v>
      </c>
      <c r="J108" s="18">
        <f t="shared" si="7"/>
        <v>17.110218451369377</v>
      </c>
      <c r="K108" s="18">
        <v>24</v>
      </c>
      <c r="L108" s="6">
        <v>15</v>
      </c>
      <c r="M108" s="18">
        <v>11.2</v>
      </c>
    </row>
    <row r="109" spans="1:13">
      <c r="A109"/>
      <c r="B109" s="8" t="s">
        <v>2</v>
      </c>
      <c r="C109" s="18">
        <v>5.13</v>
      </c>
      <c r="D109" s="8">
        <v>35</v>
      </c>
      <c r="E109" s="18">
        <v>652</v>
      </c>
      <c r="F109" s="8">
        <v>200</v>
      </c>
      <c r="G109" s="90">
        <f t="shared" si="4"/>
        <v>152.09083067883893</v>
      </c>
      <c r="H109" s="15">
        <f t="shared" si="5"/>
        <v>34.67670939477528</v>
      </c>
      <c r="I109" s="18">
        <f t="shared" si="6"/>
        <v>35.437163548169472</v>
      </c>
      <c r="J109" s="18">
        <f t="shared" si="7"/>
        <v>42.433341759396065</v>
      </c>
      <c r="K109" s="18">
        <v>22.8</v>
      </c>
      <c r="L109" s="6">
        <v>27.9</v>
      </c>
      <c r="M109" s="18">
        <v>23.3</v>
      </c>
    </row>
    <row r="110" spans="1:13">
      <c r="A110" s="1">
        <v>38707</v>
      </c>
      <c r="B110" s="8" t="s">
        <v>0</v>
      </c>
      <c r="C110" s="18">
        <v>7.24</v>
      </c>
      <c r="D110" s="8">
        <v>35</v>
      </c>
      <c r="E110" s="18">
        <v>638.51</v>
      </c>
      <c r="F110" s="8">
        <v>300</v>
      </c>
      <c r="G110" s="90">
        <f t="shared" si="4"/>
        <v>223.41606509987446</v>
      </c>
      <c r="H110" s="15">
        <f t="shared" si="5"/>
        <v>116.3997699170346</v>
      </c>
      <c r="I110" s="18">
        <f t="shared" si="6"/>
        <v>53.619855623969869</v>
      </c>
      <c r="J110" s="18">
        <f t="shared" si="7"/>
        <v>12.958131775792717</v>
      </c>
      <c r="K110" s="18">
        <v>52.1</v>
      </c>
      <c r="L110" s="6">
        <v>5.8</v>
      </c>
      <c r="M110" s="18">
        <v>24</v>
      </c>
    </row>
    <row r="111" spans="1:13" s="29" customFormat="1">
      <c r="A111"/>
      <c r="B111" s="8" t="s">
        <v>1</v>
      </c>
      <c r="C111" s="18">
        <v>7.31</v>
      </c>
      <c r="D111" s="8">
        <v>35</v>
      </c>
      <c r="E111" s="18">
        <v>638.51</v>
      </c>
      <c r="F111" s="8">
        <v>400</v>
      </c>
      <c r="G111" s="90">
        <f t="shared" si="4"/>
        <v>297.88808679983265</v>
      </c>
      <c r="H111" s="15">
        <f t="shared" si="5"/>
        <v>207.03222032588369</v>
      </c>
      <c r="I111" s="18">
        <f t="shared" si="6"/>
        <v>77.45090256795649</v>
      </c>
      <c r="J111" s="18">
        <f t="shared" si="7"/>
        <v>13.107075819192637</v>
      </c>
      <c r="K111" s="18">
        <v>69.5</v>
      </c>
      <c r="L111" s="6">
        <v>4.4000000000000004</v>
      </c>
      <c r="M111" s="18">
        <v>26</v>
      </c>
    </row>
    <row r="112" spans="1:13">
      <c r="A112"/>
      <c r="B112" s="8" t="s">
        <v>2</v>
      </c>
      <c r="C112" s="18">
        <v>5.4</v>
      </c>
      <c r="D112" s="8">
        <v>35</v>
      </c>
      <c r="E112" s="18">
        <v>638.51</v>
      </c>
      <c r="F112" s="8">
        <v>300</v>
      </c>
      <c r="G112" s="90">
        <f t="shared" si="4"/>
        <v>223.41606509987446</v>
      </c>
      <c r="H112" s="15">
        <f t="shared" si="5"/>
        <v>39.321227457577912</v>
      </c>
      <c r="I112" s="18">
        <f t="shared" si="6"/>
        <v>50.938862842771378</v>
      </c>
      <c r="J112" s="18">
        <f t="shared" si="7"/>
        <v>23.235270770386947</v>
      </c>
      <c r="K112" s="18">
        <v>17.600000000000001</v>
      </c>
      <c r="L112" s="6">
        <v>10.4</v>
      </c>
      <c r="M112" s="18">
        <v>22.8</v>
      </c>
    </row>
    <row r="113" spans="1:13">
      <c r="A113" s="99">
        <v>38720</v>
      </c>
      <c r="B113" s="28" t="s">
        <v>0</v>
      </c>
      <c r="C113" s="92">
        <v>7.2524999999999995</v>
      </c>
      <c r="D113" s="28">
        <v>35</v>
      </c>
      <c r="E113" s="92">
        <v>651.65250000000003</v>
      </c>
      <c r="F113" s="92">
        <v>225</v>
      </c>
      <c r="G113" s="90">
        <f t="shared" si="4"/>
        <v>171.01099124817458</v>
      </c>
      <c r="H113" s="15">
        <f t="shared" si="5"/>
        <v>120.95607410983388</v>
      </c>
      <c r="I113" s="18">
        <f t="shared" si="6"/>
        <v>37.160688398228338</v>
      </c>
      <c r="J113" s="18">
        <f t="shared" si="7"/>
        <v>11.338028719753975</v>
      </c>
      <c r="K113" s="92">
        <v>70.73</v>
      </c>
      <c r="L113" s="30">
        <v>6.63</v>
      </c>
      <c r="M113" s="92">
        <v>21.73</v>
      </c>
    </row>
    <row r="114" spans="1:13" s="29" customFormat="1">
      <c r="B114" s="28" t="s">
        <v>1</v>
      </c>
      <c r="C114" s="92">
        <v>7.0874999999999995</v>
      </c>
      <c r="D114" s="28">
        <v>35</v>
      </c>
      <c r="E114" s="92">
        <v>651.65250000000003</v>
      </c>
      <c r="F114" s="92">
        <v>187.5</v>
      </c>
      <c r="G114" s="90">
        <f t="shared" si="4"/>
        <v>142.50915937347884</v>
      </c>
      <c r="H114" s="15">
        <f t="shared" si="5"/>
        <v>88.284424231870148</v>
      </c>
      <c r="I114" s="18">
        <f t="shared" si="6"/>
        <v>32.734353908088089</v>
      </c>
      <c r="J114" s="18">
        <f t="shared" si="7"/>
        <v>13.509868308605794</v>
      </c>
      <c r="K114" s="92">
        <v>61.95</v>
      </c>
      <c r="L114" s="30">
        <v>9.48</v>
      </c>
      <c r="M114" s="92">
        <v>22.97</v>
      </c>
    </row>
    <row r="115" spans="1:13" s="69" customFormat="1">
      <c r="A115" s="29"/>
      <c r="B115" s="28" t="s">
        <v>2</v>
      </c>
      <c r="C115" s="92">
        <v>6.62</v>
      </c>
      <c r="D115" s="28">
        <v>35</v>
      </c>
      <c r="E115" s="92">
        <v>651.65250000000003</v>
      </c>
      <c r="F115" s="92">
        <v>875</v>
      </c>
      <c r="G115" s="90">
        <f t="shared" si="4"/>
        <v>665.04274374290128</v>
      </c>
      <c r="H115" s="15">
        <f t="shared" si="5"/>
        <v>317.8904315091068</v>
      </c>
      <c r="I115" s="18">
        <f t="shared" si="6"/>
        <v>0</v>
      </c>
      <c r="J115" s="18">
        <f t="shared" si="7"/>
        <v>0</v>
      </c>
      <c r="K115" s="92">
        <v>47.8</v>
      </c>
      <c r="L115" s="30"/>
      <c r="M115" s="92"/>
    </row>
    <row r="116" spans="1:13" s="29" customFormat="1">
      <c r="A116" s="99">
        <v>38722</v>
      </c>
      <c r="B116" s="28" t="s">
        <v>0</v>
      </c>
      <c r="C116" s="92">
        <v>7.2</v>
      </c>
      <c r="D116" s="28">
        <v>35</v>
      </c>
      <c r="E116" s="92">
        <v>648.78568475305656</v>
      </c>
      <c r="F116" s="28">
        <v>200</v>
      </c>
      <c r="G116" s="90">
        <f t="shared" si="4"/>
        <v>151.34103332305472</v>
      </c>
      <c r="H116" s="15">
        <f t="shared" si="5"/>
        <v>112.74906982567576</v>
      </c>
      <c r="I116" s="18">
        <f t="shared" si="6"/>
        <v>30.843302591238547</v>
      </c>
      <c r="J116" s="18">
        <f t="shared" si="7"/>
        <v>14.226057132367144</v>
      </c>
      <c r="K116" s="18">
        <v>74.5</v>
      </c>
      <c r="L116" s="6">
        <v>9.4</v>
      </c>
      <c r="M116" s="18">
        <v>20.38</v>
      </c>
    </row>
    <row r="117" spans="1:13" s="29" customFormat="1">
      <c r="A117"/>
      <c r="B117" s="8" t="s">
        <v>1</v>
      </c>
      <c r="C117" s="18">
        <v>7.19</v>
      </c>
      <c r="D117" s="8">
        <v>35</v>
      </c>
      <c r="E117" s="18">
        <v>648.78568475305656</v>
      </c>
      <c r="F117" s="8">
        <v>300</v>
      </c>
      <c r="G117" s="90">
        <f t="shared" si="4"/>
        <v>227.0115499845821</v>
      </c>
      <c r="H117" s="15">
        <f t="shared" si="5"/>
        <v>109.62387748755469</v>
      </c>
      <c r="I117" s="18">
        <f t="shared" si="6"/>
        <v>37.774721917434462</v>
      </c>
      <c r="J117" s="18">
        <f t="shared" si="7"/>
        <v>15.59569348394079</v>
      </c>
      <c r="K117" s="18">
        <v>48.29</v>
      </c>
      <c r="L117" s="6">
        <v>6.87</v>
      </c>
      <c r="M117" s="18">
        <v>16.64</v>
      </c>
    </row>
    <row r="118" spans="1:13">
      <c r="A118"/>
      <c r="B118" s="8" t="s">
        <v>2</v>
      </c>
      <c r="C118" s="18">
        <v>7.59</v>
      </c>
      <c r="D118" s="8">
        <v>35</v>
      </c>
      <c r="E118" s="18">
        <v>648.78568475305656</v>
      </c>
      <c r="F118" s="8">
        <v>0</v>
      </c>
      <c r="G118" s="90">
        <f t="shared" si="4"/>
        <v>0</v>
      </c>
      <c r="H118" s="15">
        <f t="shared" si="5"/>
        <v>0</v>
      </c>
      <c r="I118" s="18">
        <f t="shared" si="6"/>
        <v>0</v>
      </c>
      <c r="J118" s="18">
        <f t="shared" si="7"/>
        <v>0</v>
      </c>
      <c r="K118" s="18">
        <v>62.93</v>
      </c>
      <c r="L118" s="6">
        <v>4.62</v>
      </c>
      <c r="M118" s="18">
        <v>9.6999999999999993</v>
      </c>
    </row>
    <row r="119" spans="1:13">
      <c r="A119" s="1">
        <v>38724</v>
      </c>
      <c r="B119" s="8" t="s">
        <v>0</v>
      </c>
      <c r="C119" s="18">
        <v>7.2</v>
      </c>
      <c r="D119" s="8">
        <v>35</v>
      </c>
      <c r="E119" s="18">
        <v>653.99623946797908</v>
      </c>
      <c r="F119" s="8">
        <v>200</v>
      </c>
      <c r="G119" s="90">
        <f t="shared" si="4"/>
        <v>152.55648975693529</v>
      </c>
      <c r="H119" s="15">
        <f t="shared" si="5"/>
        <v>92.845879666070829</v>
      </c>
      <c r="I119" s="18">
        <f t="shared" si="6"/>
        <v>27.61272464600529</v>
      </c>
      <c r="J119" s="18">
        <f t="shared" si="7"/>
        <v>11.441736731770147</v>
      </c>
      <c r="K119" s="18">
        <v>60.86</v>
      </c>
      <c r="L119" s="6">
        <v>7.5</v>
      </c>
      <c r="M119" s="18">
        <v>18.100000000000001</v>
      </c>
    </row>
    <row r="120" spans="1:13">
      <c r="A120"/>
      <c r="B120" s="8" t="s">
        <v>1</v>
      </c>
      <c r="C120" s="18">
        <v>7.12</v>
      </c>
      <c r="D120" s="8">
        <v>35</v>
      </c>
      <c r="E120" s="18">
        <v>653.99623946797908</v>
      </c>
      <c r="F120" s="8">
        <v>200</v>
      </c>
      <c r="G120" s="90">
        <f t="shared" si="4"/>
        <v>152.55648975693529</v>
      </c>
      <c r="H120" s="15">
        <f t="shared" si="5"/>
        <v>88.223418026435681</v>
      </c>
      <c r="I120" s="18">
        <f t="shared" si="6"/>
        <v>27.521190752151124</v>
      </c>
      <c r="J120" s="18">
        <f t="shared" si="7"/>
        <v>11.640060168454163</v>
      </c>
      <c r="K120" s="18">
        <v>57.83</v>
      </c>
      <c r="L120" s="6">
        <v>7.63</v>
      </c>
      <c r="M120" s="18">
        <v>18.04</v>
      </c>
    </row>
    <row r="121" spans="1:13">
      <c r="A121"/>
      <c r="B121" s="8" t="s">
        <v>2</v>
      </c>
      <c r="C121" s="18">
        <v>7.57</v>
      </c>
      <c r="D121" s="8">
        <v>35</v>
      </c>
      <c r="E121" s="18">
        <v>653.99623946797908</v>
      </c>
      <c r="F121" s="8">
        <v>300</v>
      </c>
      <c r="G121" s="90">
        <f t="shared" si="4"/>
        <v>228.83473463540292</v>
      </c>
      <c r="H121" s="15">
        <f t="shared" si="5"/>
        <v>166.45438597379209</v>
      </c>
      <c r="I121" s="18">
        <f t="shared" si="6"/>
        <v>30.274835392263807</v>
      </c>
      <c r="J121" s="18">
        <f t="shared" si="7"/>
        <v>26.77366395234214</v>
      </c>
      <c r="K121" s="18">
        <v>72.739999999999995</v>
      </c>
      <c r="L121" s="6">
        <v>11.7</v>
      </c>
      <c r="M121" s="18">
        <v>13.23</v>
      </c>
    </row>
    <row r="122" spans="1:13">
      <c r="A122" s="1">
        <v>38727</v>
      </c>
      <c r="B122" s="8" t="s">
        <v>0</v>
      </c>
      <c r="C122" s="18">
        <v>7.2</v>
      </c>
      <c r="D122" s="8">
        <v>35</v>
      </c>
      <c r="E122" s="18">
        <v>653.53964446718703</v>
      </c>
      <c r="F122" s="8">
        <v>300</v>
      </c>
      <c r="G122" s="90">
        <f t="shared" si="4"/>
        <v>228.67497103198053</v>
      </c>
      <c r="H122" s="15">
        <f t="shared" si="5"/>
        <v>129.86451604906173</v>
      </c>
      <c r="I122" s="18">
        <f t="shared" si="6"/>
        <v>37.914310197102367</v>
      </c>
      <c r="J122" s="18">
        <f t="shared" si="7"/>
        <v>16.327392931683409</v>
      </c>
      <c r="K122" s="18">
        <v>56.79</v>
      </c>
      <c r="L122" s="6">
        <v>7.14</v>
      </c>
      <c r="M122" s="18">
        <v>16.579999999999998</v>
      </c>
    </row>
    <row r="123" spans="1:13">
      <c r="A123"/>
      <c r="B123" s="8" t="s">
        <v>1</v>
      </c>
      <c r="C123" s="18">
        <v>7.11</v>
      </c>
      <c r="D123" s="8">
        <v>35</v>
      </c>
      <c r="E123" s="18">
        <v>653.53964446718703</v>
      </c>
      <c r="F123" s="8">
        <v>300</v>
      </c>
      <c r="G123" s="90">
        <f t="shared" si="4"/>
        <v>228.67497103198053</v>
      </c>
      <c r="H123" s="15">
        <f t="shared" si="5"/>
        <v>130.27613099691931</v>
      </c>
      <c r="I123" s="18">
        <f t="shared" si="6"/>
        <v>36.336452896981712</v>
      </c>
      <c r="J123" s="18">
        <f t="shared" si="7"/>
        <v>16.967682850572956</v>
      </c>
      <c r="K123" s="18">
        <v>56.97</v>
      </c>
      <c r="L123" s="6">
        <v>7.42</v>
      </c>
      <c r="M123" s="18">
        <v>15.89</v>
      </c>
    </row>
    <row r="124" spans="1:13">
      <c r="A124"/>
      <c r="B124" s="8" t="s">
        <v>2</v>
      </c>
      <c r="C124" s="18">
        <v>7.48</v>
      </c>
      <c r="D124" s="8">
        <v>35</v>
      </c>
      <c r="E124" s="18">
        <v>653.53964446718703</v>
      </c>
      <c r="F124" s="8">
        <v>0</v>
      </c>
      <c r="G124" s="90">
        <f t="shared" si="4"/>
        <v>0</v>
      </c>
      <c r="H124" s="15">
        <f t="shared" si="5"/>
        <v>0</v>
      </c>
      <c r="I124" s="18">
        <f t="shared" si="6"/>
        <v>0</v>
      </c>
      <c r="J124" s="18">
        <f t="shared" si="7"/>
        <v>0</v>
      </c>
      <c r="K124" s="18">
        <v>77.94</v>
      </c>
      <c r="L124" s="6">
        <v>8.6</v>
      </c>
      <c r="M124" s="18">
        <v>9.31</v>
      </c>
    </row>
    <row r="125" spans="1:13">
      <c r="A125" s="1">
        <v>38729</v>
      </c>
      <c r="B125" s="8" t="s">
        <v>0</v>
      </c>
      <c r="C125" s="18">
        <v>7.18</v>
      </c>
      <c r="D125" s="8">
        <v>35</v>
      </c>
      <c r="E125" s="18">
        <v>646.07297327776212</v>
      </c>
      <c r="F125" s="8">
        <v>300</v>
      </c>
      <c r="G125" s="90">
        <f t="shared" si="4"/>
        <v>226.06236622307242</v>
      </c>
      <c r="H125" s="15">
        <f t="shared" si="5"/>
        <v>113.61894526371618</v>
      </c>
      <c r="I125" s="18">
        <f t="shared" si="6"/>
        <v>26.924027817167925</v>
      </c>
      <c r="J125" s="18">
        <f t="shared" si="7"/>
        <v>19.034451235982697</v>
      </c>
      <c r="K125" s="18">
        <v>50.26</v>
      </c>
      <c r="L125" s="6">
        <v>8.42</v>
      </c>
      <c r="M125" s="18">
        <v>11.91</v>
      </c>
    </row>
    <row r="126" spans="1:13">
      <c r="A126"/>
      <c r="B126" s="8" t="s">
        <v>1</v>
      </c>
      <c r="C126" s="18">
        <v>7.11</v>
      </c>
      <c r="D126" s="8">
        <v>35</v>
      </c>
      <c r="E126" s="18">
        <v>646.07297327776212</v>
      </c>
      <c r="F126" s="8">
        <v>200</v>
      </c>
      <c r="G126" s="90">
        <f t="shared" si="4"/>
        <v>150.70824414871495</v>
      </c>
      <c r="H126" s="15">
        <f t="shared" si="5"/>
        <v>66.522618967242778</v>
      </c>
      <c r="I126" s="18">
        <f t="shared" si="6"/>
        <v>19.049522060397571</v>
      </c>
      <c r="J126" s="18">
        <f t="shared" si="7"/>
        <v>11.468897379717209</v>
      </c>
      <c r="K126" s="18">
        <v>44.14</v>
      </c>
      <c r="L126" s="6">
        <v>7.61</v>
      </c>
      <c r="M126" s="18">
        <v>12.64</v>
      </c>
    </row>
    <row r="127" spans="1:13">
      <c r="A127"/>
      <c r="B127" s="8" t="s">
        <v>2</v>
      </c>
      <c r="C127" s="18">
        <v>7.33</v>
      </c>
      <c r="D127" s="8">
        <v>35</v>
      </c>
      <c r="E127" s="18">
        <v>646.07297327776212</v>
      </c>
      <c r="F127" s="8">
        <v>300</v>
      </c>
      <c r="G127" s="90">
        <f t="shared" si="4"/>
        <v>226.06236622307242</v>
      </c>
      <c r="H127" s="15">
        <f t="shared" si="5"/>
        <v>160.16518646904677</v>
      </c>
      <c r="I127" s="18">
        <f t="shared" si="6"/>
        <v>32.507768262877818</v>
      </c>
      <c r="J127" s="18">
        <f t="shared" si="7"/>
        <v>15.281815956679695</v>
      </c>
      <c r="K127" s="18">
        <v>70.849999999999994</v>
      </c>
      <c r="L127" s="6">
        <v>6.76</v>
      </c>
      <c r="M127" s="18">
        <v>14.38</v>
      </c>
    </row>
    <row r="128" spans="1:13">
      <c r="A128" s="1">
        <v>38731</v>
      </c>
      <c r="B128" s="8" t="s">
        <v>0</v>
      </c>
      <c r="C128" s="18">
        <v>7.11</v>
      </c>
      <c r="D128" s="8">
        <v>35</v>
      </c>
      <c r="E128" s="18">
        <v>652.58169024983852</v>
      </c>
      <c r="F128" s="8">
        <v>300</v>
      </c>
      <c r="G128" s="90">
        <f t="shared" si="4"/>
        <v>228.33978072676078</v>
      </c>
      <c r="H128" s="15">
        <f t="shared" si="5"/>
        <v>145.38393838872861</v>
      </c>
      <c r="I128" s="18">
        <f t="shared" si="6"/>
        <v>42.174357500232709</v>
      </c>
      <c r="J128" s="18">
        <f t="shared" si="7"/>
        <v>18.609692129231004</v>
      </c>
      <c r="K128" s="18">
        <v>63.67</v>
      </c>
      <c r="L128" s="6">
        <v>8.15</v>
      </c>
      <c r="M128" s="18">
        <v>18.47</v>
      </c>
    </row>
    <row r="129" spans="1:13">
      <c r="A129"/>
      <c r="B129" s="8" t="s">
        <v>1</v>
      </c>
      <c r="C129" s="18">
        <v>7.04</v>
      </c>
      <c r="D129" s="8">
        <v>35</v>
      </c>
      <c r="E129" s="18">
        <v>652.58169024983852</v>
      </c>
      <c r="F129" s="8">
        <v>200</v>
      </c>
      <c r="G129" s="90">
        <f t="shared" si="4"/>
        <v>152.2265204845072</v>
      </c>
      <c r="H129" s="15">
        <f t="shared" si="5"/>
        <v>81.060622158000086</v>
      </c>
      <c r="I129" s="18">
        <f t="shared" si="6"/>
        <v>23.016649897257491</v>
      </c>
      <c r="J129" s="18">
        <f t="shared" si="7"/>
        <v>9.6968293548631088</v>
      </c>
      <c r="K129" s="18">
        <v>53.25</v>
      </c>
      <c r="L129" s="6">
        <v>6.37</v>
      </c>
      <c r="M129" s="18">
        <v>15.12</v>
      </c>
    </row>
    <row r="130" spans="1:13">
      <c r="A130"/>
      <c r="B130" s="8" t="s">
        <v>2</v>
      </c>
      <c r="C130" s="18">
        <v>7.24</v>
      </c>
      <c r="D130" s="8">
        <v>35</v>
      </c>
      <c r="E130" s="18">
        <v>652.58169024983852</v>
      </c>
      <c r="F130" s="8">
        <v>50</v>
      </c>
      <c r="G130" s="90">
        <f t="shared" si="4"/>
        <v>38.056630121126801</v>
      </c>
      <c r="H130" s="15">
        <f t="shared" si="5"/>
        <v>22.681751552191571</v>
      </c>
      <c r="I130" s="18">
        <f t="shared" si="6"/>
        <v>4.0530311079000043</v>
      </c>
      <c r="J130" s="18">
        <f t="shared" si="7"/>
        <v>2.8694699111329607</v>
      </c>
      <c r="K130" s="18">
        <v>59.6</v>
      </c>
      <c r="L130" s="6">
        <v>7.54</v>
      </c>
      <c r="M130" s="18">
        <v>10.65</v>
      </c>
    </row>
    <row r="131" spans="1:13">
      <c r="A131" s="1">
        <v>38734</v>
      </c>
      <c r="B131" s="8" t="s">
        <v>0</v>
      </c>
      <c r="C131" s="18">
        <v>7.12</v>
      </c>
      <c r="D131" s="8">
        <v>35</v>
      </c>
      <c r="E131" s="18">
        <v>640.01189846332488</v>
      </c>
      <c r="F131" s="8">
        <v>350</v>
      </c>
      <c r="G131" s="90">
        <f t="shared" si="4"/>
        <v>261.26517982031999</v>
      </c>
      <c r="H131" s="15">
        <f t="shared" si="5"/>
        <v>164.49255721487347</v>
      </c>
      <c r="I131" s="18">
        <f t="shared" si="6"/>
        <v>49.222359878148282</v>
      </c>
      <c r="J131" s="18">
        <f t="shared" si="7"/>
        <v>20.091292328182607</v>
      </c>
      <c r="K131" s="92">
        <v>62.96</v>
      </c>
      <c r="L131" s="30">
        <v>7.69</v>
      </c>
      <c r="M131" s="92">
        <v>18.84</v>
      </c>
    </row>
    <row r="132" spans="1:13">
      <c r="A132"/>
      <c r="B132" s="8" t="s">
        <v>1</v>
      </c>
      <c r="C132" s="18">
        <v>7.04</v>
      </c>
      <c r="D132" s="8">
        <v>35</v>
      </c>
      <c r="E132" s="18">
        <v>640.01189846332488</v>
      </c>
      <c r="F132" s="8">
        <v>200</v>
      </c>
      <c r="G132" s="90">
        <f t="shared" ref="G132:G195" si="8">(E132*F132*273.15)/((D132+273.15)*760)</f>
        <v>149.29438846875428</v>
      </c>
      <c r="H132" s="15">
        <f t="shared" ref="H132:H195" si="9">K132/100*G132</f>
        <v>90.561976045146338</v>
      </c>
      <c r="I132" s="18">
        <f t="shared" ref="I132:I195" si="10">(M132*G132)/100</f>
        <v>23.96174934923506</v>
      </c>
      <c r="J132" s="18">
        <f t="shared" ref="J132:J195" si="11">(L132*G132)/100</f>
        <v>10.017653466253412</v>
      </c>
      <c r="K132" s="92">
        <f>(K129+K135)/2</f>
        <v>60.66</v>
      </c>
      <c r="L132" s="92">
        <f>(L129+L135)/2</f>
        <v>6.71</v>
      </c>
      <c r="M132" s="92">
        <f>(M129+M135)/2</f>
        <v>16.05</v>
      </c>
    </row>
    <row r="133" spans="1:13">
      <c r="A133"/>
      <c r="B133" s="8" t="s">
        <v>2</v>
      </c>
      <c r="C133" s="18">
        <v>7.1</v>
      </c>
      <c r="D133" s="8">
        <v>35</v>
      </c>
      <c r="E133" s="18">
        <v>640.01189846332488</v>
      </c>
      <c r="F133" s="8">
        <v>500</v>
      </c>
      <c r="G133" s="90">
        <f t="shared" si="8"/>
        <v>373.23597117188569</v>
      </c>
      <c r="H133" s="15">
        <f t="shared" si="9"/>
        <v>0</v>
      </c>
      <c r="I133" s="18">
        <f t="shared" si="10"/>
        <v>0</v>
      </c>
      <c r="J133" s="18">
        <f t="shared" si="11"/>
        <v>0</v>
      </c>
    </row>
    <row r="134" spans="1:13">
      <c r="A134" s="1">
        <v>38736</v>
      </c>
      <c r="B134" s="8" t="s">
        <v>0</v>
      </c>
      <c r="C134" s="18">
        <v>7.03</v>
      </c>
      <c r="D134" s="8">
        <v>35</v>
      </c>
      <c r="E134" s="18">
        <v>634.13883335509638</v>
      </c>
      <c r="F134" s="8">
        <v>300</v>
      </c>
      <c r="G134" s="90">
        <f t="shared" si="8"/>
        <v>221.88658419636445</v>
      </c>
      <c r="H134" s="15">
        <f t="shared" si="9"/>
        <v>138.10221000381725</v>
      </c>
      <c r="I134" s="18">
        <f t="shared" si="10"/>
        <v>42.624412824121606</v>
      </c>
      <c r="J134" s="18">
        <f t="shared" si="11"/>
        <v>16.042400037397151</v>
      </c>
      <c r="K134" s="18">
        <v>62.24</v>
      </c>
      <c r="L134" s="6">
        <v>7.23</v>
      </c>
      <c r="M134" s="18">
        <v>19.21</v>
      </c>
    </row>
    <row r="135" spans="1:13">
      <c r="A135"/>
      <c r="B135" s="8" t="s">
        <v>1</v>
      </c>
      <c r="C135" s="18">
        <v>7.04</v>
      </c>
      <c r="D135" s="8">
        <v>35</v>
      </c>
      <c r="E135" s="18">
        <v>634.13883335509638</v>
      </c>
      <c r="F135" s="8">
        <v>200</v>
      </c>
      <c r="G135" s="90">
        <f t="shared" si="8"/>
        <v>147.92438946424295</v>
      </c>
      <c r="H135" s="15">
        <f t="shared" si="9"/>
        <v>100.69213190831017</v>
      </c>
      <c r="I135" s="18">
        <f t="shared" si="10"/>
        <v>25.117561331028455</v>
      </c>
      <c r="J135" s="18">
        <f t="shared" si="11"/>
        <v>10.428669457229127</v>
      </c>
      <c r="K135" s="18">
        <v>68.069999999999993</v>
      </c>
      <c r="L135" s="6">
        <v>7.05</v>
      </c>
      <c r="M135" s="18">
        <v>16.98</v>
      </c>
    </row>
    <row r="136" spans="1:13">
      <c r="A136"/>
      <c r="B136" s="8" t="s">
        <v>2</v>
      </c>
      <c r="C136" s="18">
        <v>7.07</v>
      </c>
      <c r="D136" s="8">
        <v>35</v>
      </c>
      <c r="E136" s="18">
        <v>634.13883335509638</v>
      </c>
      <c r="F136" s="8">
        <v>500</v>
      </c>
      <c r="G136" s="90">
        <f t="shared" si="8"/>
        <v>369.81097366060743</v>
      </c>
      <c r="H136" s="15">
        <f t="shared" si="9"/>
        <v>225.1409207645778</v>
      </c>
      <c r="I136" s="18">
        <f t="shared" si="10"/>
        <v>109.13121832724526</v>
      </c>
      <c r="J136" s="18">
        <f t="shared" si="11"/>
        <v>21.153187693386744</v>
      </c>
      <c r="K136" s="18">
        <v>60.88</v>
      </c>
      <c r="L136" s="6">
        <v>5.72</v>
      </c>
      <c r="M136" s="18">
        <v>29.51</v>
      </c>
    </row>
    <row r="137" spans="1:13">
      <c r="A137" s="1">
        <v>38738</v>
      </c>
      <c r="B137" s="8" t="s">
        <v>0</v>
      </c>
      <c r="C137" s="18">
        <v>7.1</v>
      </c>
      <c r="D137" s="8">
        <v>35</v>
      </c>
      <c r="E137" s="18">
        <v>627.82707893238103</v>
      </c>
      <c r="F137" s="8">
        <v>350</v>
      </c>
      <c r="G137" s="90">
        <f t="shared" si="8"/>
        <v>256.29110187977898</v>
      </c>
      <c r="H137" s="15">
        <f t="shared" si="9"/>
        <v>151.18612099888162</v>
      </c>
      <c r="I137" s="18">
        <f t="shared" si="10"/>
        <v>43.51822909918647</v>
      </c>
      <c r="J137" s="18">
        <f t="shared" si="11"/>
        <v>15.09554590071898</v>
      </c>
      <c r="K137" s="18">
        <v>58.99</v>
      </c>
      <c r="L137" s="6">
        <v>5.89</v>
      </c>
      <c r="M137" s="18">
        <v>16.98</v>
      </c>
    </row>
    <row r="138" spans="1:13">
      <c r="A138"/>
      <c r="B138" s="8" t="s">
        <v>1</v>
      </c>
      <c r="C138" s="18">
        <v>7.07</v>
      </c>
      <c r="D138" s="8">
        <v>35</v>
      </c>
      <c r="E138" s="18">
        <v>627.82707893238103</v>
      </c>
      <c r="F138" s="8">
        <v>200</v>
      </c>
      <c r="G138" s="90">
        <f t="shared" si="8"/>
        <v>146.45205821701654</v>
      </c>
      <c r="H138" s="15">
        <f t="shared" si="9"/>
        <v>92.95312135034041</v>
      </c>
      <c r="I138" s="18">
        <f t="shared" si="10"/>
        <v>20.078577181552969</v>
      </c>
      <c r="J138" s="18">
        <f t="shared" si="11"/>
        <v>9.2118344618503407</v>
      </c>
      <c r="K138" s="18">
        <v>63.47</v>
      </c>
      <c r="L138" s="6">
        <v>6.29</v>
      </c>
      <c r="M138" s="18">
        <v>13.71</v>
      </c>
    </row>
    <row r="139" spans="1:13">
      <c r="A139"/>
      <c r="B139" s="8" t="s">
        <v>2</v>
      </c>
      <c r="C139" s="18">
        <v>7</v>
      </c>
      <c r="D139" s="8">
        <v>35</v>
      </c>
      <c r="E139" s="18">
        <v>627.82707893238103</v>
      </c>
      <c r="F139" s="8">
        <v>600</v>
      </c>
      <c r="G139" s="90">
        <f t="shared" si="8"/>
        <v>439.35617465104968</v>
      </c>
      <c r="H139" s="15">
        <f t="shared" si="9"/>
        <v>228.50914643601095</v>
      </c>
      <c r="I139" s="18">
        <f t="shared" si="10"/>
        <v>148.15090209233395</v>
      </c>
      <c r="J139" s="18">
        <f t="shared" si="11"/>
        <v>17.398504516181568</v>
      </c>
      <c r="K139" s="18">
        <v>52.01</v>
      </c>
      <c r="L139" s="6">
        <v>3.96</v>
      </c>
      <c r="M139" s="18">
        <v>33.72</v>
      </c>
    </row>
    <row r="140" spans="1:13">
      <c r="A140" s="1">
        <v>38741</v>
      </c>
      <c r="B140" s="8" t="s">
        <v>0</v>
      </c>
      <c r="C140" s="18">
        <v>7.07</v>
      </c>
      <c r="D140" s="8">
        <v>35</v>
      </c>
      <c r="E140" s="18">
        <v>646.96825759304079</v>
      </c>
      <c r="F140" s="8">
        <v>300</v>
      </c>
      <c r="G140" s="90">
        <f t="shared" si="8"/>
        <v>226.37562819056734</v>
      </c>
      <c r="H140" s="15">
        <f t="shared" si="9"/>
        <v>123.32944223822108</v>
      </c>
      <c r="I140" s="18">
        <f t="shared" si="10"/>
        <v>38.574407043672672</v>
      </c>
      <c r="J140" s="18">
        <f t="shared" si="11"/>
        <v>15.235079777225183</v>
      </c>
      <c r="K140" s="18">
        <v>54.48</v>
      </c>
      <c r="L140" s="6">
        <v>6.73</v>
      </c>
      <c r="M140" s="18">
        <v>17.04</v>
      </c>
    </row>
    <row r="141" spans="1:13">
      <c r="A141"/>
      <c r="B141" s="8" t="s">
        <v>1</v>
      </c>
      <c r="C141" s="18">
        <v>7.02</v>
      </c>
      <c r="D141" s="8">
        <v>35</v>
      </c>
      <c r="E141" s="18">
        <v>646.96825759304079</v>
      </c>
      <c r="F141" s="8">
        <v>200</v>
      </c>
      <c r="G141" s="90">
        <f t="shared" si="8"/>
        <v>150.91708546037822</v>
      </c>
      <c r="H141" s="15">
        <f t="shared" si="9"/>
        <v>91.908505045370333</v>
      </c>
      <c r="I141" s="18">
        <f t="shared" si="10"/>
        <v>18.623168345810672</v>
      </c>
      <c r="J141" s="18">
        <f t="shared" si="11"/>
        <v>10.669837942048741</v>
      </c>
      <c r="K141" s="18">
        <v>60.9</v>
      </c>
      <c r="L141" s="6">
        <v>7.07</v>
      </c>
      <c r="M141" s="18">
        <v>12.34</v>
      </c>
    </row>
    <row r="142" spans="1:13">
      <c r="A142"/>
      <c r="B142" s="8" t="s">
        <v>2</v>
      </c>
      <c r="C142" s="18">
        <v>7.07</v>
      </c>
      <c r="D142" s="8">
        <v>35</v>
      </c>
      <c r="E142" s="18">
        <v>646.96825759304079</v>
      </c>
      <c r="F142" s="8">
        <v>550</v>
      </c>
      <c r="G142" s="90">
        <f t="shared" si="8"/>
        <v>415.02198501604022</v>
      </c>
      <c r="H142" s="15">
        <f t="shared" si="9"/>
        <v>202.94575067284367</v>
      </c>
      <c r="I142" s="18">
        <f t="shared" si="10"/>
        <v>118.48877672207949</v>
      </c>
      <c r="J142" s="18">
        <f t="shared" si="11"/>
        <v>24.693808108454395</v>
      </c>
      <c r="K142" s="18">
        <v>48.9</v>
      </c>
      <c r="L142" s="6">
        <v>5.95</v>
      </c>
      <c r="M142" s="18">
        <v>28.55</v>
      </c>
    </row>
    <row r="143" spans="1:13">
      <c r="A143" s="1">
        <v>38743</v>
      </c>
      <c r="B143" s="8" t="s">
        <v>0</v>
      </c>
      <c r="C143" s="18">
        <v>7.1</v>
      </c>
      <c r="D143" s="8">
        <v>35</v>
      </c>
      <c r="E143" s="18">
        <v>646.30411941007048</v>
      </c>
      <c r="F143" s="8">
        <v>350</v>
      </c>
      <c r="G143" s="90">
        <f t="shared" si="8"/>
        <v>263.83378556197539</v>
      </c>
      <c r="H143" s="15">
        <f t="shared" si="9"/>
        <v>145.82093328010382</v>
      </c>
      <c r="I143" s="18">
        <f t="shared" si="10"/>
        <v>47.094330722812607</v>
      </c>
      <c r="J143" s="18">
        <f t="shared" si="11"/>
        <v>16.621528490404447</v>
      </c>
      <c r="K143" s="18">
        <v>55.27</v>
      </c>
      <c r="L143" s="6">
        <v>6.3</v>
      </c>
      <c r="M143" s="18">
        <v>17.850000000000001</v>
      </c>
    </row>
    <row r="144" spans="1:13">
      <c r="A144"/>
      <c r="B144" s="8" t="s">
        <v>1</v>
      </c>
      <c r="C144" s="18">
        <v>7.03</v>
      </c>
      <c r="D144" s="8">
        <v>35</v>
      </c>
      <c r="E144" s="18">
        <v>646.30411941007048</v>
      </c>
      <c r="F144" s="8">
        <v>200</v>
      </c>
      <c r="G144" s="90">
        <f t="shared" si="8"/>
        <v>150.76216317827166</v>
      </c>
      <c r="H144" s="15">
        <f t="shared" si="9"/>
        <v>92.839340085179686</v>
      </c>
      <c r="I144" s="18">
        <f t="shared" si="10"/>
        <v>18.604050936198725</v>
      </c>
      <c r="J144" s="18">
        <f t="shared" si="11"/>
        <v>10.191522230851163</v>
      </c>
      <c r="K144" s="18">
        <v>61.58</v>
      </c>
      <c r="L144" s="6">
        <v>6.76</v>
      </c>
      <c r="M144" s="18">
        <v>12.34</v>
      </c>
    </row>
    <row r="145" spans="1:13">
      <c r="A145"/>
      <c r="B145" s="8" t="s">
        <v>2</v>
      </c>
      <c r="C145" s="18">
        <v>7.04</v>
      </c>
      <c r="D145" s="8">
        <v>35</v>
      </c>
      <c r="E145" s="18">
        <v>646.30411941007048</v>
      </c>
      <c r="F145" s="8">
        <v>500</v>
      </c>
      <c r="G145" s="90">
        <f t="shared" si="8"/>
        <v>376.90540794567914</v>
      </c>
      <c r="H145" s="15">
        <f t="shared" si="9"/>
        <v>181.10304851789883</v>
      </c>
      <c r="I145" s="18">
        <f t="shared" si="10"/>
        <v>114.35310077071905</v>
      </c>
      <c r="J145" s="18">
        <f t="shared" si="11"/>
        <v>21.370536630520004</v>
      </c>
      <c r="K145" s="18">
        <v>48.05</v>
      </c>
      <c r="L145" s="6">
        <v>5.67</v>
      </c>
      <c r="M145" s="18">
        <v>30.34</v>
      </c>
    </row>
    <row r="146" spans="1:13">
      <c r="A146" s="1">
        <v>38745</v>
      </c>
      <c r="B146" s="8" t="s">
        <v>0</v>
      </c>
      <c r="C146" s="18">
        <v>7</v>
      </c>
      <c r="D146" s="8">
        <v>35</v>
      </c>
      <c r="E146" s="18">
        <v>648.52605230162601</v>
      </c>
      <c r="F146" s="8">
        <v>300</v>
      </c>
      <c r="G146" s="90">
        <f t="shared" si="8"/>
        <v>226.92070401400866</v>
      </c>
      <c r="H146" s="15">
        <f t="shared" si="9"/>
        <v>125.48714931974678</v>
      </c>
      <c r="I146" s="18">
        <f t="shared" si="10"/>
        <v>41.276876060148176</v>
      </c>
      <c r="J146" s="18">
        <f t="shared" si="11"/>
        <v>13.887547085657332</v>
      </c>
      <c r="K146" s="18">
        <v>55.3</v>
      </c>
      <c r="L146" s="6">
        <v>6.12</v>
      </c>
      <c r="M146" s="18">
        <v>18.190000000000001</v>
      </c>
    </row>
    <row r="147" spans="1:13">
      <c r="A147"/>
      <c r="B147" s="8" t="s">
        <v>1</v>
      </c>
      <c r="C147" s="18">
        <v>6.99</v>
      </c>
      <c r="D147" s="8">
        <v>35</v>
      </c>
      <c r="E147" s="18">
        <v>648.52605230162601</v>
      </c>
      <c r="F147" s="8">
        <v>200</v>
      </c>
      <c r="G147" s="90">
        <f t="shared" si="8"/>
        <v>151.28046934267243</v>
      </c>
      <c r="H147" s="15">
        <f t="shared" si="9"/>
        <v>95.019262794132558</v>
      </c>
      <c r="I147" s="18">
        <f t="shared" si="10"/>
        <v>21.254905942645479</v>
      </c>
      <c r="J147" s="18">
        <f t="shared" si="11"/>
        <v>9.2432366768372862</v>
      </c>
      <c r="K147" s="18">
        <v>62.81</v>
      </c>
      <c r="L147" s="6">
        <v>6.11</v>
      </c>
      <c r="M147" s="18">
        <v>14.05</v>
      </c>
    </row>
    <row r="148" spans="1:13">
      <c r="A148" s="1">
        <v>38748</v>
      </c>
      <c r="B148" s="8" t="s">
        <v>0</v>
      </c>
      <c r="C148" s="18">
        <v>7.04</v>
      </c>
      <c r="D148" s="8">
        <v>35</v>
      </c>
      <c r="E148" s="18">
        <v>645.29407592346968</v>
      </c>
      <c r="F148" s="8">
        <v>200</v>
      </c>
      <c r="G148" s="90">
        <f t="shared" si="8"/>
        <v>150.52655220756787</v>
      </c>
      <c r="H148" s="15">
        <f t="shared" si="9"/>
        <v>77.972754043520155</v>
      </c>
      <c r="I148" s="18">
        <f t="shared" si="10"/>
        <v>22.578982831135182</v>
      </c>
      <c r="J148" s="18">
        <f t="shared" si="11"/>
        <v>11.545386554320455</v>
      </c>
      <c r="K148" s="18">
        <v>51.8</v>
      </c>
      <c r="L148" s="6">
        <v>7.67</v>
      </c>
      <c r="M148" s="18">
        <v>15</v>
      </c>
    </row>
    <row r="149" spans="1:13">
      <c r="A149"/>
      <c r="B149" s="8" t="s">
        <v>1</v>
      </c>
      <c r="C149" s="18">
        <v>6.96</v>
      </c>
      <c r="D149" s="8">
        <v>35</v>
      </c>
      <c r="E149" s="18">
        <v>645.29407592346968</v>
      </c>
      <c r="F149" s="8">
        <v>200</v>
      </c>
      <c r="G149" s="90">
        <f t="shared" si="8"/>
        <v>150.52655220756787</v>
      </c>
      <c r="H149" s="15">
        <f t="shared" si="9"/>
        <v>90.496563187189793</v>
      </c>
      <c r="I149" s="18">
        <f t="shared" si="10"/>
        <v>21.585507586565232</v>
      </c>
      <c r="J149" s="18">
        <f t="shared" si="11"/>
        <v>10.02506837702402</v>
      </c>
      <c r="K149" s="18">
        <v>60.12</v>
      </c>
      <c r="L149" s="6">
        <v>6.66</v>
      </c>
      <c r="M149" s="18">
        <v>14.34</v>
      </c>
    </row>
    <row r="150" spans="1:13">
      <c r="A150" s="1">
        <v>38750</v>
      </c>
      <c r="B150" s="8" t="s">
        <v>0</v>
      </c>
      <c r="C150" s="18">
        <v>7.15</v>
      </c>
      <c r="D150" s="8">
        <v>35</v>
      </c>
      <c r="E150" s="18">
        <v>641.71293866235453</v>
      </c>
      <c r="F150" s="8">
        <v>200</v>
      </c>
      <c r="G150" s="90">
        <f t="shared" si="8"/>
        <v>149.69118696091459</v>
      </c>
      <c r="H150" s="15">
        <f t="shared" si="9"/>
        <v>82.928917576346677</v>
      </c>
      <c r="I150" s="18">
        <f t="shared" si="10"/>
        <v>32.048883128331816</v>
      </c>
      <c r="J150" s="18">
        <f t="shared" si="11"/>
        <v>8.1432005706737538</v>
      </c>
      <c r="K150" s="18">
        <v>55.4</v>
      </c>
      <c r="L150" s="6">
        <v>5.44</v>
      </c>
      <c r="M150" s="18">
        <v>21.41</v>
      </c>
    </row>
    <row r="151" spans="1:13">
      <c r="A151"/>
      <c r="B151" s="8" t="s">
        <v>1</v>
      </c>
      <c r="C151" s="18">
        <v>7.05</v>
      </c>
      <c r="D151" s="8">
        <v>35</v>
      </c>
      <c r="E151" s="18">
        <v>641.71293866235453</v>
      </c>
      <c r="F151" s="8">
        <v>200</v>
      </c>
      <c r="G151" s="90">
        <f t="shared" si="8"/>
        <v>149.69118696091459</v>
      </c>
      <c r="H151" s="15">
        <f t="shared" si="9"/>
        <v>89.305762140881654</v>
      </c>
      <c r="I151" s="18">
        <f t="shared" si="10"/>
        <v>22.274048619784093</v>
      </c>
      <c r="J151" s="18">
        <f t="shared" si="11"/>
        <v>9.8197418646359971</v>
      </c>
      <c r="K151" s="18">
        <v>59.66</v>
      </c>
      <c r="L151" s="6">
        <v>6.56</v>
      </c>
      <c r="M151" s="18">
        <v>14.88</v>
      </c>
    </row>
    <row r="152" spans="1:13">
      <c r="A152" s="1">
        <v>38752</v>
      </c>
      <c r="B152" s="8" t="s">
        <v>0</v>
      </c>
      <c r="C152" s="18">
        <v>7.06</v>
      </c>
      <c r="D152" s="8">
        <v>35</v>
      </c>
      <c r="E152" s="18">
        <v>643.96010229370427</v>
      </c>
      <c r="F152" s="8">
        <v>150</v>
      </c>
      <c r="G152" s="90">
        <f t="shared" si="8"/>
        <v>112.66153398989215</v>
      </c>
      <c r="H152" s="15">
        <f t="shared" si="9"/>
        <v>54.60704552490072</v>
      </c>
      <c r="I152" s="18">
        <f t="shared" si="10"/>
        <v>16.347188581933352</v>
      </c>
      <c r="J152" s="18">
        <f t="shared" si="11"/>
        <v>9.4973673153479083</v>
      </c>
      <c r="K152" s="18">
        <v>48.47</v>
      </c>
      <c r="L152" s="6">
        <v>8.43</v>
      </c>
      <c r="M152" s="18">
        <v>14.51</v>
      </c>
    </row>
    <row r="153" spans="1:13">
      <c r="A153"/>
      <c r="B153" s="8" t="s">
        <v>1</v>
      </c>
      <c r="C153" s="18">
        <v>7</v>
      </c>
      <c r="D153" s="8">
        <v>35</v>
      </c>
      <c r="E153" s="18">
        <v>643.96010229370427</v>
      </c>
      <c r="F153" s="8">
        <v>300</v>
      </c>
      <c r="G153" s="90">
        <f t="shared" si="8"/>
        <v>225.3230679797843</v>
      </c>
      <c r="H153" s="15">
        <f t="shared" si="9"/>
        <v>116.71734921352827</v>
      </c>
      <c r="I153" s="18">
        <f t="shared" si="10"/>
        <v>35.848900115583682</v>
      </c>
      <c r="J153" s="18">
        <f t="shared" si="11"/>
        <v>17.37240854124137</v>
      </c>
      <c r="K153" s="18">
        <v>51.8</v>
      </c>
      <c r="L153" s="6">
        <v>7.71</v>
      </c>
      <c r="M153" s="18">
        <v>15.91</v>
      </c>
    </row>
    <row r="154" spans="1:13">
      <c r="A154" s="1">
        <v>38755</v>
      </c>
      <c r="B154" s="8" t="s">
        <v>0</v>
      </c>
      <c r="C154" s="18">
        <v>7.07</v>
      </c>
      <c r="D154" s="8">
        <v>35</v>
      </c>
      <c r="E154" s="18">
        <v>644.61404909790781</v>
      </c>
      <c r="F154" s="8">
        <v>300</v>
      </c>
      <c r="G154" s="90">
        <f t="shared" si="8"/>
        <v>225.55188541691103</v>
      </c>
      <c r="H154" s="15">
        <f t="shared" si="9"/>
        <v>113.27215685637272</v>
      </c>
      <c r="I154" s="18">
        <f t="shared" si="10"/>
        <v>31.577263958367542</v>
      </c>
      <c r="J154" s="18">
        <f t="shared" si="11"/>
        <v>18.743361678145309</v>
      </c>
      <c r="K154" s="18">
        <v>50.22</v>
      </c>
      <c r="L154" s="6">
        <v>8.31</v>
      </c>
      <c r="M154" s="18">
        <v>14</v>
      </c>
    </row>
    <row r="155" spans="1:13">
      <c r="A155"/>
      <c r="B155" s="8" t="s">
        <v>1</v>
      </c>
      <c r="C155" s="18">
        <v>7</v>
      </c>
      <c r="D155" s="8">
        <v>35</v>
      </c>
      <c r="E155" s="18">
        <v>644.61404909790781</v>
      </c>
      <c r="F155" s="8">
        <v>350</v>
      </c>
      <c r="G155" s="90">
        <f t="shared" si="8"/>
        <v>263.14386631972951</v>
      </c>
      <c r="H155" s="15">
        <f t="shared" si="9"/>
        <v>129.4930966159389</v>
      </c>
      <c r="I155" s="18">
        <f t="shared" si="10"/>
        <v>39.366322401431539</v>
      </c>
      <c r="J155" s="18">
        <f t="shared" si="11"/>
        <v>22.235656704017142</v>
      </c>
      <c r="K155" s="18">
        <v>49.21</v>
      </c>
      <c r="L155" s="6">
        <v>8.4499999999999993</v>
      </c>
      <c r="M155" s="18">
        <v>14.96</v>
      </c>
    </row>
    <row r="156" spans="1:13">
      <c r="A156" s="1">
        <v>38757</v>
      </c>
      <c r="B156" s="8" t="s">
        <v>0</v>
      </c>
      <c r="C156" s="18">
        <v>7</v>
      </c>
      <c r="D156" s="8">
        <v>35</v>
      </c>
      <c r="E156" s="18">
        <v>644.64051837331601</v>
      </c>
      <c r="F156" s="8">
        <v>200</v>
      </c>
      <c r="G156" s="90">
        <f t="shared" si="8"/>
        <v>150.37409805005362</v>
      </c>
      <c r="H156" s="15">
        <f t="shared" si="9"/>
        <v>85.863609986580627</v>
      </c>
      <c r="I156" s="18">
        <f t="shared" si="10"/>
        <v>30.300380757085801</v>
      </c>
      <c r="J156" s="18">
        <f t="shared" si="11"/>
        <v>9.067558112418233</v>
      </c>
      <c r="K156" s="18">
        <v>57.1</v>
      </c>
      <c r="L156" s="6">
        <v>6.03</v>
      </c>
      <c r="M156" s="18">
        <v>20.149999999999999</v>
      </c>
    </row>
    <row r="157" spans="1:13">
      <c r="A157"/>
      <c r="B157" s="8" t="s">
        <v>1</v>
      </c>
      <c r="C157" s="18">
        <v>6.99</v>
      </c>
      <c r="D157" s="8">
        <v>35</v>
      </c>
      <c r="E157" s="18">
        <v>644.64051837331601</v>
      </c>
      <c r="F157" s="8">
        <v>400</v>
      </c>
      <c r="G157" s="90">
        <f t="shared" si="8"/>
        <v>300.74819610010724</v>
      </c>
      <c r="H157" s="15">
        <f t="shared" si="9"/>
        <v>150.28387359122357</v>
      </c>
      <c r="I157" s="18">
        <f t="shared" si="10"/>
        <v>79.187000033158228</v>
      </c>
      <c r="J157" s="18">
        <f t="shared" si="11"/>
        <v>18.435864420936571</v>
      </c>
      <c r="K157" s="18">
        <v>49.97</v>
      </c>
      <c r="L157" s="6">
        <v>6.13</v>
      </c>
      <c r="M157" s="18">
        <v>26.33</v>
      </c>
    </row>
    <row r="158" spans="1:13">
      <c r="A158" s="1">
        <v>38759</v>
      </c>
      <c r="B158" s="8" t="s">
        <v>0</v>
      </c>
      <c r="C158" s="18">
        <v>7.1</v>
      </c>
      <c r="D158" s="8">
        <v>35</v>
      </c>
      <c r="E158" s="18">
        <v>646.6549080826934</v>
      </c>
      <c r="F158" s="8">
        <v>200</v>
      </c>
      <c r="G158" s="90">
        <f t="shared" si="8"/>
        <v>150.8439910012961</v>
      </c>
      <c r="H158" s="15">
        <f t="shared" si="9"/>
        <v>83.703330606619218</v>
      </c>
      <c r="I158" s="18">
        <f t="shared" si="10"/>
        <v>29.474915841653257</v>
      </c>
      <c r="J158" s="18">
        <f t="shared" si="11"/>
        <v>10.016041002486061</v>
      </c>
      <c r="K158" s="18">
        <v>55.49</v>
      </c>
      <c r="L158" s="6">
        <v>6.64</v>
      </c>
      <c r="M158" s="18">
        <v>19.54</v>
      </c>
    </row>
    <row r="159" spans="1:13">
      <c r="A159"/>
      <c r="B159" s="8" t="s">
        <v>1</v>
      </c>
      <c r="C159" s="18">
        <v>7</v>
      </c>
      <c r="D159" s="8">
        <v>35</v>
      </c>
      <c r="E159" s="18">
        <v>646.6549080826934</v>
      </c>
      <c r="F159" s="8">
        <v>200</v>
      </c>
      <c r="G159" s="90">
        <f t="shared" si="8"/>
        <v>150.8439910012961</v>
      </c>
      <c r="H159" s="15">
        <f t="shared" si="9"/>
        <v>72.193934093220307</v>
      </c>
      <c r="I159" s="18">
        <f t="shared" si="10"/>
        <v>23.592000192602715</v>
      </c>
      <c r="J159" s="18">
        <f t="shared" si="11"/>
        <v>14.269841548722614</v>
      </c>
      <c r="K159" s="18">
        <v>47.86</v>
      </c>
      <c r="L159" s="6">
        <v>9.4600000000000009</v>
      </c>
      <c r="M159" s="18">
        <v>15.64</v>
      </c>
    </row>
    <row r="160" spans="1:13">
      <c r="A160" s="1">
        <v>38762</v>
      </c>
      <c r="B160" s="8" t="s">
        <v>0</v>
      </c>
      <c r="C160" s="18">
        <v>7.05</v>
      </c>
      <c r="D160" s="8">
        <v>35</v>
      </c>
      <c r="E160" s="18">
        <v>648.9736944592654</v>
      </c>
      <c r="F160" s="8">
        <v>250</v>
      </c>
      <c r="G160" s="90">
        <f t="shared" si="8"/>
        <v>189.23111249813013</v>
      </c>
      <c r="H160" s="15">
        <f t="shared" si="9"/>
        <v>101.806338523994</v>
      </c>
      <c r="I160" s="18">
        <f t="shared" si="10"/>
        <v>34.061600249663428</v>
      </c>
      <c r="J160" s="18">
        <f t="shared" si="11"/>
        <v>14.059871658611069</v>
      </c>
      <c r="K160" s="18">
        <v>53.8</v>
      </c>
      <c r="L160" s="6">
        <v>7.43</v>
      </c>
      <c r="M160" s="18">
        <v>18</v>
      </c>
    </row>
    <row r="161" spans="1:13">
      <c r="A161"/>
      <c r="B161" s="8" t="s">
        <v>1</v>
      </c>
      <c r="C161" s="18">
        <v>6.98</v>
      </c>
      <c r="D161" s="8">
        <v>35</v>
      </c>
      <c r="E161" s="18">
        <v>648.9736944592654</v>
      </c>
      <c r="F161" s="8">
        <v>350</v>
      </c>
      <c r="G161" s="90">
        <f t="shared" si="8"/>
        <v>264.92355749738221</v>
      </c>
      <c r="H161" s="15">
        <f t="shared" si="9"/>
        <v>125.33533505201153</v>
      </c>
      <c r="I161" s="18">
        <f t="shared" si="10"/>
        <v>55.792901208948685</v>
      </c>
      <c r="J161" s="18">
        <f t="shared" si="11"/>
        <v>21.591269936036653</v>
      </c>
      <c r="K161" s="18">
        <v>47.31</v>
      </c>
      <c r="L161" s="6">
        <v>8.15</v>
      </c>
      <c r="M161" s="18">
        <v>21.06</v>
      </c>
    </row>
    <row r="162" spans="1:13">
      <c r="A162" s="1">
        <v>38764</v>
      </c>
      <c r="B162" s="8" t="s">
        <v>0</v>
      </c>
      <c r="C162" s="18">
        <v>7</v>
      </c>
      <c r="D162" s="8">
        <v>35</v>
      </c>
      <c r="E162" s="18">
        <v>647.88144759462523</v>
      </c>
      <c r="F162" s="8">
        <v>200</v>
      </c>
      <c r="G162" s="90">
        <f t="shared" si="8"/>
        <v>151.13010359827481</v>
      </c>
      <c r="H162" s="15">
        <f t="shared" si="9"/>
        <v>90.46648001392731</v>
      </c>
      <c r="I162" s="18">
        <f t="shared" si="10"/>
        <v>30.694524040809615</v>
      </c>
      <c r="J162" s="18">
        <f t="shared" si="11"/>
        <v>8.2819296771854596</v>
      </c>
      <c r="K162" s="18">
        <v>59.86</v>
      </c>
      <c r="L162" s="6">
        <v>5.48</v>
      </c>
      <c r="M162" s="18">
        <v>20.309999999999999</v>
      </c>
    </row>
    <row r="163" spans="1:13">
      <c r="A163"/>
      <c r="B163" s="8" t="s">
        <v>1</v>
      </c>
      <c r="C163" s="18">
        <v>6.92</v>
      </c>
      <c r="D163" s="8">
        <v>35</v>
      </c>
      <c r="E163" s="18">
        <v>647.88144759462523</v>
      </c>
      <c r="F163" s="8">
        <v>200</v>
      </c>
      <c r="G163" s="90">
        <f t="shared" si="8"/>
        <v>151.13010359827481</v>
      </c>
      <c r="H163" s="15">
        <f t="shared" si="9"/>
        <v>80.295424041763411</v>
      </c>
      <c r="I163" s="18">
        <f t="shared" si="10"/>
        <v>46.593410939348125</v>
      </c>
      <c r="J163" s="18">
        <f t="shared" si="11"/>
        <v>6.1358822060899572</v>
      </c>
      <c r="K163" s="18">
        <v>53.13</v>
      </c>
      <c r="L163" s="6">
        <v>4.0599999999999996</v>
      </c>
      <c r="M163" s="18">
        <v>30.83</v>
      </c>
    </row>
    <row r="164" spans="1:13">
      <c r="A164" s="1">
        <v>38766</v>
      </c>
      <c r="B164" s="8" t="s">
        <v>0</v>
      </c>
      <c r="C164" s="18">
        <v>7</v>
      </c>
      <c r="D164" s="8">
        <v>35</v>
      </c>
      <c r="E164" s="18">
        <v>642.44668254683279</v>
      </c>
      <c r="F164" s="8">
        <v>350</v>
      </c>
      <c r="G164" s="90">
        <f t="shared" si="8"/>
        <v>262.2591055628393</v>
      </c>
      <c r="H164" s="15">
        <f t="shared" si="9"/>
        <v>64.541965879014754</v>
      </c>
      <c r="I164" s="18">
        <f t="shared" si="10"/>
        <v>31.025252188083886</v>
      </c>
      <c r="J164" s="18">
        <f t="shared" si="11"/>
        <v>41.7778755161603</v>
      </c>
      <c r="K164" s="18">
        <v>24.61</v>
      </c>
      <c r="L164" s="6">
        <v>15.93</v>
      </c>
      <c r="M164" s="18">
        <v>11.83</v>
      </c>
    </row>
    <row r="165" spans="1:13">
      <c r="A165"/>
      <c r="B165" s="8" t="s">
        <v>1</v>
      </c>
      <c r="C165" s="18">
        <v>6.95</v>
      </c>
      <c r="D165" s="8">
        <v>35</v>
      </c>
      <c r="E165" s="18">
        <v>642.44668254683279</v>
      </c>
      <c r="F165" s="8">
        <v>200</v>
      </c>
      <c r="G165" s="90">
        <f t="shared" si="8"/>
        <v>149.86234603590816</v>
      </c>
      <c r="H165" s="15">
        <f t="shared" si="9"/>
        <v>77.988364877086596</v>
      </c>
      <c r="I165" s="18">
        <f t="shared" si="10"/>
        <v>35.397486133681511</v>
      </c>
      <c r="J165" s="18">
        <f t="shared" si="11"/>
        <v>9.3364241580370795</v>
      </c>
      <c r="K165" s="18">
        <v>52.04</v>
      </c>
      <c r="L165" s="6">
        <v>6.23</v>
      </c>
      <c r="M165" s="18">
        <v>23.62</v>
      </c>
    </row>
    <row r="166" spans="1:13">
      <c r="A166" s="1">
        <v>38771</v>
      </c>
      <c r="B166" s="8" t="s">
        <v>0</v>
      </c>
      <c r="C166" s="18">
        <v>7</v>
      </c>
      <c r="D166" s="8">
        <v>35</v>
      </c>
      <c r="E166" s="18">
        <v>645.18391702728513</v>
      </c>
      <c r="F166" s="18">
        <v>300</v>
      </c>
      <c r="G166" s="90">
        <f t="shared" si="8"/>
        <v>225.75128346926431</v>
      </c>
      <c r="H166" s="15">
        <f t="shared" si="9"/>
        <v>82.624969749750733</v>
      </c>
      <c r="I166" s="18">
        <f t="shared" si="10"/>
        <v>31.379428402227742</v>
      </c>
      <c r="J166" s="18">
        <f t="shared" si="11"/>
        <v>28.4446617171273</v>
      </c>
      <c r="K166" s="18">
        <v>36.6</v>
      </c>
      <c r="L166" s="6">
        <v>12.6</v>
      </c>
      <c r="M166" s="18">
        <v>13.9</v>
      </c>
    </row>
    <row r="167" spans="1:13">
      <c r="A167"/>
      <c r="B167" s="8" t="s">
        <v>1</v>
      </c>
      <c r="C167" s="18">
        <v>6.98</v>
      </c>
      <c r="D167" s="8">
        <v>35</v>
      </c>
      <c r="E167" s="18">
        <v>645.18391702728513</v>
      </c>
      <c r="F167" s="18">
        <v>400</v>
      </c>
      <c r="G167" s="90">
        <f t="shared" si="8"/>
        <v>301.00171129235241</v>
      </c>
      <c r="H167" s="15">
        <f t="shared" si="9"/>
        <v>148.39384366712974</v>
      </c>
      <c r="I167" s="18">
        <f t="shared" si="10"/>
        <v>65.317371350440467</v>
      </c>
      <c r="J167" s="18">
        <f t="shared" si="11"/>
        <v>22.876130058218781</v>
      </c>
      <c r="K167" s="18">
        <v>49.3</v>
      </c>
      <c r="L167" s="6">
        <v>7.6</v>
      </c>
      <c r="M167" s="18">
        <v>21.7</v>
      </c>
    </row>
    <row r="168" spans="1:13">
      <c r="A168" s="1">
        <v>38773</v>
      </c>
      <c r="B168" s="8" t="s">
        <v>0</v>
      </c>
      <c r="C168" s="18">
        <v>7</v>
      </c>
      <c r="D168" s="8">
        <v>35</v>
      </c>
      <c r="E168" s="18">
        <v>648.82149612566775</v>
      </c>
      <c r="F168" s="18">
        <v>250</v>
      </c>
      <c r="G168" s="90">
        <f t="shared" si="8"/>
        <v>189.18673371940159</v>
      </c>
      <c r="H168" s="15">
        <f t="shared" si="9"/>
        <v>89.674511782996348</v>
      </c>
      <c r="I168" s="18">
        <f t="shared" si="10"/>
        <v>52.404725240274239</v>
      </c>
      <c r="J168" s="18">
        <f t="shared" si="11"/>
        <v>14.189005028955119</v>
      </c>
      <c r="K168" s="18">
        <v>47.4</v>
      </c>
      <c r="L168" s="6">
        <v>7.5</v>
      </c>
      <c r="M168" s="18">
        <v>27.7</v>
      </c>
    </row>
    <row r="169" spans="1:13">
      <c r="A169"/>
      <c r="B169" s="8" t="s">
        <v>1</v>
      </c>
      <c r="C169" s="18">
        <v>6.95</v>
      </c>
      <c r="D169" s="8">
        <v>35</v>
      </c>
      <c r="E169" s="18">
        <v>648.82149612566775</v>
      </c>
      <c r="F169" s="18">
        <v>200</v>
      </c>
      <c r="G169" s="90">
        <f t="shared" si="8"/>
        <v>151.34938697552127</v>
      </c>
      <c r="H169" s="15">
        <f t="shared" si="9"/>
        <v>66.139682108302807</v>
      </c>
      <c r="I169" s="18">
        <f t="shared" si="10"/>
        <v>29.513130460226648</v>
      </c>
      <c r="J169" s="18">
        <f t="shared" si="11"/>
        <v>16.79978195428286</v>
      </c>
      <c r="K169" s="18">
        <v>43.7</v>
      </c>
      <c r="L169" s="6">
        <v>11.1</v>
      </c>
      <c r="M169" s="18">
        <v>19.5</v>
      </c>
    </row>
    <row r="170" spans="1:13">
      <c r="A170" s="1">
        <v>38776</v>
      </c>
      <c r="B170" s="8" t="s">
        <v>0</v>
      </c>
      <c r="C170" s="18">
        <v>7</v>
      </c>
      <c r="D170" s="8">
        <v>35</v>
      </c>
      <c r="E170" s="18">
        <v>646.49945416976755</v>
      </c>
      <c r="F170" s="18">
        <v>300</v>
      </c>
      <c r="G170" s="90">
        <f t="shared" si="8"/>
        <v>226.21159283304269</v>
      </c>
      <c r="H170" s="15">
        <f t="shared" si="9"/>
        <v>115.36791234485177</v>
      </c>
      <c r="I170" s="18">
        <f t="shared" si="10"/>
        <v>37.098701224618999</v>
      </c>
      <c r="J170" s="18">
        <f t="shared" si="11"/>
        <v>21.942524504805139</v>
      </c>
      <c r="K170" s="18">
        <v>51</v>
      </c>
      <c r="L170" s="6">
        <v>9.6999999999999993</v>
      </c>
      <c r="M170" s="18">
        <v>16.399999999999999</v>
      </c>
    </row>
    <row r="171" spans="1:13">
      <c r="A171"/>
      <c r="B171" s="8" t="s">
        <v>1</v>
      </c>
      <c r="C171" s="18">
        <v>6.96</v>
      </c>
      <c r="D171" s="8">
        <v>35</v>
      </c>
      <c r="E171" s="18">
        <v>646.49945416976755</v>
      </c>
      <c r="F171" s="18">
        <v>300</v>
      </c>
      <c r="G171" s="90">
        <f t="shared" si="8"/>
        <v>226.21159283304269</v>
      </c>
      <c r="H171" s="15">
        <f t="shared" si="9"/>
        <v>112.20095004518917</v>
      </c>
      <c r="I171" s="18">
        <f t="shared" si="10"/>
        <v>33.70552733212336</v>
      </c>
      <c r="J171" s="18">
        <f t="shared" si="11"/>
        <v>23.752217247469481</v>
      </c>
      <c r="K171" s="18">
        <v>49.6</v>
      </c>
      <c r="L171" s="6">
        <v>10.5</v>
      </c>
      <c r="M171" s="18">
        <v>14.9</v>
      </c>
    </row>
    <row r="172" spans="1:13">
      <c r="A172" s="1">
        <v>38778</v>
      </c>
      <c r="B172" s="8" t="s">
        <v>0</v>
      </c>
      <c r="C172" s="18">
        <v>7.04</v>
      </c>
      <c r="D172" s="8">
        <v>35</v>
      </c>
      <c r="E172" s="18">
        <v>642.93247160138435</v>
      </c>
      <c r="F172" s="18">
        <v>300</v>
      </c>
      <c r="G172" s="90">
        <f t="shared" si="8"/>
        <v>224.96349772144225</v>
      </c>
      <c r="H172" s="15">
        <f t="shared" si="9"/>
        <v>118.33079980147863</v>
      </c>
      <c r="I172" s="18">
        <f t="shared" si="10"/>
        <v>27.670510219737398</v>
      </c>
      <c r="J172" s="18">
        <f t="shared" si="11"/>
        <v>23.396203763029995</v>
      </c>
      <c r="K172" s="18">
        <v>52.6</v>
      </c>
      <c r="L172" s="6">
        <v>10.4</v>
      </c>
      <c r="M172" s="18">
        <v>12.3</v>
      </c>
    </row>
    <row r="173" spans="1:13">
      <c r="A173"/>
      <c r="B173" s="8" t="s">
        <v>1</v>
      </c>
      <c r="C173" s="18">
        <v>7.07</v>
      </c>
      <c r="D173" s="8">
        <v>35</v>
      </c>
      <c r="E173" s="18">
        <v>642.93247160138435</v>
      </c>
      <c r="F173" s="18">
        <v>200</v>
      </c>
      <c r="G173" s="90">
        <f t="shared" si="8"/>
        <v>149.97566514762815</v>
      </c>
      <c r="H173" s="15">
        <f t="shared" si="9"/>
        <v>69.288757298204203</v>
      </c>
      <c r="I173" s="18">
        <f t="shared" si="10"/>
        <v>20.846617455520313</v>
      </c>
      <c r="J173" s="18">
        <f t="shared" si="11"/>
        <v>17.847104152567749</v>
      </c>
      <c r="K173" s="18">
        <v>46.2</v>
      </c>
      <c r="L173" s="6">
        <v>11.9</v>
      </c>
      <c r="M173" s="18">
        <v>13.9</v>
      </c>
    </row>
    <row r="174" spans="1:13">
      <c r="A174" s="1">
        <v>38780</v>
      </c>
      <c r="B174" s="8" t="s">
        <v>0</v>
      </c>
      <c r="C174" s="18">
        <v>7</v>
      </c>
      <c r="D174" s="8">
        <v>35</v>
      </c>
      <c r="E174" s="18">
        <v>642.65298719339728</v>
      </c>
      <c r="F174" s="18">
        <v>200</v>
      </c>
      <c r="G174" s="90">
        <f t="shared" si="8"/>
        <v>149.91047033816108</v>
      </c>
      <c r="H174" s="15">
        <f t="shared" si="9"/>
        <v>87.997446088500567</v>
      </c>
      <c r="I174" s="18">
        <f t="shared" si="10"/>
        <v>19.938092554975423</v>
      </c>
      <c r="J174" s="18">
        <f t="shared" si="11"/>
        <v>14.841136563477946</v>
      </c>
      <c r="K174" s="18">
        <v>58.7</v>
      </c>
      <c r="L174" s="6">
        <v>9.9</v>
      </c>
      <c r="M174" s="18">
        <v>13.3</v>
      </c>
    </row>
    <row r="175" spans="1:13">
      <c r="A175"/>
      <c r="B175" s="8" t="s">
        <v>1</v>
      </c>
      <c r="C175" s="18">
        <v>6.97</v>
      </c>
      <c r="D175" s="8">
        <v>35</v>
      </c>
      <c r="E175" s="18">
        <v>642.65298719339728</v>
      </c>
      <c r="F175" s="18">
        <v>300</v>
      </c>
      <c r="G175" s="90">
        <f t="shared" si="8"/>
        <v>224.86570550724164</v>
      </c>
      <c r="H175" s="15">
        <f t="shared" si="9"/>
        <v>124.35073514550461</v>
      </c>
      <c r="I175" s="18">
        <f t="shared" si="10"/>
        <v>38.227169936231078</v>
      </c>
      <c r="J175" s="18">
        <f t="shared" si="11"/>
        <v>21.811973434202436</v>
      </c>
      <c r="K175" s="18">
        <v>55.3</v>
      </c>
      <c r="L175" s="6">
        <v>9.6999999999999993</v>
      </c>
      <c r="M175" s="18">
        <v>17</v>
      </c>
    </row>
    <row r="176" spans="1:13">
      <c r="A176" s="1">
        <v>38783</v>
      </c>
      <c r="B176" s="8" t="s">
        <v>0</v>
      </c>
      <c r="C176" s="18">
        <v>7.1</v>
      </c>
      <c r="D176" s="8">
        <v>35</v>
      </c>
      <c r="E176" s="18">
        <v>641.06833395535375</v>
      </c>
      <c r="F176" s="18">
        <v>200</v>
      </c>
      <c r="G176" s="90">
        <f t="shared" si="8"/>
        <v>149.54082121651697</v>
      </c>
      <c r="H176" s="15">
        <f t="shared" si="9"/>
        <v>70.28418597176298</v>
      </c>
      <c r="I176" s="18">
        <f t="shared" si="10"/>
        <v>12.112806518537875</v>
      </c>
      <c r="J176" s="18">
        <f t="shared" si="11"/>
        <v>17.346735261115967</v>
      </c>
      <c r="K176" s="18">
        <v>47</v>
      </c>
      <c r="L176" s="6">
        <v>11.6</v>
      </c>
      <c r="M176" s="18">
        <v>8.1</v>
      </c>
    </row>
    <row r="177" spans="1:13">
      <c r="A177"/>
      <c r="B177" s="8" t="s">
        <v>1</v>
      </c>
      <c r="C177" s="18">
        <v>7.11</v>
      </c>
      <c r="D177" s="8">
        <v>35</v>
      </c>
      <c r="E177" s="18">
        <v>641.06833395535375</v>
      </c>
      <c r="F177" s="18">
        <v>600</v>
      </c>
      <c r="G177" s="90">
        <f t="shared" si="8"/>
        <v>448.62246364955092</v>
      </c>
      <c r="H177" s="15">
        <f t="shared" si="9"/>
        <v>223.41398689747635</v>
      </c>
      <c r="I177" s="18">
        <f t="shared" si="10"/>
        <v>70.882349256629055</v>
      </c>
      <c r="J177" s="18">
        <f t="shared" si="11"/>
        <v>48.00260361050195</v>
      </c>
      <c r="K177" s="18">
        <v>49.8</v>
      </c>
      <c r="L177" s="6">
        <v>10.7</v>
      </c>
      <c r="M177" s="18">
        <v>15.8</v>
      </c>
    </row>
    <row r="178" spans="1:13">
      <c r="A178" s="1">
        <v>38785</v>
      </c>
      <c r="B178" s="8" t="s">
        <v>0</v>
      </c>
      <c r="C178" s="18">
        <v>6.99</v>
      </c>
      <c r="D178" s="8">
        <v>35</v>
      </c>
      <c r="E178" s="18">
        <v>640.22676669899181</v>
      </c>
      <c r="F178" s="18">
        <v>200</v>
      </c>
      <c r="G178" s="90">
        <f t="shared" si="8"/>
        <v>149.34451038355348</v>
      </c>
      <c r="H178" s="15">
        <f>K179/100*G178</f>
        <v>44.952697625449595</v>
      </c>
      <c r="I178" s="18">
        <f t="shared" si="10"/>
        <v>16.278551631807328</v>
      </c>
      <c r="J178" s="18">
        <f t="shared" si="11"/>
        <v>15.233140059122455</v>
      </c>
      <c r="K178" s="18">
        <v>53.5</v>
      </c>
      <c r="L178" s="6">
        <v>10.199999999999999</v>
      </c>
      <c r="M178" s="18">
        <v>10.9</v>
      </c>
    </row>
    <row r="179" spans="1:13">
      <c r="A179"/>
      <c r="B179" s="8" t="s">
        <v>1</v>
      </c>
      <c r="C179" s="18">
        <v>6.98</v>
      </c>
      <c r="D179" s="8">
        <v>35</v>
      </c>
      <c r="E179" s="18">
        <v>640.22676669899181</v>
      </c>
      <c r="F179" s="18">
        <v>400</v>
      </c>
      <c r="G179" s="90">
        <f t="shared" si="8"/>
        <v>298.68902076710697</v>
      </c>
      <c r="H179" s="15">
        <f>K179/100*G179</f>
        <v>89.90539525089919</v>
      </c>
      <c r="I179" s="18">
        <f t="shared" si="10"/>
        <v>22.999054599067236</v>
      </c>
      <c r="J179" s="18">
        <f t="shared" si="11"/>
        <v>49.283688426572652</v>
      </c>
      <c r="K179" s="18">
        <v>30.1</v>
      </c>
      <c r="L179" s="6">
        <v>16.5</v>
      </c>
      <c r="M179" s="18">
        <v>7.7</v>
      </c>
    </row>
    <row r="180" spans="1:13">
      <c r="A180" s="1">
        <v>38787</v>
      </c>
      <c r="B180" s="8" t="s">
        <v>0</v>
      </c>
      <c r="C180" s="18">
        <v>7</v>
      </c>
      <c r="D180" s="8">
        <v>35</v>
      </c>
      <c r="E180" s="18">
        <v>648.21270279127839</v>
      </c>
      <c r="F180" s="18">
        <v>300</v>
      </c>
      <c r="G180" s="90">
        <f t="shared" si="8"/>
        <v>226.81106232538539</v>
      </c>
      <c r="H180" s="15">
        <f t="shared" si="9"/>
        <v>132.23084933569967</v>
      </c>
      <c r="I180" s="18">
        <f t="shared" si="10"/>
        <v>41.960046530196294</v>
      </c>
      <c r="J180" s="18">
        <f t="shared" si="11"/>
        <v>19.278940297657758</v>
      </c>
      <c r="K180" s="18">
        <v>58.3</v>
      </c>
      <c r="L180" s="6">
        <v>8.5</v>
      </c>
      <c r="M180" s="18">
        <v>18.5</v>
      </c>
    </row>
    <row r="181" spans="1:13">
      <c r="A181"/>
      <c r="B181" s="8" t="s">
        <v>1</v>
      </c>
      <c r="C181" s="18">
        <v>6.96</v>
      </c>
      <c r="D181" s="8">
        <v>35</v>
      </c>
      <c r="E181" s="18">
        <v>648.21270279127839</v>
      </c>
      <c r="F181" s="18">
        <v>300</v>
      </c>
      <c r="G181" s="90">
        <f t="shared" si="8"/>
        <v>226.81106232538539</v>
      </c>
      <c r="H181" s="15">
        <f t="shared" si="9"/>
        <v>120.20986303245427</v>
      </c>
      <c r="I181" s="18">
        <f t="shared" si="10"/>
        <v>39.691935906942447</v>
      </c>
      <c r="J181" s="18">
        <f t="shared" si="11"/>
        <v>14.28909692649928</v>
      </c>
      <c r="K181" s="18">
        <v>53</v>
      </c>
      <c r="L181" s="6">
        <v>6.3</v>
      </c>
      <c r="M181" s="18">
        <v>17.5</v>
      </c>
    </row>
    <row r="182" spans="1:13">
      <c r="A182" s="1">
        <v>38790</v>
      </c>
      <c r="B182" s="8" t="s">
        <v>0</v>
      </c>
      <c r="C182" s="18">
        <v>7</v>
      </c>
      <c r="D182" s="8">
        <v>35</v>
      </c>
      <c r="E182" s="18">
        <v>653.00325238612004</v>
      </c>
      <c r="F182" s="18">
        <v>300</v>
      </c>
      <c r="G182" s="90">
        <f t="shared" si="8"/>
        <v>228.48728625319438</v>
      </c>
      <c r="H182" s="15">
        <f t="shared" si="9"/>
        <v>132.52262602685272</v>
      </c>
      <c r="I182" s="18">
        <f t="shared" si="10"/>
        <v>36.557965800511099</v>
      </c>
      <c r="J182" s="18">
        <f t="shared" si="11"/>
        <v>16.679571896483189</v>
      </c>
      <c r="K182" s="18">
        <v>58</v>
      </c>
      <c r="L182" s="6">
        <v>7.3</v>
      </c>
      <c r="M182" s="18">
        <v>16</v>
      </c>
    </row>
    <row r="183" spans="1:13">
      <c r="A183"/>
      <c r="B183" s="8" t="s">
        <v>1</v>
      </c>
      <c r="C183" s="18">
        <v>7</v>
      </c>
      <c r="D183" s="8">
        <v>35</v>
      </c>
      <c r="E183" s="18">
        <v>653.00325238612004</v>
      </c>
      <c r="F183" s="18">
        <v>400</v>
      </c>
      <c r="G183" s="90">
        <f t="shared" si="8"/>
        <v>304.64971500425918</v>
      </c>
      <c r="H183" s="15">
        <f t="shared" si="9"/>
        <v>151.71555807212107</v>
      </c>
      <c r="I183" s="18">
        <f t="shared" si="10"/>
        <v>69.155485305966835</v>
      </c>
      <c r="J183" s="18">
        <f t="shared" si="11"/>
        <v>26.199875490366288</v>
      </c>
      <c r="K183" s="18">
        <v>49.8</v>
      </c>
      <c r="L183" s="6">
        <v>8.6</v>
      </c>
      <c r="M183" s="18">
        <v>22.7</v>
      </c>
    </row>
    <row r="184" spans="1:13">
      <c r="A184" s="1">
        <v>38793</v>
      </c>
      <c r="B184" s="8" t="s">
        <v>0</v>
      </c>
      <c r="C184" s="18">
        <v>7</v>
      </c>
      <c r="D184" s="8">
        <v>35</v>
      </c>
      <c r="E184" s="18">
        <v>646.01030337569262</v>
      </c>
      <c r="F184" s="18">
        <v>300</v>
      </c>
      <c r="G184" s="90">
        <f t="shared" si="8"/>
        <v>226.04043788534776</v>
      </c>
      <c r="H184" s="15">
        <f t="shared" si="9"/>
        <v>131.78157528715772</v>
      </c>
      <c r="I184" s="18">
        <f t="shared" si="10"/>
        <v>29.385256925095209</v>
      </c>
      <c r="J184" s="18">
        <f t="shared" si="11"/>
        <v>18.761356344483865</v>
      </c>
      <c r="K184" s="18">
        <v>58.3</v>
      </c>
      <c r="L184" s="6">
        <v>8.3000000000000007</v>
      </c>
      <c r="M184" s="18">
        <v>13</v>
      </c>
    </row>
    <row r="185" spans="1:13">
      <c r="A185"/>
      <c r="B185" s="8" t="s">
        <v>1</v>
      </c>
      <c r="C185" s="18">
        <v>6.96</v>
      </c>
      <c r="D185" s="8">
        <v>35</v>
      </c>
      <c r="E185" s="18">
        <v>646.01030337569262</v>
      </c>
      <c r="F185" s="18">
        <v>200</v>
      </c>
      <c r="G185" s="90">
        <f t="shared" si="8"/>
        <v>150.69362525689851</v>
      </c>
      <c r="H185" s="15">
        <f t="shared" si="9"/>
        <v>70.976697495999204</v>
      </c>
      <c r="I185" s="18">
        <f t="shared" si="10"/>
        <v>10.548553767982897</v>
      </c>
      <c r="J185" s="18">
        <f t="shared" si="11"/>
        <v>22.604043788534778</v>
      </c>
      <c r="K185" s="18">
        <v>47.1</v>
      </c>
      <c r="L185" s="6">
        <v>15</v>
      </c>
      <c r="M185" s="18">
        <v>7</v>
      </c>
    </row>
    <row r="186" spans="1:13">
      <c r="A186" s="1">
        <v>38795</v>
      </c>
      <c r="B186" s="8" t="s">
        <v>0</v>
      </c>
      <c r="C186" s="18">
        <v>7</v>
      </c>
      <c r="D186" s="8">
        <v>35</v>
      </c>
      <c r="E186" s="18">
        <v>651.13483294553828</v>
      </c>
      <c r="F186" s="18">
        <v>200</v>
      </c>
      <c r="G186" s="90">
        <f t="shared" si="8"/>
        <v>151.88901476474527</v>
      </c>
      <c r="H186" s="15">
        <f t="shared" si="9"/>
        <v>90.677741814552917</v>
      </c>
      <c r="I186" s="18">
        <f t="shared" si="10"/>
        <v>25.66924349524195</v>
      </c>
      <c r="J186" s="18">
        <f t="shared" si="11"/>
        <v>10.176563989237932</v>
      </c>
      <c r="K186" s="18">
        <v>59.7</v>
      </c>
      <c r="L186" s="6">
        <v>6.7</v>
      </c>
      <c r="M186" s="18">
        <v>16.899999999999999</v>
      </c>
    </row>
    <row r="187" spans="1:13">
      <c r="A187"/>
      <c r="B187" s="8" t="s">
        <v>1</v>
      </c>
      <c r="C187" s="18">
        <v>6.92</v>
      </c>
      <c r="D187" s="8">
        <v>35</v>
      </c>
      <c r="E187" s="18">
        <v>651.13483294553828</v>
      </c>
      <c r="F187" s="18">
        <v>250</v>
      </c>
      <c r="G187" s="90">
        <f t="shared" si="8"/>
        <v>189.86126845593162</v>
      </c>
      <c r="H187" s="15">
        <f t="shared" si="9"/>
        <v>92.462437738038702</v>
      </c>
      <c r="I187" s="18">
        <f t="shared" si="10"/>
        <v>15.18890147647453</v>
      </c>
      <c r="J187" s="18">
        <f t="shared" si="11"/>
        <v>21.264462067064343</v>
      </c>
      <c r="K187" s="18">
        <v>48.7</v>
      </c>
      <c r="L187" s="6">
        <v>11.2</v>
      </c>
      <c r="M187" s="18">
        <v>8</v>
      </c>
    </row>
    <row r="188" spans="1:13">
      <c r="A188" s="1">
        <v>38797</v>
      </c>
      <c r="B188" s="8" t="s">
        <v>0</v>
      </c>
      <c r="C188" s="18">
        <v>7</v>
      </c>
      <c r="D188" s="8">
        <v>35</v>
      </c>
      <c r="E188" s="18">
        <v>644.53308425548266</v>
      </c>
      <c r="F188" s="18">
        <v>200</v>
      </c>
      <c r="G188" s="90">
        <f t="shared" si="8"/>
        <v>150.34903709265402</v>
      </c>
      <c r="H188" s="15">
        <f t="shared" si="9"/>
        <v>91.863261663611596</v>
      </c>
      <c r="I188" s="18">
        <f t="shared" si="10"/>
        <v>31.12225067817938</v>
      </c>
      <c r="J188" s="18">
        <f t="shared" si="11"/>
        <v>7.6678008917253546</v>
      </c>
      <c r="K188" s="18">
        <v>61.1</v>
      </c>
      <c r="L188" s="6">
        <v>5.0999999999999996</v>
      </c>
      <c r="M188" s="18">
        <v>20.7</v>
      </c>
    </row>
    <row r="189" spans="1:13">
      <c r="A189"/>
      <c r="B189" s="8" t="s">
        <v>1</v>
      </c>
      <c r="C189" s="18">
        <v>6.92</v>
      </c>
      <c r="D189" s="8">
        <v>35</v>
      </c>
      <c r="E189" s="18">
        <v>644.53308425548266</v>
      </c>
      <c r="F189" s="18">
        <v>250</v>
      </c>
      <c r="G189" s="90">
        <f t="shared" si="8"/>
        <v>187.93629636581753</v>
      </c>
      <c r="H189" s="15">
        <f t="shared" si="9"/>
        <v>94.531957072006222</v>
      </c>
      <c r="I189" s="18">
        <f t="shared" si="10"/>
        <v>54.125653353355446</v>
      </c>
      <c r="J189" s="18">
        <f t="shared" si="11"/>
        <v>9.7726874110225115</v>
      </c>
      <c r="K189" s="18">
        <v>50.3</v>
      </c>
      <c r="L189" s="6">
        <v>5.2</v>
      </c>
      <c r="M189" s="18">
        <v>28.8</v>
      </c>
    </row>
    <row r="190" spans="1:13">
      <c r="A190" s="1">
        <v>38799</v>
      </c>
      <c r="B190" s="8" t="s">
        <v>0</v>
      </c>
      <c r="C190" s="18">
        <v>7</v>
      </c>
      <c r="D190" s="8">
        <v>35</v>
      </c>
      <c r="E190" s="18">
        <v>648.68720347837598</v>
      </c>
      <c r="F190" s="18">
        <v>200</v>
      </c>
      <c r="G190" s="90">
        <f t="shared" si="8"/>
        <v>151.31806077877178</v>
      </c>
      <c r="H190" s="15">
        <f t="shared" si="9"/>
        <v>96.23828665529885</v>
      </c>
      <c r="I190" s="18">
        <f t="shared" si="10"/>
        <v>30.112294094975582</v>
      </c>
      <c r="J190" s="18">
        <f t="shared" si="11"/>
        <v>8.7764475251687628</v>
      </c>
      <c r="K190" s="18">
        <v>63.6</v>
      </c>
      <c r="L190" s="6">
        <v>5.8</v>
      </c>
      <c r="M190" s="18">
        <v>19.899999999999999</v>
      </c>
    </row>
    <row r="191" spans="1:13">
      <c r="A191"/>
      <c r="B191" s="8" t="s">
        <v>1</v>
      </c>
      <c r="C191" s="18">
        <v>6.98</v>
      </c>
      <c r="D191" s="8">
        <v>35</v>
      </c>
      <c r="E191" s="18">
        <v>648.68720347837598</v>
      </c>
      <c r="F191" s="18">
        <v>300</v>
      </c>
      <c r="G191" s="90">
        <f t="shared" si="8"/>
        <v>226.97709116815767</v>
      </c>
      <c r="H191" s="15">
        <f t="shared" si="9"/>
        <v>93.514561561280971</v>
      </c>
      <c r="I191" s="18">
        <f t="shared" si="10"/>
        <v>50.161937148162849</v>
      </c>
      <c r="J191" s="18">
        <f t="shared" si="11"/>
        <v>17.250258928779981</v>
      </c>
      <c r="K191" s="18">
        <v>41.2</v>
      </c>
      <c r="L191" s="6">
        <v>7.6</v>
      </c>
      <c r="M191" s="18">
        <v>22.1</v>
      </c>
    </row>
    <row r="192" spans="1:13">
      <c r="A192" s="1">
        <v>38801</v>
      </c>
      <c r="B192" s="8" t="s">
        <v>0</v>
      </c>
      <c r="C192" s="18">
        <v>7</v>
      </c>
      <c r="D192" s="8">
        <v>35</v>
      </c>
      <c r="E192" s="18">
        <v>642.59927013448043</v>
      </c>
      <c r="F192" s="18">
        <v>200</v>
      </c>
      <c r="G192" s="90">
        <f t="shared" si="8"/>
        <v>149.89793985946127</v>
      </c>
      <c r="H192" s="15">
        <f t="shared" si="9"/>
        <v>94.4357021114606</v>
      </c>
      <c r="I192" s="18">
        <f t="shared" si="10"/>
        <v>37.474484964865319</v>
      </c>
      <c r="J192" s="18">
        <f t="shared" si="11"/>
        <v>11.542141369178518</v>
      </c>
      <c r="K192" s="18">
        <v>63</v>
      </c>
      <c r="L192" s="6">
        <v>7.7</v>
      </c>
      <c r="M192" s="18">
        <v>25</v>
      </c>
    </row>
    <row r="193" spans="1:13">
      <c r="A193"/>
      <c r="B193" s="8" t="s">
        <v>1</v>
      </c>
      <c r="C193" s="18">
        <v>6.94</v>
      </c>
      <c r="D193" s="8">
        <v>35</v>
      </c>
      <c r="E193" s="18">
        <v>642.59927013448043</v>
      </c>
      <c r="F193" s="18">
        <v>500</v>
      </c>
      <c r="G193" s="90">
        <f t="shared" si="8"/>
        <v>374.74484964865314</v>
      </c>
      <c r="H193" s="15">
        <f t="shared" si="9"/>
        <v>183.62497632784005</v>
      </c>
      <c r="I193" s="18">
        <f t="shared" si="10"/>
        <v>97.433660908649813</v>
      </c>
      <c r="J193" s="18">
        <f t="shared" si="11"/>
        <v>31.103822520838211</v>
      </c>
      <c r="K193" s="18">
        <v>49</v>
      </c>
      <c r="L193" s="6">
        <v>8.3000000000000007</v>
      </c>
      <c r="M193" s="18">
        <v>26</v>
      </c>
    </row>
    <row r="194" spans="1:13">
      <c r="A194" s="1">
        <v>38804</v>
      </c>
      <c r="B194" s="8" t="s">
        <v>0</v>
      </c>
      <c r="C194" s="18">
        <v>7</v>
      </c>
      <c r="D194" s="8">
        <v>35</v>
      </c>
      <c r="E194" s="18">
        <v>644.61404909790781</v>
      </c>
      <c r="F194" s="18">
        <v>200</v>
      </c>
      <c r="G194" s="90">
        <f t="shared" si="8"/>
        <v>150.36792361127402</v>
      </c>
      <c r="H194" s="15">
        <f t="shared" si="9"/>
        <v>98.190254118161945</v>
      </c>
      <c r="I194" s="18">
        <f t="shared" si="10"/>
        <v>19.84856591668817</v>
      </c>
      <c r="J194" s="18">
        <f t="shared" si="11"/>
        <v>9.773915034732811</v>
      </c>
      <c r="K194" s="18">
        <v>65.3</v>
      </c>
      <c r="L194" s="6">
        <v>6.5</v>
      </c>
      <c r="M194" s="18">
        <v>13.2</v>
      </c>
    </row>
    <row r="195" spans="1:13">
      <c r="A195"/>
      <c r="B195" s="8" t="s">
        <v>1</v>
      </c>
      <c r="C195" s="18">
        <v>6.95</v>
      </c>
      <c r="D195" s="8">
        <v>35</v>
      </c>
      <c r="E195" s="18">
        <v>644.61404909790781</v>
      </c>
      <c r="F195" s="18">
        <v>600</v>
      </c>
      <c r="G195" s="90">
        <f t="shared" si="8"/>
        <v>451.10377083382207</v>
      </c>
      <c r="H195" s="15">
        <f t="shared" si="9"/>
        <v>192.62131014604205</v>
      </c>
      <c r="I195" s="18">
        <f t="shared" si="10"/>
        <v>60.89900906256598</v>
      </c>
      <c r="J195" s="18">
        <f t="shared" si="11"/>
        <v>53.68134872922483</v>
      </c>
      <c r="K195" s="18">
        <v>42.7</v>
      </c>
      <c r="L195" s="6">
        <v>11.9</v>
      </c>
      <c r="M195" s="18">
        <v>13.5</v>
      </c>
    </row>
    <row r="196" spans="1:13">
      <c r="A196" s="1">
        <v>38806</v>
      </c>
      <c r="B196" s="8" t="s">
        <v>0</v>
      </c>
      <c r="C196" s="18">
        <v>7.04</v>
      </c>
      <c r="D196" s="8">
        <v>35</v>
      </c>
      <c r="E196" s="18">
        <v>638.75850042193451</v>
      </c>
      <c r="F196" s="18">
        <v>300</v>
      </c>
      <c r="G196" s="90">
        <f t="shared" ref="G196:G259" si="12">(E196*F196*273.15)/((D196+273.15)*760)</f>
        <v>223.50301594863839</v>
      </c>
      <c r="H196" s="15">
        <f t="shared" ref="H196:H259" si="13">K196/100*G196</f>
        <v>141.25390607953946</v>
      </c>
      <c r="I196" s="18">
        <f t="shared" ref="I196:I259" si="14">(M196*G196)/100</f>
        <v>29.949404137117543</v>
      </c>
      <c r="J196" s="18">
        <f t="shared" ref="J196:J259" si="15">(L196*G196)/100</f>
        <v>14.08069000476422</v>
      </c>
      <c r="K196" s="18">
        <v>63.2</v>
      </c>
      <c r="L196" s="6">
        <v>6.3</v>
      </c>
      <c r="M196" s="18">
        <v>13.4</v>
      </c>
    </row>
    <row r="197" spans="1:13">
      <c r="A197"/>
      <c r="B197" s="8" t="s">
        <v>1</v>
      </c>
      <c r="C197" s="18">
        <v>6.95</v>
      </c>
      <c r="D197" s="8">
        <v>35</v>
      </c>
      <c r="E197" s="18">
        <v>638.75850042193451</v>
      </c>
      <c r="F197" s="18">
        <v>500</v>
      </c>
      <c r="G197" s="90">
        <f t="shared" si="12"/>
        <v>372.50502658106404</v>
      </c>
      <c r="H197" s="15">
        <f t="shared" si="13"/>
        <v>98.341327017400914</v>
      </c>
      <c r="I197" s="18">
        <f t="shared" si="14"/>
        <v>30.545412179647251</v>
      </c>
      <c r="J197" s="18">
        <f t="shared" si="15"/>
        <v>56.620764040321731</v>
      </c>
      <c r="K197" s="18">
        <v>26.4</v>
      </c>
      <c r="L197" s="6">
        <v>15.2</v>
      </c>
      <c r="M197" s="18">
        <v>8.1999999999999993</v>
      </c>
    </row>
    <row r="198" spans="1:13">
      <c r="A198" s="1">
        <v>38808</v>
      </c>
      <c r="B198" s="8" t="s">
        <v>0</v>
      </c>
      <c r="C198" s="18">
        <v>6.98</v>
      </c>
      <c r="D198" s="8">
        <v>35</v>
      </c>
      <c r="E198" s="18">
        <v>642.53660023241093</v>
      </c>
      <c r="F198" s="18">
        <v>200</v>
      </c>
      <c r="G198" s="90">
        <f t="shared" si="12"/>
        <v>149.88332096764481</v>
      </c>
      <c r="H198" s="15">
        <f t="shared" si="13"/>
        <v>103.26960814670728</v>
      </c>
      <c r="I198" s="18">
        <f t="shared" si="14"/>
        <v>30.426314156431896</v>
      </c>
      <c r="J198" s="18">
        <f t="shared" si="15"/>
        <v>6.5948661225763718</v>
      </c>
      <c r="K198" s="18">
        <v>68.900000000000006</v>
      </c>
      <c r="L198" s="6">
        <v>4.4000000000000004</v>
      </c>
      <c r="M198" s="18">
        <v>20.3</v>
      </c>
    </row>
    <row r="199" spans="1:13">
      <c r="A199"/>
      <c r="B199" s="8" t="s">
        <v>1</v>
      </c>
      <c r="C199" s="18">
        <v>6.93</v>
      </c>
      <c r="D199" s="8">
        <v>35</v>
      </c>
      <c r="E199" s="18">
        <v>642.53660023241093</v>
      </c>
      <c r="F199" s="18">
        <v>400</v>
      </c>
      <c r="G199" s="90">
        <f t="shared" si="12"/>
        <v>299.76664193528961</v>
      </c>
      <c r="H199" s="15">
        <f t="shared" si="13"/>
        <v>155.57888716441531</v>
      </c>
      <c r="I199" s="18">
        <f t="shared" si="14"/>
        <v>90.829292506392761</v>
      </c>
      <c r="J199" s="18">
        <f t="shared" si="15"/>
        <v>10.791599109670425</v>
      </c>
      <c r="K199" s="18">
        <v>51.9</v>
      </c>
      <c r="L199" s="6">
        <v>3.6</v>
      </c>
      <c r="M199" s="18">
        <v>30.3</v>
      </c>
    </row>
    <row r="200" spans="1:13">
      <c r="A200" s="1">
        <v>38811</v>
      </c>
      <c r="B200" s="8" t="s">
        <v>0</v>
      </c>
      <c r="C200" s="18">
        <v>6.99</v>
      </c>
      <c r="D200" s="8">
        <v>35</v>
      </c>
      <c r="E200" s="18">
        <v>637.51405522369714</v>
      </c>
      <c r="F200" s="18">
        <v>400</v>
      </c>
      <c r="G200" s="90">
        <f t="shared" si="12"/>
        <v>297.42344241842727</v>
      </c>
      <c r="H200" s="15">
        <f t="shared" si="13"/>
        <v>193.32523757197774</v>
      </c>
      <c r="I200" s="18">
        <f t="shared" si="14"/>
        <v>54.131066520153766</v>
      </c>
      <c r="J200" s="18">
        <f t="shared" si="15"/>
        <v>19.332523757197773</v>
      </c>
      <c r="K200" s="18">
        <v>65</v>
      </c>
      <c r="L200" s="6">
        <v>6.5</v>
      </c>
      <c r="M200" s="18">
        <v>18.2</v>
      </c>
    </row>
    <row r="201" spans="1:13">
      <c r="A201"/>
      <c r="B201" s="8" t="s">
        <v>1</v>
      </c>
      <c r="C201" s="18">
        <v>6.68</v>
      </c>
      <c r="D201" s="8">
        <v>35</v>
      </c>
      <c r="E201" s="18">
        <v>637.51405522369714</v>
      </c>
      <c r="F201" s="18">
        <v>600</v>
      </c>
      <c r="G201" s="90">
        <f t="shared" si="12"/>
        <v>446.13516362764085</v>
      </c>
      <c r="H201" s="15">
        <f t="shared" si="13"/>
        <v>166.40841603311003</v>
      </c>
      <c r="I201" s="18">
        <f t="shared" si="14"/>
        <v>130.71760294289876</v>
      </c>
      <c r="J201" s="18">
        <f t="shared" si="15"/>
        <v>28.998785635796658</v>
      </c>
      <c r="K201" s="18">
        <v>37.299999999999997</v>
      </c>
      <c r="L201" s="6">
        <v>6.5</v>
      </c>
      <c r="M201" s="18">
        <v>29.3</v>
      </c>
    </row>
    <row r="202" spans="1:13">
      <c r="A202" s="1">
        <v>38813</v>
      </c>
      <c r="B202" s="8" t="s">
        <v>0</v>
      </c>
      <c r="C202" s="18">
        <v>6.99</v>
      </c>
      <c r="D202" s="8">
        <v>35</v>
      </c>
      <c r="E202" s="18">
        <v>650.99703701179521</v>
      </c>
      <c r="F202" s="18">
        <v>315</v>
      </c>
      <c r="G202" s="90">
        <f t="shared" si="12"/>
        <v>239.17457239650946</v>
      </c>
      <c r="H202" s="15">
        <f t="shared" si="13"/>
        <v>170.29229554631476</v>
      </c>
      <c r="I202" s="18">
        <f t="shared" si="14"/>
        <v>53.575104216818119</v>
      </c>
      <c r="J202" s="18">
        <f t="shared" si="15"/>
        <v>11.480379475032453</v>
      </c>
      <c r="K202" s="18">
        <v>71.2</v>
      </c>
      <c r="L202" s="6">
        <v>4.8</v>
      </c>
      <c r="M202" s="18">
        <v>22.4</v>
      </c>
    </row>
    <row r="203" spans="1:13">
      <c r="A203"/>
      <c r="B203" s="8" t="s">
        <v>1</v>
      </c>
      <c r="C203" s="18">
        <v>7.88</v>
      </c>
      <c r="D203" s="8">
        <v>35</v>
      </c>
      <c r="E203" s="18">
        <v>650.99703701179521</v>
      </c>
      <c r="F203" s="18">
        <v>300</v>
      </c>
      <c r="G203" s="90">
        <f t="shared" si="12"/>
        <v>227.78530704429474</v>
      </c>
      <c r="H203" s="15">
        <f t="shared" si="13"/>
        <v>41.45692588206164</v>
      </c>
      <c r="I203" s="18">
        <f t="shared" si="14"/>
        <v>32.345513600289848</v>
      </c>
      <c r="J203" s="18">
        <f t="shared" si="15"/>
        <v>34.395581363688507</v>
      </c>
      <c r="K203" s="18">
        <v>18.2</v>
      </c>
      <c r="L203" s="6">
        <v>15.1</v>
      </c>
      <c r="M203" s="18">
        <v>14.2</v>
      </c>
    </row>
    <row r="204" spans="1:13">
      <c r="A204" s="1">
        <v>38815</v>
      </c>
      <c r="B204" s="8" t="s">
        <v>0</v>
      </c>
      <c r="C204" s="18">
        <v>7</v>
      </c>
      <c r="D204" s="8">
        <v>35</v>
      </c>
      <c r="E204" s="18">
        <v>644.88224513844136</v>
      </c>
      <c r="F204" s="18">
        <v>300</v>
      </c>
      <c r="G204" s="90">
        <f t="shared" si="12"/>
        <v>225.64572780630411</v>
      </c>
      <c r="H204" s="15">
        <f t="shared" si="13"/>
        <v>153.43909490828682</v>
      </c>
      <c r="I204" s="18">
        <f t="shared" si="14"/>
        <v>59.119180685251678</v>
      </c>
      <c r="J204" s="18">
        <f t="shared" si="15"/>
        <v>9.9284120234773816</v>
      </c>
      <c r="K204" s="18">
        <v>68</v>
      </c>
      <c r="L204" s="6">
        <v>4.4000000000000004</v>
      </c>
      <c r="M204" s="18">
        <v>26.2</v>
      </c>
    </row>
    <row r="205" spans="1:13">
      <c r="A205"/>
      <c r="B205" s="8" t="s">
        <v>1</v>
      </c>
      <c r="C205" s="18">
        <v>7</v>
      </c>
      <c r="D205" s="8">
        <v>35</v>
      </c>
      <c r="E205" s="18">
        <v>644.88224513844136</v>
      </c>
      <c r="F205" s="18">
        <v>400</v>
      </c>
      <c r="G205" s="90">
        <f t="shared" si="12"/>
        <v>300.86097040840542</v>
      </c>
      <c r="H205" s="15">
        <f t="shared" si="13"/>
        <v>46.332589442894431</v>
      </c>
      <c r="I205" s="18">
        <f t="shared" si="14"/>
        <v>24.068877632672432</v>
      </c>
      <c r="J205" s="18">
        <f t="shared" si="15"/>
        <v>47.536033324528063</v>
      </c>
      <c r="K205" s="18">
        <v>15.4</v>
      </c>
      <c r="L205" s="6">
        <v>15.8</v>
      </c>
      <c r="M205" s="18">
        <v>8</v>
      </c>
    </row>
    <row r="206" spans="1:13">
      <c r="A206" s="1">
        <v>38820</v>
      </c>
      <c r="B206" s="8" t="s">
        <v>0</v>
      </c>
      <c r="C206" s="18">
        <v>6.96</v>
      </c>
      <c r="D206" s="8">
        <v>35</v>
      </c>
      <c r="E206" s="18">
        <v>645.74171808110896</v>
      </c>
      <c r="F206" s="18">
        <v>400</v>
      </c>
      <c r="G206" s="90">
        <f t="shared" si="12"/>
        <v>301.26194572679907</v>
      </c>
      <c r="H206" s="15">
        <f t="shared" si="13"/>
        <v>182.56473911044023</v>
      </c>
      <c r="I206" s="18">
        <f t="shared" si="14"/>
        <v>58.444817470999013</v>
      </c>
      <c r="J206" s="18">
        <f t="shared" si="15"/>
        <v>17.473192852154344</v>
      </c>
      <c r="K206" s="18">
        <v>60.6</v>
      </c>
      <c r="L206" s="6">
        <v>5.8</v>
      </c>
      <c r="M206" s="18">
        <v>19.399999999999999</v>
      </c>
    </row>
    <row r="207" spans="1:13">
      <c r="A207"/>
      <c r="B207" s="8" t="s">
        <v>1</v>
      </c>
      <c r="C207" s="18">
        <v>6.9</v>
      </c>
      <c r="D207" s="8">
        <v>35</v>
      </c>
      <c r="E207" s="18">
        <v>645.74171808110896</v>
      </c>
      <c r="F207" s="18">
        <v>550</v>
      </c>
      <c r="G207" s="90">
        <f t="shared" si="12"/>
        <v>414.23517537434867</v>
      </c>
      <c r="H207" s="15">
        <f t="shared" si="13"/>
        <v>67.93456876139318</v>
      </c>
      <c r="I207" s="18">
        <f t="shared" si="14"/>
        <v>39.766576835937471</v>
      </c>
      <c r="J207" s="18">
        <f t="shared" si="15"/>
        <v>62.963746656900994</v>
      </c>
      <c r="K207" s="18">
        <v>16.399999999999999</v>
      </c>
      <c r="L207" s="6">
        <v>15.2</v>
      </c>
      <c r="M207" s="18">
        <v>9.6</v>
      </c>
    </row>
    <row r="208" spans="1:13">
      <c r="A208" s="1">
        <v>38822</v>
      </c>
      <c r="B208" s="8" t="s">
        <v>0</v>
      </c>
      <c r="C208" s="18">
        <v>6.95</v>
      </c>
      <c r="D208" s="8">
        <v>35</v>
      </c>
      <c r="E208" s="18">
        <v>644.67999999999995</v>
      </c>
      <c r="F208" s="18">
        <v>100</v>
      </c>
      <c r="G208" s="90">
        <f t="shared" si="12"/>
        <v>75.191653927940081</v>
      </c>
      <c r="H208" s="15">
        <f t="shared" si="13"/>
        <v>43.084817700709664</v>
      </c>
      <c r="I208" s="18">
        <f t="shared" si="14"/>
        <v>21.880771293030566</v>
      </c>
      <c r="J208" s="18">
        <f t="shared" si="15"/>
        <v>2.3309412717661426</v>
      </c>
      <c r="K208" s="18">
        <v>57.3</v>
      </c>
      <c r="L208" s="6">
        <v>3.1</v>
      </c>
      <c r="M208" s="18">
        <v>29.1</v>
      </c>
    </row>
    <row r="209" spans="1:13">
      <c r="A209"/>
      <c r="B209" s="8" t="s">
        <v>1</v>
      </c>
      <c r="C209" s="18">
        <v>6.85</v>
      </c>
      <c r="D209" s="8">
        <v>35</v>
      </c>
      <c r="E209" s="18">
        <v>644.67999999999995</v>
      </c>
      <c r="F209" s="18">
        <v>900</v>
      </c>
      <c r="G209" s="90">
        <f t="shared" si="12"/>
        <v>676.72488535146078</v>
      </c>
      <c r="H209" s="15">
        <f t="shared" si="13"/>
        <v>138.72860149704945</v>
      </c>
      <c r="I209" s="18">
        <f t="shared" si="14"/>
        <v>92.711309293150123</v>
      </c>
      <c r="J209" s="18">
        <f t="shared" si="15"/>
        <v>91.3578595224472</v>
      </c>
      <c r="K209" s="18">
        <v>20.5</v>
      </c>
      <c r="L209" s="6">
        <v>13.5</v>
      </c>
      <c r="M209" s="18">
        <v>13.7</v>
      </c>
    </row>
    <row r="210" spans="1:13">
      <c r="A210" s="1">
        <v>38825</v>
      </c>
      <c r="B210" s="8" t="s">
        <v>0</v>
      </c>
      <c r="C210" s="18">
        <v>6.98</v>
      </c>
      <c r="D210" s="8">
        <v>35</v>
      </c>
      <c r="E210" s="18">
        <v>640.96</v>
      </c>
      <c r="F210" s="18">
        <v>300</v>
      </c>
      <c r="G210" s="90">
        <f t="shared" si="12"/>
        <v>224.27332553353205</v>
      </c>
      <c r="H210" s="15">
        <f t="shared" si="13"/>
        <v>131.19989543711623</v>
      </c>
      <c r="I210" s="18">
        <f t="shared" si="14"/>
        <v>44.854665106706406</v>
      </c>
      <c r="J210" s="18">
        <f t="shared" si="15"/>
        <v>13.456399532011924</v>
      </c>
      <c r="K210" s="18">
        <v>58.5</v>
      </c>
      <c r="L210" s="6">
        <v>6</v>
      </c>
      <c r="M210" s="18">
        <v>20</v>
      </c>
    </row>
    <row r="211" spans="1:13">
      <c r="A211"/>
      <c r="B211" s="8" t="s">
        <v>1</v>
      </c>
      <c r="C211" s="18">
        <v>6.93</v>
      </c>
      <c r="D211" s="8">
        <v>35</v>
      </c>
      <c r="E211" s="18">
        <v>640.96</v>
      </c>
      <c r="F211" s="18">
        <v>1250</v>
      </c>
      <c r="G211" s="90">
        <f t="shared" si="12"/>
        <v>934.47218972305006</v>
      </c>
      <c r="H211" s="15">
        <f t="shared" si="13"/>
        <v>280.34165691691499</v>
      </c>
      <c r="I211" s="18">
        <f t="shared" si="14"/>
        <v>149.51555035568802</v>
      </c>
      <c r="J211" s="18">
        <f t="shared" si="15"/>
        <v>111.20219057704297</v>
      </c>
      <c r="K211" s="18">
        <v>30</v>
      </c>
      <c r="L211" s="6">
        <v>11.9</v>
      </c>
      <c r="M211" s="18">
        <v>16</v>
      </c>
    </row>
    <row r="212" spans="1:13">
      <c r="A212" s="1">
        <v>38827</v>
      </c>
      <c r="B212" s="8" t="s">
        <v>0</v>
      </c>
      <c r="C212" s="18">
        <v>7</v>
      </c>
      <c r="D212" s="8">
        <v>35</v>
      </c>
      <c r="E212" s="18">
        <v>636.91</v>
      </c>
      <c r="F212" s="18">
        <v>150</v>
      </c>
      <c r="G212" s="90">
        <f t="shared" si="12"/>
        <v>111.4281107756817</v>
      </c>
      <c r="H212" s="15">
        <f t="shared" si="13"/>
        <v>62.399742034381759</v>
      </c>
      <c r="I212" s="18">
        <f t="shared" si="14"/>
        <v>26.631318475387925</v>
      </c>
      <c r="J212" s="18">
        <f t="shared" si="15"/>
        <v>5.7942617603354485</v>
      </c>
      <c r="K212" s="18">
        <v>56</v>
      </c>
      <c r="L212" s="6">
        <v>5.2</v>
      </c>
      <c r="M212" s="18">
        <v>23.9</v>
      </c>
    </row>
    <row r="213" spans="1:13">
      <c r="A213"/>
      <c r="B213" s="8" t="s">
        <v>1</v>
      </c>
      <c r="C213" s="18">
        <v>6.91</v>
      </c>
      <c r="D213" s="8">
        <v>35</v>
      </c>
      <c r="E213" s="18">
        <v>636.91</v>
      </c>
      <c r="F213" s="18">
        <v>800</v>
      </c>
      <c r="G213" s="90">
        <f t="shared" si="12"/>
        <v>594.28325747030237</v>
      </c>
      <c r="H213" s="15">
        <f t="shared" si="13"/>
        <v>215.72482246171975</v>
      </c>
      <c r="I213" s="18">
        <f t="shared" si="14"/>
        <v>129.55375012852591</v>
      </c>
      <c r="J213" s="18">
        <f t="shared" si="15"/>
        <v>45.759810825213279</v>
      </c>
      <c r="K213" s="18">
        <v>36.299999999999997</v>
      </c>
      <c r="L213" s="6">
        <v>7.7</v>
      </c>
      <c r="M213" s="18">
        <v>21.8</v>
      </c>
    </row>
    <row r="214" spans="1:13">
      <c r="A214" s="1">
        <v>38829</v>
      </c>
      <c r="B214" s="8" t="s">
        <v>0</v>
      </c>
      <c r="C214" s="18">
        <v>7</v>
      </c>
      <c r="D214" s="8">
        <v>35</v>
      </c>
      <c r="E214" s="18">
        <v>644.79</v>
      </c>
      <c r="F214" s="18">
        <v>150</v>
      </c>
      <c r="G214" s="90">
        <f t="shared" si="12"/>
        <v>112.8067255138902</v>
      </c>
      <c r="H214" s="15">
        <f t="shared" si="13"/>
        <v>63.171766287778517</v>
      </c>
      <c r="I214" s="18">
        <f t="shared" si="14"/>
        <v>27.299227574361424</v>
      </c>
      <c r="J214" s="18">
        <f t="shared" si="15"/>
        <v>5.7531430012084002</v>
      </c>
      <c r="K214" s="18">
        <v>56</v>
      </c>
      <c r="L214" s="6">
        <v>5.0999999999999996</v>
      </c>
      <c r="M214" s="18">
        <v>24.2</v>
      </c>
    </row>
    <row r="215" spans="1:13">
      <c r="A215"/>
      <c r="B215" s="8" t="s">
        <v>1</v>
      </c>
      <c r="C215" s="18">
        <v>7</v>
      </c>
      <c r="D215" s="8">
        <v>35</v>
      </c>
      <c r="E215" s="18">
        <v>644.79</v>
      </c>
      <c r="F215" s="18">
        <v>600</v>
      </c>
      <c r="G215" s="90">
        <f t="shared" si="12"/>
        <v>451.2269020555608</v>
      </c>
      <c r="H215" s="15">
        <f t="shared" si="13"/>
        <v>179.58830701811317</v>
      </c>
      <c r="I215" s="18">
        <f t="shared" si="14"/>
        <v>94.757649431667758</v>
      </c>
      <c r="J215" s="18">
        <f t="shared" si="15"/>
        <v>39.256740478833784</v>
      </c>
      <c r="K215" s="18">
        <v>39.799999999999997</v>
      </c>
      <c r="L215" s="6">
        <v>8.6999999999999993</v>
      </c>
      <c r="M215" s="18">
        <v>21</v>
      </c>
    </row>
    <row r="216" spans="1:13">
      <c r="A216" s="1">
        <v>38832</v>
      </c>
      <c r="B216" s="8" t="s">
        <v>0</v>
      </c>
      <c r="C216" s="18">
        <v>6.92</v>
      </c>
      <c r="D216" s="8">
        <v>35</v>
      </c>
      <c r="E216" s="18">
        <v>640.91</v>
      </c>
      <c r="F216" s="18">
        <v>250</v>
      </c>
      <c r="G216" s="90">
        <f t="shared" si="12"/>
        <v>186.87985868553423</v>
      </c>
      <c r="H216" s="15">
        <f t="shared" si="13"/>
        <v>109.13783747235199</v>
      </c>
      <c r="I216" s="18">
        <f t="shared" si="14"/>
        <v>56.063957605660271</v>
      </c>
      <c r="J216" s="18">
        <f t="shared" si="15"/>
        <v>5.6063957605660271</v>
      </c>
      <c r="K216" s="18">
        <v>58.4</v>
      </c>
      <c r="L216" s="6">
        <v>3</v>
      </c>
      <c r="M216" s="18">
        <v>30</v>
      </c>
    </row>
    <row r="217" spans="1:13">
      <c r="A217"/>
      <c r="B217" s="8" t="s">
        <v>1</v>
      </c>
      <c r="C217" s="18">
        <v>6.97</v>
      </c>
      <c r="D217" s="8">
        <v>35</v>
      </c>
      <c r="E217" s="18">
        <v>640.91</v>
      </c>
      <c r="F217" s="18">
        <v>600</v>
      </c>
      <c r="G217" s="90">
        <f t="shared" si="12"/>
        <v>448.51166084528211</v>
      </c>
      <c r="H217" s="15">
        <f t="shared" si="13"/>
        <v>208.55792229305618</v>
      </c>
      <c r="I217" s="18">
        <f t="shared" si="14"/>
        <v>107.19428694202242</v>
      </c>
      <c r="J217" s="18">
        <f t="shared" si="15"/>
        <v>30.0502812766339</v>
      </c>
      <c r="K217" s="18">
        <v>46.5</v>
      </c>
      <c r="L217" s="6">
        <v>6.7</v>
      </c>
      <c r="M217" s="18">
        <v>23.9</v>
      </c>
    </row>
    <row r="218" spans="1:13">
      <c r="A218" s="1">
        <v>38834</v>
      </c>
      <c r="B218" s="8" t="s">
        <v>0</v>
      </c>
      <c r="C218" s="18">
        <v>6.96</v>
      </c>
      <c r="D218" s="8">
        <v>35</v>
      </c>
      <c r="E218" s="18">
        <v>636.79999999999995</v>
      </c>
      <c r="F218" s="18">
        <v>300</v>
      </c>
      <c r="G218" s="90">
        <f t="shared" si="12"/>
        <v>222.81773230740325</v>
      </c>
      <c r="H218" s="15">
        <f t="shared" si="13"/>
        <v>131.46246206136792</v>
      </c>
      <c r="I218" s="18">
        <f t="shared" si="14"/>
        <v>50.802442966087938</v>
      </c>
      <c r="J218" s="18">
        <f t="shared" si="15"/>
        <v>11.809339812292372</v>
      </c>
      <c r="K218" s="18">
        <v>59</v>
      </c>
      <c r="L218" s="6">
        <v>5.3</v>
      </c>
      <c r="M218" s="18">
        <v>22.8</v>
      </c>
    </row>
    <row r="219" spans="1:13">
      <c r="A219"/>
      <c r="B219" s="8" t="s">
        <v>1</v>
      </c>
      <c r="C219" s="18">
        <v>6.92</v>
      </c>
      <c r="D219" s="8">
        <v>35</v>
      </c>
      <c r="E219" s="18">
        <v>636.79999999999995</v>
      </c>
      <c r="F219" s="18">
        <v>500</v>
      </c>
      <c r="G219" s="90">
        <f t="shared" si="12"/>
        <v>371.3628871790055</v>
      </c>
      <c r="H219" s="15">
        <f t="shared" si="13"/>
        <v>170.45556521516352</v>
      </c>
      <c r="I219" s="18">
        <f t="shared" si="14"/>
        <v>80.214383630665182</v>
      </c>
      <c r="J219" s="18">
        <f t="shared" si="15"/>
        <v>11.140886615370164</v>
      </c>
      <c r="K219" s="18">
        <v>45.9</v>
      </c>
      <c r="L219" s="6">
        <v>3</v>
      </c>
      <c r="M219" s="18">
        <v>21.6</v>
      </c>
    </row>
    <row r="220" spans="1:13">
      <c r="A220" s="1">
        <v>38836</v>
      </c>
      <c r="B220" s="8" t="s">
        <v>0</v>
      </c>
      <c r="C220" s="18">
        <v>6.96</v>
      </c>
      <c r="D220" s="8">
        <v>35</v>
      </c>
      <c r="E220" s="18">
        <v>641.6</v>
      </c>
      <c r="F220" s="18">
        <v>200</v>
      </c>
      <c r="G220" s="90">
        <f t="shared" si="12"/>
        <v>149.66484196862433</v>
      </c>
      <c r="H220" s="15">
        <f t="shared" si="13"/>
        <v>94.288850440233333</v>
      </c>
      <c r="I220" s="18">
        <f t="shared" si="14"/>
        <v>30.381962919630741</v>
      </c>
      <c r="J220" s="18">
        <f t="shared" si="15"/>
        <v>5.5375991528390998</v>
      </c>
      <c r="K220" s="18">
        <v>63</v>
      </c>
      <c r="L220" s="6">
        <v>3.7</v>
      </c>
      <c r="M220" s="18">
        <v>20.3</v>
      </c>
    </row>
    <row r="221" spans="1:13">
      <c r="A221"/>
      <c r="B221" s="8" t="s">
        <v>1</v>
      </c>
      <c r="C221" s="18">
        <v>6.96</v>
      </c>
      <c r="D221" s="8">
        <v>35</v>
      </c>
      <c r="E221" s="18">
        <v>641.6</v>
      </c>
      <c r="F221" s="18">
        <v>500</v>
      </c>
      <c r="G221" s="90">
        <f t="shared" si="12"/>
        <v>374.1621049215608</v>
      </c>
      <c r="H221" s="15">
        <f t="shared" si="13"/>
        <v>157.89640827689868</v>
      </c>
      <c r="I221" s="18">
        <f t="shared" si="14"/>
        <v>58.369288367763481</v>
      </c>
      <c r="J221" s="18">
        <f t="shared" si="15"/>
        <v>33.674589442940473</v>
      </c>
      <c r="K221" s="18">
        <v>42.2</v>
      </c>
      <c r="L221" s="6">
        <v>9</v>
      </c>
      <c r="M221" s="18">
        <v>15.6</v>
      </c>
    </row>
    <row r="222" spans="1:13">
      <c r="A222" s="1">
        <v>38838</v>
      </c>
      <c r="B222" s="8" t="s">
        <v>0</v>
      </c>
      <c r="C222" s="18">
        <v>6.99</v>
      </c>
      <c r="D222" s="8">
        <v>35</v>
      </c>
      <c r="E222" s="18">
        <v>640.98</v>
      </c>
      <c r="F222" s="18">
        <v>400</v>
      </c>
      <c r="G222" s="90">
        <f t="shared" si="12"/>
        <v>299.04043143718457</v>
      </c>
      <c r="H222" s="15">
        <f t="shared" si="13"/>
        <v>185.40506749105444</v>
      </c>
      <c r="I222" s="18">
        <f t="shared" si="14"/>
        <v>63.09753103324595</v>
      </c>
      <c r="J222" s="18">
        <f t="shared" si="15"/>
        <v>19.138587611979812</v>
      </c>
      <c r="K222" s="18">
        <v>62</v>
      </c>
      <c r="L222" s="6">
        <v>6.4</v>
      </c>
      <c r="M222" s="18">
        <v>21.1</v>
      </c>
    </row>
    <row r="223" spans="1:13">
      <c r="A223"/>
      <c r="B223" s="8" t="s">
        <v>1</v>
      </c>
      <c r="C223" s="18">
        <v>7</v>
      </c>
      <c r="D223" s="8">
        <v>35</v>
      </c>
      <c r="E223" s="18">
        <v>640.98</v>
      </c>
      <c r="F223" s="18">
        <v>600</v>
      </c>
      <c r="G223" s="90">
        <f t="shared" si="12"/>
        <v>448.56064715577685</v>
      </c>
      <c r="H223" s="15">
        <f t="shared" si="13"/>
        <v>198.44323030171569</v>
      </c>
      <c r="I223" s="18">
        <f t="shared" si="14"/>
        <v>74.10221891013434</v>
      </c>
      <c r="J223" s="18">
        <f t="shared" si="15"/>
        <v>40.863874955891269</v>
      </c>
      <c r="K223" s="18">
        <v>44.24</v>
      </c>
      <c r="L223" s="6">
        <v>9.11</v>
      </c>
      <c r="M223" s="18">
        <v>16.52</v>
      </c>
    </row>
    <row r="224" spans="1:13">
      <c r="A224" s="1">
        <v>38841</v>
      </c>
      <c r="B224" s="8" t="s">
        <v>0</v>
      </c>
      <c r="C224" s="18">
        <v>6.99</v>
      </c>
      <c r="D224" s="8">
        <v>35</v>
      </c>
      <c r="E224" s="18">
        <v>644.47</v>
      </c>
      <c r="F224" s="18">
        <v>300</v>
      </c>
      <c r="G224" s="90">
        <f t="shared" si="12"/>
        <v>225.50148231807819</v>
      </c>
      <c r="H224" s="15">
        <f t="shared" si="13"/>
        <v>137.39805317640503</v>
      </c>
      <c r="I224" s="18">
        <f t="shared" si="14"/>
        <v>49.362274479427313</v>
      </c>
      <c r="J224" s="18">
        <f t="shared" si="15"/>
        <v>12.763383899203225</v>
      </c>
      <c r="K224" s="18">
        <v>60.93</v>
      </c>
      <c r="L224" s="6">
        <v>5.66</v>
      </c>
      <c r="M224" s="18">
        <v>21.89</v>
      </c>
    </row>
    <row r="225" spans="1:13">
      <c r="A225"/>
      <c r="B225" s="8" t="s">
        <v>1</v>
      </c>
      <c r="C225" s="18">
        <v>7</v>
      </c>
      <c r="D225" s="8">
        <v>35</v>
      </c>
      <c r="E225" s="18">
        <v>644.47</v>
      </c>
      <c r="F225" s="18">
        <v>500</v>
      </c>
      <c r="G225" s="90">
        <f t="shared" si="12"/>
        <v>375.8358038634637</v>
      </c>
      <c r="H225" s="15">
        <f t="shared" si="13"/>
        <v>173.89922644762467</v>
      </c>
      <c r="I225" s="18">
        <f t="shared" si="14"/>
        <v>65.545764193788074</v>
      </c>
      <c r="J225" s="18">
        <f t="shared" si="15"/>
        <v>34.652061116211357</v>
      </c>
      <c r="K225" s="18">
        <v>46.27</v>
      </c>
      <c r="L225" s="6">
        <v>9.2200000000000006</v>
      </c>
      <c r="M225" s="18">
        <v>17.440000000000001</v>
      </c>
    </row>
    <row r="226" spans="1:13">
      <c r="A226" s="1">
        <v>38846</v>
      </c>
      <c r="B226" s="8" t="s">
        <v>0</v>
      </c>
      <c r="C226" s="18">
        <v>6.94</v>
      </c>
      <c r="D226" s="8">
        <v>35</v>
      </c>
      <c r="E226" s="18">
        <v>639.46</v>
      </c>
      <c r="F226" s="18">
        <v>550</v>
      </c>
      <c r="G226" s="90">
        <f t="shared" si="12"/>
        <v>410.20553237913867</v>
      </c>
      <c r="H226" s="15">
        <f t="shared" si="13"/>
        <v>251.12782692250869</v>
      </c>
      <c r="I226" s="18">
        <f t="shared" si="14"/>
        <v>72.852502550535036</v>
      </c>
      <c r="J226" s="18">
        <f t="shared" si="15"/>
        <v>27.237647349974804</v>
      </c>
      <c r="K226" s="18">
        <v>61.22</v>
      </c>
      <c r="L226" s="6">
        <v>6.64</v>
      </c>
      <c r="M226" s="18">
        <v>17.760000000000002</v>
      </c>
    </row>
    <row r="227" spans="1:13">
      <c r="A227"/>
      <c r="B227" s="8" t="s">
        <v>1</v>
      </c>
      <c r="C227" s="18">
        <v>7</v>
      </c>
      <c r="D227" s="8">
        <v>35</v>
      </c>
      <c r="E227" s="18">
        <v>639.46</v>
      </c>
      <c r="F227" s="18">
        <v>500</v>
      </c>
      <c r="G227" s="90">
        <f t="shared" si="12"/>
        <v>372.91412034467157</v>
      </c>
      <c r="H227" s="15">
        <f t="shared" si="13"/>
        <v>179.67002318206278</v>
      </c>
      <c r="I227" s="18">
        <f t="shared" si="14"/>
        <v>59.181470898699374</v>
      </c>
      <c r="J227" s="18">
        <f t="shared" si="15"/>
        <v>33.413105182882575</v>
      </c>
      <c r="K227" s="18">
        <v>48.18</v>
      </c>
      <c r="L227" s="6">
        <v>8.9600000000000009</v>
      </c>
      <c r="M227" s="18">
        <v>15.87</v>
      </c>
    </row>
    <row r="228" spans="1:13">
      <c r="A228" s="1">
        <v>38848</v>
      </c>
      <c r="B228" s="8" t="s">
        <v>0</v>
      </c>
      <c r="C228" s="18">
        <v>6.88</v>
      </c>
      <c r="D228" s="8">
        <v>35</v>
      </c>
      <c r="E228" s="18">
        <v>642.54</v>
      </c>
      <c r="F228" s="18">
        <v>400</v>
      </c>
      <c r="G228" s="90">
        <f t="shared" si="12"/>
        <v>299.76822805024892</v>
      </c>
      <c r="H228" s="15">
        <f t="shared" si="13"/>
        <v>184.20757613687798</v>
      </c>
      <c r="I228" s="18">
        <f t="shared" si="14"/>
        <v>82.975845524308895</v>
      </c>
      <c r="J228" s="18">
        <f t="shared" si="15"/>
        <v>13.159825211405927</v>
      </c>
      <c r="K228" s="18">
        <v>61.45</v>
      </c>
      <c r="L228" s="6">
        <v>4.3899999999999997</v>
      </c>
      <c r="M228" s="18">
        <v>27.68</v>
      </c>
    </row>
    <row r="229" spans="1:13">
      <c r="A229"/>
      <c r="B229" s="8" t="s">
        <v>1</v>
      </c>
      <c r="C229" s="18">
        <v>6.93</v>
      </c>
      <c r="D229" s="8">
        <v>35</v>
      </c>
      <c r="E229" s="18">
        <v>642.54</v>
      </c>
      <c r="F229" s="18">
        <v>550</v>
      </c>
      <c r="G229" s="90">
        <f t="shared" si="12"/>
        <v>412.18131356909231</v>
      </c>
      <c r="H229" s="15">
        <f t="shared" si="13"/>
        <v>144.09858722375469</v>
      </c>
      <c r="I229" s="18">
        <f t="shared" si="14"/>
        <v>66.855809060906765</v>
      </c>
      <c r="J229" s="18">
        <f t="shared" si="15"/>
        <v>39.157224789063768</v>
      </c>
      <c r="K229" s="18">
        <v>34.96</v>
      </c>
      <c r="L229" s="18">
        <v>9.5</v>
      </c>
      <c r="M229" s="18">
        <v>16.22</v>
      </c>
    </row>
    <row r="230" spans="1:13">
      <c r="A230" s="1">
        <v>38850</v>
      </c>
      <c r="B230" s="8" t="s">
        <v>0</v>
      </c>
      <c r="C230" s="18">
        <v>6.99</v>
      </c>
      <c r="D230" s="8">
        <v>35</v>
      </c>
      <c r="E230" s="18">
        <v>647.66</v>
      </c>
      <c r="F230" s="18">
        <v>600</v>
      </c>
      <c r="G230" s="90">
        <f t="shared" si="12"/>
        <v>453.23534078584424</v>
      </c>
      <c r="H230" s="15">
        <f t="shared" si="13"/>
        <v>286.58070597888928</v>
      </c>
      <c r="I230" s="18">
        <f t="shared" si="14"/>
        <v>118.24910041102676</v>
      </c>
      <c r="J230" s="18">
        <f t="shared" si="15"/>
        <v>20.894149210227418</v>
      </c>
      <c r="K230" s="18">
        <v>63.23</v>
      </c>
      <c r="L230" s="6">
        <v>4.6100000000000003</v>
      </c>
      <c r="M230" s="18">
        <v>26.09</v>
      </c>
    </row>
    <row r="231" spans="1:13">
      <c r="A231"/>
      <c r="B231" s="8" t="s">
        <v>1</v>
      </c>
      <c r="C231" s="18">
        <v>6.98</v>
      </c>
      <c r="D231" s="8">
        <v>35</v>
      </c>
      <c r="E231" s="18">
        <v>647.66</v>
      </c>
      <c r="F231" s="18">
        <v>500</v>
      </c>
      <c r="G231" s="90">
        <f t="shared" si="12"/>
        <v>377.69611732153692</v>
      </c>
      <c r="H231" s="15">
        <f t="shared" si="13"/>
        <v>230.99894535385195</v>
      </c>
      <c r="I231" s="18">
        <f t="shared" si="14"/>
        <v>111.08042810426402</v>
      </c>
      <c r="J231" s="18">
        <f t="shared" si="15"/>
        <v>3.7769611732153692</v>
      </c>
      <c r="K231" s="18">
        <v>61.16</v>
      </c>
      <c r="L231" s="6">
        <v>1</v>
      </c>
      <c r="M231" s="18">
        <v>29.41</v>
      </c>
    </row>
    <row r="232" spans="1:13">
      <c r="A232" s="1">
        <v>38853</v>
      </c>
      <c r="B232" s="8" t="s">
        <v>0</v>
      </c>
      <c r="C232" s="18">
        <v>7.11</v>
      </c>
      <c r="D232" s="8">
        <v>35</v>
      </c>
      <c r="E232" s="18">
        <v>643.83000000000004</v>
      </c>
      <c r="F232" s="18">
        <v>850</v>
      </c>
      <c r="G232" s="90">
        <f t="shared" si="12"/>
        <v>638.28637721290897</v>
      </c>
      <c r="H232" s="15">
        <f t="shared" si="13"/>
        <v>394.84395294390549</v>
      </c>
      <c r="I232" s="18">
        <f t="shared" si="14"/>
        <v>194.99648823854369</v>
      </c>
      <c r="J232" s="18">
        <f t="shared" si="15"/>
        <v>21.829394100681487</v>
      </c>
      <c r="K232" s="18">
        <v>61.86</v>
      </c>
      <c r="L232" s="6">
        <v>3.42</v>
      </c>
      <c r="M232" s="18">
        <v>30.55</v>
      </c>
    </row>
    <row r="233" spans="1:13">
      <c r="A233"/>
      <c r="B233" s="8" t="s">
        <v>1</v>
      </c>
      <c r="C233" s="18">
        <v>6.99</v>
      </c>
      <c r="D233" s="8">
        <v>35</v>
      </c>
      <c r="E233" s="18">
        <v>643.83000000000004</v>
      </c>
      <c r="F233" s="18">
        <v>500</v>
      </c>
      <c r="G233" s="90">
        <f t="shared" si="12"/>
        <v>375.46257483112294</v>
      </c>
      <c r="H233" s="15">
        <f t="shared" si="13"/>
        <v>127.99519175992982</v>
      </c>
      <c r="I233" s="18">
        <f t="shared" si="14"/>
        <v>34.392371854530865</v>
      </c>
      <c r="J233" s="18">
        <f t="shared" si="15"/>
        <v>15.919613172839613</v>
      </c>
      <c r="K233" s="18">
        <v>34.090000000000003</v>
      </c>
      <c r="L233" s="6">
        <v>4.24</v>
      </c>
      <c r="M233" s="18">
        <v>9.16</v>
      </c>
    </row>
    <row r="234" spans="1:13">
      <c r="A234" s="1">
        <v>38855</v>
      </c>
      <c r="B234" s="8" t="s">
        <v>0</v>
      </c>
      <c r="C234" s="18">
        <v>7.05</v>
      </c>
      <c r="D234" s="8">
        <v>35</v>
      </c>
      <c r="E234" s="18">
        <v>644.97</v>
      </c>
      <c r="F234" s="18">
        <v>600</v>
      </c>
      <c r="G234" s="90">
        <f t="shared" si="12"/>
        <v>451.3528668539758</v>
      </c>
      <c r="H234" s="15">
        <f t="shared" si="13"/>
        <v>276.18281922794779</v>
      </c>
      <c r="I234" s="18">
        <f t="shared" si="14"/>
        <v>131.84017240804633</v>
      </c>
      <c r="J234" s="18">
        <f t="shared" si="15"/>
        <v>12.908691992023707</v>
      </c>
      <c r="K234" s="18">
        <v>61.19</v>
      </c>
      <c r="L234" s="6">
        <v>2.86</v>
      </c>
      <c r="M234" s="18">
        <v>29.21</v>
      </c>
    </row>
    <row r="235" spans="1:13">
      <c r="A235"/>
      <c r="B235" s="8" t="s">
        <v>1</v>
      </c>
      <c r="C235" s="18">
        <v>6.97</v>
      </c>
      <c r="D235" s="8">
        <v>35</v>
      </c>
      <c r="E235" s="18">
        <v>644.97</v>
      </c>
      <c r="F235" s="18">
        <v>500</v>
      </c>
      <c r="G235" s="90">
        <f t="shared" si="12"/>
        <v>376.12738904497985</v>
      </c>
      <c r="H235" s="15">
        <f t="shared" si="13"/>
        <v>258.06100162376072</v>
      </c>
      <c r="I235" s="18">
        <f t="shared" si="14"/>
        <v>105.84224727725734</v>
      </c>
      <c r="J235" s="18">
        <f t="shared" si="15"/>
        <v>0.26328917233148591</v>
      </c>
      <c r="K235" s="18">
        <v>68.61</v>
      </c>
      <c r="L235" s="6">
        <v>7.0000000000000007E-2</v>
      </c>
      <c r="M235" s="18">
        <v>28.14</v>
      </c>
    </row>
    <row r="236" spans="1:13">
      <c r="A236" s="1">
        <v>38857</v>
      </c>
      <c r="B236" s="8" t="s">
        <v>0</v>
      </c>
      <c r="C236" s="18">
        <v>7</v>
      </c>
      <c r="D236" s="8">
        <v>35</v>
      </c>
      <c r="E236" s="18">
        <v>637.81845189089188</v>
      </c>
      <c r="F236" s="18">
        <v>500</v>
      </c>
      <c r="G236" s="90">
        <f t="shared" si="12"/>
        <v>371.95681813794789</v>
      </c>
      <c r="H236" s="15">
        <f t="shared" si="13"/>
        <v>238.34992906279703</v>
      </c>
      <c r="I236" s="18">
        <f t="shared" si="14"/>
        <v>119.13776884958472</v>
      </c>
      <c r="J236" s="18">
        <f t="shared" si="15"/>
        <v>4.3890904540277846</v>
      </c>
      <c r="K236" s="18">
        <v>64.08</v>
      </c>
      <c r="L236" s="6">
        <v>1.18</v>
      </c>
      <c r="M236" s="18">
        <v>32.03</v>
      </c>
    </row>
    <row r="237" spans="1:13">
      <c r="A237"/>
      <c r="B237" s="8" t="s">
        <v>1</v>
      </c>
      <c r="C237" s="18">
        <v>7</v>
      </c>
      <c r="D237" s="8">
        <v>35</v>
      </c>
      <c r="E237" s="18">
        <v>637.81845189089188</v>
      </c>
      <c r="F237" s="18">
        <v>500</v>
      </c>
      <c r="G237" s="90">
        <f t="shared" si="12"/>
        <v>371.95681813794789</v>
      </c>
      <c r="H237" s="15">
        <f t="shared" si="13"/>
        <v>132.08186612078529</v>
      </c>
      <c r="I237" s="18">
        <f t="shared" si="14"/>
        <v>48.949517266953947</v>
      </c>
      <c r="J237" s="18">
        <f t="shared" si="15"/>
        <v>42.17990317684329</v>
      </c>
      <c r="K237" s="18">
        <v>35.51</v>
      </c>
      <c r="L237" s="6">
        <v>11.34</v>
      </c>
      <c r="M237" s="18">
        <v>13.16</v>
      </c>
    </row>
    <row r="238" spans="1:13">
      <c r="A238" s="1">
        <v>38860</v>
      </c>
      <c r="B238" s="8" t="s">
        <v>0</v>
      </c>
      <c r="C238" s="18">
        <v>7.03</v>
      </c>
      <c r="D238" s="8">
        <v>35</v>
      </c>
      <c r="E238" s="18">
        <v>639.73</v>
      </c>
      <c r="F238" s="18">
        <v>1220</v>
      </c>
      <c r="G238" s="90">
        <f t="shared" si="12"/>
        <v>910.29464627616426</v>
      </c>
      <c r="H238" s="15">
        <f t="shared" si="13"/>
        <v>571.39194946754833</v>
      </c>
      <c r="I238" s="18">
        <f t="shared" si="14"/>
        <v>235.12910713313323</v>
      </c>
      <c r="J238" s="18">
        <f t="shared" si="15"/>
        <v>21.665012581372707</v>
      </c>
      <c r="K238" s="18">
        <v>62.77</v>
      </c>
      <c r="L238" s="6">
        <v>2.38</v>
      </c>
      <c r="M238" s="18">
        <v>25.83</v>
      </c>
    </row>
    <row r="239" spans="1:13">
      <c r="A239"/>
      <c r="B239" s="8" t="s">
        <v>1</v>
      </c>
      <c r="C239" s="18">
        <v>6.95</v>
      </c>
      <c r="D239" s="8">
        <v>35</v>
      </c>
      <c r="E239" s="18">
        <v>639.73</v>
      </c>
      <c r="F239" s="18">
        <v>1050</v>
      </c>
      <c r="G239" s="90">
        <f t="shared" si="12"/>
        <v>783.45031031964959</v>
      </c>
      <c r="H239" s="15">
        <f t="shared" si="13"/>
        <v>256.2665965055574</v>
      </c>
      <c r="I239" s="18">
        <f t="shared" si="14"/>
        <v>198.13458347983939</v>
      </c>
      <c r="J239" s="18">
        <f t="shared" si="15"/>
        <v>99.811569534723361</v>
      </c>
      <c r="K239" s="18">
        <v>32.71</v>
      </c>
      <c r="L239" s="6">
        <v>12.74</v>
      </c>
      <c r="M239" s="18">
        <v>25.29</v>
      </c>
    </row>
    <row r="240" spans="1:13">
      <c r="A240" s="1">
        <v>38862</v>
      </c>
      <c r="B240" s="8" t="s">
        <v>0</v>
      </c>
      <c r="C240" s="18">
        <v>7.05</v>
      </c>
      <c r="D240" s="8">
        <v>35</v>
      </c>
      <c r="E240" s="18">
        <v>642.77</v>
      </c>
      <c r="F240" s="18">
        <v>950</v>
      </c>
      <c r="G240" s="90">
        <f t="shared" si="12"/>
        <v>712.20438706798643</v>
      </c>
      <c r="H240" s="15">
        <f t="shared" si="13"/>
        <v>474.25690134857217</v>
      </c>
      <c r="I240" s="18">
        <f t="shared" si="14"/>
        <v>191.72542099870196</v>
      </c>
      <c r="J240" s="18">
        <f t="shared" si="15"/>
        <v>17.733889237992866</v>
      </c>
      <c r="K240" s="18">
        <v>66.59</v>
      </c>
      <c r="L240" s="6">
        <v>2.4900000000000002</v>
      </c>
      <c r="M240" s="18">
        <v>26.92</v>
      </c>
    </row>
    <row r="241" spans="1:13">
      <c r="A241"/>
      <c r="B241" s="8" t="s">
        <v>1</v>
      </c>
      <c r="C241" s="18">
        <v>6.93</v>
      </c>
      <c r="D241" s="8">
        <v>35</v>
      </c>
      <c r="E241" s="18">
        <v>642.77</v>
      </c>
      <c r="F241" s="18">
        <v>875</v>
      </c>
      <c r="G241" s="90">
        <f t="shared" si="12"/>
        <v>655.97772493104014</v>
      </c>
      <c r="H241" s="15">
        <f t="shared" si="13"/>
        <v>359.73818435218243</v>
      </c>
      <c r="I241" s="18">
        <f t="shared" si="14"/>
        <v>127.39087418160801</v>
      </c>
      <c r="J241" s="18">
        <f t="shared" si="15"/>
        <v>42.638552120517609</v>
      </c>
      <c r="K241" s="18">
        <v>54.84</v>
      </c>
      <c r="L241" s="6">
        <v>6.5</v>
      </c>
      <c r="M241" s="6">
        <v>19.420000000000002</v>
      </c>
    </row>
    <row r="242" spans="1:13">
      <c r="A242" s="1">
        <v>38864</v>
      </c>
      <c r="B242" s="8" t="s">
        <v>0</v>
      </c>
      <c r="C242" s="18">
        <v>7.06</v>
      </c>
      <c r="D242" s="8">
        <v>35</v>
      </c>
      <c r="E242" s="18">
        <v>640.41999999999996</v>
      </c>
      <c r="F242" s="18">
        <v>900</v>
      </c>
      <c r="G242" s="90">
        <f t="shared" si="12"/>
        <v>672.2531350077287</v>
      </c>
      <c r="H242" s="15">
        <f t="shared" si="13"/>
        <v>439.25019841404992</v>
      </c>
      <c r="I242" s="18">
        <f t="shared" si="14"/>
        <v>198.18022420027842</v>
      </c>
      <c r="J242" s="18">
        <f t="shared" si="15"/>
        <v>25.814520384296781</v>
      </c>
      <c r="K242" s="18">
        <v>65.34</v>
      </c>
      <c r="L242" s="6">
        <v>3.84</v>
      </c>
      <c r="M242" s="18">
        <v>29.48</v>
      </c>
    </row>
    <row r="243" spans="1:13">
      <c r="A243"/>
      <c r="B243" s="8" t="s">
        <v>1</v>
      </c>
      <c r="C243" s="18">
        <v>6.92</v>
      </c>
      <c r="D243" s="8">
        <v>35</v>
      </c>
      <c r="E243" s="18">
        <v>640.41999999999996</v>
      </c>
      <c r="F243" s="18">
        <v>850</v>
      </c>
      <c r="G243" s="90">
        <f t="shared" si="12"/>
        <v>634.9057386184104</v>
      </c>
      <c r="H243" s="15">
        <f t="shared" si="13"/>
        <v>320.18296398526434</v>
      </c>
      <c r="I243" s="18">
        <f t="shared" si="14"/>
        <v>135.3619034734451</v>
      </c>
      <c r="J243" s="18">
        <f t="shared" si="15"/>
        <v>48.189345561137351</v>
      </c>
      <c r="K243" s="18">
        <v>50.43</v>
      </c>
      <c r="L243" s="6">
        <v>7.59</v>
      </c>
      <c r="M243" s="18">
        <v>21.32</v>
      </c>
    </row>
    <row r="244" spans="1:13">
      <c r="A244" s="1">
        <v>38867</v>
      </c>
      <c r="B244" s="8" t="s">
        <v>0</v>
      </c>
      <c r="C244" s="18">
        <v>7.06</v>
      </c>
      <c r="D244" s="8">
        <v>35</v>
      </c>
      <c r="E244" s="18">
        <v>645.54</v>
      </c>
      <c r="F244" s="18">
        <v>600</v>
      </c>
      <c r="G244" s="90">
        <f t="shared" si="12"/>
        <v>451.7517553822899</v>
      </c>
      <c r="H244" s="15">
        <f t="shared" si="13"/>
        <v>299.24036276522884</v>
      </c>
      <c r="I244" s="18">
        <f t="shared" si="14"/>
        <v>117.63615710154829</v>
      </c>
      <c r="J244" s="18">
        <f t="shared" si="15"/>
        <v>10.254764847177981</v>
      </c>
      <c r="K244" s="18">
        <v>66.239999999999995</v>
      </c>
      <c r="L244" s="6">
        <v>2.27</v>
      </c>
      <c r="M244" s="18">
        <v>26.04</v>
      </c>
    </row>
    <row r="245" spans="1:13">
      <c r="A245"/>
      <c r="B245" s="8" t="s">
        <v>1</v>
      </c>
      <c r="C245" s="18">
        <v>6.9</v>
      </c>
      <c r="D245" s="8">
        <v>35</v>
      </c>
      <c r="E245" s="18">
        <v>645.54</v>
      </c>
      <c r="F245" s="18">
        <v>400</v>
      </c>
      <c r="G245" s="90">
        <f t="shared" si="12"/>
        <v>301.1678369215266</v>
      </c>
      <c r="H245" s="15">
        <f t="shared" si="13"/>
        <v>101.70437852839954</v>
      </c>
      <c r="I245" s="18">
        <f t="shared" si="14"/>
        <v>35.838972593661666</v>
      </c>
      <c r="J245" s="18">
        <f t="shared" si="15"/>
        <v>34.393366976438337</v>
      </c>
      <c r="K245" s="18">
        <v>33.770000000000003</v>
      </c>
      <c r="L245" s="6">
        <v>11.42</v>
      </c>
      <c r="M245" s="18">
        <v>11.9</v>
      </c>
    </row>
    <row r="246" spans="1:13">
      <c r="A246" s="1">
        <v>38869</v>
      </c>
      <c r="B246" s="8" t="s">
        <v>0</v>
      </c>
      <c r="C246" s="18">
        <v>7.08</v>
      </c>
      <c r="D246" s="8">
        <v>35</v>
      </c>
      <c r="E246" s="18">
        <v>644.91999999999996</v>
      </c>
      <c r="F246" s="18">
        <v>500</v>
      </c>
      <c r="G246" s="90">
        <f t="shared" si="12"/>
        <v>376.09823052682822</v>
      </c>
      <c r="H246" s="15">
        <f t="shared" si="13"/>
        <v>221.67229707251252</v>
      </c>
      <c r="I246" s="18">
        <f t="shared" si="14"/>
        <v>93.046702232337296</v>
      </c>
      <c r="J246" s="18">
        <f t="shared" si="15"/>
        <v>16.13461408960093</v>
      </c>
      <c r="K246" s="18">
        <v>58.94</v>
      </c>
      <c r="L246" s="6">
        <v>4.29</v>
      </c>
      <c r="M246" s="18">
        <v>24.74</v>
      </c>
    </row>
    <row r="247" spans="1:13">
      <c r="A247"/>
      <c r="B247" s="8" t="s">
        <v>1</v>
      </c>
      <c r="C247" s="18">
        <v>6.93</v>
      </c>
      <c r="D247" s="8">
        <v>35</v>
      </c>
      <c r="E247" s="18">
        <v>644.91999999999996</v>
      </c>
      <c r="F247" s="18">
        <v>500</v>
      </c>
      <c r="G247" s="90">
        <f t="shared" si="12"/>
        <v>376.09823052682822</v>
      </c>
      <c r="H247" s="15">
        <f t="shared" si="13"/>
        <v>39.791192789738425</v>
      </c>
      <c r="I247" s="18">
        <f t="shared" si="14"/>
        <v>15.871345328232151</v>
      </c>
      <c r="J247" s="18">
        <f t="shared" si="15"/>
        <v>71.345834330939311</v>
      </c>
      <c r="K247" s="18">
        <v>10.58</v>
      </c>
      <c r="L247" s="6">
        <v>18.97</v>
      </c>
      <c r="M247" s="18">
        <v>4.22</v>
      </c>
    </row>
    <row r="248" spans="1:13">
      <c r="A248" s="1">
        <v>38871</v>
      </c>
      <c r="B248" s="8" t="s">
        <v>0</v>
      </c>
      <c r="C248" s="18">
        <v>7.07</v>
      </c>
      <c r="D248" s="8">
        <v>35</v>
      </c>
      <c r="E248" s="18">
        <v>643.51</v>
      </c>
      <c r="F248" s="18">
        <v>100</v>
      </c>
      <c r="G248" s="90">
        <f t="shared" si="12"/>
        <v>75.055192062990514</v>
      </c>
      <c r="H248" s="15">
        <f t="shared" si="13"/>
        <v>26.089184761095499</v>
      </c>
      <c r="I248" s="18">
        <f t="shared" si="14"/>
        <v>14.463135510538272</v>
      </c>
      <c r="J248" s="18">
        <f t="shared" si="15"/>
        <v>8.0984552235966767</v>
      </c>
      <c r="K248" s="18">
        <v>34.76</v>
      </c>
      <c r="L248" s="6">
        <v>10.79</v>
      </c>
      <c r="M248" s="18">
        <v>19.27</v>
      </c>
    </row>
    <row r="249" spans="1:13">
      <c r="A249"/>
      <c r="B249" s="8" t="s">
        <v>1</v>
      </c>
      <c r="C249" s="18">
        <v>6.96</v>
      </c>
      <c r="D249" s="8">
        <v>35</v>
      </c>
      <c r="E249" s="18">
        <v>643.51</v>
      </c>
      <c r="F249" s="18">
        <v>400</v>
      </c>
      <c r="G249" s="90">
        <f t="shared" si="12"/>
        <v>300.22076825196206</v>
      </c>
      <c r="H249" s="15">
        <f t="shared" si="13"/>
        <v>86.943934485768224</v>
      </c>
      <c r="I249" s="18">
        <f t="shared" si="14"/>
        <v>37.437529801019672</v>
      </c>
      <c r="J249" s="18">
        <f t="shared" si="15"/>
        <v>38.638412874027516</v>
      </c>
      <c r="K249" s="18">
        <v>28.96</v>
      </c>
      <c r="L249" s="6">
        <v>12.87</v>
      </c>
      <c r="M249" s="18">
        <v>12.47</v>
      </c>
    </row>
    <row r="250" spans="1:13">
      <c r="A250" s="1">
        <v>38874</v>
      </c>
      <c r="B250" s="8" t="s">
        <v>0</v>
      </c>
      <c r="C250" s="18">
        <v>7.06</v>
      </c>
      <c r="D250" s="8">
        <v>35</v>
      </c>
      <c r="E250" s="18">
        <v>645.66999999999996</v>
      </c>
      <c r="F250" s="18">
        <v>700</v>
      </c>
      <c r="G250" s="90">
        <f t="shared" si="12"/>
        <v>527.14985161874347</v>
      </c>
      <c r="H250" s="15">
        <f t="shared" si="13"/>
        <v>279.49485132825777</v>
      </c>
      <c r="I250" s="18">
        <f t="shared" si="14"/>
        <v>118.97772151035041</v>
      </c>
      <c r="J250" s="18">
        <f t="shared" si="15"/>
        <v>32.050710978419602</v>
      </c>
      <c r="K250" s="18">
        <v>53.02</v>
      </c>
      <c r="L250" s="6">
        <v>6.08</v>
      </c>
      <c r="M250" s="18">
        <v>22.57</v>
      </c>
    </row>
    <row r="251" spans="1:13">
      <c r="A251"/>
      <c r="B251" s="8" t="s">
        <v>1</v>
      </c>
      <c r="C251" s="18">
        <v>6.89</v>
      </c>
      <c r="D251" s="8">
        <v>35</v>
      </c>
      <c r="E251" s="18">
        <v>645.66999999999996</v>
      </c>
      <c r="F251" s="18">
        <v>500</v>
      </c>
      <c r="G251" s="90">
        <f t="shared" si="12"/>
        <v>376.53560829910248</v>
      </c>
      <c r="H251" s="15">
        <f t="shared" si="13"/>
        <v>128.58691023414349</v>
      </c>
      <c r="I251" s="18">
        <f t="shared" si="14"/>
        <v>56.517994805695281</v>
      </c>
      <c r="J251" s="18">
        <f t="shared" si="15"/>
        <v>43.226287832736965</v>
      </c>
      <c r="K251" s="18">
        <v>34.15</v>
      </c>
      <c r="L251" s="6">
        <v>11.48</v>
      </c>
      <c r="M251" s="18">
        <v>15.01</v>
      </c>
    </row>
    <row r="252" spans="1:13">
      <c r="A252" s="1">
        <v>38876</v>
      </c>
      <c r="B252" s="8" t="s">
        <v>0</v>
      </c>
      <c r="C252" s="18">
        <v>7</v>
      </c>
      <c r="D252" s="8">
        <v>35</v>
      </c>
      <c r="E252" s="18">
        <v>643.59</v>
      </c>
      <c r="F252" s="18">
        <v>700</v>
      </c>
      <c r="G252" s="90">
        <f t="shared" si="12"/>
        <v>525.45165952159323</v>
      </c>
      <c r="H252" s="15">
        <f>K253/100*G252</f>
        <v>318.79152183175063</v>
      </c>
      <c r="I252" s="18">
        <f t="shared" si="14"/>
        <v>146.54846784057236</v>
      </c>
      <c r="J252" s="18">
        <f>(L253*G252)/100</f>
        <v>21.018066380863729</v>
      </c>
      <c r="K252" s="18">
        <v>61.67</v>
      </c>
      <c r="L252" s="6">
        <v>4.7300000000000004</v>
      </c>
      <c r="M252" s="18">
        <v>27.89</v>
      </c>
    </row>
    <row r="253" spans="1:13">
      <c r="A253"/>
      <c r="B253" s="8" t="s">
        <v>1</v>
      </c>
      <c r="C253" s="18">
        <v>6.85</v>
      </c>
      <c r="D253" s="8">
        <v>35</v>
      </c>
      <c r="E253" s="18">
        <v>643.59</v>
      </c>
      <c r="F253" s="18">
        <v>550</v>
      </c>
      <c r="G253" s="90">
        <f t="shared" si="12"/>
        <v>412.85487533839472</v>
      </c>
      <c r="H253" s="15">
        <f>K254/100*G253</f>
        <v>245.4835088762095</v>
      </c>
      <c r="I253" s="18">
        <f t="shared" si="14"/>
        <v>109.69554037741148</v>
      </c>
      <c r="J253" s="18">
        <f>(L254*G253)/100</f>
        <v>6.9772473932188701</v>
      </c>
      <c r="K253" s="18">
        <v>60.67</v>
      </c>
      <c r="L253" s="6">
        <v>4</v>
      </c>
      <c r="M253" s="18">
        <v>26.57</v>
      </c>
    </row>
    <row r="254" spans="1:13">
      <c r="A254" s="1">
        <v>38878</v>
      </c>
      <c r="B254" s="8" t="s">
        <v>0</v>
      </c>
      <c r="C254" s="18">
        <v>7</v>
      </c>
      <c r="D254" s="8">
        <v>35</v>
      </c>
      <c r="E254" s="18">
        <v>644.88</v>
      </c>
      <c r="F254" s="18">
        <v>500</v>
      </c>
      <c r="G254" s="90">
        <f t="shared" si="12"/>
        <v>376.07490371230693</v>
      </c>
      <c r="H254" s="15">
        <f t="shared" si="13"/>
        <v>223.61413774733771</v>
      </c>
      <c r="I254" s="18">
        <f t="shared" si="14"/>
        <v>127.82785977181312</v>
      </c>
      <c r="J254" s="18">
        <f t="shared" si="15"/>
        <v>6.3556658727379878</v>
      </c>
      <c r="K254" s="18">
        <v>59.46</v>
      </c>
      <c r="L254" s="6">
        <v>1.69</v>
      </c>
      <c r="M254" s="18">
        <v>33.99</v>
      </c>
    </row>
    <row r="255" spans="1:13">
      <c r="A255"/>
      <c r="B255" s="8" t="s">
        <v>1</v>
      </c>
      <c r="C255" s="18">
        <v>6.88</v>
      </c>
      <c r="D255" s="8">
        <v>35</v>
      </c>
      <c r="E255" s="18">
        <v>644.88</v>
      </c>
      <c r="F255" s="18">
        <v>400</v>
      </c>
      <c r="G255" s="90">
        <f t="shared" si="12"/>
        <v>300.85992296984551</v>
      </c>
      <c r="H255" s="15">
        <f t="shared" si="13"/>
        <v>207.86412077986628</v>
      </c>
      <c r="I255" s="18">
        <f t="shared" si="14"/>
        <v>77.441344172438235</v>
      </c>
      <c r="J255" s="18">
        <f t="shared" si="15"/>
        <v>2.677653314431625</v>
      </c>
      <c r="K255" s="18">
        <v>69.09</v>
      </c>
      <c r="L255" s="6">
        <v>0.89</v>
      </c>
      <c r="M255" s="18">
        <v>25.74</v>
      </c>
    </row>
    <row r="256" spans="1:13">
      <c r="A256" s="1">
        <v>38881</v>
      </c>
      <c r="B256" s="8" t="s">
        <v>0</v>
      </c>
      <c r="C256" s="18">
        <v>7</v>
      </c>
      <c r="D256" s="8">
        <v>35</v>
      </c>
      <c r="E256" s="18">
        <v>648.07000000000005</v>
      </c>
      <c r="F256" s="18">
        <v>550</v>
      </c>
      <c r="G256" s="90">
        <f t="shared" si="12"/>
        <v>415.72873888741816</v>
      </c>
      <c r="H256" s="15">
        <f t="shared" si="13"/>
        <v>227.19575580197403</v>
      </c>
      <c r="I256" s="18">
        <f t="shared" si="14"/>
        <v>126.42310949566387</v>
      </c>
      <c r="J256" s="18">
        <f t="shared" si="15"/>
        <v>15.174098969390764</v>
      </c>
      <c r="K256" s="18">
        <v>54.65</v>
      </c>
      <c r="L256" s="6">
        <v>3.65</v>
      </c>
      <c r="M256" s="18">
        <v>30.41</v>
      </c>
    </row>
    <row r="257" spans="1:13">
      <c r="A257"/>
      <c r="B257" s="8" t="s">
        <v>1</v>
      </c>
      <c r="C257" s="18">
        <v>6.83</v>
      </c>
      <c r="D257" s="8">
        <v>35</v>
      </c>
      <c r="E257" s="18">
        <v>648.07000000000005</v>
      </c>
      <c r="F257" s="18">
        <v>500</v>
      </c>
      <c r="G257" s="90">
        <f t="shared" si="12"/>
        <v>377.93521717038016</v>
      </c>
      <c r="H257" s="15">
        <f t="shared" si="13"/>
        <v>252.42293154809693</v>
      </c>
      <c r="I257" s="18">
        <f t="shared" si="14"/>
        <v>97.582873073392165</v>
      </c>
      <c r="J257" s="18">
        <f t="shared" si="15"/>
        <v>6.3493116484623862</v>
      </c>
      <c r="K257" s="18">
        <v>66.790000000000006</v>
      </c>
      <c r="L257" s="6">
        <v>1.68</v>
      </c>
      <c r="M257" s="18">
        <v>25.82</v>
      </c>
    </row>
    <row r="258" spans="1:13">
      <c r="A258" s="1">
        <v>38883</v>
      </c>
      <c r="B258" s="8" t="s">
        <v>0</v>
      </c>
      <c r="C258" s="18">
        <v>7</v>
      </c>
      <c r="D258" s="8">
        <v>35</v>
      </c>
      <c r="E258" s="18">
        <v>640.03</v>
      </c>
      <c r="F258" s="18">
        <v>450</v>
      </c>
      <c r="G258" s="90">
        <f t="shared" si="12"/>
        <v>335.92187470643995</v>
      </c>
      <c r="H258" s="15">
        <f t="shared" si="13"/>
        <v>198.96652638862437</v>
      </c>
      <c r="I258" s="18">
        <f t="shared" si="14"/>
        <v>107.62936865594337</v>
      </c>
      <c r="J258" s="18">
        <f t="shared" si="15"/>
        <v>8.0285328054839162</v>
      </c>
      <c r="K258" s="18">
        <v>59.23</v>
      </c>
      <c r="L258" s="6">
        <v>2.39</v>
      </c>
      <c r="M258" s="18">
        <v>32.04</v>
      </c>
    </row>
    <row r="259" spans="1:13">
      <c r="A259"/>
      <c r="B259" s="8" t="s">
        <v>1</v>
      </c>
      <c r="C259" s="18">
        <v>6.86</v>
      </c>
      <c r="D259" s="8">
        <v>35</v>
      </c>
      <c r="E259" s="18">
        <v>640.03</v>
      </c>
      <c r="F259" s="18">
        <v>450</v>
      </c>
      <c r="G259" s="90">
        <f t="shared" si="12"/>
        <v>335.92187470643995</v>
      </c>
      <c r="H259" s="15">
        <f t="shared" si="13"/>
        <v>209.74961856670109</v>
      </c>
      <c r="I259" s="18">
        <f t="shared" si="14"/>
        <v>92.176962419447122</v>
      </c>
      <c r="J259" s="18">
        <f t="shared" si="15"/>
        <v>8.2300859303077782</v>
      </c>
      <c r="K259" s="18">
        <v>62.44</v>
      </c>
      <c r="L259" s="6">
        <v>2.4500000000000002</v>
      </c>
      <c r="M259" s="18">
        <v>27.44</v>
      </c>
    </row>
    <row r="260" spans="1:13">
      <c r="A260" s="1">
        <v>38885</v>
      </c>
      <c r="B260" s="8" t="s">
        <v>0</v>
      </c>
      <c r="C260" s="18">
        <v>7</v>
      </c>
      <c r="D260" s="8">
        <v>35</v>
      </c>
      <c r="E260" s="18">
        <v>646.1087846503732</v>
      </c>
      <c r="F260" s="18">
        <v>700</v>
      </c>
      <c r="G260" s="90">
        <f t="shared" ref="G260:G283" si="16">(E260*F260*273.15)/((D260+273.15)*760)</f>
        <v>527.50809230413506</v>
      </c>
      <c r="H260" s="15">
        <f t="shared" ref="H260:H283" si="17">K260/100*G260</f>
        <v>314.3948230132645</v>
      </c>
      <c r="I260" s="18">
        <f t="shared" ref="I260:I283" si="18">(M260*G260)/100</f>
        <v>165.21553450965513</v>
      </c>
      <c r="J260" s="18">
        <f t="shared" ref="J260:J283" si="19">(L260*G260)/100</f>
        <v>20.414563172170027</v>
      </c>
      <c r="K260" s="18">
        <v>59.6</v>
      </c>
      <c r="L260" s="6">
        <v>3.87</v>
      </c>
      <c r="M260" s="18">
        <v>31.32</v>
      </c>
    </row>
    <row r="261" spans="1:13">
      <c r="A261"/>
      <c r="B261" s="8" t="s">
        <v>1</v>
      </c>
      <c r="C261" s="18">
        <v>6.93</v>
      </c>
      <c r="D261" s="8">
        <v>35</v>
      </c>
      <c r="E261" s="18">
        <v>646.1087846503732</v>
      </c>
      <c r="F261" s="18">
        <v>500</v>
      </c>
      <c r="G261" s="90">
        <f t="shared" si="16"/>
        <v>376.79149450295364</v>
      </c>
      <c r="H261" s="15">
        <f t="shared" si="17"/>
        <v>246.00716676097844</v>
      </c>
      <c r="I261" s="18">
        <f t="shared" si="18"/>
        <v>117.14447564096828</v>
      </c>
      <c r="J261" s="18">
        <f t="shared" si="19"/>
        <v>8.7415626724685236</v>
      </c>
      <c r="K261" s="18">
        <v>65.290000000000006</v>
      </c>
      <c r="L261" s="6">
        <v>2.3199999999999998</v>
      </c>
      <c r="M261" s="18">
        <v>31.09</v>
      </c>
    </row>
    <row r="262" spans="1:13">
      <c r="A262" s="1">
        <v>38888</v>
      </c>
      <c r="B262" s="8" t="s">
        <v>0</v>
      </c>
      <c r="C262" s="18">
        <v>7.3</v>
      </c>
      <c r="D262" s="8">
        <v>35</v>
      </c>
      <c r="E262" s="18">
        <v>644.81062239321909</v>
      </c>
      <c r="F262" s="18">
        <v>500</v>
      </c>
      <c r="G262" s="90">
        <f t="shared" si="16"/>
        <v>376.03444474817411</v>
      </c>
      <c r="H262" s="15">
        <f t="shared" si="17"/>
        <v>186.51308459509437</v>
      </c>
      <c r="I262" s="18">
        <f t="shared" si="18"/>
        <v>53.660115265564443</v>
      </c>
      <c r="J262" s="18">
        <f t="shared" si="19"/>
        <v>35.046410250529831</v>
      </c>
      <c r="K262" s="18">
        <v>49.6</v>
      </c>
      <c r="L262" s="6">
        <v>9.32</v>
      </c>
      <c r="M262" s="18">
        <v>14.27</v>
      </c>
    </row>
    <row r="263" spans="1:13">
      <c r="A263"/>
      <c r="B263" s="8" t="s">
        <v>1</v>
      </c>
      <c r="C263" s="18">
        <v>6.87</v>
      </c>
      <c r="D263" s="8">
        <v>35</v>
      </c>
      <c r="E263" s="18">
        <v>644.81062239321909</v>
      </c>
      <c r="F263" s="18">
        <v>500</v>
      </c>
      <c r="G263" s="90">
        <f t="shared" si="16"/>
        <v>376.03444474817411</v>
      </c>
      <c r="H263" s="15">
        <f t="shared" si="17"/>
        <v>276.94936855703025</v>
      </c>
      <c r="I263" s="18">
        <f t="shared" si="18"/>
        <v>90.21066329508696</v>
      </c>
      <c r="J263" s="18">
        <f t="shared" si="19"/>
        <v>9.3256542297547167</v>
      </c>
      <c r="K263" s="18">
        <v>73.650000000000006</v>
      </c>
      <c r="L263" s="6">
        <v>2.48</v>
      </c>
      <c r="M263" s="18">
        <v>23.99</v>
      </c>
    </row>
    <row r="264" spans="1:13">
      <c r="A264" s="1">
        <v>38890</v>
      </c>
      <c r="B264" s="8" t="s">
        <v>0</v>
      </c>
      <c r="C264" s="18">
        <v>7.3</v>
      </c>
      <c r="D264" s="8">
        <v>35</v>
      </c>
      <c r="E264" s="18">
        <v>649.14496624131857</v>
      </c>
      <c r="F264" s="18">
        <v>350</v>
      </c>
      <c r="G264" s="90">
        <f t="shared" si="16"/>
        <v>264.99347393650419</v>
      </c>
      <c r="H264" s="15">
        <f t="shared" si="17"/>
        <v>164.37545188281354</v>
      </c>
      <c r="I264" s="18">
        <f t="shared" si="18"/>
        <v>58.060070139488069</v>
      </c>
      <c r="J264" s="18">
        <f t="shared" si="19"/>
        <v>4.557887751707872</v>
      </c>
      <c r="K264" s="18">
        <v>62.03</v>
      </c>
      <c r="L264" s="6">
        <v>1.72</v>
      </c>
      <c r="M264" s="18">
        <v>21.91</v>
      </c>
    </row>
    <row r="265" spans="1:13">
      <c r="A265"/>
      <c r="B265" s="8" t="s">
        <v>1</v>
      </c>
      <c r="C265" s="18">
        <v>6.87</v>
      </c>
      <c r="D265" s="8">
        <v>35</v>
      </c>
      <c r="E265" s="18">
        <v>649.14496624131857</v>
      </c>
      <c r="F265" s="18">
        <v>500</v>
      </c>
      <c r="G265" s="90">
        <f t="shared" si="16"/>
        <v>378.56210562357745</v>
      </c>
      <c r="H265" s="15">
        <f t="shared" si="17"/>
        <v>195.18662165951656</v>
      </c>
      <c r="I265" s="18">
        <f t="shared" si="18"/>
        <v>106.03524578516404</v>
      </c>
      <c r="J265" s="18">
        <f t="shared" si="19"/>
        <v>15.142484224943098</v>
      </c>
      <c r="K265" s="18">
        <v>51.56</v>
      </c>
      <c r="L265" s="6">
        <v>4</v>
      </c>
      <c r="M265" s="18">
        <v>28.01</v>
      </c>
    </row>
    <row r="266" spans="1:13">
      <c r="A266" s="1">
        <v>38892</v>
      </c>
      <c r="B266" s="8" t="s">
        <v>0</v>
      </c>
      <c r="C266" s="18">
        <v>7.1</v>
      </c>
      <c r="D266" s="8">
        <v>35</v>
      </c>
      <c r="E266" s="18">
        <v>644.0764892546905</v>
      </c>
      <c r="F266" s="18">
        <v>450</v>
      </c>
      <c r="G266" s="90">
        <f t="shared" si="16"/>
        <v>338.04568805333793</v>
      </c>
      <c r="H266" s="15">
        <f t="shared" si="17"/>
        <v>217.32957284949097</v>
      </c>
      <c r="I266" s="18">
        <f t="shared" si="18"/>
        <v>90.292003279046568</v>
      </c>
      <c r="J266" s="18">
        <f t="shared" si="19"/>
        <v>6.4904772106240873</v>
      </c>
      <c r="K266" s="18">
        <v>64.290000000000006</v>
      </c>
      <c r="L266" s="6">
        <v>1.92</v>
      </c>
      <c r="M266" s="18">
        <v>26.71</v>
      </c>
    </row>
    <row r="267" spans="1:13">
      <c r="A267"/>
      <c r="B267" s="8" t="s">
        <v>1</v>
      </c>
      <c r="C267" s="18">
        <v>6.93</v>
      </c>
      <c r="D267" s="8">
        <v>35</v>
      </c>
      <c r="E267" s="18">
        <v>644.0764892546905</v>
      </c>
      <c r="F267" s="18">
        <v>500</v>
      </c>
      <c r="G267" s="90">
        <f t="shared" si="16"/>
        <v>375.60632005926436</v>
      </c>
      <c r="H267" s="15">
        <f t="shared" si="17"/>
        <v>218.3399538504504</v>
      </c>
      <c r="I267" s="18">
        <f t="shared" si="18"/>
        <v>107.2731650089259</v>
      </c>
      <c r="J267" s="18">
        <f t="shared" si="19"/>
        <v>12.357447929949796</v>
      </c>
      <c r="K267" s="18">
        <v>58.13</v>
      </c>
      <c r="L267" s="6">
        <v>3.29</v>
      </c>
      <c r="M267" s="18">
        <v>28.56</v>
      </c>
    </row>
    <row r="268" spans="1:13">
      <c r="A268" s="1">
        <v>38895</v>
      </c>
      <c r="B268" s="8" t="s">
        <v>0</v>
      </c>
      <c r="C268" s="18">
        <v>7</v>
      </c>
      <c r="D268" s="8">
        <v>35</v>
      </c>
      <c r="E268" s="18">
        <v>645.98344484623419</v>
      </c>
      <c r="F268" s="18">
        <v>550</v>
      </c>
      <c r="G268" s="90">
        <f t="shared" si="16"/>
        <v>414.39024004825865</v>
      </c>
      <c r="H268" s="15">
        <f t="shared" si="17"/>
        <v>267.24026580712194</v>
      </c>
      <c r="I268" s="18">
        <f t="shared" si="18"/>
        <v>108.32160874861482</v>
      </c>
      <c r="J268" s="18">
        <f t="shared" si="19"/>
        <v>9.8624877131485551</v>
      </c>
      <c r="K268" s="18">
        <v>64.489999999999995</v>
      </c>
      <c r="L268" s="6">
        <v>2.38</v>
      </c>
      <c r="M268" s="18">
        <v>26.14</v>
      </c>
    </row>
    <row r="269" spans="1:13">
      <c r="A269"/>
      <c r="B269" s="8" t="s">
        <v>1</v>
      </c>
      <c r="C269" s="18">
        <v>6.89</v>
      </c>
      <c r="D269" s="8">
        <v>35</v>
      </c>
      <c r="E269" s="18">
        <v>645.98344484623419</v>
      </c>
      <c r="F269" s="18">
        <v>500</v>
      </c>
      <c r="G269" s="90">
        <f t="shared" si="16"/>
        <v>376.71840004387144</v>
      </c>
      <c r="H269" s="15">
        <f t="shared" si="17"/>
        <v>119.57042017392477</v>
      </c>
      <c r="I269" s="18">
        <f t="shared" si="18"/>
        <v>59.935897446979943</v>
      </c>
      <c r="J269" s="18">
        <f t="shared" si="19"/>
        <v>44.490443045181216</v>
      </c>
      <c r="K269" s="18">
        <v>31.74</v>
      </c>
      <c r="L269" s="6">
        <v>11.81</v>
      </c>
      <c r="M269" s="18">
        <v>15.91</v>
      </c>
    </row>
    <row r="270" spans="1:13">
      <c r="A270" s="1">
        <v>38897</v>
      </c>
      <c r="B270" s="8" t="s">
        <v>0</v>
      </c>
      <c r="C270" s="18">
        <v>6.98</v>
      </c>
      <c r="D270" s="8">
        <v>35</v>
      </c>
      <c r="E270" s="18">
        <v>643.57513003813438</v>
      </c>
      <c r="F270" s="18">
        <v>500</v>
      </c>
      <c r="G270" s="90">
        <f t="shared" si="16"/>
        <v>375.31394222293568</v>
      </c>
      <c r="H270" s="15">
        <f t="shared" si="17"/>
        <v>240.65129975334636</v>
      </c>
      <c r="I270" s="18">
        <f t="shared" si="18"/>
        <v>112.96949660910364</v>
      </c>
      <c r="J270" s="18">
        <f t="shared" si="19"/>
        <v>6.3052742293453194</v>
      </c>
      <c r="K270" s="18">
        <v>64.12</v>
      </c>
      <c r="L270" s="6">
        <v>1.68</v>
      </c>
      <c r="M270" s="18">
        <v>30.1</v>
      </c>
    </row>
    <row r="271" spans="1:13">
      <c r="A271"/>
      <c r="B271" s="8" t="s">
        <v>1</v>
      </c>
      <c r="C271" s="18">
        <v>6.91</v>
      </c>
      <c r="D271" s="8">
        <v>35</v>
      </c>
      <c r="E271" s="18">
        <v>643.57513003813438</v>
      </c>
      <c r="F271" s="18">
        <v>450</v>
      </c>
      <c r="G271" s="90">
        <f t="shared" si="16"/>
        <v>337.78254800064212</v>
      </c>
      <c r="H271" s="15">
        <f t="shared" si="17"/>
        <v>145.68561295267696</v>
      </c>
      <c r="I271" s="18">
        <f t="shared" si="18"/>
        <v>80.088242130952253</v>
      </c>
      <c r="J271" s="18">
        <f t="shared" si="19"/>
        <v>25.907921431649253</v>
      </c>
      <c r="K271" s="18">
        <v>43.13</v>
      </c>
      <c r="L271" s="6">
        <v>7.67</v>
      </c>
      <c r="M271" s="18">
        <v>23.71</v>
      </c>
    </row>
    <row r="272" spans="1:13">
      <c r="A272" s="1">
        <v>38900</v>
      </c>
      <c r="B272" s="8" t="s">
        <v>0</v>
      </c>
      <c r="C272" s="18">
        <v>6.97</v>
      </c>
      <c r="D272" s="8">
        <v>35</v>
      </c>
      <c r="E272" s="18">
        <v>641.4980704266876</v>
      </c>
      <c r="F272" s="18">
        <v>750</v>
      </c>
      <c r="G272" s="90">
        <f t="shared" si="16"/>
        <v>561.15399392293273</v>
      </c>
      <c r="H272" s="15">
        <f t="shared" si="17"/>
        <v>338.65643533248993</v>
      </c>
      <c r="I272" s="18">
        <f t="shared" si="18"/>
        <v>161.16342705466627</v>
      </c>
      <c r="J272" s="18">
        <f t="shared" si="19"/>
        <v>17.283543012826328</v>
      </c>
      <c r="K272" s="18">
        <v>60.35</v>
      </c>
      <c r="L272" s="6">
        <v>3.08</v>
      </c>
      <c r="M272" s="18">
        <v>28.72</v>
      </c>
    </row>
    <row r="273" spans="1:13">
      <c r="A273"/>
      <c r="B273" s="8" t="s">
        <v>1</v>
      </c>
      <c r="C273" s="18">
        <v>6.85</v>
      </c>
      <c r="D273" s="8">
        <v>35</v>
      </c>
      <c r="E273" s="18">
        <v>641.4980704266876</v>
      </c>
      <c r="F273" s="18">
        <v>500</v>
      </c>
      <c r="G273" s="90">
        <f t="shared" si="16"/>
        <v>374.10266261528847</v>
      </c>
      <c r="H273" s="15">
        <f t="shared" si="17"/>
        <v>119.33874937427703</v>
      </c>
      <c r="I273" s="18">
        <f t="shared" si="18"/>
        <v>59.108220693215578</v>
      </c>
      <c r="J273" s="18">
        <f t="shared" si="19"/>
        <v>44.85490924757309</v>
      </c>
      <c r="K273" s="18">
        <v>31.9</v>
      </c>
      <c r="L273" s="6">
        <v>11.99</v>
      </c>
      <c r="M273" s="18">
        <v>15.8</v>
      </c>
    </row>
    <row r="274" spans="1:13">
      <c r="A274" s="1">
        <v>38902</v>
      </c>
      <c r="B274" s="8" t="s">
        <v>0</v>
      </c>
      <c r="C274" s="18">
        <v>7</v>
      </c>
      <c r="D274" s="8">
        <v>35</v>
      </c>
      <c r="E274" s="18">
        <v>645.35674582553906</v>
      </c>
      <c r="F274" s="18">
        <v>500</v>
      </c>
      <c r="G274" s="90">
        <f t="shared" si="16"/>
        <v>376.35292774846073</v>
      </c>
      <c r="H274" s="15">
        <f t="shared" si="17"/>
        <v>284.07118986453816</v>
      </c>
      <c r="I274" s="18">
        <f t="shared" si="18"/>
        <v>41.812810272853987</v>
      </c>
      <c r="J274" s="18">
        <f t="shared" si="19"/>
        <v>7.7528703116182909</v>
      </c>
      <c r="K274" s="18">
        <v>75.48</v>
      </c>
      <c r="L274" s="6">
        <v>2.06</v>
      </c>
      <c r="M274" s="18">
        <v>11.11</v>
      </c>
    </row>
    <row r="275" spans="1:13">
      <c r="A275"/>
      <c r="B275" s="8" t="s">
        <v>1</v>
      </c>
      <c r="C275" s="18">
        <v>6.85</v>
      </c>
      <c r="D275" s="8">
        <v>35</v>
      </c>
      <c r="E275" s="18">
        <v>645.35674582553906</v>
      </c>
      <c r="F275" s="18">
        <v>500</v>
      </c>
      <c r="G275" s="90">
        <f t="shared" si="16"/>
        <v>376.35292774846073</v>
      </c>
      <c r="H275" s="15">
        <f t="shared" si="17"/>
        <v>188.89153443695244</v>
      </c>
      <c r="I275" s="18">
        <f t="shared" si="18"/>
        <v>95.518373062559334</v>
      </c>
      <c r="J275" s="18">
        <f t="shared" si="19"/>
        <v>21.979010980510107</v>
      </c>
      <c r="K275" s="18">
        <v>50.19</v>
      </c>
      <c r="L275" s="6">
        <v>5.84</v>
      </c>
      <c r="M275" s="18">
        <v>25.38</v>
      </c>
    </row>
    <row r="276" spans="1:13">
      <c r="A276" s="1">
        <v>38904</v>
      </c>
      <c r="B276" s="8" t="s">
        <v>0</v>
      </c>
      <c r="C276" s="18">
        <v>6.95</v>
      </c>
      <c r="D276" s="8">
        <v>35</v>
      </c>
      <c r="E276" s="18">
        <v>646.72653082791567</v>
      </c>
      <c r="F276" s="18">
        <v>500</v>
      </c>
      <c r="G276" s="90">
        <f t="shared" si="16"/>
        <v>377.15174576557291</v>
      </c>
      <c r="H276" s="15">
        <f t="shared" si="17"/>
        <v>233.26835475600686</v>
      </c>
      <c r="I276" s="18">
        <f t="shared" si="18"/>
        <v>122.64974772296434</v>
      </c>
      <c r="J276" s="18">
        <f t="shared" si="19"/>
        <v>6.0721431068257239</v>
      </c>
      <c r="K276" s="18">
        <v>61.85</v>
      </c>
      <c r="L276" s="6">
        <v>1.61</v>
      </c>
      <c r="M276" s="18">
        <v>32.520000000000003</v>
      </c>
    </row>
    <row r="277" spans="1:13">
      <c r="A277"/>
      <c r="B277" s="8" t="s">
        <v>1</v>
      </c>
      <c r="C277" s="18">
        <v>6.9</v>
      </c>
      <c r="D277" s="8">
        <v>35</v>
      </c>
      <c r="E277" s="18">
        <v>646.72653082791567</v>
      </c>
      <c r="F277" s="18">
        <v>500</v>
      </c>
      <c r="G277" s="90">
        <f t="shared" si="16"/>
        <v>377.15174576557291</v>
      </c>
      <c r="H277" s="15">
        <f t="shared" si="17"/>
        <v>185.78494996412121</v>
      </c>
      <c r="I277" s="18">
        <f t="shared" si="18"/>
        <v>88.027217461684728</v>
      </c>
      <c r="J277" s="18">
        <f t="shared" si="19"/>
        <v>26.249761505283871</v>
      </c>
      <c r="K277" s="18">
        <v>49.26</v>
      </c>
      <c r="L277" s="6">
        <v>6.96</v>
      </c>
      <c r="M277" s="18">
        <v>23.34</v>
      </c>
    </row>
    <row r="278" spans="1:13">
      <c r="A278" s="1">
        <v>38906</v>
      </c>
      <c r="B278" s="8" t="s">
        <v>0</v>
      </c>
      <c r="C278" s="18">
        <v>6.99</v>
      </c>
      <c r="D278" s="8">
        <v>35</v>
      </c>
      <c r="E278" s="18">
        <v>647.32637131915237</v>
      </c>
      <c r="F278" s="18">
        <v>600</v>
      </c>
      <c r="G278" s="90">
        <f t="shared" si="16"/>
        <v>453.00186595513071</v>
      </c>
      <c r="H278" s="15">
        <f t="shared" si="17"/>
        <v>276.69353972539386</v>
      </c>
      <c r="I278" s="18">
        <f t="shared" si="18"/>
        <v>127.24822414679622</v>
      </c>
      <c r="J278" s="18">
        <f t="shared" si="19"/>
        <v>14.450759523968671</v>
      </c>
      <c r="K278" s="18">
        <v>61.08</v>
      </c>
      <c r="L278" s="6">
        <v>3.19</v>
      </c>
      <c r="M278" s="18">
        <v>28.09</v>
      </c>
    </row>
    <row r="279" spans="1:13">
      <c r="A279"/>
      <c r="B279" s="8" t="s">
        <v>1</v>
      </c>
      <c r="C279" s="18">
        <v>6.93</v>
      </c>
      <c r="D279" s="8">
        <v>35</v>
      </c>
      <c r="E279" s="18">
        <v>647.32637131915237</v>
      </c>
      <c r="F279" s="18">
        <v>500</v>
      </c>
      <c r="G279" s="90">
        <f t="shared" si="16"/>
        <v>377.50155496260896</v>
      </c>
      <c r="H279" s="15">
        <f t="shared" si="17"/>
        <v>157.79564997437055</v>
      </c>
      <c r="I279" s="18">
        <f t="shared" si="18"/>
        <v>79.237576386651611</v>
      </c>
      <c r="J279" s="18">
        <f t="shared" si="19"/>
        <v>33.522138080679682</v>
      </c>
      <c r="K279" s="18">
        <v>41.8</v>
      </c>
      <c r="L279" s="6">
        <v>8.8800000000000008</v>
      </c>
      <c r="M279" s="18">
        <v>20.99</v>
      </c>
    </row>
    <row r="280" spans="1:13">
      <c r="A280" s="1">
        <v>38909</v>
      </c>
      <c r="B280" s="8" t="s">
        <v>0</v>
      </c>
      <c r="C280" s="18">
        <v>7</v>
      </c>
      <c r="D280" s="8">
        <v>35</v>
      </c>
      <c r="E280" s="18">
        <v>642.55999999999995</v>
      </c>
      <c r="F280" s="18">
        <v>650</v>
      </c>
      <c r="G280" s="90">
        <f t="shared" si="16"/>
        <v>487.13853301109333</v>
      </c>
      <c r="H280" s="15">
        <f t="shared" si="17"/>
        <v>315.17863085817737</v>
      </c>
      <c r="I280" s="18">
        <f t="shared" si="18"/>
        <v>147.89525862216794</v>
      </c>
      <c r="J280" s="18">
        <f t="shared" si="19"/>
        <v>9.7427706602218667</v>
      </c>
      <c r="K280" s="18">
        <v>64.7</v>
      </c>
      <c r="L280" s="6">
        <v>2</v>
      </c>
      <c r="M280" s="18">
        <v>30.36</v>
      </c>
    </row>
    <row r="281" spans="1:13">
      <c r="A281"/>
      <c r="B281" s="8" t="s">
        <v>1</v>
      </c>
      <c r="C281" s="18">
        <v>6.94</v>
      </c>
      <c r="D281" s="8">
        <v>35</v>
      </c>
      <c r="E281" s="18">
        <v>642.55999999999995</v>
      </c>
      <c r="F281" s="18">
        <v>500</v>
      </c>
      <c r="G281" s="90">
        <f t="shared" si="16"/>
        <v>374.72194847007188</v>
      </c>
      <c r="H281" s="15">
        <f t="shared" si="17"/>
        <v>117.77510840414359</v>
      </c>
      <c r="I281" s="18">
        <f t="shared" si="18"/>
        <v>63.815147824453241</v>
      </c>
      <c r="J281" s="18">
        <f t="shared" si="19"/>
        <v>46.502993805135922</v>
      </c>
      <c r="K281" s="18">
        <v>31.43</v>
      </c>
      <c r="L281" s="6">
        <v>12.41</v>
      </c>
      <c r="M281" s="18">
        <v>17.03</v>
      </c>
    </row>
    <row r="282" spans="1:13">
      <c r="A282" s="1">
        <v>38911</v>
      </c>
      <c r="B282" s="8" t="s">
        <v>0</v>
      </c>
      <c r="C282" s="18">
        <v>7</v>
      </c>
      <c r="D282" s="8">
        <v>35</v>
      </c>
      <c r="E282" s="18">
        <v>646.22</v>
      </c>
      <c r="F282" s="18">
        <v>500</v>
      </c>
      <c r="G282" s="90">
        <f t="shared" si="16"/>
        <v>376.85635199877032</v>
      </c>
      <c r="H282" s="15">
        <f t="shared" si="17"/>
        <v>235.30910618803216</v>
      </c>
      <c r="I282" s="18">
        <f t="shared" si="18"/>
        <v>114.79044481882543</v>
      </c>
      <c r="J282" s="18">
        <f t="shared" si="19"/>
        <v>15.074254079950812</v>
      </c>
      <c r="K282" s="18">
        <v>62.44</v>
      </c>
      <c r="L282" s="6">
        <v>4</v>
      </c>
      <c r="M282" s="18">
        <v>30.46</v>
      </c>
    </row>
    <row r="283" spans="1:13">
      <c r="A283" s="57"/>
      <c r="B283" s="9" t="s">
        <v>1</v>
      </c>
      <c r="C283" s="10">
        <v>6.99</v>
      </c>
      <c r="D283" s="64">
        <v>35</v>
      </c>
      <c r="E283" s="10">
        <v>646.22</v>
      </c>
      <c r="F283" s="10">
        <v>500</v>
      </c>
      <c r="G283" s="67">
        <f t="shared" si="16"/>
        <v>376.85635199877032</v>
      </c>
      <c r="H283" s="15">
        <f t="shared" si="17"/>
        <v>195.96530303936058</v>
      </c>
      <c r="I283" s="18">
        <f t="shared" si="18"/>
        <v>105.29366474845644</v>
      </c>
      <c r="J283" s="18">
        <f t="shared" si="19"/>
        <v>31.693619203096588</v>
      </c>
      <c r="K283" s="18">
        <v>52</v>
      </c>
      <c r="L283" s="6">
        <v>8.41</v>
      </c>
      <c r="M283" s="18">
        <v>27.94</v>
      </c>
    </row>
    <row r="284" spans="1:13">
      <c r="A284" s="56">
        <v>38913</v>
      </c>
      <c r="B284" s="9" t="s">
        <v>30</v>
      </c>
      <c r="C284" s="10">
        <v>6.93</v>
      </c>
      <c r="D284" s="64">
        <v>35</v>
      </c>
      <c r="E284" s="10">
        <v>648.36490112487559</v>
      </c>
      <c r="F284" s="10">
        <v>600</v>
      </c>
      <c r="G284" s="67">
        <f t="shared" ref="G284:G323" si="20">(E284*F284*273.15)/((D284+273.15)*760)</f>
        <v>453.72863371971897</v>
      </c>
      <c r="H284" s="72">
        <f t="shared" ref="H284:H322" si="21">K284/100*G284</f>
        <v>235.43978803716217</v>
      </c>
      <c r="I284" s="64">
        <f t="shared" ref="I284:I322" si="22">(M284*G284)/100</f>
        <v>118.87690203456637</v>
      </c>
      <c r="J284" s="64">
        <f t="shared" ref="J284:J322" si="23">(L284*G284)/100</f>
        <v>18.285263938904674</v>
      </c>
      <c r="K284" s="10">
        <v>51.89</v>
      </c>
      <c r="L284" s="10">
        <v>4.03</v>
      </c>
      <c r="M284" s="7">
        <v>26.2</v>
      </c>
    </row>
    <row r="285" spans="1:13">
      <c r="A285" s="57"/>
      <c r="B285" s="9" t="s">
        <v>31</v>
      </c>
      <c r="C285" s="10">
        <v>6.92</v>
      </c>
      <c r="D285" s="64">
        <v>35</v>
      </c>
      <c r="E285" s="10">
        <v>648.36490112487559</v>
      </c>
      <c r="F285" s="10">
        <v>500</v>
      </c>
      <c r="G285" s="67">
        <f t="shared" si="20"/>
        <v>378.10719476643254</v>
      </c>
      <c r="H285" s="72">
        <f t="shared" si="21"/>
        <v>147.38618451995541</v>
      </c>
      <c r="I285" s="64">
        <f t="shared" si="22"/>
        <v>80.801507521586643</v>
      </c>
      <c r="J285" s="64">
        <f t="shared" si="23"/>
        <v>64.542898146630037</v>
      </c>
      <c r="K285" s="10">
        <v>38.979999999999997</v>
      </c>
      <c r="L285" s="7">
        <v>17.07</v>
      </c>
      <c r="M285" s="10">
        <v>21.37</v>
      </c>
    </row>
    <row r="286" spans="1:13">
      <c r="A286" s="56">
        <v>38916</v>
      </c>
      <c r="B286" s="9" t="s">
        <v>30</v>
      </c>
      <c r="C286" s="10">
        <v>7</v>
      </c>
      <c r="D286" s="64">
        <v>35</v>
      </c>
      <c r="E286" s="10">
        <v>644.29135749035743</v>
      </c>
      <c r="F286" s="10">
        <v>700</v>
      </c>
      <c r="G286" s="67">
        <f t="shared" si="20"/>
        <v>526.02427478476727</v>
      </c>
      <c r="H286" s="72">
        <f t="shared" si="21"/>
        <v>302.09574100889188</v>
      </c>
      <c r="I286" s="64">
        <f t="shared" si="22"/>
        <v>152.07361784027623</v>
      </c>
      <c r="J286" s="64">
        <f t="shared" si="23"/>
        <v>15.938535525978448</v>
      </c>
      <c r="K286" s="10">
        <v>57.43</v>
      </c>
      <c r="L286" s="7">
        <v>3.03</v>
      </c>
      <c r="M286" s="10">
        <v>28.91</v>
      </c>
    </row>
    <row r="287" spans="1:13">
      <c r="A287" s="57"/>
      <c r="B287" s="9" t="s">
        <v>31</v>
      </c>
      <c r="C287" s="10">
        <v>6.97</v>
      </c>
      <c r="D287" s="64">
        <v>35</v>
      </c>
      <c r="E287" s="10">
        <v>644.29135749035743</v>
      </c>
      <c r="F287" s="10">
        <v>500</v>
      </c>
      <c r="G287" s="67">
        <f t="shared" si="20"/>
        <v>375.73162484626238</v>
      </c>
      <c r="H287" s="72">
        <f t="shared" si="21"/>
        <v>171.70935255474191</v>
      </c>
      <c r="I287" s="64">
        <f t="shared" si="22"/>
        <v>104.90426965707645</v>
      </c>
      <c r="J287" s="64">
        <f t="shared" si="23"/>
        <v>22.994775440591255</v>
      </c>
      <c r="K287" s="10">
        <v>45.7</v>
      </c>
      <c r="L287" s="7">
        <v>6.12</v>
      </c>
      <c r="M287" s="10">
        <v>27.92</v>
      </c>
    </row>
    <row r="288" spans="1:13">
      <c r="A288" s="56">
        <v>38918</v>
      </c>
      <c r="B288" s="9" t="s">
        <v>30</v>
      </c>
      <c r="C288" s="10">
        <v>6.92</v>
      </c>
      <c r="D288" s="64">
        <v>35</v>
      </c>
      <c r="E288" s="10">
        <v>642.33068483989689</v>
      </c>
      <c r="F288" s="10">
        <v>550</v>
      </c>
      <c r="G288" s="67">
        <f t="shared" si="20"/>
        <v>412.04704053139619</v>
      </c>
      <c r="H288" s="72">
        <f t="shared" si="21"/>
        <v>261.19661899285205</v>
      </c>
      <c r="I288" s="64">
        <f t="shared" si="22"/>
        <v>127.81699197283909</v>
      </c>
      <c r="J288" s="64">
        <f t="shared" si="23"/>
        <v>8.2409408106279241</v>
      </c>
      <c r="K288" s="10">
        <v>63.39</v>
      </c>
      <c r="L288" s="7">
        <v>2</v>
      </c>
      <c r="M288" s="10">
        <v>31.02</v>
      </c>
    </row>
    <row r="289" spans="1:15">
      <c r="A289" s="57"/>
      <c r="B289" s="9" t="s">
        <v>31</v>
      </c>
      <c r="C289" s="10">
        <v>6.85</v>
      </c>
      <c r="D289" s="64">
        <v>35</v>
      </c>
      <c r="E289" s="10">
        <v>642.33068483989689</v>
      </c>
      <c r="F289" s="10">
        <v>550</v>
      </c>
      <c r="G289" s="67">
        <f t="shared" si="20"/>
        <v>412.04704053139619</v>
      </c>
      <c r="H289" s="72">
        <f t="shared" si="21"/>
        <v>202.76834864550005</v>
      </c>
      <c r="I289" s="64">
        <f t="shared" si="22"/>
        <v>55.461531655525931</v>
      </c>
      <c r="J289" s="64">
        <f t="shared" si="23"/>
        <v>81.83254224953528</v>
      </c>
      <c r="K289" s="10">
        <v>49.21</v>
      </c>
      <c r="L289" s="7">
        <v>19.86</v>
      </c>
      <c r="M289" s="10">
        <v>13.46</v>
      </c>
    </row>
    <row r="290" spans="1:15">
      <c r="A290" s="56">
        <v>38920</v>
      </c>
      <c r="B290" s="9" t="s">
        <v>30</v>
      </c>
      <c r="C290" s="10">
        <v>6.92</v>
      </c>
      <c r="D290" s="64">
        <v>35</v>
      </c>
      <c r="E290" s="10">
        <v>643.72988632691829</v>
      </c>
      <c r="F290" s="10">
        <v>600</v>
      </c>
      <c r="G290" s="67">
        <f t="shared" si="20"/>
        <v>450.48502980485688</v>
      </c>
      <c r="H290" s="72">
        <f t="shared" si="21"/>
        <v>288.94109811683518</v>
      </c>
      <c r="I290" s="64">
        <f t="shared" si="22"/>
        <v>135.3707514563595</v>
      </c>
      <c r="J290" s="64">
        <f t="shared" si="23"/>
        <v>10.541349697433651</v>
      </c>
      <c r="K290" s="10">
        <v>64.14</v>
      </c>
      <c r="L290" s="7">
        <v>2.34</v>
      </c>
      <c r="M290" s="10">
        <v>30.05</v>
      </c>
    </row>
    <row r="291" spans="1:15">
      <c r="A291" s="57"/>
      <c r="B291" s="9" t="s">
        <v>31</v>
      </c>
      <c r="C291" s="10">
        <v>6.97</v>
      </c>
      <c r="D291" s="64">
        <v>35</v>
      </c>
      <c r="E291" s="10">
        <v>643.72988632691829</v>
      </c>
      <c r="F291" s="10">
        <v>600</v>
      </c>
      <c r="G291" s="67">
        <f t="shared" si="20"/>
        <v>450.48502980485688</v>
      </c>
      <c r="H291" s="72">
        <f t="shared" si="21"/>
        <v>249.11822148208583</v>
      </c>
      <c r="I291" s="64">
        <f t="shared" si="22"/>
        <v>94.511759253058969</v>
      </c>
      <c r="J291" s="64">
        <f t="shared" si="23"/>
        <v>28.785993404530355</v>
      </c>
      <c r="K291" s="10">
        <v>55.3</v>
      </c>
      <c r="L291" s="7">
        <v>6.39</v>
      </c>
      <c r="M291" s="10">
        <v>20.98</v>
      </c>
    </row>
    <row r="292" spans="1:15">
      <c r="A292" s="56">
        <v>38923</v>
      </c>
      <c r="B292" s="9" t="s">
        <v>30</v>
      </c>
      <c r="C292" s="10">
        <v>6.97</v>
      </c>
      <c r="D292" s="64">
        <v>35</v>
      </c>
      <c r="E292" s="10">
        <v>644.24659327459347</v>
      </c>
      <c r="F292" s="10">
        <v>600</v>
      </c>
      <c r="G292" s="67">
        <f t="shared" si="20"/>
        <v>450.84662361876536</v>
      </c>
      <c r="H292" s="72">
        <f t="shared" si="21"/>
        <v>297.78419490019451</v>
      </c>
      <c r="I292" s="64">
        <f t="shared" si="22"/>
        <v>114.56012706152828</v>
      </c>
      <c r="J292" s="64">
        <f t="shared" si="23"/>
        <v>14.021329994543603</v>
      </c>
      <c r="K292" s="10">
        <v>66.05</v>
      </c>
      <c r="L292" s="7">
        <v>3.11</v>
      </c>
      <c r="M292" s="10">
        <v>25.41</v>
      </c>
    </row>
    <row r="293" spans="1:15">
      <c r="A293" s="57"/>
      <c r="B293" s="9" t="s">
        <v>31</v>
      </c>
      <c r="C293" s="10">
        <v>6.85</v>
      </c>
      <c r="D293" s="64">
        <v>35</v>
      </c>
      <c r="E293" s="10">
        <v>644.24659327459347</v>
      </c>
      <c r="F293" s="10">
        <v>600</v>
      </c>
      <c r="G293" s="67">
        <f t="shared" si="20"/>
        <v>450.84662361876536</v>
      </c>
      <c r="H293" s="72">
        <f t="shared" si="21"/>
        <v>193.99930214315475</v>
      </c>
      <c r="I293" s="64">
        <f t="shared" si="22"/>
        <v>109.01471359101747</v>
      </c>
      <c r="J293" s="64">
        <f t="shared" si="23"/>
        <v>69.069702738394852</v>
      </c>
      <c r="K293" s="10">
        <v>43.03</v>
      </c>
      <c r="L293" s="7">
        <v>15.32</v>
      </c>
      <c r="M293" s="10">
        <v>24.18</v>
      </c>
    </row>
    <row r="294" spans="1:15">
      <c r="A294" s="56">
        <v>38927</v>
      </c>
      <c r="B294" s="9" t="s">
        <v>30</v>
      </c>
      <c r="C294" s="10">
        <v>6.97</v>
      </c>
      <c r="D294" s="64">
        <v>35</v>
      </c>
      <c r="E294" s="10">
        <v>647.00732454498018</v>
      </c>
      <c r="F294" s="10">
        <v>700</v>
      </c>
      <c r="G294" s="67">
        <f t="shared" si="20"/>
        <v>528.24169487528684</v>
      </c>
      <c r="H294" s="72">
        <f t="shared" si="21"/>
        <v>291.74788807962091</v>
      </c>
      <c r="I294" s="64">
        <f t="shared" si="22"/>
        <v>139.61427995553831</v>
      </c>
      <c r="J294" s="64">
        <f t="shared" si="23"/>
        <v>15.952899185233662</v>
      </c>
      <c r="K294" s="10">
        <v>55.23</v>
      </c>
      <c r="L294" s="7">
        <v>3.02</v>
      </c>
      <c r="M294" s="10">
        <v>26.43</v>
      </c>
    </row>
    <row r="295" spans="1:15">
      <c r="A295" s="57"/>
      <c r="B295" s="9" t="s">
        <v>31</v>
      </c>
      <c r="C295" s="10">
        <v>6.76</v>
      </c>
      <c r="D295" s="64">
        <v>35</v>
      </c>
      <c r="E295" s="10">
        <v>647.00732454498018</v>
      </c>
      <c r="F295" s="10">
        <v>550</v>
      </c>
      <c r="G295" s="67">
        <f t="shared" si="20"/>
        <v>415.04704597343971</v>
      </c>
      <c r="H295" s="72">
        <f t="shared" si="21"/>
        <v>247.9491052645329</v>
      </c>
      <c r="I295" s="64">
        <f t="shared" si="22"/>
        <v>148.17179541251798</v>
      </c>
      <c r="J295" s="64">
        <f t="shared" si="23"/>
        <v>12.990972538968663</v>
      </c>
      <c r="K295" s="10">
        <v>59.74</v>
      </c>
      <c r="L295" s="7">
        <v>3.13</v>
      </c>
      <c r="M295" s="10">
        <v>35.700000000000003</v>
      </c>
    </row>
    <row r="296" spans="1:15">
      <c r="A296" s="56">
        <v>38930</v>
      </c>
      <c r="B296" s="9" t="s">
        <v>30</v>
      </c>
      <c r="C296" s="10">
        <v>6.97</v>
      </c>
      <c r="D296" s="64">
        <v>35</v>
      </c>
      <c r="E296" s="10">
        <v>645.59310088477264</v>
      </c>
      <c r="F296" s="10">
        <v>600</v>
      </c>
      <c r="G296" s="67">
        <f t="shared" si="20"/>
        <v>451.7889156169901</v>
      </c>
      <c r="H296" s="72">
        <f t="shared" si="21"/>
        <v>287.06667698303551</v>
      </c>
      <c r="I296" s="64">
        <f t="shared" si="22"/>
        <v>93.113695508661664</v>
      </c>
      <c r="J296" s="64">
        <f t="shared" si="23"/>
        <v>23.221950262713289</v>
      </c>
      <c r="K296" s="10">
        <v>63.54</v>
      </c>
      <c r="L296" s="7">
        <v>5.14</v>
      </c>
      <c r="M296" s="10">
        <v>20.61</v>
      </c>
    </row>
    <row r="297" spans="1:15">
      <c r="A297" s="57"/>
      <c r="B297" s="9" t="s">
        <v>31</v>
      </c>
      <c r="C297" s="10">
        <v>6.97</v>
      </c>
      <c r="D297" s="64">
        <v>35</v>
      </c>
      <c r="E297" s="10">
        <v>645.59310088477264</v>
      </c>
      <c r="F297" s="10">
        <v>600</v>
      </c>
      <c r="G297" s="67">
        <f t="shared" si="20"/>
        <v>451.7889156169901</v>
      </c>
      <c r="H297" s="72">
        <f t="shared" si="21"/>
        <v>240.9842075901025</v>
      </c>
      <c r="I297" s="64">
        <f t="shared" si="22"/>
        <v>137.07275699819479</v>
      </c>
      <c r="J297" s="64">
        <f t="shared" si="23"/>
        <v>36.052755466235816</v>
      </c>
      <c r="K297" s="10">
        <v>53.34</v>
      </c>
      <c r="L297" s="7">
        <v>7.98</v>
      </c>
      <c r="M297" s="10">
        <v>30.34</v>
      </c>
    </row>
    <row r="298" spans="1:15">
      <c r="A298" s="56">
        <v>38932</v>
      </c>
      <c r="B298" s="9" t="s">
        <v>30</v>
      </c>
      <c r="C298" s="10">
        <v>6.96</v>
      </c>
      <c r="D298" s="64">
        <v>35</v>
      </c>
      <c r="E298" s="10">
        <v>645.81334082633123</v>
      </c>
      <c r="F298" s="10">
        <v>500</v>
      </c>
      <c r="G298" s="67">
        <f t="shared" si="20"/>
        <v>376.61920042083136</v>
      </c>
      <c r="H298" s="72">
        <f t="shared" si="21"/>
        <v>257.60753308784865</v>
      </c>
      <c r="I298" s="64">
        <f t="shared" si="22"/>
        <v>99.879411951604467</v>
      </c>
      <c r="J298" s="64">
        <f t="shared" si="23"/>
        <v>7.5323840084166269</v>
      </c>
      <c r="K298" s="10">
        <v>68.400000000000006</v>
      </c>
      <c r="L298" s="7">
        <v>2</v>
      </c>
      <c r="M298" s="10">
        <v>26.52</v>
      </c>
    </row>
    <row r="299" spans="1:15">
      <c r="A299" s="57"/>
      <c r="B299" s="9" t="s">
        <v>31</v>
      </c>
      <c r="C299" s="10">
        <v>6.88</v>
      </c>
      <c r="D299" s="64">
        <v>35</v>
      </c>
      <c r="E299" s="10">
        <v>645.81334082633123</v>
      </c>
      <c r="F299" s="10">
        <v>700</v>
      </c>
      <c r="G299" s="67">
        <f t="shared" si="20"/>
        <v>527.26688058916397</v>
      </c>
      <c r="H299" s="72">
        <f t="shared" si="21"/>
        <v>295.00581968963724</v>
      </c>
      <c r="I299" s="64">
        <f t="shared" si="22"/>
        <v>175.89623136454509</v>
      </c>
      <c r="J299" s="64">
        <f t="shared" si="23"/>
        <v>29.632398689111014</v>
      </c>
      <c r="K299" s="10">
        <v>55.95</v>
      </c>
      <c r="L299" s="7">
        <v>5.62</v>
      </c>
      <c r="M299" s="10">
        <v>33.36</v>
      </c>
    </row>
    <row r="300" spans="1:15">
      <c r="A300" s="56">
        <v>38934</v>
      </c>
      <c r="B300" s="9" t="s">
        <v>30</v>
      </c>
      <c r="C300" s="10">
        <v>6.91</v>
      </c>
      <c r="D300" s="64">
        <v>35</v>
      </c>
      <c r="E300" s="10">
        <v>644.3719330787327</v>
      </c>
      <c r="F300" s="10">
        <v>500</v>
      </c>
      <c r="G300" s="67">
        <f t="shared" si="20"/>
        <v>375.7786141413867</v>
      </c>
      <c r="H300" s="72">
        <f t="shared" si="21"/>
        <v>238.65699784119468</v>
      </c>
      <c r="I300" s="64">
        <f t="shared" si="22"/>
        <v>128.29081886786943</v>
      </c>
      <c r="J300" s="64">
        <f t="shared" si="23"/>
        <v>8.7556417094943111</v>
      </c>
      <c r="K300" s="10">
        <v>63.51</v>
      </c>
      <c r="L300" s="7">
        <v>2.33</v>
      </c>
      <c r="M300" s="10">
        <v>34.14</v>
      </c>
    </row>
    <row r="301" spans="1:15">
      <c r="A301" s="57"/>
      <c r="B301" s="9" t="s">
        <v>31</v>
      </c>
      <c r="C301" s="10">
        <v>6.89</v>
      </c>
      <c r="D301" s="64">
        <v>35</v>
      </c>
      <c r="E301" s="10">
        <v>644.3719330787327</v>
      </c>
      <c r="F301" s="10">
        <v>750</v>
      </c>
      <c r="G301" s="67">
        <f t="shared" si="20"/>
        <v>563.66792121208016</v>
      </c>
      <c r="H301" s="72">
        <f t="shared" si="21"/>
        <v>340.28632403573278</v>
      </c>
      <c r="I301" s="64">
        <f t="shared" si="22"/>
        <v>214.30654364483289</v>
      </c>
      <c r="J301" s="64">
        <f t="shared" si="23"/>
        <v>9.0186867393932832</v>
      </c>
      <c r="K301" s="10">
        <v>60.37</v>
      </c>
      <c r="L301" s="7">
        <v>1.6</v>
      </c>
      <c r="M301" s="10">
        <v>38.020000000000003</v>
      </c>
    </row>
    <row r="302" spans="1:15">
      <c r="A302" s="56">
        <v>38937</v>
      </c>
      <c r="B302" s="9" t="s">
        <v>30</v>
      </c>
      <c r="C302" s="10">
        <v>6.96</v>
      </c>
      <c r="D302" s="64">
        <v>35</v>
      </c>
      <c r="E302" s="10">
        <v>644.31510198741478</v>
      </c>
      <c r="F302" s="10">
        <v>550</v>
      </c>
      <c r="G302" s="67">
        <f t="shared" si="20"/>
        <v>413.32001912655443</v>
      </c>
      <c r="H302" s="72">
        <f t="shared" si="21"/>
        <v>265.10346026777199</v>
      </c>
      <c r="I302" s="64">
        <f t="shared" si="22"/>
        <v>140.98345852406771</v>
      </c>
      <c r="J302" s="64">
        <f t="shared" si="23"/>
        <v>7.191768332802047</v>
      </c>
      <c r="K302" s="10">
        <v>64.14</v>
      </c>
      <c r="L302" s="7">
        <v>1.74</v>
      </c>
      <c r="M302" s="10">
        <v>34.11</v>
      </c>
      <c r="N302" s="4"/>
      <c r="O302" s="4"/>
    </row>
    <row r="303" spans="1:15">
      <c r="A303" s="57"/>
      <c r="B303" s="9" t="s">
        <v>31</v>
      </c>
      <c r="C303" s="10">
        <v>6.81</v>
      </c>
      <c r="D303" s="64">
        <v>35</v>
      </c>
      <c r="E303" s="10">
        <v>644.31510198741478</v>
      </c>
      <c r="F303" s="10">
        <v>800</v>
      </c>
      <c r="G303" s="67">
        <f t="shared" si="20"/>
        <v>601.19275509317004</v>
      </c>
      <c r="H303" s="72">
        <f t="shared" si="21"/>
        <v>315.44583859738628</v>
      </c>
      <c r="I303" s="64">
        <f t="shared" si="22"/>
        <v>183.96498305851003</v>
      </c>
      <c r="J303" s="64">
        <f t="shared" si="23"/>
        <v>49.778760121714477</v>
      </c>
      <c r="K303" s="10">
        <v>52.47</v>
      </c>
      <c r="L303" s="7">
        <v>8.2799999999999994</v>
      </c>
      <c r="M303" s="10">
        <v>30.6</v>
      </c>
    </row>
    <row r="304" spans="1:15">
      <c r="A304" s="56">
        <v>38939</v>
      </c>
      <c r="B304" s="9" t="s">
        <v>30</v>
      </c>
      <c r="C304" s="10">
        <v>6.83</v>
      </c>
      <c r="D304" s="64">
        <v>35</v>
      </c>
      <c r="E304" s="10">
        <v>642.94843101743913</v>
      </c>
      <c r="F304" s="10">
        <v>500</v>
      </c>
      <c r="G304" s="67">
        <f t="shared" si="20"/>
        <v>374.94846992752485</v>
      </c>
      <c r="H304" s="72">
        <f t="shared" si="21"/>
        <v>241.24184555136952</v>
      </c>
      <c r="I304" s="64">
        <f t="shared" si="22"/>
        <v>127.81993339829323</v>
      </c>
      <c r="J304" s="64">
        <f t="shared" si="23"/>
        <v>5.8491961308693874</v>
      </c>
      <c r="K304" s="10">
        <v>64.34</v>
      </c>
      <c r="L304" s="7">
        <v>1.56</v>
      </c>
      <c r="M304" s="10">
        <v>34.090000000000003</v>
      </c>
    </row>
    <row r="305" spans="1:13">
      <c r="A305" s="57"/>
      <c r="B305" s="9" t="s">
        <v>31</v>
      </c>
      <c r="C305" s="10">
        <v>6.76</v>
      </c>
      <c r="D305" s="64">
        <v>35</v>
      </c>
      <c r="E305" s="10">
        <v>642.94843101743913</v>
      </c>
      <c r="F305" s="10">
        <v>800</v>
      </c>
      <c r="G305" s="67">
        <f t="shared" si="20"/>
        <v>599.91755188403977</v>
      </c>
      <c r="H305" s="72">
        <f t="shared" si="21"/>
        <v>201.57229743303736</v>
      </c>
      <c r="I305" s="64">
        <f t="shared" si="22"/>
        <v>130.18210875883662</v>
      </c>
      <c r="J305" s="64">
        <f t="shared" si="23"/>
        <v>128.26237259280771</v>
      </c>
      <c r="K305" s="10">
        <v>33.6</v>
      </c>
      <c r="L305" s="7">
        <v>21.38</v>
      </c>
      <c r="M305" s="10">
        <v>21.7</v>
      </c>
    </row>
    <row r="306" spans="1:13">
      <c r="A306" s="56">
        <v>38941</v>
      </c>
      <c r="B306" s="9" t="s">
        <v>30</v>
      </c>
      <c r="C306" s="10">
        <v>6.93</v>
      </c>
      <c r="D306" s="64">
        <v>35</v>
      </c>
      <c r="E306" s="10">
        <v>644.64051837331613</v>
      </c>
      <c r="F306" s="10">
        <v>600</v>
      </c>
      <c r="G306" s="67">
        <f t="shared" si="20"/>
        <v>451.12229415016088</v>
      </c>
      <c r="H306" s="72">
        <f t="shared" si="21"/>
        <v>270.67337649009653</v>
      </c>
      <c r="I306" s="64">
        <f t="shared" si="22"/>
        <v>148.87035706955308</v>
      </c>
      <c r="J306" s="64">
        <f t="shared" si="23"/>
        <v>14.887035706955308</v>
      </c>
      <c r="K306" s="10">
        <v>60</v>
      </c>
      <c r="L306" s="7">
        <v>3.3</v>
      </c>
      <c r="M306" s="10">
        <v>33</v>
      </c>
    </row>
    <row r="307" spans="1:13">
      <c r="A307" s="57"/>
      <c r="B307" s="9" t="s">
        <v>31</v>
      </c>
      <c r="C307" s="10">
        <v>6.85</v>
      </c>
      <c r="D307" s="64">
        <v>35</v>
      </c>
      <c r="E307" s="10">
        <v>644.64051837331613</v>
      </c>
      <c r="F307" s="10">
        <v>800</v>
      </c>
      <c r="G307" s="67">
        <f t="shared" si="20"/>
        <v>601.49639220021459</v>
      </c>
      <c r="H307" s="72">
        <f t="shared" si="21"/>
        <v>250.40294807294933</v>
      </c>
      <c r="I307" s="64">
        <f t="shared" si="22"/>
        <v>150.49439732849368</v>
      </c>
      <c r="J307" s="64">
        <f t="shared" si="23"/>
        <v>92.99134223415318</v>
      </c>
      <c r="K307" s="10">
        <v>41.63</v>
      </c>
      <c r="L307" s="7">
        <v>15.46</v>
      </c>
      <c r="M307" s="10">
        <v>25.02</v>
      </c>
    </row>
    <row r="308" spans="1:13">
      <c r="A308" s="56">
        <v>38944</v>
      </c>
      <c r="B308" s="9" t="s">
        <v>30</v>
      </c>
      <c r="C308" s="10">
        <v>6.89</v>
      </c>
      <c r="D308" s="64">
        <v>35</v>
      </c>
      <c r="E308" s="10">
        <v>645.19559464878887</v>
      </c>
      <c r="F308" s="10">
        <v>550</v>
      </c>
      <c r="G308" s="67">
        <f t="shared" si="20"/>
        <v>413.88484407403342</v>
      </c>
      <c r="H308" s="72">
        <f t="shared" si="21"/>
        <v>270.97040741526968</v>
      </c>
      <c r="I308" s="64">
        <f t="shared" si="22"/>
        <v>132.56731555691292</v>
      </c>
      <c r="J308" s="64">
        <f t="shared" si="23"/>
        <v>10.181567164221223</v>
      </c>
      <c r="K308" s="10">
        <v>65.47</v>
      </c>
      <c r="L308" s="7">
        <v>2.46</v>
      </c>
      <c r="M308" s="10">
        <v>32.03</v>
      </c>
    </row>
    <row r="309" spans="1:13">
      <c r="A309" s="57"/>
      <c r="B309" s="9" t="s">
        <v>31</v>
      </c>
      <c r="C309" s="10">
        <v>6.89</v>
      </c>
      <c r="D309" s="64">
        <v>35</v>
      </c>
      <c r="E309" s="10">
        <v>645.19559464878887</v>
      </c>
      <c r="F309" s="10">
        <v>800</v>
      </c>
      <c r="G309" s="67">
        <f t="shared" si="20"/>
        <v>602.01431865313953</v>
      </c>
      <c r="H309" s="72">
        <f t="shared" si="21"/>
        <v>274.03691785090916</v>
      </c>
      <c r="I309" s="64">
        <f t="shared" si="22"/>
        <v>169.64763499645471</v>
      </c>
      <c r="J309" s="64">
        <f t="shared" si="23"/>
        <v>74.107962626201484</v>
      </c>
      <c r="K309" s="10">
        <v>45.52</v>
      </c>
      <c r="L309" s="7">
        <v>12.31</v>
      </c>
      <c r="M309" s="10">
        <v>28.18</v>
      </c>
    </row>
    <row r="310" spans="1:13">
      <c r="A310" s="56">
        <v>38946</v>
      </c>
      <c r="B310" s="9" t="s">
        <v>30</v>
      </c>
      <c r="C310" s="10">
        <v>6.9</v>
      </c>
      <c r="D310" s="64">
        <v>35</v>
      </c>
      <c r="E310" s="10">
        <v>644.73899964799682</v>
      </c>
      <c r="F310" s="10">
        <v>500</v>
      </c>
      <c r="G310" s="67">
        <f t="shared" si="20"/>
        <v>375.99267648584157</v>
      </c>
      <c r="H310" s="72">
        <f t="shared" si="21"/>
        <v>241.12410343037018</v>
      </c>
      <c r="I310" s="64">
        <f t="shared" si="22"/>
        <v>125.73195101686541</v>
      </c>
      <c r="J310" s="64">
        <f t="shared" si="23"/>
        <v>9.0614235033087827</v>
      </c>
      <c r="K310" s="10">
        <v>64.13</v>
      </c>
      <c r="L310" s="7">
        <v>2.41</v>
      </c>
      <c r="M310" s="10">
        <v>33.44</v>
      </c>
    </row>
    <row r="311" spans="1:13">
      <c r="A311" s="57"/>
      <c r="B311" s="9" t="s">
        <v>31</v>
      </c>
      <c r="C311" s="10">
        <v>6.85</v>
      </c>
      <c r="D311" s="64">
        <v>35</v>
      </c>
      <c r="E311" s="10">
        <v>644.73899964799682</v>
      </c>
      <c r="F311" s="10">
        <v>750</v>
      </c>
      <c r="G311" s="67">
        <f t="shared" si="20"/>
        <v>563.9890147287623</v>
      </c>
      <c r="H311" s="72">
        <f t="shared" si="21"/>
        <v>317.1874218834559</v>
      </c>
      <c r="I311" s="64">
        <f t="shared" si="22"/>
        <v>198.91892549483447</v>
      </c>
      <c r="J311" s="64">
        <f t="shared" si="23"/>
        <v>27.861057327600861</v>
      </c>
      <c r="K311" s="10">
        <v>56.24</v>
      </c>
      <c r="L311" s="7">
        <v>4.9400000000000004</v>
      </c>
      <c r="M311" s="10">
        <v>35.270000000000003</v>
      </c>
    </row>
    <row r="312" spans="1:13">
      <c r="A312" s="56">
        <v>38948</v>
      </c>
      <c r="B312" s="9" t="s">
        <v>30</v>
      </c>
      <c r="C312" s="10">
        <v>6.96</v>
      </c>
      <c r="D312" s="64">
        <v>35</v>
      </c>
      <c r="E312" s="10">
        <v>644.60470700070493</v>
      </c>
      <c r="F312" s="10">
        <v>550</v>
      </c>
      <c r="G312" s="67">
        <f t="shared" si="20"/>
        <v>413.50579709336455</v>
      </c>
      <c r="H312" s="72">
        <f t="shared" si="21"/>
        <v>278.86830955976507</v>
      </c>
      <c r="I312" s="64">
        <f t="shared" si="22"/>
        <v>124.46524492510274</v>
      </c>
      <c r="J312" s="64">
        <f t="shared" si="23"/>
        <v>10.089541449078094</v>
      </c>
      <c r="K312" s="10">
        <v>67.44</v>
      </c>
      <c r="L312" s="7">
        <v>2.44</v>
      </c>
      <c r="M312" s="10">
        <v>30.1</v>
      </c>
    </row>
    <row r="313" spans="1:13">
      <c r="A313" s="57"/>
      <c r="B313" s="9" t="s">
        <v>31</v>
      </c>
      <c r="C313" s="10">
        <v>6.93</v>
      </c>
      <c r="D313" s="64">
        <v>35</v>
      </c>
      <c r="E313" s="10">
        <v>644.60470700070493</v>
      </c>
      <c r="F313" s="10">
        <v>800</v>
      </c>
      <c r="G313" s="67">
        <f t="shared" si="20"/>
        <v>601.46297759034837</v>
      </c>
      <c r="H313" s="72">
        <f t="shared" si="21"/>
        <v>306.92655746435474</v>
      </c>
      <c r="I313" s="64">
        <f t="shared" si="22"/>
        <v>198.24219741377883</v>
      </c>
      <c r="J313" s="64">
        <f t="shared" si="23"/>
        <v>46.914112252047168</v>
      </c>
      <c r="K313" s="10">
        <v>51.03</v>
      </c>
      <c r="L313" s="7">
        <v>7.8</v>
      </c>
      <c r="M313" s="10">
        <v>32.96</v>
      </c>
    </row>
    <row r="314" spans="1:13">
      <c r="A314" s="56">
        <v>38953</v>
      </c>
      <c r="B314" s="9" t="s">
        <v>30</v>
      </c>
      <c r="C314" s="10">
        <v>7.12</v>
      </c>
      <c r="D314" s="64">
        <v>35</v>
      </c>
      <c r="E314" s="10">
        <v>649.75259181355761</v>
      </c>
      <c r="F314" s="10">
        <v>800</v>
      </c>
      <c r="G314" s="67">
        <f t="shared" si="20"/>
        <v>606.26632775860446</v>
      </c>
      <c r="H314" s="72">
        <f t="shared" si="21"/>
        <v>417.05060686514406</v>
      </c>
      <c r="I314" s="64">
        <f t="shared" si="22"/>
        <v>168.66329238244376</v>
      </c>
      <c r="J314" s="64">
        <f t="shared" si="23"/>
        <v>18.491122996637433</v>
      </c>
      <c r="K314" s="10">
        <v>68.790000000000006</v>
      </c>
      <c r="L314" s="7">
        <v>3.05</v>
      </c>
      <c r="M314" s="10">
        <v>27.82</v>
      </c>
    </row>
    <row r="315" spans="1:13">
      <c r="A315" s="57"/>
      <c r="B315" s="9" t="s">
        <v>31</v>
      </c>
      <c r="C315" s="10">
        <v>7.03</v>
      </c>
      <c r="D315" s="64">
        <v>35</v>
      </c>
      <c r="E315" s="10">
        <v>649.75259181355761</v>
      </c>
      <c r="F315" s="10">
        <v>800</v>
      </c>
      <c r="G315" s="67">
        <f t="shared" si="20"/>
        <v>606.26632775860446</v>
      </c>
      <c r="H315" s="72">
        <f t="shared" si="21"/>
        <v>320.89676728262936</v>
      </c>
      <c r="I315" s="64">
        <f t="shared" si="22"/>
        <v>209.22250970949437</v>
      </c>
      <c r="J315" s="64">
        <f t="shared" si="23"/>
        <v>38.012898750464494</v>
      </c>
      <c r="K315" s="10">
        <v>52.93</v>
      </c>
      <c r="L315" s="7">
        <v>6.27</v>
      </c>
      <c r="M315" s="10">
        <v>34.51</v>
      </c>
    </row>
    <row r="316" spans="1:13">
      <c r="A316" s="56">
        <v>38955</v>
      </c>
      <c r="B316" s="9" t="s">
        <v>30</v>
      </c>
      <c r="C316" s="10">
        <v>7</v>
      </c>
      <c r="D316" s="64">
        <v>35</v>
      </c>
      <c r="E316" s="10">
        <v>642.73356278177232</v>
      </c>
      <c r="F316" s="10">
        <v>600</v>
      </c>
      <c r="G316" s="67">
        <f t="shared" si="20"/>
        <v>449.78779816863226</v>
      </c>
      <c r="H316" s="72">
        <f t="shared" si="21"/>
        <v>294.43109268118667</v>
      </c>
      <c r="I316" s="64">
        <f t="shared" si="22"/>
        <v>148.11512193693062</v>
      </c>
      <c r="J316" s="64">
        <f t="shared" si="23"/>
        <v>7.1516259908812536</v>
      </c>
      <c r="K316" s="10">
        <v>65.459999999999994</v>
      </c>
      <c r="L316" s="7">
        <v>1.59</v>
      </c>
      <c r="M316" s="10">
        <v>32.93</v>
      </c>
    </row>
    <row r="317" spans="1:13">
      <c r="A317" s="57"/>
      <c r="B317" s="9" t="s">
        <v>31</v>
      </c>
      <c r="C317" s="10">
        <v>7</v>
      </c>
      <c r="D317" s="64">
        <v>35</v>
      </c>
      <c r="E317" s="10">
        <v>642.73356278177232</v>
      </c>
      <c r="F317" s="10">
        <v>800</v>
      </c>
      <c r="G317" s="67">
        <f t="shared" si="20"/>
        <v>599.71706422484317</v>
      </c>
      <c r="H317" s="72">
        <f t="shared" si="21"/>
        <v>250.02204407533711</v>
      </c>
      <c r="I317" s="64">
        <f t="shared" si="22"/>
        <v>181.11455339590262</v>
      </c>
      <c r="J317" s="64">
        <f t="shared" si="23"/>
        <v>73.525312073965765</v>
      </c>
      <c r="K317" s="10">
        <v>41.69</v>
      </c>
      <c r="L317" s="7">
        <v>12.26</v>
      </c>
      <c r="M317" s="10">
        <v>30.2</v>
      </c>
    </row>
    <row r="318" spans="1:13">
      <c r="A318" s="56">
        <v>38958</v>
      </c>
      <c r="B318" s="9" t="s">
        <v>30</v>
      </c>
      <c r="C318" s="10">
        <v>6.81</v>
      </c>
      <c r="D318" s="64">
        <v>35</v>
      </c>
      <c r="E318" s="10">
        <v>641.95466542747988</v>
      </c>
      <c r="F318" s="10">
        <v>700</v>
      </c>
      <c r="G318" s="67">
        <f t="shared" si="20"/>
        <v>524.11650940272295</v>
      </c>
      <c r="H318" s="72">
        <f t="shared" si="21"/>
        <v>356.50404969573214</v>
      </c>
      <c r="I318" s="64">
        <f t="shared" si="22"/>
        <v>155.34813338696711</v>
      </c>
      <c r="J318" s="64">
        <f t="shared" si="23"/>
        <v>12.211914669083445</v>
      </c>
      <c r="K318" s="10">
        <v>68.02</v>
      </c>
      <c r="L318" s="7">
        <v>2.33</v>
      </c>
      <c r="M318" s="10">
        <v>29.64</v>
      </c>
    </row>
    <row r="319" spans="1:13">
      <c r="A319" s="57"/>
      <c r="B319" s="9" t="s">
        <v>31</v>
      </c>
      <c r="C319" s="10">
        <v>6.72</v>
      </c>
      <c r="D319" s="64">
        <v>35</v>
      </c>
      <c r="E319" s="10">
        <v>641.95466542747988</v>
      </c>
      <c r="F319" s="10">
        <v>800</v>
      </c>
      <c r="G319" s="67">
        <f t="shared" si="20"/>
        <v>598.99029646025474</v>
      </c>
      <c r="H319" s="72">
        <f t="shared" si="21"/>
        <v>249.71905459428021</v>
      </c>
      <c r="I319" s="64">
        <f t="shared" si="22"/>
        <v>180.89506953099692</v>
      </c>
      <c r="J319" s="64">
        <f t="shared" si="23"/>
        <v>73.436210346027224</v>
      </c>
      <c r="K319" s="14">
        <v>41.69</v>
      </c>
      <c r="L319" s="68">
        <v>12.26</v>
      </c>
      <c r="M319" s="14">
        <v>30.2</v>
      </c>
    </row>
    <row r="320" spans="1:13">
      <c r="A320" s="56">
        <v>38960</v>
      </c>
      <c r="B320" s="9" t="s">
        <v>30</v>
      </c>
      <c r="C320" s="10">
        <v>6.91</v>
      </c>
      <c r="D320" s="64">
        <v>35</v>
      </c>
      <c r="E320" s="10">
        <v>646.9117133204968</v>
      </c>
      <c r="F320" s="10">
        <v>600</v>
      </c>
      <c r="G320" s="67">
        <f t="shared" si="20"/>
        <v>452.71168644839844</v>
      </c>
      <c r="H320" s="72">
        <f t="shared" si="21"/>
        <v>305.35403250944472</v>
      </c>
      <c r="I320" s="64">
        <f t="shared" si="22"/>
        <v>139.25411475152737</v>
      </c>
      <c r="J320" s="64">
        <f t="shared" si="23"/>
        <v>8.012996850136652</v>
      </c>
      <c r="K320" s="10">
        <v>67.45</v>
      </c>
      <c r="L320" s="7">
        <v>1.77</v>
      </c>
      <c r="M320" s="10">
        <v>30.76</v>
      </c>
    </row>
    <row r="321" spans="1:13">
      <c r="A321" s="57"/>
      <c r="B321" s="9" t="s">
        <v>31</v>
      </c>
      <c r="C321" s="10">
        <v>6.78</v>
      </c>
      <c r="D321" s="64">
        <v>35</v>
      </c>
      <c r="E321" s="10">
        <v>646.9117133204968</v>
      </c>
      <c r="F321" s="10">
        <v>700</v>
      </c>
      <c r="G321" s="67">
        <f t="shared" si="20"/>
        <v>528.16363418979824</v>
      </c>
      <c r="H321" s="72">
        <f t="shared" si="21"/>
        <v>263.65928618754731</v>
      </c>
      <c r="I321" s="64">
        <f t="shared" si="22"/>
        <v>169.48771021150628</v>
      </c>
      <c r="J321" s="64">
        <f t="shared" si="23"/>
        <v>42.464356188859774</v>
      </c>
      <c r="K321" s="10">
        <v>49.92</v>
      </c>
      <c r="L321" s="7">
        <v>8.0399999999999991</v>
      </c>
      <c r="M321" s="10">
        <v>32.090000000000003</v>
      </c>
    </row>
    <row r="322" spans="1:13">
      <c r="A322" s="56">
        <v>38962</v>
      </c>
      <c r="B322" s="9" t="s">
        <v>30</v>
      </c>
      <c r="C322" s="10">
        <v>6.9</v>
      </c>
      <c r="D322" s="64">
        <v>35</v>
      </c>
      <c r="E322" s="10">
        <v>649.75220255950774</v>
      </c>
      <c r="F322" s="10">
        <v>800</v>
      </c>
      <c r="G322" s="67">
        <f t="shared" si="20"/>
        <v>606.26596455632341</v>
      </c>
      <c r="H322" s="72">
        <f t="shared" si="21"/>
        <v>389.8896418061716</v>
      </c>
      <c r="I322" s="64">
        <f t="shared" si="22"/>
        <v>206.73669391370629</v>
      </c>
      <c r="J322" s="64">
        <f t="shared" si="23"/>
        <v>9.5183756435342772</v>
      </c>
      <c r="K322" s="10">
        <v>64.31</v>
      </c>
      <c r="L322" s="7">
        <v>1.57</v>
      </c>
      <c r="M322" s="10">
        <v>34.1</v>
      </c>
    </row>
    <row r="323" spans="1:13">
      <c r="A323" s="57"/>
      <c r="B323" s="9" t="s">
        <v>31</v>
      </c>
      <c r="C323" s="10">
        <v>8</v>
      </c>
      <c r="D323" s="64">
        <v>35</v>
      </c>
      <c r="E323" s="10">
        <v>649.75220255950774</v>
      </c>
      <c r="F323" s="10">
        <v>800</v>
      </c>
      <c r="G323" s="67">
        <f t="shared" si="20"/>
        <v>606.26596455632341</v>
      </c>
      <c r="H323" s="72">
        <f t="shared" ref="H323:H377" si="24">K323/100*G323</f>
        <v>96.578168153822318</v>
      </c>
      <c r="I323" s="64">
        <f t="shared" ref="I323:I377" si="25">(M323*G323)/100</f>
        <v>361.7589010507582</v>
      </c>
      <c r="J323" s="64">
        <f t="shared" ref="J323:J377" si="26">(L323*G323)/100</f>
        <v>147.92889535174291</v>
      </c>
      <c r="K323" s="10">
        <v>15.93</v>
      </c>
      <c r="L323" s="7">
        <v>24.4</v>
      </c>
      <c r="M323" s="10">
        <v>59.67</v>
      </c>
    </row>
    <row r="324" spans="1:13">
      <c r="A324" s="56">
        <v>38966</v>
      </c>
      <c r="B324" s="9" t="s">
        <v>30</v>
      </c>
      <c r="C324" s="10">
        <v>7</v>
      </c>
      <c r="D324" s="64">
        <v>35</v>
      </c>
      <c r="E324" s="10">
        <v>644.98072641312194</v>
      </c>
      <c r="F324" s="10">
        <v>900</v>
      </c>
      <c r="G324" s="67">
        <f t="shared" ref="G324:G377" si="27">(E324*F324*273.15)/((D324+273.15)*760)</f>
        <v>677.0405598681856</v>
      </c>
      <c r="H324" s="72">
        <f t="shared" si="24"/>
        <v>459.71054015049805</v>
      </c>
      <c r="I324" s="64">
        <f t="shared" si="25"/>
        <v>201.01334222486432</v>
      </c>
      <c r="J324" s="64">
        <f t="shared" si="26"/>
        <v>16.248973436836454</v>
      </c>
      <c r="K324" s="10">
        <v>67.900000000000006</v>
      </c>
      <c r="L324" s="7">
        <v>2.4</v>
      </c>
      <c r="M324" s="10">
        <v>29.69</v>
      </c>
    </row>
    <row r="325" spans="1:13">
      <c r="A325" s="57"/>
      <c r="B325" s="9" t="s">
        <v>31</v>
      </c>
      <c r="C325" s="10">
        <v>6.8</v>
      </c>
      <c r="D325" s="64">
        <v>35</v>
      </c>
      <c r="E325" s="10">
        <v>644.98072641312194</v>
      </c>
      <c r="F325" s="10">
        <v>800</v>
      </c>
      <c r="G325" s="67">
        <f t="shared" si="27"/>
        <v>601.8138309939427</v>
      </c>
      <c r="H325" s="72">
        <f t="shared" si="24"/>
        <v>315.23008467462722</v>
      </c>
      <c r="I325" s="64">
        <f t="shared" si="25"/>
        <v>198.35783869560353</v>
      </c>
      <c r="J325" s="64">
        <f t="shared" si="26"/>
        <v>27.924161758118938</v>
      </c>
      <c r="K325" s="10">
        <v>52.38</v>
      </c>
      <c r="L325" s="7">
        <v>4.6399999999999997</v>
      </c>
      <c r="M325" s="10">
        <v>32.96</v>
      </c>
    </row>
    <row r="326" spans="1:13">
      <c r="A326" s="56">
        <v>38968</v>
      </c>
      <c r="B326" s="9" t="s">
        <v>30</v>
      </c>
      <c r="C326" s="10">
        <v>6.98</v>
      </c>
      <c r="D326" s="64">
        <v>35</v>
      </c>
      <c r="E326" s="10">
        <v>639.09870846174056</v>
      </c>
      <c r="F326" s="10">
        <v>600</v>
      </c>
      <c r="G326" s="67">
        <f t="shared" si="27"/>
        <v>447.2441109925731</v>
      </c>
      <c r="H326" s="72">
        <f t="shared" si="24"/>
        <v>293.92882974431905</v>
      </c>
      <c r="I326" s="64">
        <f t="shared" si="25"/>
        <v>146.20409988347214</v>
      </c>
      <c r="J326" s="64">
        <f t="shared" si="26"/>
        <v>7.0664569536826551</v>
      </c>
      <c r="K326" s="10">
        <v>65.72</v>
      </c>
      <c r="L326" s="7">
        <v>1.58</v>
      </c>
      <c r="M326" s="10">
        <v>32.69</v>
      </c>
    </row>
    <row r="327" spans="1:13">
      <c r="A327" s="57"/>
      <c r="B327" s="9" t="s">
        <v>31</v>
      </c>
      <c r="C327" s="10">
        <v>6.94</v>
      </c>
      <c r="D327" s="64">
        <v>35</v>
      </c>
      <c r="E327" s="10">
        <v>639.09870846174056</v>
      </c>
      <c r="F327" s="10">
        <v>700</v>
      </c>
      <c r="G327" s="67">
        <f t="shared" si="27"/>
        <v>521.784796158002</v>
      </c>
      <c r="H327" s="72">
        <f t="shared" si="24"/>
        <v>241.53418214153911</v>
      </c>
      <c r="I327" s="64">
        <f t="shared" si="25"/>
        <v>151.21323392658897</v>
      </c>
      <c r="J327" s="64">
        <f t="shared" si="26"/>
        <v>35.533544618359933</v>
      </c>
      <c r="K327" s="10">
        <v>46.29</v>
      </c>
      <c r="L327" s="7">
        <v>6.81</v>
      </c>
      <c r="M327" s="10">
        <v>28.98</v>
      </c>
    </row>
    <row r="328" spans="1:13">
      <c r="A328" s="56">
        <v>38970</v>
      </c>
      <c r="B328" s="9" t="s">
        <v>30</v>
      </c>
      <c r="C328" s="10">
        <v>6.89</v>
      </c>
      <c r="D328" s="64">
        <v>35</v>
      </c>
      <c r="E328" s="10">
        <v>649.77049749986338</v>
      </c>
      <c r="F328" s="10">
        <v>750</v>
      </c>
      <c r="G328" s="67">
        <f t="shared" si="27"/>
        <v>568.39034537206669</v>
      </c>
      <c r="H328" s="72">
        <f t="shared" si="24"/>
        <v>364.45188945256916</v>
      </c>
      <c r="I328" s="64">
        <f t="shared" si="25"/>
        <v>195.07156653169329</v>
      </c>
      <c r="J328" s="64">
        <f t="shared" si="26"/>
        <v>8.7532113187298268</v>
      </c>
      <c r="K328" s="10">
        <v>64.12</v>
      </c>
      <c r="L328" s="7">
        <v>1.54</v>
      </c>
      <c r="M328" s="10">
        <v>34.32</v>
      </c>
    </row>
    <row r="329" spans="1:13">
      <c r="A329" s="57"/>
      <c r="B329" s="9" t="s">
        <v>31</v>
      </c>
      <c r="C329" s="10">
        <v>6.7</v>
      </c>
      <c r="D329" s="64">
        <v>35</v>
      </c>
      <c r="E329" s="10">
        <v>649.77049749986338</v>
      </c>
      <c r="F329" s="10">
        <v>800</v>
      </c>
      <c r="G329" s="67">
        <f t="shared" si="27"/>
        <v>606.2830350635378</v>
      </c>
      <c r="H329" s="72">
        <f t="shared" si="24"/>
        <v>243.66515179203583</v>
      </c>
      <c r="I329" s="64">
        <f t="shared" si="25"/>
        <v>151.5101304623781</v>
      </c>
      <c r="J329" s="64">
        <f t="shared" si="26"/>
        <v>54.383588245199341</v>
      </c>
      <c r="K329" s="10">
        <v>40.19</v>
      </c>
      <c r="L329" s="7">
        <v>8.9700000000000006</v>
      </c>
      <c r="M329" s="10">
        <v>24.99</v>
      </c>
    </row>
    <row r="330" spans="1:13">
      <c r="A330" s="56">
        <v>38972</v>
      </c>
      <c r="B330" s="9" t="s">
        <v>30</v>
      </c>
      <c r="C330" s="10">
        <v>6.91</v>
      </c>
      <c r="D330" s="64">
        <v>35</v>
      </c>
      <c r="E330" s="10">
        <v>646.75338935737409</v>
      </c>
      <c r="F330" s="10">
        <v>800</v>
      </c>
      <c r="G330" s="67">
        <f t="shared" si="27"/>
        <v>603.46785418231639</v>
      </c>
      <c r="H330" s="72">
        <f t="shared" si="24"/>
        <v>404.14242194589724</v>
      </c>
      <c r="I330" s="64">
        <f t="shared" si="25"/>
        <v>187.19572836735452</v>
      </c>
      <c r="J330" s="64">
        <f t="shared" si="26"/>
        <v>12.069357083646327</v>
      </c>
      <c r="K330" s="10">
        <v>66.97</v>
      </c>
      <c r="L330" s="7">
        <v>2</v>
      </c>
      <c r="M330" s="10">
        <v>31.02</v>
      </c>
    </row>
    <row r="331" spans="1:13">
      <c r="A331" s="57"/>
      <c r="B331" s="9" t="s">
        <v>31</v>
      </c>
      <c r="C331" s="10">
        <v>6.84</v>
      </c>
      <c r="D331" s="64">
        <v>35</v>
      </c>
      <c r="E331" s="10">
        <v>646.75338935737409</v>
      </c>
      <c r="F331" s="10">
        <v>900</v>
      </c>
      <c r="G331" s="67">
        <f t="shared" si="27"/>
        <v>678.90133595510588</v>
      </c>
      <c r="H331" s="72">
        <f t="shared" si="24"/>
        <v>407.54447197385008</v>
      </c>
      <c r="I331" s="64">
        <f t="shared" si="25"/>
        <v>226.82093634260085</v>
      </c>
      <c r="J331" s="64">
        <f t="shared" si="26"/>
        <v>17.447764334046219</v>
      </c>
      <c r="K331" s="10">
        <v>60.03</v>
      </c>
      <c r="L331" s="7">
        <v>2.57</v>
      </c>
      <c r="M331" s="7">
        <v>33.409999999999997</v>
      </c>
    </row>
    <row r="332" spans="1:13">
      <c r="A332" s="56">
        <v>38974</v>
      </c>
      <c r="B332" s="9" t="s">
        <v>30</v>
      </c>
      <c r="C332" s="10">
        <v>6.81</v>
      </c>
      <c r="D332" s="64">
        <v>35</v>
      </c>
      <c r="E332" s="10">
        <v>647.25474857392999</v>
      </c>
      <c r="F332" s="10">
        <v>700</v>
      </c>
      <c r="G332" s="67">
        <f t="shared" si="27"/>
        <v>528.44370138038664</v>
      </c>
      <c r="H332" s="72">
        <f t="shared" si="24"/>
        <v>347.98017735898458</v>
      </c>
      <c r="I332" s="64">
        <f t="shared" si="25"/>
        <v>171.95558042917781</v>
      </c>
      <c r="J332" s="64">
        <f t="shared" si="26"/>
        <v>8.3494104818101089</v>
      </c>
      <c r="K332" s="10">
        <v>65.849999999999994</v>
      </c>
      <c r="L332" s="7">
        <v>1.58</v>
      </c>
      <c r="M332" s="10">
        <v>32.54</v>
      </c>
    </row>
    <row r="333" spans="1:13">
      <c r="A333" s="57"/>
      <c r="B333" s="9" t="s">
        <v>31</v>
      </c>
      <c r="C333" s="10">
        <v>6.92</v>
      </c>
      <c r="D333" s="64">
        <v>35</v>
      </c>
      <c r="E333" s="10">
        <v>647.25474857392999</v>
      </c>
      <c r="F333" s="10">
        <v>900</v>
      </c>
      <c r="G333" s="67">
        <f t="shared" si="27"/>
        <v>679.42761606049714</v>
      </c>
      <c r="H333" s="72">
        <f t="shared" si="24"/>
        <v>408.87953934520721</v>
      </c>
      <c r="I333" s="64">
        <f t="shared" si="25"/>
        <v>197.7813790352107</v>
      </c>
      <c r="J333" s="64">
        <f t="shared" si="26"/>
        <v>26.429734264753339</v>
      </c>
      <c r="K333" s="10">
        <v>60.18</v>
      </c>
      <c r="L333" s="7">
        <v>3.89</v>
      </c>
      <c r="M333" s="10">
        <v>29.11</v>
      </c>
    </row>
    <row r="334" spans="1:13">
      <c r="A334" s="56">
        <v>38976</v>
      </c>
      <c r="B334" s="9" t="s">
        <v>30</v>
      </c>
      <c r="C334" s="10">
        <v>6.84</v>
      </c>
      <c r="D334" s="64">
        <v>35</v>
      </c>
      <c r="E334" s="10">
        <v>644.9270093542051</v>
      </c>
      <c r="F334" s="10">
        <v>900</v>
      </c>
      <c r="G334" s="67">
        <f t="shared" si="27"/>
        <v>676.98417271403639</v>
      </c>
      <c r="H334" s="72">
        <f t="shared" si="24"/>
        <v>404.90423370026519</v>
      </c>
      <c r="I334" s="64">
        <f t="shared" si="25"/>
        <v>261.78977958851789</v>
      </c>
      <c r="J334" s="64">
        <f t="shared" si="26"/>
        <v>10.222461007981948</v>
      </c>
      <c r="K334" s="10">
        <v>59.81</v>
      </c>
      <c r="L334" s="7">
        <v>1.51</v>
      </c>
      <c r="M334" s="10">
        <v>38.67</v>
      </c>
    </row>
    <row r="335" spans="1:13">
      <c r="A335" s="57"/>
      <c r="B335" s="9" t="s">
        <v>31</v>
      </c>
      <c r="C335" s="10"/>
      <c r="D335" s="64">
        <v>35</v>
      </c>
      <c r="E335" s="10">
        <v>644.9270093542051</v>
      </c>
      <c r="F335" s="10">
        <v>800</v>
      </c>
      <c r="G335" s="67">
        <f t="shared" si="27"/>
        <v>601.76370907914338</v>
      </c>
      <c r="H335" s="72">
        <f t="shared" si="24"/>
        <v>253.70357974776684</v>
      </c>
      <c r="I335" s="64">
        <f t="shared" si="25"/>
        <v>170.35930604030548</v>
      </c>
      <c r="J335" s="64">
        <f t="shared" si="26"/>
        <v>177.70082329107106</v>
      </c>
      <c r="K335" s="10">
        <v>42.16</v>
      </c>
      <c r="L335" s="7">
        <v>29.53</v>
      </c>
      <c r="M335" s="10">
        <v>28.31</v>
      </c>
    </row>
    <row r="336" spans="1:13">
      <c r="A336" s="56">
        <v>38980</v>
      </c>
      <c r="B336" s="9" t="s">
        <v>30</v>
      </c>
      <c r="C336" s="10">
        <v>6.83</v>
      </c>
      <c r="D336" s="64">
        <v>35</v>
      </c>
      <c r="E336" s="10">
        <v>641.99047680009096</v>
      </c>
      <c r="F336" s="10">
        <v>1300</v>
      </c>
      <c r="G336" s="67">
        <f t="shared" si="27"/>
        <v>973.41353048894632</v>
      </c>
      <c r="H336" s="72">
        <f t="shared" si="24"/>
        <v>602.34829266656004</v>
      </c>
      <c r="I336" s="64">
        <f t="shared" si="25"/>
        <v>355.3932799815143</v>
      </c>
      <c r="J336" s="64">
        <f t="shared" si="26"/>
        <v>15.477275134774247</v>
      </c>
      <c r="K336" s="10">
        <v>61.88</v>
      </c>
      <c r="L336" s="7">
        <v>1.59</v>
      </c>
      <c r="M336" s="10">
        <v>36.51</v>
      </c>
    </row>
    <row r="337" spans="1:15">
      <c r="A337" s="57"/>
      <c r="B337" s="9" t="s">
        <v>31</v>
      </c>
      <c r="C337" s="10">
        <v>7</v>
      </c>
      <c r="D337" s="64">
        <v>35</v>
      </c>
      <c r="E337" s="10">
        <v>641.99047680009096</v>
      </c>
      <c r="F337" s="10">
        <v>800</v>
      </c>
      <c r="G337" s="67">
        <f t="shared" si="27"/>
        <v>599.02371107012095</v>
      </c>
      <c r="H337" s="72">
        <f t="shared" si="24"/>
        <v>377.14532848974818</v>
      </c>
      <c r="I337" s="64">
        <f t="shared" si="25"/>
        <v>193.54456104675609</v>
      </c>
      <c r="J337" s="64">
        <f t="shared" si="26"/>
        <v>16.113737827786252</v>
      </c>
      <c r="K337" s="10">
        <v>62.96</v>
      </c>
      <c r="L337" s="7">
        <v>2.69</v>
      </c>
      <c r="M337" s="10">
        <v>32.31</v>
      </c>
    </row>
    <row r="338" spans="1:15">
      <c r="A338" s="56">
        <v>38982</v>
      </c>
      <c r="B338" s="9" t="s">
        <v>30</v>
      </c>
      <c r="C338" s="10">
        <v>6.83</v>
      </c>
      <c r="D338" s="64">
        <v>35</v>
      </c>
      <c r="E338" s="10">
        <v>642.96633670374479</v>
      </c>
      <c r="F338" s="10">
        <v>800</v>
      </c>
      <c r="G338" s="67">
        <f t="shared" si="27"/>
        <v>599.93425918897299</v>
      </c>
      <c r="H338" s="72">
        <f t="shared" si="24"/>
        <v>329.96384255393519</v>
      </c>
      <c r="I338" s="64">
        <f t="shared" si="25"/>
        <v>258.15171172901506</v>
      </c>
      <c r="J338" s="64">
        <f t="shared" si="26"/>
        <v>8.2190993508889303</v>
      </c>
      <c r="K338" s="10">
        <v>55</v>
      </c>
      <c r="L338" s="7">
        <v>1.37</v>
      </c>
      <c r="M338" s="10">
        <v>43.03</v>
      </c>
    </row>
    <row r="339" spans="1:15">
      <c r="A339" s="57"/>
      <c r="B339" s="9" t="s">
        <v>31</v>
      </c>
      <c r="C339" s="10">
        <v>6.84</v>
      </c>
      <c r="D339" s="64">
        <v>35</v>
      </c>
      <c r="E339" s="10">
        <v>642.96633670374479</v>
      </c>
      <c r="F339" s="10">
        <v>50</v>
      </c>
      <c r="G339" s="67">
        <f t="shared" si="27"/>
        <v>37.495891199310812</v>
      </c>
      <c r="H339" s="72">
        <f t="shared" si="24"/>
        <v>21.627630043762476</v>
      </c>
      <c r="I339" s="64">
        <f t="shared" si="25"/>
        <v>11.882447921061596</v>
      </c>
      <c r="J339" s="64">
        <f t="shared" si="26"/>
        <v>1.4360926329336041</v>
      </c>
      <c r="K339" s="10">
        <v>57.68</v>
      </c>
      <c r="L339" s="7">
        <v>3.83</v>
      </c>
      <c r="M339" s="10">
        <v>31.69</v>
      </c>
    </row>
    <row r="340" spans="1:15">
      <c r="A340" s="56">
        <v>38984</v>
      </c>
      <c r="B340" s="9" t="s">
        <v>30</v>
      </c>
      <c r="C340" s="10">
        <v>6.72</v>
      </c>
      <c r="D340" s="64">
        <v>35</v>
      </c>
      <c r="E340" s="10">
        <v>651.91917985653242</v>
      </c>
      <c r="F340" s="10">
        <v>700</v>
      </c>
      <c r="G340" s="67">
        <f t="shared" si="27"/>
        <v>532.25192269856734</v>
      </c>
      <c r="H340" s="72">
        <f t="shared" si="24"/>
        <v>292.73855748421204</v>
      </c>
      <c r="I340" s="64">
        <f t="shared" si="25"/>
        <v>228.86832676038398</v>
      </c>
      <c r="J340" s="64">
        <f t="shared" si="26"/>
        <v>7.2918513409703731</v>
      </c>
      <c r="K340" s="10">
        <v>55</v>
      </c>
      <c r="L340" s="7">
        <v>1.37</v>
      </c>
      <c r="M340" s="10">
        <v>43</v>
      </c>
    </row>
    <row r="341" spans="1:15">
      <c r="A341" s="57"/>
      <c r="B341" s="9" t="s">
        <v>31</v>
      </c>
      <c r="C341" s="10">
        <v>6.85</v>
      </c>
      <c r="D341" s="64">
        <v>35</v>
      </c>
      <c r="E341" s="10">
        <v>651.91917985653242</v>
      </c>
      <c r="F341" s="10">
        <v>600</v>
      </c>
      <c r="G341" s="67">
        <f t="shared" si="27"/>
        <v>456.21593374162916</v>
      </c>
      <c r="H341" s="72">
        <f t="shared" si="24"/>
        <v>262.05043234119182</v>
      </c>
      <c r="I341" s="64">
        <f t="shared" si="25"/>
        <v>141.79191220689833</v>
      </c>
      <c r="J341" s="64">
        <f t="shared" si="26"/>
        <v>17.792421415923535</v>
      </c>
      <c r="K341" s="10">
        <v>57.44</v>
      </c>
      <c r="L341" s="7">
        <v>3.9</v>
      </c>
      <c r="M341" s="10">
        <v>31.08</v>
      </c>
    </row>
    <row r="342" spans="1:15">
      <c r="A342" s="56">
        <v>38986</v>
      </c>
      <c r="B342" s="9" t="s">
        <v>30</v>
      </c>
      <c r="C342" s="10">
        <v>6.96</v>
      </c>
      <c r="D342" s="64">
        <v>35</v>
      </c>
      <c r="E342" s="10">
        <v>649.09903426340418</v>
      </c>
      <c r="F342" s="10">
        <v>800</v>
      </c>
      <c r="G342" s="67">
        <f t="shared" si="27"/>
        <v>605.65651112854766</v>
      </c>
      <c r="H342" s="72">
        <f t="shared" si="24"/>
        <v>345.22421134327215</v>
      </c>
      <c r="I342" s="64">
        <f t="shared" si="25"/>
        <v>242.26260445141907</v>
      </c>
      <c r="J342" s="64">
        <f t="shared" si="26"/>
        <v>7.3890094357682816</v>
      </c>
      <c r="K342" s="10">
        <v>57</v>
      </c>
      <c r="L342" s="7">
        <v>1.22</v>
      </c>
      <c r="M342" s="10">
        <v>40</v>
      </c>
    </row>
    <row r="343" spans="1:15">
      <c r="A343" s="57"/>
      <c r="B343" s="9" t="s">
        <v>31</v>
      </c>
      <c r="C343" s="10">
        <v>6.91</v>
      </c>
      <c r="D343" s="64">
        <v>35</v>
      </c>
      <c r="E343" s="10">
        <v>649.09903426340418</v>
      </c>
      <c r="F343" s="10">
        <v>50</v>
      </c>
      <c r="G343" s="67">
        <f t="shared" si="27"/>
        <v>37.853531945534229</v>
      </c>
      <c r="H343" s="72">
        <f t="shared" si="24"/>
        <v>18.150768567883663</v>
      </c>
      <c r="I343" s="64">
        <f t="shared" si="25"/>
        <v>9.7964940675042573</v>
      </c>
      <c r="J343" s="64">
        <f t="shared" si="26"/>
        <v>2.6232497638255223</v>
      </c>
      <c r="K343" s="10">
        <v>47.95</v>
      </c>
      <c r="L343" s="7">
        <v>6.93</v>
      </c>
      <c r="M343" s="10">
        <v>25.88</v>
      </c>
    </row>
    <row r="344" spans="1:15">
      <c r="A344" s="56">
        <v>38988</v>
      </c>
      <c r="B344" s="9" t="s">
        <v>30</v>
      </c>
      <c r="C344" s="10">
        <v>6.8</v>
      </c>
      <c r="D344" s="64">
        <v>35</v>
      </c>
      <c r="E344" s="10">
        <v>646.95930474988802</v>
      </c>
      <c r="F344" s="10">
        <v>800</v>
      </c>
      <c r="G344" s="67">
        <f t="shared" si="27"/>
        <v>603.65998818904643</v>
      </c>
      <c r="H344" s="72">
        <f t="shared" si="24"/>
        <v>355.9179290362618</v>
      </c>
      <c r="I344" s="64">
        <f t="shared" si="25"/>
        <v>240.9207012862484</v>
      </c>
      <c r="J344" s="64">
        <f t="shared" si="26"/>
        <v>6.821357866536224</v>
      </c>
      <c r="K344" s="10">
        <v>58.96</v>
      </c>
      <c r="L344" s="7">
        <v>1.1299999999999999</v>
      </c>
      <c r="M344" s="10">
        <v>39.909999999999997</v>
      </c>
    </row>
    <row r="345" spans="1:15">
      <c r="A345" s="57"/>
      <c r="B345" s="9" t="s">
        <v>31</v>
      </c>
      <c r="C345" s="10">
        <v>6.86</v>
      </c>
      <c r="D345" s="64">
        <v>35</v>
      </c>
      <c r="E345" s="10">
        <v>646.95930474988802</v>
      </c>
      <c r="F345" s="10">
        <v>800</v>
      </c>
      <c r="G345" s="67">
        <f t="shared" si="27"/>
        <v>603.65998818904643</v>
      </c>
      <c r="H345" s="72">
        <f t="shared" si="24"/>
        <v>380.78872054965052</v>
      </c>
      <c r="I345" s="64">
        <f t="shared" si="25"/>
        <v>215.50661578348956</v>
      </c>
      <c r="J345" s="64">
        <f t="shared" si="26"/>
        <v>7.3042858570874616</v>
      </c>
      <c r="K345" s="10">
        <v>63.08</v>
      </c>
      <c r="L345" s="7">
        <v>1.21</v>
      </c>
      <c r="M345" s="10">
        <v>35.700000000000003</v>
      </c>
    </row>
    <row r="346" spans="1:15">
      <c r="A346" s="56">
        <v>38990</v>
      </c>
      <c r="B346" s="9" t="s">
        <v>30</v>
      </c>
      <c r="C346" s="10">
        <v>6.88</v>
      </c>
      <c r="D346" s="64">
        <v>35</v>
      </c>
      <c r="E346" s="10">
        <v>648.49495295172676</v>
      </c>
      <c r="F346" s="10">
        <v>600</v>
      </c>
      <c r="G346" s="67">
        <f t="shared" si="27"/>
        <v>453.81964456501237</v>
      </c>
      <c r="H346" s="72">
        <f t="shared" si="24"/>
        <v>286.40557768497928</v>
      </c>
      <c r="I346" s="64">
        <f t="shared" si="25"/>
        <v>162.24052293199193</v>
      </c>
      <c r="J346" s="64">
        <f t="shared" si="26"/>
        <v>5.1735439480411403</v>
      </c>
      <c r="K346" s="10">
        <v>63.11</v>
      </c>
      <c r="L346" s="7">
        <v>1.1399999999999999</v>
      </c>
      <c r="M346" s="10">
        <v>35.75</v>
      </c>
    </row>
    <row r="347" spans="1:15">
      <c r="A347" s="57"/>
      <c r="B347" s="9" t="s">
        <v>31</v>
      </c>
      <c r="C347" s="10">
        <v>6.86</v>
      </c>
      <c r="D347" s="64">
        <v>35</v>
      </c>
      <c r="E347" s="10">
        <v>648.49495295172676</v>
      </c>
      <c r="F347" s="10">
        <v>800</v>
      </c>
      <c r="G347" s="67">
        <f t="shared" si="27"/>
        <v>605.09285942001645</v>
      </c>
      <c r="H347" s="72">
        <f t="shared" si="24"/>
        <v>292.56239752957799</v>
      </c>
      <c r="I347" s="64">
        <f t="shared" si="25"/>
        <v>209.18060150149969</v>
      </c>
      <c r="J347" s="64">
        <f t="shared" si="26"/>
        <v>103.34986038893879</v>
      </c>
      <c r="K347" s="10">
        <v>48.35</v>
      </c>
      <c r="L347" s="7">
        <v>17.079999999999998</v>
      </c>
      <c r="M347" s="10">
        <v>34.57</v>
      </c>
    </row>
    <row r="348" spans="1:15">
      <c r="A348" s="56">
        <v>38993</v>
      </c>
      <c r="B348" s="9" t="s">
        <v>30</v>
      </c>
      <c r="C348" s="10">
        <v>6.81</v>
      </c>
      <c r="D348" s="64">
        <v>35</v>
      </c>
      <c r="E348" s="10">
        <v>644.76352265315438</v>
      </c>
      <c r="F348" s="10">
        <v>1900</v>
      </c>
      <c r="G348" s="67">
        <f t="shared" si="27"/>
        <v>1428.8265147875152</v>
      </c>
      <c r="H348" s="72">
        <f t="shared" si="24"/>
        <v>939.59631612427006</v>
      </c>
      <c r="I348" s="64">
        <f t="shared" si="25"/>
        <v>472.37004578875252</v>
      </c>
      <c r="J348" s="64">
        <f t="shared" si="26"/>
        <v>16.860152874492677</v>
      </c>
      <c r="K348" s="10">
        <v>65.760000000000005</v>
      </c>
      <c r="L348" s="7">
        <v>1.18</v>
      </c>
      <c r="M348" s="7">
        <v>33.06</v>
      </c>
    </row>
    <row r="349" spans="1:15">
      <c r="A349" s="57"/>
      <c r="B349" s="9" t="s">
        <v>31</v>
      </c>
      <c r="C349" s="10">
        <v>6.86</v>
      </c>
      <c r="D349" s="64">
        <v>35</v>
      </c>
      <c r="E349" s="10">
        <v>644.76352265315438</v>
      </c>
      <c r="F349" s="10">
        <v>600</v>
      </c>
      <c r="G349" s="67">
        <f t="shared" si="27"/>
        <v>451.20837309079434</v>
      </c>
      <c r="H349" s="72">
        <f t="shared" si="24"/>
        <v>205.66077645478404</v>
      </c>
      <c r="I349" s="64">
        <f t="shared" si="25"/>
        <v>136.17468699880175</v>
      </c>
      <c r="J349" s="64">
        <f t="shared" si="26"/>
        <v>28.877335877810836</v>
      </c>
      <c r="K349" s="10">
        <v>45.58</v>
      </c>
      <c r="L349" s="7">
        <v>6.4</v>
      </c>
      <c r="M349" s="10">
        <v>30.18</v>
      </c>
    </row>
    <row r="350" spans="1:15">
      <c r="A350" s="56">
        <v>38995</v>
      </c>
      <c r="B350" s="9" t="s">
        <v>30</v>
      </c>
      <c r="C350" s="10">
        <v>6.88</v>
      </c>
      <c r="D350" s="64">
        <v>35</v>
      </c>
      <c r="E350" s="10">
        <v>648.63115089515861</v>
      </c>
      <c r="F350" s="10">
        <v>700</v>
      </c>
      <c r="G350" s="67">
        <f t="shared" si="27"/>
        <v>529.56744923827603</v>
      </c>
      <c r="H350" s="72">
        <f t="shared" si="24"/>
        <v>317.74046954296563</v>
      </c>
      <c r="I350" s="64">
        <f t="shared" si="25"/>
        <v>194.82786457476175</v>
      </c>
      <c r="J350" s="64">
        <f t="shared" si="26"/>
        <v>6.3548093908593124</v>
      </c>
      <c r="K350" s="10">
        <v>60</v>
      </c>
      <c r="L350" s="7">
        <v>1.2</v>
      </c>
      <c r="M350" s="10">
        <v>36.79</v>
      </c>
    </row>
    <row r="351" spans="1:15">
      <c r="A351" s="57"/>
      <c r="B351" s="9" t="s">
        <v>31</v>
      </c>
      <c r="C351" s="10">
        <v>6.83</v>
      </c>
      <c r="D351" s="64">
        <v>35</v>
      </c>
      <c r="E351" s="10">
        <v>648.63115089515861</v>
      </c>
      <c r="F351" s="10">
        <v>500</v>
      </c>
      <c r="G351" s="67">
        <f t="shared" si="27"/>
        <v>378.26246374162571</v>
      </c>
      <c r="H351" s="72">
        <f t="shared" si="24"/>
        <v>196.50734991377459</v>
      </c>
      <c r="I351" s="64">
        <f t="shared" si="25"/>
        <v>118.01788868738723</v>
      </c>
      <c r="J351" s="64">
        <f t="shared" si="26"/>
        <v>30.034039621085086</v>
      </c>
      <c r="K351" s="10">
        <v>51.95</v>
      </c>
      <c r="L351" s="7">
        <v>7.94</v>
      </c>
      <c r="M351" s="10">
        <v>31.2</v>
      </c>
      <c r="N351" s="4"/>
      <c r="O351" s="4"/>
    </row>
    <row r="352" spans="1:15">
      <c r="A352" s="56">
        <v>38997</v>
      </c>
      <c r="B352" s="9" t="s">
        <v>30</v>
      </c>
      <c r="C352" s="10">
        <v>7</v>
      </c>
      <c r="D352" s="64">
        <v>35</v>
      </c>
      <c r="E352" s="10">
        <v>648.1768914186672</v>
      </c>
      <c r="F352" s="10">
        <v>900</v>
      </c>
      <c r="G352" s="67">
        <f t="shared" si="27"/>
        <v>680.39559554005689</v>
      </c>
      <c r="H352" s="72">
        <f t="shared" si="24"/>
        <v>420.82467584152522</v>
      </c>
      <c r="I352" s="64">
        <f t="shared" si="25"/>
        <v>252.01852858803707</v>
      </c>
      <c r="J352" s="64">
        <f t="shared" si="26"/>
        <v>7.5523911104946322</v>
      </c>
      <c r="K352" s="10">
        <v>61.85</v>
      </c>
      <c r="L352" s="7">
        <v>1.1100000000000001</v>
      </c>
      <c r="M352" s="10">
        <v>37.04</v>
      </c>
    </row>
    <row r="353" spans="1:13">
      <c r="A353" s="57"/>
      <c r="B353" s="9" t="s">
        <v>31</v>
      </c>
      <c r="C353" s="10">
        <v>6.99</v>
      </c>
      <c r="D353" s="64">
        <v>35</v>
      </c>
      <c r="E353" s="10">
        <v>648.1768914186672</v>
      </c>
      <c r="F353" s="10">
        <v>600</v>
      </c>
      <c r="G353" s="67">
        <f t="shared" si="27"/>
        <v>453.59706369337118</v>
      </c>
      <c r="H353" s="72">
        <f t="shared" si="24"/>
        <v>264.49244783960478</v>
      </c>
      <c r="I353" s="64">
        <f t="shared" si="25"/>
        <v>146.10361421563485</v>
      </c>
      <c r="J353" s="64">
        <f t="shared" si="26"/>
        <v>42.955641931762258</v>
      </c>
      <c r="K353" s="10">
        <v>58.31</v>
      </c>
      <c r="L353" s="7">
        <v>9.4700000000000006</v>
      </c>
      <c r="M353" s="10">
        <v>32.21</v>
      </c>
    </row>
    <row r="354" spans="1:13">
      <c r="A354" s="56">
        <v>38999</v>
      </c>
      <c r="B354" s="9" t="s">
        <v>30</v>
      </c>
      <c r="C354" s="10"/>
      <c r="D354" s="64">
        <v>35</v>
      </c>
      <c r="E354" s="10">
        <v>651.38200926736511</v>
      </c>
      <c r="F354" s="10">
        <v>1300</v>
      </c>
      <c r="G354" s="67">
        <f t="shared" si="27"/>
        <v>987.65337532470949</v>
      </c>
      <c r="H354" s="72">
        <f t="shared" si="24"/>
        <v>660.44381207963329</v>
      </c>
      <c r="I354" s="64">
        <f t="shared" si="25"/>
        <v>315.35772274117977</v>
      </c>
      <c r="J354" s="64">
        <f t="shared" si="26"/>
        <v>11.851840503896513</v>
      </c>
      <c r="K354" s="10">
        <v>66.87</v>
      </c>
      <c r="L354" s="7">
        <v>1.2</v>
      </c>
      <c r="M354" s="10">
        <v>31.93</v>
      </c>
    </row>
    <row r="355" spans="1:13">
      <c r="A355" s="57"/>
      <c r="B355" s="9" t="s">
        <v>31</v>
      </c>
      <c r="C355" s="10">
        <v>6.92</v>
      </c>
      <c r="D355" s="64">
        <v>35</v>
      </c>
      <c r="E355" s="10">
        <v>651.38200926736511</v>
      </c>
      <c r="F355" s="10">
        <v>400</v>
      </c>
      <c r="G355" s="67">
        <f t="shared" si="27"/>
        <v>303.89334625375682</v>
      </c>
      <c r="H355" s="72">
        <f t="shared" si="24"/>
        <v>188.41387467732923</v>
      </c>
      <c r="I355" s="64">
        <f t="shared" si="25"/>
        <v>98.674169528594831</v>
      </c>
      <c r="J355" s="64">
        <f t="shared" si="26"/>
        <v>8.1443416796006822</v>
      </c>
      <c r="K355" s="10">
        <v>62</v>
      </c>
      <c r="L355" s="7">
        <v>2.68</v>
      </c>
      <c r="M355" s="10">
        <v>32.47</v>
      </c>
    </row>
    <row r="356" spans="1:13">
      <c r="A356" s="56">
        <v>39002</v>
      </c>
      <c r="B356" s="9" t="s">
        <v>30</v>
      </c>
      <c r="C356" s="10">
        <v>6.98</v>
      </c>
      <c r="D356" s="64">
        <v>35</v>
      </c>
      <c r="E356" s="10">
        <v>654.54469842460003</v>
      </c>
      <c r="F356" s="10">
        <v>700</v>
      </c>
      <c r="G356" s="67">
        <f t="shared" si="27"/>
        <v>534.39549716165084</v>
      </c>
      <c r="H356" s="72">
        <f t="shared" si="24"/>
        <v>346.39516126018202</v>
      </c>
      <c r="I356" s="64">
        <f t="shared" si="25"/>
        <v>181.64102948524513</v>
      </c>
      <c r="J356" s="64">
        <f t="shared" si="26"/>
        <v>6.3593064162236441</v>
      </c>
      <c r="K356" s="10">
        <v>64.819999999999993</v>
      </c>
      <c r="L356" s="7">
        <v>1.19</v>
      </c>
      <c r="M356" s="10">
        <v>33.99</v>
      </c>
    </row>
    <row r="357" spans="1:13">
      <c r="A357" s="57"/>
      <c r="B357" s="9" t="s">
        <v>31</v>
      </c>
      <c r="C357" s="10">
        <v>6.97</v>
      </c>
      <c r="D357" s="64">
        <v>35</v>
      </c>
      <c r="E357" s="10">
        <v>654.54469842460003</v>
      </c>
      <c r="F357" s="10">
        <v>500</v>
      </c>
      <c r="G357" s="67">
        <f t="shared" si="27"/>
        <v>381.7110694011792</v>
      </c>
      <c r="H357" s="72">
        <f t="shared" si="24"/>
        <v>151.31026791062746</v>
      </c>
      <c r="I357" s="64">
        <f t="shared" si="25"/>
        <v>88.480625887193341</v>
      </c>
      <c r="J357" s="64">
        <f t="shared" si="26"/>
        <v>64.470999621859178</v>
      </c>
      <c r="K357" s="10">
        <v>39.64</v>
      </c>
      <c r="L357" s="7">
        <v>16.89</v>
      </c>
      <c r="M357" s="10">
        <v>23.18</v>
      </c>
    </row>
    <row r="358" spans="1:13">
      <c r="A358" s="56">
        <v>39004</v>
      </c>
      <c r="B358" s="9" t="s">
        <v>30</v>
      </c>
      <c r="C358" s="10">
        <v>7.02</v>
      </c>
      <c r="D358" s="64">
        <v>35</v>
      </c>
      <c r="E358" s="10">
        <v>649.45714798951565</v>
      </c>
      <c r="F358" s="10">
        <v>800</v>
      </c>
      <c r="G358" s="67">
        <f t="shared" si="27"/>
        <v>605.990657227209</v>
      </c>
      <c r="H358" s="72">
        <f t="shared" si="24"/>
        <v>389.83378979426357</v>
      </c>
      <c r="I358" s="64">
        <f t="shared" si="25"/>
        <v>208.70318234905076</v>
      </c>
      <c r="J358" s="64">
        <f t="shared" si="26"/>
        <v>7.3930860181719495</v>
      </c>
      <c r="K358" s="10">
        <v>64.33</v>
      </c>
      <c r="L358" s="7">
        <v>1.22</v>
      </c>
      <c r="M358" s="10">
        <v>34.44</v>
      </c>
    </row>
    <row r="359" spans="1:13">
      <c r="A359" s="57"/>
      <c r="B359" s="9" t="s">
        <v>31</v>
      </c>
      <c r="C359" s="10">
        <v>6.8</v>
      </c>
      <c r="D359" s="64">
        <v>35</v>
      </c>
      <c r="E359" s="10">
        <v>649.45714798951565</v>
      </c>
      <c r="F359" s="10">
        <v>500</v>
      </c>
      <c r="G359" s="67">
        <f t="shared" si="27"/>
        <v>378.74416076700561</v>
      </c>
      <c r="H359" s="72">
        <f t="shared" si="24"/>
        <v>173.08608147052158</v>
      </c>
      <c r="I359" s="64">
        <f t="shared" si="25"/>
        <v>105.74536968614797</v>
      </c>
      <c r="J359" s="64">
        <f t="shared" si="26"/>
        <v>23.179142638940743</v>
      </c>
      <c r="K359" s="10">
        <v>45.7</v>
      </c>
      <c r="L359" s="7">
        <v>6.12</v>
      </c>
      <c r="M359" s="10">
        <v>27.92</v>
      </c>
    </row>
    <row r="360" spans="1:13">
      <c r="A360" s="56">
        <v>39007</v>
      </c>
      <c r="B360" s="9" t="s">
        <v>30</v>
      </c>
      <c r="C360" s="10">
        <v>6.92</v>
      </c>
      <c r="D360" s="64">
        <v>35</v>
      </c>
      <c r="E360" s="10">
        <v>646.69478892946483</v>
      </c>
      <c r="F360" s="10">
        <v>1000</v>
      </c>
      <c r="G360" s="67">
        <f t="shared" si="27"/>
        <v>754.26646966226008</v>
      </c>
      <c r="H360" s="72">
        <f t="shared" si="24"/>
        <v>505.3585346737143</v>
      </c>
      <c r="I360" s="64">
        <f t="shared" si="25"/>
        <v>222.65946184429919</v>
      </c>
      <c r="J360" s="64">
        <f t="shared" si="26"/>
        <v>14.481916217515392</v>
      </c>
      <c r="K360" s="10">
        <v>67</v>
      </c>
      <c r="L360" s="7">
        <v>1.92</v>
      </c>
      <c r="M360" s="10">
        <v>29.52</v>
      </c>
    </row>
    <row r="361" spans="1:13">
      <c r="A361" s="57"/>
      <c r="B361" s="9" t="s">
        <v>31</v>
      </c>
      <c r="C361" s="10">
        <v>6.86</v>
      </c>
      <c r="D361" s="64">
        <v>35</v>
      </c>
      <c r="E361" s="10">
        <v>646.69478892946483</v>
      </c>
      <c r="F361" s="10">
        <v>500</v>
      </c>
      <c r="G361" s="67">
        <f t="shared" si="27"/>
        <v>377.13323483113004</v>
      </c>
      <c r="H361" s="72">
        <f t="shared" si="24"/>
        <v>195.27958899555915</v>
      </c>
      <c r="I361" s="64">
        <f t="shared" si="25"/>
        <v>104.6921859891217</v>
      </c>
      <c r="J361" s="64">
        <f t="shared" si="26"/>
        <v>21.572021032340636</v>
      </c>
      <c r="K361" s="10">
        <v>51.78</v>
      </c>
      <c r="L361" s="7">
        <v>5.72</v>
      </c>
      <c r="M361" s="10">
        <v>27.76</v>
      </c>
    </row>
    <row r="362" spans="1:13">
      <c r="A362" s="56">
        <v>39009</v>
      </c>
      <c r="B362" s="9" t="s">
        <v>30</v>
      </c>
      <c r="C362" s="10">
        <v>7.11</v>
      </c>
      <c r="D362" s="64">
        <v>35</v>
      </c>
      <c r="E362" s="10">
        <v>647.86509892452011</v>
      </c>
      <c r="F362" s="10">
        <v>800</v>
      </c>
      <c r="G362" s="67">
        <f t="shared" si="27"/>
        <v>604.50515989729092</v>
      </c>
      <c r="H362" s="72">
        <f t="shared" si="24"/>
        <v>400.78692101190381</v>
      </c>
      <c r="I362" s="64">
        <f t="shared" si="25"/>
        <v>196.34327593464008</v>
      </c>
      <c r="J362" s="64">
        <f t="shared" si="26"/>
        <v>7.3145124347572201</v>
      </c>
      <c r="K362" s="10">
        <v>66.3</v>
      </c>
      <c r="L362" s="7">
        <v>1.21</v>
      </c>
      <c r="M362" s="10">
        <v>32.479999999999997</v>
      </c>
    </row>
    <row r="363" spans="1:13">
      <c r="A363" s="57"/>
      <c r="B363" s="9" t="s">
        <v>31</v>
      </c>
      <c r="C363" s="10">
        <v>6.85</v>
      </c>
      <c r="D363" s="64">
        <v>35</v>
      </c>
      <c r="E363" s="10">
        <v>647.86509892452011</v>
      </c>
      <c r="F363" s="10">
        <v>50</v>
      </c>
      <c r="G363" s="67">
        <f t="shared" si="27"/>
        <v>37.781572493580683</v>
      </c>
      <c r="H363" s="72">
        <f t="shared" si="24"/>
        <v>12.796618603575777</v>
      </c>
      <c r="I363" s="64">
        <f t="shared" si="25"/>
        <v>7.1709424592816138</v>
      </c>
      <c r="J363" s="64">
        <f t="shared" si="26"/>
        <v>6.441758110155507</v>
      </c>
      <c r="K363" s="10">
        <v>33.869999999999997</v>
      </c>
      <c r="L363" s="7">
        <v>17.05</v>
      </c>
      <c r="M363" s="10">
        <v>18.98</v>
      </c>
    </row>
    <row r="364" spans="1:13">
      <c r="A364" s="56">
        <v>39011</v>
      </c>
      <c r="B364" s="9" t="s">
        <v>30</v>
      </c>
      <c r="C364" s="10">
        <v>7</v>
      </c>
      <c r="D364" s="64">
        <v>35</v>
      </c>
      <c r="E364" s="10">
        <v>642.54555307556359</v>
      </c>
      <c r="F364" s="10">
        <v>950</v>
      </c>
      <c r="G364" s="67">
        <f t="shared" si="27"/>
        <v>711.95569455861676</v>
      </c>
      <c r="H364" s="72">
        <f t="shared" si="24"/>
        <v>452.66143060036853</v>
      </c>
      <c r="I364" s="64">
        <f t="shared" si="25"/>
        <v>250.6084044846331</v>
      </c>
      <c r="J364" s="64">
        <f t="shared" si="26"/>
        <v>8.6858594736151247</v>
      </c>
      <c r="K364" s="10">
        <v>63.58</v>
      </c>
      <c r="L364" s="7">
        <v>1.22</v>
      </c>
      <c r="M364" s="10">
        <v>35.200000000000003</v>
      </c>
    </row>
    <row r="365" spans="1:13">
      <c r="A365" s="57"/>
      <c r="B365" s="9" t="s">
        <v>31</v>
      </c>
      <c r="C365" s="10">
        <v>6.97</v>
      </c>
      <c r="D365" s="64">
        <v>35</v>
      </c>
      <c r="E365" s="10">
        <v>642.54555307556359</v>
      </c>
      <c r="F365" s="10">
        <v>500</v>
      </c>
      <c r="G365" s="67">
        <f t="shared" si="27"/>
        <v>374.7135234519036</v>
      </c>
      <c r="H365" s="72">
        <f t="shared" si="24"/>
        <v>190.8041261417093</v>
      </c>
      <c r="I365" s="64">
        <f t="shared" si="25"/>
        <v>26.192475289288062</v>
      </c>
      <c r="J365" s="64">
        <f t="shared" si="26"/>
        <v>58.605195067877723</v>
      </c>
      <c r="K365" s="10">
        <v>50.92</v>
      </c>
      <c r="L365" s="7">
        <v>15.64</v>
      </c>
      <c r="M365" s="10">
        <v>6.99</v>
      </c>
    </row>
    <row r="366" spans="1:13">
      <c r="A366" s="56">
        <v>39014</v>
      </c>
      <c r="B366" s="9" t="s">
        <v>30</v>
      </c>
      <c r="C366" s="10">
        <v>7.47</v>
      </c>
      <c r="D366" s="64">
        <v>35</v>
      </c>
      <c r="E366" s="10">
        <v>638.22132983276708</v>
      </c>
      <c r="F366" s="10">
        <v>500</v>
      </c>
      <c r="G366" s="67">
        <f t="shared" si="27"/>
        <v>372.19176461356903</v>
      </c>
      <c r="H366" s="72">
        <f t="shared" si="24"/>
        <v>92.861845271085471</v>
      </c>
      <c r="I366" s="64">
        <f t="shared" si="25"/>
        <v>24.118026346959272</v>
      </c>
      <c r="J366" s="64">
        <f t="shared" si="26"/>
        <v>249.36848229109125</v>
      </c>
      <c r="K366" s="10">
        <v>24.95</v>
      </c>
      <c r="L366" s="7">
        <v>67</v>
      </c>
      <c r="M366" s="10">
        <v>6.48</v>
      </c>
    </row>
    <row r="367" spans="1:13">
      <c r="A367" s="57"/>
      <c r="B367" s="9" t="s">
        <v>31</v>
      </c>
      <c r="C367" s="10">
        <v>6.88</v>
      </c>
      <c r="D367" s="64">
        <v>35</v>
      </c>
      <c r="E367" s="10">
        <v>638.22132983276708</v>
      </c>
      <c r="F367" s="10">
        <v>550</v>
      </c>
      <c r="G367" s="67">
        <f t="shared" si="27"/>
        <v>409.4109410749258</v>
      </c>
      <c r="H367" s="72">
        <f t="shared" si="24"/>
        <v>226.40425041443393</v>
      </c>
      <c r="I367" s="64">
        <f t="shared" si="25"/>
        <v>85.894415437519442</v>
      </c>
      <c r="J367" s="64">
        <f t="shared" si="26"/>
        <v>26.161359134687761</v>
      </c>
      <c r="K367" s="10">
        <v>55.3</v>
      </c>
      <c r="L367" s="7">
        <v>6.39</v>
      </c>
      <c r="M367" s="10">
        <v>20.98</v>
      </c>
    </row>
    <row r="368" spans="1:13">
      <c r="A368" s="56">
        <v>39016</v>
      </c>
      <c r="B368" s="9" t="s">
        <v>30</v>
      </c>
      <c r="C368" s="10">
        <v>7.14</v>
      </c>
      <c r="D368" s="64">
        <v>35</v>
      </c>
      <c r="E368" s="10">
        <v>649.03286107488373</v>
      </c>
      <c r="F368" s="10">
        <v>600</v>
      </c>
      <c r="G368" s="67">
        <f t="shared" si="27"/>
        <v>454.19607505556377</v>
      </c>
      <c r="H368" s="72">
        <f t="shared" si="24"/>
        <v>296.95339387132753</v>
      </c>
      <c r="I368" s="64">
        <f t="shared" si="25"/>
        <v>116.77381089678545</v>
      </c>
      <c r="J368" s="64">
        <f t="shared" si="26"/>
        <v>8.3117881735168169</v>
      </c>
      <c r="K368" s="10">
        <v>65.38</v>
      </c>
      <c r="L368" s="7">
        <v>1.83</v>
      </c>
      <c r="M368" s="10">
        <v>25.71</v>
      </c>
    </row>
    <row r="369" spans="1:16">
      <c r="A369" s="57"/>
      <c r="B369" s="9" t="s">
        <v>31</v>
      </c>
      <c r="C369" s="10">
        <v>6.97</v>
      </c>
      <c r="D369" s="64">
        <v>35</v>
      </c>
      <c r="E369" s="10">
        <v>649.03286107488373</v>
      </c>
      <c r="F369" s="10">
        <v>500</v>
      </c>
      <c r="G369" s="67">
        <f t="shared" si="27"/>
        <v>378.4967292129698</v>
      </c>
      <c r="H369" s="72">
        <f t="shared" si="24"/>
        <v>216.7272271473465</v>
      </c>
      <c r="I369" s="64">
        <f t="shared" si="25"/>
        <v>113.51116909096963</v>
      </c>
      <c r="J369" s="64">
        <f t="shared" si="26"/>
        <v>12.376843045264113</v>
      </c>
      <c r="K369" s="10">
        <v>57.26</v>
      </c>
      <c r="L369" s="7">
        <v>3.27</v>
      </c>
      <c r="M369" s="10">
        <v>29.99</v>
      </c>
    </row>
    <row r="370" spans="1:16">
      <c r="A370" s="56">
        <v>39018</v>
      </c>
      <c r="B370" s="9" t="s">
        <v>30</v>
      </c>
      <c r="C370" s="10">
        <v>7.13</v>
      </c>
      <c r="D370" s="64">
        <v>35</v>
      </c>
      <c r="E370" s="10">
        <v>648.46338239955639</v>
      </c>
      <c r="F370" s="10">
        <v>800</v>
      </c>
      <c r="G370" s="67">
        <f t="shared" si="27"/>
        <v>605.06340180342397</v>
      </c>
      <c r="H370" s="72">
        <f t="shared" si="24"/>
        <v>404.2945201393822</v>
      </c>
      <c r="I370" s="64">
        <f t="shared" si="25"/>
        <v>169.92258503120087</v>
      </c>
      <c r="J370" s="64">
        <f t="shared" si="26"/>
        <v>10.434682096422046</v>
      </c>
      <c r="K370" s="10">
        <v>66.818538178703363</v>
      </c>
      <c r="L370" s="7">
        <v>1.7245601147451515</v>
      </c>
      <c r="M370" s="10">
        <v>28.083434649118999</v>
      </c>
      <c r="N370" s="4"/>
      <c r="O370" s="4"/>
    </row>
    <row r="371" spans="1:16">
      <c r="A371" s="57"/>
      <c r="B371" s="9" t="s">
        <v>31</v>
      </c>
      <c r="C371" s="10">
        <v>6.89</v>
      </c>
      <c r="D371" s="64">
        <v>35</v>
      </c>
      <c r="E371" s="10">
        <v>648.46338239955639</v>
      </c>
      <c r="F371" s="10">
        <v>700</v>
      </c>
      <c r="G371" s="67">
        <f t="shared" si="27"/>
        <v>529.43047657799593</v>
      </c>
      <c r="H371" s="72">
        <f t="shared" si="24"/>
        <v>227.81393407151165</v>
      </c>
      <c r="I371" s="64">
        <f t="shared" si="25"/>
        <v>128.01628923655943</v>
      </c>
      <c r="J371" s="64">
        <f t="shared" si="26"/>
        <v>81.638179488326969</v>
      </c>
      <c r="K371" s="10">
        <v>43.03</v>
      </c>
      <c r="L371" s="7">
        <v>15.42</v>
      </c>
      <c r="M371" s="10">
        <v>24.18</v>
      </c>
    </row>
    <row r="372" spans="1:16">
      <c r="A372" s="70">
        <v>39021</v>
      </c>
      <c r="B372" s="63" t="s">
        <v>30</v>
      </c>
      <c r="C372" s="64">
        <v>6.96</v>
      </c>
      <c r="D372" s="64">
        <v>39</v>
      </c>
      <c r="E372" s="64">
        <v>653.57861566679333</v>
      </c>
      <c r="F372" s="65">
        <v>900</v>
      </c>
      <c r="G372" s="67">
        <f t="shared" si="27"/>
        <v>677.27433244158158</v>
      </c>
      <c r="H372" s="72">
        <f t="shared" si="24"/>
        <v>453.7738027358597</v>
      </c>
      <c r="I372" s="64">
        <f t="shared" si="25"/>
        <v>206.27655822224639</v>
      </c>
      <c r="J372" s="64">
        <f t="shared" si="26"/>
        <v>10.965885725707054</v>
      </c>
      <c r="K372" s="64">
        <v>67</v>
      </c>
      <c r="L372" s="71">
        <v>1.6191202294903029</v>
      </c>
      <c r="M372" s="64">
        <v>30.456869298237994</v>
      </c>
      <c r="N372" s="4"/>
      <c r="O372" s="4"/>
      <c r="P372" s="4"/>
    </row>
    <row r="373" spans="1:16">
      <c r="A373" s="57"/>
      <c r="B373" s="9" t="s">
        <v>31</v>
      </c>
      <c r="C373" s="10">
        <v>6.77</v>
      </c>
      <c r="D373" s="64">
        <v>35</v>
      </c>
      <c r="E373" s="10">
        <v>653.57861566679333</v>
      </c>
      <c r="F373" s="10">
        <v>500</v>
      </c>
      <c r="G373" s="67">
        <f t="shared" si="27"/>
        <v>381.14767856858975</v>
      </c>
      <c r="H373" s="72">
        <f t="shared" si="24"/>
        <v>13.730091784816651</v>
      </c>
      <c r="I373" s="64">
        <f t="shared" si="25"/>
        <v>52.187131181690027</v>
      </c>
      <c r="J373" s="64">
        <f t="shared" si="26"/>
        <v>162.50605247416331</v>
      </c>
      <c r="K373" s="72">
        <v>3.6023023507267249</v>
      </c>
      <c r="L373" s="73">
        <v>42.635981172562595</v>
      </c>
      <c r="M373" s="72">
        <v>13.692102593325554</v>
      </c>
      <c r="N373" s="4"/>
      <c r="O373" s="4"/>
      <c r="P373" s="4"/>
    </row>
    <row r="374" spans="1:16">
      <c r="A374" s="56">
        <v>39023</v>
      </c>
      <c r="B374" s="9" t="s">
        <v>30</v>
      </c>
      <c r="C374" s="10">
        <v>6.95</v>
      </c>
      <c r="D374" s="64">
        <v>35</v>
      </c>
      <c r="E374" s="10">
        <v>656.07680236587692</v>
      </c>
      <c r="F374" s="10">
        <v>850</v>
      </c>
      <c r="G374" s="67">
        <f t="shared" si="27"/>
        <v>650.4277299217888</v>
      </c>
      <c r="H374" s="72">
        <f t="shared" si="24"/>
        <v>416.27374714994482</v>
      </c>
      <c r="I374" s="64">
        <f t="shared" si="25"/>
        <v>219.79639359336178</v>
      </c>
      <c r="J374" s="64">
        <f t="shared" si="26"/>
        <v>10.348078530965752</v>
      </c>
      <c r="K374" s="64">
        <v>64</v>
      </c>
      <c r="L374" s="66">
        <v>1.5909651533783877</v>
      </c>
      <c r="M374" s="64">
        <v>33.792592702004171</v>
      </c>
    </row>
    <row r="375" spans="1:16">
      <c r="A375" s="57"/>
      <c r="B375" s="9" t="s">
        <v>31</v>
      </c>
      <c r="C375" s="10">
        <v>6.84</v>
      </c>
      <c r="D375" s="64">
        <v>35</v>
      </c>
      <c r="E375" s="10">
        <v>656.07680236587692</v>
      </c>
      <c r="F375" s="10">
        <v>600</v>
      </c>
      <c r="G375" s="67">
        <f t="shared" si="27"/>
        <v>459.12545641538026</v>
      </c>
      <c r="H375" s="72">
        <f t="shared" si="24"/>
        <v>251.3345416615123</v>
      </c>
      <c r="I375" s="64">
        <f t="shared" si="25"/>
        <v>166.93951305162733</v>
      </c>
      <c r="J375" s="64">
        <f t="shared" si="26"/>
        <v>21.040490836922675</v>
      </c>
      <c r="K375" s="64">
        <v>54.742018363304339</v>
      </c>
      <c r="L375" s="66">
        <v>4.5827323540707603</v>
      </c>
      <c r="M375" s="64">
        <v>36.360326076233449</v>
      </c>
    </row>
    <row r="376" spans="1:16">
      <c r="A376" s="56">
        <v>39025</v>
      </c>
      <c r="B376" s="9" t="s">
        <v>30</v>
      </c>
      <c r="C376" s="10">
        <v>6.91</v>
      </c>
      <c r="D376" s="64">
        <v>35</v>
      </c>
      <c r="E376" s="10">
        <v>649.23153634206551</v>
      </c>
      <c r="F376" s="10">
        <v>1000</v>
      </c>
      <c r="G376" s="67">
        <f t="shared" si="27"/>
        <v>757.22518148131564</v>
      </c>
      <c r="H376" s="72">
        <f t="shared" si="24"/>
        <v>492.19636796285516</v>
      </c>
      <c r="I376" s="64">
        <f t="shared" si="25"/>
        <v>248.6540529565668</v>
      </c>
      <c r="J376" s="64">
        <f t="shared" si="26"/>
        <v>11.941353156162434</v>
      </c>
      <c r="K376" s="64">
        <v>65</v>
      </c>
      <c r="L376" s="66">
        <v>1.5769883844594625</v>
      </c>
      <c r="M376" s="64">
        <v>32.837530900668057</v>
      </c>
    </row>
    <row r="377" spans="1:16" s="21" customFormat="1">
      <c r="A377" s="57"/>
      <c r="B377" s="9" t="s">
        <v>31</v>
      </c>
      <c r="C377" s="10">
        <v>6.75</v>
      </c>
      <c r="D377" s="64">
        <v>35</v>
      </c>
      <c r="E377" s="10">
        <v>649.23153634206551</v>
      </c>
      <c r="F377" s="10">
        <v>550</v>
      </c>
      <c r="G377" s="67">
        <f t="shared" si="27"/>
        <v>416.47384981472351</v>
      </c>
      <c r="H377" s="72">
        <f t="shared" si="24"/>
        <v>218.56827836788582</v>
      </c>
      <c r="I377" s="64">
        <f t="shared" si="25"/>
        <v>98.718637541830887</v>
      </c>
      <c r="J377" s="64">
        <f t="shared" si="26"/>
        <v>36.014898727376114</v>
      </c>
      <c r="K377" s="64">
        <v>52.480672787768107</v>
      </c>
      <c r="L377" s="66">
        <v>8.6475774513569199</v>
      </c>
      <c r="M377" s="64">
        <v>23.70344202541115</v>
      </c>
    </row>
    <row r="378" spans="1:16">
      <c r="D378" s="20"/>
    </row>
    <row r="379" spans="1:16">
      <c r="D379" s="20"/>
    </row>
    <row r="380" spans="1:16">
      <c r="D380" s="20"/>
    </row>
    <row r="381" spans="1:16">
      <c r="D381" s="20"/>
    </row>
    <row r="382" spans="1:16">
      <c r="D382" s="20"/>
    </row>
    <row r="383" spans="1:16">
      <c r="D383" s="20"/>
    </row>
    <row r="384" spans="1:16">
      <c r="D384" s="20"/>
    </row>
    <row r="385" spans="4:4">
      <c r="D385" s="20"/>
    </row>
    <row r="386" spans="4:4">
      <c r="D386" s="20"/>
    </row>
    <row r="387" spans="4:4">
      <c r="D387" s="20"/>
    </row>
    <row r="388" spans="4:4">
      <c r="D388" s="20"/>
    </row>
    <row r="389" spans="4:4">
      <c r="D389" s="20"/>
    </row>
    <row r="390" spans="4:4">
      <c r="D390" s="20"/>
    </row>
    <row r="391" spans="4:4">
      <c r="D391" s="20"/>
    </row>
    <row r="392" spans="4:4">
      <c r="D392" s="20"/>
    </row>
    <row r="393" spans="4:4">
      <c r="D393" s="20"/>
    </row>
    <row r="394" spans="4:4">
      <c r="D394" s="20"/>
    </row>
    <row r="395" spans="4:4">
      <c r="D395" s="20"/>
    </row>
    <row r="396" spans="4:4">
      <c r="D396" s="20"/>
    </row>
    <row r="397" spans="4:4">
      <c r="D397" s="20"/>
    </row>
    <row r="398" spans="4:4">
      <c r="D398" s="20"/>
    </row>
    <row r="399" spans="4:4">
      <c r="D399" s="20"/>
    </row>
    <row r="400" spans="4:4">
      <c r="D400" s="20"/>
    </row>
    <row r="401" spans="4:4">
      <c r="D401" s="20"/>
    </row>
    <row r="402" spans="4:4">
      <c r="D402" s="20"/>
    </row>
    <row r="403" spans="4:4">
      <c r="D403" s="20"/>
    </row>
    <row r="404" spans="4:4">
      <c r="D404" s="20"/>
    </row>
    <row r="405" spans="4:4">
      <c r="D405" s="20"/>
    </row>
    <row r="406" spans="4:4">
      <c r="D406" s="20"/>
    </row>
    <row r="407" spans="4:4">
      <c r="D407" s="20"/>
    </row>
    <row r="408" spans="4:4">
      <c r="D408" s="20"/>
    </row>
    <row r="409" spans="4:4">
      <c r="D409" s="20"/>
    </row>
    <row r="410" spans="4:4">
      <c r="D410" s="20"/>
    </row>
    <row r="411" spans="4:4">
      <c r="D411" s="20"/>
    </row>
    <row r="412" spans="4:4">
      <c r="D412" s="20"/>
    </row>
    <row r="413" spans="4:4">
      <c r="D413" s="20"/>
    </row>
    <row r="414" spans="4:4">
      <c r="D414" s="20"/>
    </row>
    <row r="415" spans="4:4">
      <c r="D415" s="20"/>
    </row>
    <row r="416" spans="4:4">
      <c r="D416" s="20"/>
    </row>
    <row r="417" spans="4:4">
      <c r="D417" s="20"/>
    </row>
    <row r="418" spans="4:4">
      <c r="D418" s="20"/>
    </row>
    <row r="419" spans="4:4">
      <c r="D419" s="20"/>
    </row>
    <row r="420" spans="4:4">
      <c r="D420" s="20"/>
    </row>
    <row r="421" spans="4:4">
      <c r="D421" s="20"/>
    </row>
    <row r="422" spans="4:4">
      <c r="D422" s="20"/>
    </row>
    <row r="423" spans="4:4">
      <c r="D423" s="20"/>
    </row>
    <row r="424" spans="4:4">
      <c r="D424" s="20"/>
    </row>
    <row r="425" spans="4:4">
      <c r="D425" s="20"/>
    </row>
    <row r="426" spans="4:4">
      <c r="D426" s="20"/>
    </row>
    <row r="427" spans="4:4">
      <c r="D427" s="20"/>
    </row>
    <row r="428" spans="4:4">
      <c r="D428" s="20"/>
    </row>
    <row r="429" spans="4:4">
      <c r="D429" s="20"/>
    </row>
    <row r="430" spans="4:4">
      <c r="D430" s="20"/>
    </row>
    <row r="431" spans="4:4">
      <c r="D431" s="20"/>
    </row>
    <row r="432" spans="4:4">
      <c r="D432" s="20"/>
    </row>
    <row r="433" spans="4:4">
      <c r="D433" s="20"/>
    </row>
    <row r="434" spans="4:4">
      <c r="D434" s="20"/>
    </row>
    <row r="435" spans="4:4">
      <c r="D435" s="20"/>
    </row>
    <row r="436" spans="4:4">
      <c r="D436" s="20"/>
    </row>
    <row r="437" spans="4:4">
      <c r="D437" s="20"/>
    </row>
    <row r="438" spans="4:4">
      <c r="D438" s="20"/>
    </row>
    <row r="439" spans="4:4">
      <c r="D439" s="20"/>
    </row>
    <row r="440" spans="4:4">
      <c r="D440" s="20"/>
    </row>
    <row r="441" spans="4:4">
      <c r="D441" s="20"/>
    </row>
    <row r="442" spans="4:4">
      <c r="D442" s="20"/>
    </row>
    <row r="443" spans="4:4">
      <c r="D443" s="20"/>
    </row>
    <row r="444" spans="4:4">
      <c r="D444" s="20"/>
    </row>
    <row r="445" spans="4:4">
      <c r="D445" s="20"/>
    </row>
    <row r="446" spans="4:4">
      <c r="D446" s="20"/>
    </row>
    <row r="447" spans="4:4">
      <c r="D447" s="20"/>
    </row>
    <row r="448" spans="4:4">
      <c r="D448" s="20"/>
    </row>
    <row r="449" spans="4:4">
      <c r="D449" s="20"/>
    </row>
    <row r="450" spans="4:4">
      <c r="D450" s="20"/>
    </row>
    <row r="451" spans="4:4">
      <c r="D451" s="20"/>
    </row>
    <row r="452" spans="4:4">
      <c r="D452" s="20"/>
    </row>
    <row r="453" spans="4:4">
      <c r="D453" s="20"/>
    </row>
    <row r="454" spans="4:4">
      <c r="D454" s="20"/>
    </row>
    <row r="455" spans="4:4">
      <c r="D455" s="20"/>
    </row>
    <row r="456" spans="4:4">
      <c r="D456" s="20"/>
    </row>
    <row r="457" spans="4:4">
      <c r="D457" s="20"/>
    </row>
    <row r="458" spans="4:4">
      <c r="D458" s="20"/>
    </row>
    <row r="459" spans="4:4">
      <c r="D459" s="20"/>
    </row>
    <row r="460" spans="4:4">
      <c r="D460" s="20"/>
    </row>
    <row r="461" spans="4:4">
      <c r="D461" s="20"/>
    </row>
    <row r="462" spans="4:4">
      <c r="D462" s="20"/>
    </row>
    <row r="463" spans="4:4">
      <c r="D463" s="20"/>
    </row>
    <row r="464" spans="4:4">
      <c r="D464" s="20"/>
    </row>
    <row r="465" spans="4:4">
      <c r="D465" s="20"/>
    </row>
    <row r="466" spans="4:4">
      <c r="D466" s="20"/>
    </row>
    <row r="467" spans="4:4">
      <c r="D467" s="20"/>
    </row>
    <row r="468" spans="4:4">
      <c r="D468" s="20"/>
    </row>
    <row r="469" spans="4:4">
      <c r="D469" s="20"/>
    </row>
    <row r="470" spans="4:4">
      <c r="D470" s="20"/>
    </row>
    <row r="471" spans="4:4">
      <c r="D471" s="20"/>
    </row>
    <row r="472" spans="4:4">
      <c r="D472" s="20"/>
    </row>
    <row r="473" spans="4:4">
      <c r="D473" s="20"/>
    </row>
    <row r="474" spans="4:4">
      <c r="D474" s="20"/>
    </row>
    <row r="475" spans="4:4">
      <c r="D475" s="20"/>
    </row>
    <row r="476" spans="4:4">
      <c r="D476" s="20"/>
    </row>
    <row r="477" spans="4:4">
      <c r="D477" s="20"/>
    </row>
    <row r="478" spans="4:4">
      <c r="D478" s="20"/>
    </row>
    <row r="479" spans="4:4">
      <c r="D479" s="20"/>
    </row>
    <row r="480" spans="4:4">
      <c r="D480" s="20"/>
    </row>
    <row r="481" spans="4:4">
      <c r="D481" s="20"/>
    </row>
    <row r="482" spans="4:4">
      <c r="D482" s="20"/>
    </row>
    <row r="483" spans="4:4">
      <c r="D483" s="20"/>
    </row>
    <row r="484" spans="4:4">
      <c r="D484" s="20"/>
    </row>
    <row r="485" spans="4:4">
      <c r="D485" s="20"/>
    </row>
    <row r="486" spans="4:4">
      <c r="D486" s="20"/>
    </row>
    <row r="487" spans="4:4">
      <c r="D487" s="20"/>
    </row>
    <row r="488" spans="4:4">
      <c r="D488" s="20"/>
    </row>
    <row r="489" spans="4:4">
      <c r="D489" s="20"/>
    </row>
    <row r="490" spans="4:4">
      <c r="D490" s="20"/>
    </row>
    <row r="491" spans="4:4">
      <c r="D491" s="20"/>
    </row>
    <row r="492" spans="4:4">
      <c r="D492" s="20"/>
    </row>
    <row r="493" spans="4:4">
      <c r="D493" s="20"/>
    </row>
    <row r="494" spans="4:4">
      <c r="D494" s="20"/>
    </row>
    <row r="495" spans="4:4">
      <c r="D495" s="20"/>
    </row>
    <row r="496" spans="4:4">
      <c r="D496" s="20"/>
    </row>
    <row r="497" spans="4:4">
      <c r="D497" s="20"/>
    </row>
    <row r="498" spans="4:4">
      <c r="D498" s="20"/>
    </row>
    <row r="499" spans="4:4">
      <c r="D499" s="20"/>
    </row>
    <row r="500" spans="4:4">
      <c r="D500" s="20"/>
    </row>
    <row r="501" spans="4:4">
      <c r="D501" s="20"/>
    </row>
    <row r="502" spans="4:4">
      <c r="D502" s="20"/>
    </row>
    <row r="503" spans="4:4">
      <c r="D503" s="20"/>
    </row>
    <row r="504" spans="4:4">
      <c r="D504" s="20"/>
    </row>
    <row r="505" spans="4:4">
      <c r="D505" s="20"/>
    </row>
    <row r="506" spans="4:4">
      <c r="D506" s="20"/>
    </row>
    <row r="507" spans="4:4">
      <c r="D507" s="20"/>
    </row>
    <row r="508" spans="4:4">
      <c r="D508" s="20"/>
    </row>
    <row r="509" spans="4:4">
      <c r="D509" s="20"/>
    </row>
    <row r="510" spans="4:4">
      <c r="D510" s="20"/>
    </row>
    <row r="511" spans="4:4">
      <c r="D511" s="20"/>
    </row>
    <row r="512" spans="4:4">
      <c r="D512" s="20"/>
    </row>
    <row r="513" spans="4:4">
      <c r="D513" s="20"/>
    </row>
    <row r="514" spans="4:4">
      <c r="D514" s="20"/>
    </row>
    <row r="515" spans="4:4">
      <c r="D515" s="20"/>
    </row>
    <row r="516" spans="4:4">
      <c r="D516" s="20"/>
    </row>
    <row r="517" spans="4:4">
      <c r="D517" s="20"/>
    </row>
    <row r="518" spans="4:4">
      <c r="D518" s="20"/>
    </row>
    <row r="519" spans="4:4">
      <c r="D519" s="20"/>
    </row>
    <row r="520" spans="4:4">
      <c r="D520" s="20"/>
    </row>
    <row r="521" spans="4:4">
      <c r="D521" s="20"/>
    </row>
    <row r="522" spans="4:4">
      <c r="D522" s="20"/>
    </row>
    <row r="523" spans="4:4">
      <c r="D523" s="20"/>
    </row>
    <row r="524" spans="4:4">
      <c r="D524" s="20"/>
    </row>
    <row r="525" spans="4:4">
      <c r="D525" s="20"/>
    </row>
    <row r="526" spans="4:4">
      <c r="D526" s="20"/>
    </row>
    <row r="527" spans="4:4">
      <c r="D527" s="20"/>
    </row>
    <row r="528" spans="4:4">
      <c r="D528" s="20"/>
    </row>
    <row r="529" spans="4:4">
      <c r="D529" s="20"/>
    </row>
    <row r="530" spans="4:4">
      <c r="D530" s="20"/>
    </row>
    <row r="531" spans="4:4">
      <c r="D531" s="20"/>
    </row>
    <row r="532" spans="4:4">
      <c r="D532" s="20"/>
    </row>
    <row r="533" spans="4:4">
      <c r="D533" s="20"/>
    </row>
    <row r="534" spans="4:4">
      <c r="D534" s="20"/>
    </row>
    <row r="535" spans="4:4">
      <c r="D535" s="20"/>
    </row>
    <row r="536" spans="4:4">
      <c r="D536" s="20"/>
    </row>
    <row r="537" spans="4:4">
      <c r="D537" s="20"/>
    </row>
    <row r="538" spans="4:4">
      <c r="D538" s="20"/>
    </row>
    <row r="539" spans="4:4">
      <c r="D539" s="20"/>
    </row>
    <row r="540" spans="4:4">
      <c r="D540" s="20"/>
    </row>
    <row r="541" spans="4:4">
      <c r="D541" s="20"/>
    </row>
    <row r="542" spans="4:4">
      <c r="D542" s="20"/>
    </row>
    <row r="543" spans="4:4">
      <c r="D543" s="20"/>
    </row>
    <row r="544" spans="4:4">
      <c r="D544" s="20"/>
    </row>
    <row r="545" spans="4:4">
      <c r="D545" s="20"/>
    </row>
    <row r="546" spans="4:4">
      <c r="D546" s="20"/>
    </row>
    <row r="547" spans="4:4">
      <c r="D547" s="20"/>
    </row>
    <row r="548" spans="4:4">
      <c r="D548" s="20"/>
    </row>
    <row r="549" spans="4:4">
      <c r="D549" s="20"/>
    </row>
    <row r="550" spans="4:4">
      <c r="D550" s="20"/>
    </row>
    <row r="551" spans="4:4">
      <c r="D551" s="20"/>
    </row>
    <row r="552" spans="4:4">
      <c r="D552" s="20"/>
    </row>
    <row r="553" spans="4:4">
      <c r="D553" s="20"/>
    </row>
    <row r="554" spans="4:4">
      <c r="D554" s="20"/>
    </row>
    <row r="555" spans="4:4">
      <c r="D555" s="20"/>
    </row>
    <row r="556" spans="4:4">
      <c r="D556" s="20"/>
    </row>
    <row r="557" spans="4:4">
      <c r="D557" s="20"/>
    </row>
    <row r="558" spans="4:4">
      <c r="D558" s="20"/>
    </row>
    <row r="559" spans="4:4">
      <c r="D559" s="20"/>
    </row>
    <row r="560" spans="4:4">
      <c r="D560" s="20"/>
    </row>
    <row r="561" spans="4:4">
      <c r="D561" s="20"/>
    </row>
    <row r="562" spans="4:4">
      <c r="D562" s="20"/>
    </row>
    <row r="563" spans="4:4">
      <c r="D563" s="20"/>
    </row>
    <row r="564" spans="4:4">
      <c r="D564" s="20"/>
    </row>
    <row r="565" spans="4:4">
      <c r="D565" s="20"/>
    </row>
    <row r="566" spans="4:4">
      <c r="D566" s="20"/>
    </row>
    <row r="567" spans="4:4">
      <c r="D567" s="20"/>
    </row>
    <row r="568" spans="4:4">
      <c r="D568" s="20"/>
    </row>
    <row r="569" spans="4:4">
      <c r="D569" s="20"/>
    </row>
    <row r="570" spans="4:4">
      <c r="D570" s="20"/>
    </row>
    <row r="571" spans="4:4">
      <c r="D571" s="20"/>
    </row>
    <row r="572" spans="4:4">
      <c r="D572" s="20"/>
    </row>
    <row r="573" spans="4:4">
      <c r="D573" s="20"/>
    </row>
    <row r="574" spans="4:4">
      <c r="D574" s="20"/>
    </row>
    <row r="575" spans="4:4">
      <c r="D575" s="20"/>
    </row>
    <row r="576" spans="4:4">
      <c r="D576" s="20"/>
    </row>
    <row r="577" spans="4:4">
      <c r="D577" s="20"/>
    </row>
    <row r="578" spans="4:4">
      <c r="D578" s="20"/>
    </row>
    <row r="579" spans="4:4">
      <c r="D579" s="20"/>
    </row>
    <row r="580" spans="4:4">
      <c r="D580" s="20"/>
    </row>
    <row r="581" spans="4:4">
      <c r="D581" s="20"/>
    </row>
    <row r="582" spans="4:4">
      <c r="D582" s="20"/>
    </row>
    <row r="583" spans="4:4">
      <c r="D583" s="20"/>
    </row>
    <row r="584" spans="4:4">
      <c r="D584" s="20"/>
    </row>
    <row r="585" spans="4:4">
      <c r="D585" s="20"/>
    </row>
    <row r="586" spans="4:4">
      <c r="D586" s="20"/>
    </row>
    <row r="587" spans="4:4">
      <c r="D587" s="20"/>
    </row>
    <row r="588" spans="4:4">
      <c r="D588" s="20"/>
    </row>
    <row r="589" spans="4:4">
      <c r="D589" s="20"/>
    </row>
    <row r="590" spans="4:4">
      <c r="D590" s="20"/>
    </row>
    <row r="591" spans="4:4">
      <c r="D591" s="20"/>
    </row>
    <row r="592" spans="4:4">
      <c r="D592" s="20"/>
    </row>
    <row r="593" spans="4:4">
      <c r="D593" s="20"/>
    </row>
    <row r="594" spans="4:4">
      <c r="D594" s="20"/>
    </row>
    <row r="595" spans="4:4">
      <c r="D595" s="20"/>
    </row>
    <row r="596" spans="4:4">
      <c r="D596" s="20"/>
    </row>
    <row r="597" spans="4:4">
      <c r="D597" s="20"/>
    </row>
    <row r="598" spans="4:4">
      <c r="D598" s="20"/>
    </row>
    <row r="599" spans="4:4">
      <c r="D599" s="20"/>
    </row>
    <row r="600" spans="4:4">
      <c r="D600" s="20"/>
    </row>
    <row r="601" spans="4:4">
      <c r="D601" s="20"/>
    </row>
    <row r="602" spans="4:4">
      <c r="D602" s="20"/>
    </row>
    <row r="603" spans="4:4">
      <c r="D603" s="20"/>
    </row>
    <row r="604" spans="4:4">
      <c r="D604" s="20"/>
    </row>
    <row r="605" spans="4:4">
      <c r="D605" s="20"/>
    </row>
    <row r="606" spans="4:4">
      <c r="D606" s="20"/>
    </row>
    <row r="607" spans="4:4">
      <c r="D607" s="20"/>
    </row>
    <row r="608" spans="4:4">
      <c r="D608" s="20"/>
    </row>
    <row r="609" spans="4:4">
      <c r="D609" s="20"/>
    </row>
    <row r="610" spans="4:4">
      <c r="D610" s="20"/>
    </row>
    <row r="611" spans="4:4">
      <c r="D611" s="20"/>
    </row>
    <row r="612" spans="4:4">
      <c r="D612" s="20"/>
    </row>
    <row r="613" spans="4:4">
      <c r="D613" s="20"/>
    </row>
    <row r="614" spans="4:4">
      <c r="D614" s="20"/>
    </row>
    <row r="615" spans="4:4">
      <c r="D615" s="20"/>
    </row>
    <row r="616" spans="4:4">
      <c r="D616" s="20"/>
    </row>
    <row r="617" spans="4:4">
      <c r="D617" s="20"/>
    </row>
    <row r="618" spans="4:4">
      <c r="D618" s="20"/>
    </row>
    <row r="619" spans="4:4">
      <c r="D619" s="20"/>
    </row>
    <row r="620" spans="4:4">
      <c r="D620" s="20"/>
    </row>
    <row r="621" spans="4:4">
      <c r="D621" s="20"/>
    </row>
    <row r="622" spans="4:4">
      <c r="D622" s="20"/>
    </row>
    <row r="623" spans="4:4">
      <c r="D623" s="20"/>
    </row>
    <row r="624" spans="4:4">
      <c r="D624" s="20"/>
    </row>
    <row r="625" spans="4:4">
      <c r="D625" s="20"/>
    </row>
    <row r="626" spans="4:4">
      <c r="D626" s="20"/>
    </row>
    <row r="627" spans="4:4">
      <c r="D627" s="20"/>
    </row>
    <row r="628" spans="4:4">
      <c r="D628" s="20"/>
    </row>
    <row r="629" spans="4:4">
      <c r="D629" s="20"/>
    </row>
    <row r="630" spans="4:4">
      <c r="D630" s="20"/>
    </row>
    <row r="631" spans="4:4">
      <c r="D631" s="20"/>
    </row>
    <row r="632" spans="4:4">
      <c r="D632" s="20"/>
    </row>
    <row r="633" spans="4:4">
      <c r="D633" s="20"/>
    </row>
    <row r="634" spans="4:4">
      <c r="D634" s="20"/>
    </row>
    <row r="635" spans="4:4">
      <c r="D635" s="20"/>
    </row>
    <row r="636" spans="4:4">
      <c r="D636" s="20"/>
    </row>
    <row r="637" spans="4:4">
      <c r="D637" s="20"/>
    </row>
    <row r="638" spans="4:4">
      <c r="D638" s="20"/>
    </row>
    <row r="639" spans="4:4">
      <c r="D639" s="20"/>
    </row>
    <row r="640" spans="4:4">
      <c r="D640" s="20"/>
    </row>
    <row r="641" spans="4:4">
      <c r="D641" s="20"/>
    </row>
    <row r="642" spans="4:4">
      <c r="D642" s="20"/>
    </row>
    <row r="643" spans="4:4">
      <c r="D643" s="20"/>
    </row>
    <row r="644" spans="4:4">
      <c r="D644" s="20"/>
    </row>
    <row r="645" spans="4:4">
      <c r="D645" s="20"/>
    </row>
    <row r="646" spans="4:4">
      <c r="D646" s="20"/>
    </row>
    <row r="647" spans="4:4">
      <c r="D647" s="20"/>
    </row>
    <row r="648" spans="4:4">
      <c r="D648" s="20"/>
    </row>
    <row r="649" spans="4:4">
      <c r="D649" s="20"/>
    </row>
    <row r="650" spans="4:4">
      <c r="D650" s="20"/>
    </row>
    <row r="651" spans="4:4">
      <c r="D651" s="20"/>
    </row>
    <row r="652" spans="4:4">
      <c r="D652" s="20"/>
    </row>
    <row r="653" spans="4:4">
      <c r="D653" s="20"/>
    </row>
    <row r="654" spans="4:4">
      <c r="D654" s="20"/>
    </row>
    <row r="655" spans="4:4">
      <c r="D655" s="20"/>
    </row>
    <row r="656" spans="4:4">
      <c r="D656" s="20"/>
    </row>
    <row r="657" spans="4:4">
      <c r="D657" s="20"/>
    </row>
    <row r="658" spans="4:4">
      <c r="D658" s="20"/>
    </row>
    <row r="659" spans="4:4">
      <c r="D659" s="20"/>
    </row>
    <row r="660" spans="4:4">
      <c r="D660" s="20"/>
    </row>
    <row r="661" spans="4:4">
      <c r="D661" s="20"/>
    </row>
    <row r="662" spans="4:4">
      <c r="D662" s="20"/>
    </row>
    <row r="663" spans="4:4">
      <c r="D663" s="20"/>
    </row>
    <row r="664" spans="4:4">
      <c r="D664" s="20"/>
    </row>
    <row r="665" spans="4:4">
      <c r="D665" s="20"/>
    </row>
    <row r="666" spans="4:4">
      <c r="D666" s="20"/>
    </row>
    <row r="667" spans="4:4">
      <c r="D667" s="20"/>
    </row>
    <row r="668" spans="4:4">
      <c r="D668" s="20"/>
    </row>
    <row r="669" spans="4:4">
      <c r="D669" s="20"/>
    </row>
    <row r="670" spans="4:4">
      <c r="D670" s="20"/>
    </row>
    <row r="671" spans="4:4">
      <c r="D671" s="20"/>
    </row>
    <row r="672" spans="4:4">
      <c r="D672" s="20"/>
    </row>
    <row r="673" spans="4:4">
      <c r="D673" s="20"/>
    </row>
    <row r="674" spans="4:4">
      <c r="D674" s="20"/>
    </row>
    <row r="675" spans="4:4">
      <c r="D675" s="20"/>
    </row>
    <row r="676" spans="4:4">
      <c r="D676" s="20"/>
    </row>
    <row r="677" spans="4:4">
      <c r="D677" s="20"/>
    </row>
    <row r="678" spans="4:4">
      <c r="D678" s="20"/>
    </row>
    <row r="679" spans="4:4">
      <c r="D679" s="20"/>
    </row>
    <row r="680" spans="4:4">
      <c r="D680" s="20"/>
    </row>
    <row r="681" spans="4:4">
      <c r="D681" s="20"/>
    </row>
    <row r="682" spans="4:4">
      <c r="D682" s="20"/>
    </row>
    <row r="683" spans="4:4">
      <c r="D683" s="20"/>
    </row>
    <row r="684" spans="4:4">
      <c r="D684" s="20"/>
    </row>
    <row r="685" spans="4:4">
      <c r="D685" s="20"/>
    </row>
    <row r="686" spans="4:4">
      <c r="D686" s="20"/>
    </row>
    <row r="687" spans="4:4">
      <c r="D687" s="20"/>
    </row>
    <row r="688" spans="4:4">
      <c r="D688" s="20"/>
    </row>
    <row r="689" spans="4:4">
      <c r="D689" s="20"/>
    </row>
    <row r="690" spans="4:4">
      <c r="D690" s="20"/>
    </row>
    <row r="691" spans="4:4">
      <c r="D691" s="20"/>
    </row>
    <row r="692" spans="4:4">
      <c r="D692" s="20"/>
    </row>
    <row r="693" spans="4:4">
      <c r="D693" s="20"/>
    </row>
    <row r="694" spans="4:4">
      <c r="D694" s="20"/>
    </row>
    <row r="695" spans="4:4">
      <c r="D695" s="20"/>
    </row>
    <row r="696" spans="4:4">
      <c r="D696" s="20"/>
    </row>
    <row r="697" spans="4:4">
      <c r="D697" s="20"/>
    </row>
    <row r="698" spans="4:4">
      <c r="D698" s="20"/>
    </row>
    <row r="699" spans="4:4">
      <c r="D699" s="20"/>
    </row>
    <row r="700" spans="4:4">
      <c r="D700" s="20"/>
    </row>
    <row r="701" spans="4:4">
      <c r="D701" s="20"/>
    </row>
    <row r="702" spans="4:4">
      <c r="D702" s="20"/>
    </row>
    <row r="703" spans="4:4">
      <c r="D703" s="20"/>
    </row>
    <row r="704" spans="4:4">
      <c r="D704" s="20"/>
    </row>
    <row r="705" spans="4:4">
      <c r="D705" s="20"/>
    </row>
    <row r="706" spans="4:4">
      <c r="D706" s="20"/>
    </row>
    <row r="707" spans="4:4">
      <c r="D707" s="20"/>
    </row>
    <row r="708" spans="4:4">
      <c r="D708" s="20"/>
    </row>
    <row r="709" spans="4:4">
      <c r="D709" s="20"/>
    </row>
    <row r="710" spans="4:4">
      <c r="D710" s="20"/>
    </row>
    <row r="711" spans="4:4">
      <c r="D711" s="20"/>
    </row>
    <row r="712" spans="4:4">
      <c r="D712" s="20"/>
    </row>
    <row r="713" spans="4:4">
      <c r="D713" s="20"/>
    </row>
    <row r="714" spans="4:4">
      <c r="D714" s="20"/>
    </row>
    <row r="715" spans="4:4">
      <c r="D715" s="20"/>
    </row>
    <row r="716" spans="4:4">
      <c r="D716" s="20"/>
    </row>
    <row r="717" spans="4:4">
      <c r="D717" s="20"/>
    </row>
    <row r="718" spans="4:4">
      <c r="D718" s="20"/>
    </row>
    <row r="719" spans="4:4">
      <c r="D719" s="20"/>
    </row>
    <row r="720" spans="4:4">
      <c r="D720" s="20"/>
    </row>
    <row r="721" spans="4:4">
      <c r="D721" s="20"/>
    </row>
    <row r="722" spans="4:4">
      <c r="D722" s="20"/>
    </row>
    <row r="723" spans="4:4">
      <c r="D723" s="20"/>
    </row>
    <row r="724" spans="4:4">
      <c r="D724" s="20"/>
    </row>
    <row r="725" spans="4:4">
      <c r="D725" s="20"/>
    </row>
    <row r="726" spans="4:4">
      <c r="D726" s="20"/>
    </row>
    <row r="727" spans="4:4">
      <c r="D727" s="20"/>
    </row>
    <row r="728" spans="4:4">
      <c r="D728" s="20"/>
    </row>
    <row r="729" spans="4:4">
      <c r="D729" s="20"/>
    </row>
    <row r="730" spans="4:4">
      <c r="D730" s="20"/>
    </row>
    <row r="731" spans="4:4">
      <c r="D731" s="20"/>
    </row>
    <row r="732" spans="4:4">
      <c r="D732" s="20"/>
    </row>
    <row r="733" spans="4:4">
      <c r="D733" s="20"/>
    </row>
    <row r="734" spans="4:4">
      <c r="D734" s="20"/>
    </row>
    <row r="735" spans="4:4">
      <c r="D735" s="20"/>
    </row>
    <row r="736" spans="4:4">
      <c r="D736" s="20"/>
    </row>
    <row r="737" spans="4:4">
      <c r="D737" s="20"/>
    </row>
    <row r="738" spans="4:4">
      <c r="D738" s="20"/>
    </row>
    <row r="739" spans="4:4">
      <c r="D739" s="20"/>
    </row>
    <row r="740" spans="4:4">
      <c r="D740" s="20"/>
    </row>
    <row r="741" spans="4:4">
      <c r="D741" s="20"/>
    </row>
    <row r="742" spans="4:4">
      <c r="D742" s="20"/>
    </row>
    <row r="743" spans="4:4">
      <c r="D743" s="20"/>
    </row>
    <row r="744" spans="4:4">
      <c r="D744" s="20"/>
    </row>
    <row r="745" spans="4:4">
      <c r="D745" s="20"/>
    </row>
    <row r="746" spans="4:4">
      <c r="D746" s="20"/>
    </row>
    <row r="747" spans="4:4">
      <c r="D747" s="20"/>
    </row>
    <row r="748" spans="4:4">
      <c r="D748" s="20"/>
    </row>
    <row r="749" spans="4:4">
      <c r="D749" s="20"/>
    </row>
    <row r="750" spans="4:4">
      <c r="D750" s="20"/>
    </row>
    <row r="751" spans="4:4">
      <c r="D751" s="20"/>
    </row>
    <row r="752" spans="4:4">
      <c r="D752" s="20"/>
    </row>
    <row r="753" spans="4:4">
      <c r="D753" s="20"/>
    </row>
    <row r="754" spans="4:4">
      <c r="D754" s="20"/>
    </row>
    <row r="755" spans="4:4">
      <c r="D755" s="20"/>
    </row>
    <row r="756" spans="4:4">
      <c r="D756" s="20"/>
    </row>
    <row r="757" spans="4:4">
      <c r="D757" s="20"/>
    </row>
    <row r="758" spans="4:4">
      <c r="D758" s="20"/>
    </row>
    <row r="759" spans="4:4">
      <c r="D759" s="20"/>
    </row>
    <row r="760" spans="4:4">
      <c r="D760" s="20"/>
    </row>
    <row r="761" spans="4:4">
      <c r="D761" s="20"/>
    </row>
    <row r="762" spans="4:4">
      <c r="D762" s="20"/>
    </row>
    <row r="763" spans="4:4">
      <c r="D763" s="20"/>
    </row>
    <row r="764" spans="4:4">
      <c r="D764" s="20"/>
    </row>
    <row r="765" spans="4:4">
      <c r="D765" s="20"/>
    </row>
    <row r="766" spans="4:4">
      <c r="D766" s="20"/>
    </row>
    <row r="767" spans="4:4">
      <c r="D767" s="20"/>
    </row>
    <row r="768" spans="4:4">
      <c r="D768" s="20"/>
    </row>
    <row r="769" spans="4:4">
      <c r="D769" s="20"/>
    </row>
    <row r="770" spans="4:4">
      <c r="D770" s="20"/>
    </row>
    <row r="771" spans="4:4">
      <c r="D771" s="20"/>
    </row>
    <row r="772" spans="4:4">
      <c r="D772" s="20"/>
    </row>
    <row r="773" spans="4:4">
      <c r="D773" s="20"/>
    </row>
    <row r="774" spans="4:4">
      <c r="D774" s="20"/>
    </row>
    <row r="775" spans="4:4">
      <c r="D775" s="20"/>
    </row>
    <row r="776" spans="4:4">
      <c r="D776" s="20"/>
    </row>
    <row r="777" spans="4:4">
      <c r="D777" s="20"/>
    </row>
    <row r="778" spans="4:4">
      <c r="D778" s="20"/>
    </row>
    <row r="779" spans="4:4">
      <c r="D779" s="20"/>
    </row>
    <row r="780" spans="4:4">
      <c r="D780" s="20"/>
    </row>
    <row r="781" spans="4:4">
      <c r="D781" s="20"/>
    </row>
    <row r="782" spans="4:4">
      <c r="D782" s="20"/>
    </row>
    <row r="783" spans="4:4">
      <c r="D783" s="20"/>
    </row>
    <row r="784" spans="4:4">
      <c r="D784" s="20"/>
    </row>
    <row r="785" spans="4:4">
      <c r="D785" s="20"/>
    </row>
    <row r="786" spans="4:4">
      <c r="D786" s="20"/>
    </row>
    <row r="787" spans="4:4">
      <c r="D787" s="20"/>
    </row>
    <row r="788" spans="4:4">
      <c r="D788" s="20"/>
    </row>
    <row r="789" spans="4:4">
      <c r="D789" s="20"/>
    </row>
    <row r="790" spans="4:4">
      <c r="D790" s="20"/>
    </row>
    <row r="791" spans="4:4">
      <c r="D791" s="20"/>
    </row>
    <row r="792" spans="4:4">
      <c r="D792" s="20"/>
    </row>
    <row r="793" spans="4:4">
      <c r="D793" s="20"/>
    </row>
    <row r="794" spans="4:4">
      <c r="D794" s="20"/>
    </row>
    <row r="795" spans="4:4">
      <c r="D795" s="20"/>
    </row>
    <row r="796" spans="4:4">
      <c r="D796" s="20"/>
    </row>
    <row r="797" spans="4:4">
      <c r="D797" s="20"/>
    </row>
    <row r="798" spans="4:4">
      <c r="D798" s="20"/>
    </row>
    <row r="799" spans="4:4">
      <c r="D799" s="20"/>
    </row>
    <row r="800" spans="4:4">
      <c r="D800" s="20"/>
    </row>
    <row r="801" spans="4:4">
      <c r="D801" s="20"/>
    </row>
    <row r="802" spans="4:4">
      <c r="D802" s="20"/>
    </row>
  </sheetData>
  <autoFilter ref="A2:M377"/>
  <mergeCells count="1">
    <mergeCell ref="A1:J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A1:T147"/>
  <sheetViews>
    <sheetView topLeftCell="A131" workbookViewId="0">
      <selection activeCell="K150" sqref="K150"/>
    </sheetView>
  </sheetViews>
  <sheetFormatPr baseColWidth="10" defaultColWidth="8.83203125" defaultRowHeight="14" x14ac:dyDescent="0"/>
  <cols>
    <col min="1" max="1" width="13.83203125" style="8" customWidth="1"/>
    <col min="2" max="2" width="8" style="8" customWidth="1"/>
    <col min="3" max="3" width="9.1640625" style="76" customWidth="1"/>
    <col min="4" max="4" width="10.1640625" style="8" customWidth="1"/>
    <col min="5" max="6" width="10.33203125" style="8" customWidth="1"/>
    <col min="7" max="8" width="10.6640625" style="18" customWidth="1"/>
    <col min="9" max="9" width="16" style="8" customWidth="1"/>
    <col min="10" max="11" width="13.33203125" style="8" customWidth="1"/>
    <col min="12" max="12" width="13" style="8" customWidth="1"/>
    <col min="13" max="13" width="10.6640625" style="8" customWidth="1"/>
    <col min="14" max="14" width="11.83203125" style="8" customWidth="1"/>
    <col min="15" max="15" width="7.33203125" style="8" customWidth="1"/>
    <col min="16" max="16" width="11.83203125" style="8" customWidth="1"/>
    <col min="17" max="17" width="8.5" style="8" customWidth="1"/>
    <col min="18" max="18" width="7.83203125" style="18" customWidth="1"/>
    <col min="19" max="19" width="8.83203125" style="8"/>
  </cols>
  <sheetData>
    <row r="1" spans="1:20" ht="28">
      <c r="A1" s="47" t="s">
        <v>12</v>
      </c>
      <c r="B1" s="47" t="s">
        <v>13</v>
      </c>
      <c r="C1" s="103" t="s">
        <v>32</v>
      </c>
      <c r="D1" s="11" t="s">
        <v>37</v>
      </c>
      <c r="E1" s="11" t="s">
        <v>36</v>
      </c>
      <c r="F1" s="11" t="s">
        <v>55</v>
      </c>
      <c r="G1" s="31" t="s">
        <v>35</v>
      </c>
      <c r="H1" s="31" t="s">
        <v>48</v>
      </c>
      <c r="I1" s="11" t="s">
        <v>49</v>
      </c>
      <c r="J1" s="11" t="s">
        <v>33</v>
      </c>
      <c r="K1" s="11" t="s">
        <v>50</v>
      </c>
      <c r="L1" s="10" t="s">
        <v>34</v>
      </c>
      <c r="M1" s="9" t="s">
        <v>40</v>
      </c>
      <c r="N1" s="9" t="s">
        <v>39</v>
      </c>
      <c r="O1" s="9" t="s">
        <v>52</v>
      </c>
      <c r="P1" s="9" t="s">
        <v>41</v>
      </c>
      <c r="Q1" s="9" t="s">
        <v>42</v>
      </c>
      <c r="R1" s="10" t="s">
        <v>51</v>
      </c>
    </row>
    <row r="2" spans="1:20" s="95" customFormat="1">
      <c r="A2" s="23">
        <v>38647</v>
      </c>
      <c r="B2" s="9" t="s">
        <v>30</v>
      </c>
      <c r="C2" s="104">
        <v>1</v>
      </c>
      <c r="D2" s="47">
        <f t="shared" ref="D2:D61" si="0">C2*0.7</f>
        <v>0.7</v>
      </c>
      <c r="E2" s="47">
        <f t="shared" ref="E2:E61" si="1">D2*1000</f>
        <v>700</v>
      </c>
      <c r="F2" s="47">
        <f>E2*1000/200</f>
        <v>3500</v>
      </c>
      <c r="G2" s="61">
        <f>VS!I22</f>
        <v>11952.191235059789</v>
      </c>
      <c r="H2" s="61">
        <f>G2*0.2</f>
        <v>2390.4382470119576</v>
      </c>
      <c r="I2" s="61">
        <f t="shared" ref="I2:I61" si="2">G2*1.8</f>
        <v>21513.944223107621</v>
      </c>
      <c r="J2" s="61">
        <f t="shared" ref="J2:J61" si="3">I2+E2</f>
        <v>22213.944223107621</v>
      </c>
      <c r="K2" s="61">
        <f>G2*2</f>
        <v>23904.382470119577</v>
      </c>
      <c r="L2" s="78"/>
      <c r="M2" s="10"/>
      <c r="N2" s="10">
        <f>gas!H31</f>
        <v>237.91335374945558</v>
      </c>
      <c r="O2" s="9"/>
      <c r="P2" s="9">
        <v>0</v>
      </c>
      <c r="Q2" s="9"/>
      <c r="R2" s="10"/>
      <c r="S2" s="91"/>
    </row>
    <row r="3" spans="1:20" s="95" customFormat="1">
      <c r="A3" s="23">
        <v>38649</v>
      </c>
      <c r="B3" s="9" t="s">
        <v>30</v>
      </c>
      <c r="C3" s="104">
        <v>1</v>
      </c>
      <c r="D3" s="47">
        <f t="shared" si="0"/>
        <v>0.7</v>
      </c>
      <c r="E3" s="47">
        <f t="shared" si="1"/>
        <v>700</v>
      </c>
      <c r="F3" s="47">
        <f t="shared" ref="F3:F62" si="4">E3*1000/200</f>
        <v>3500</v>
      </c>
      <c r="G3" s="61">
        <f>VS!I24</f>
        <v>10062.893081760971</v>
      </c>
      <c r="H3" s="61">
        <f t="shared" ref="H3:H62" si="5">G3*0.2</f>
        <v>2012.5786163521943</v>
      </c>
      <c r="I3" s="61">
        <f t="shared" si="2"/>
        <v>18113.207547169746</v>
      </c>
      <c r="J3" s="61">
        <f t="shared" si="3"/>
        <v>18813.207547169746</v>
      </c>
      <c r="K3" s="61">
        <f t="shared" ref="K3:K62" si="6">G3*2</f>
        <v>20125.786163521941</v>
      </c>
      <c r="L3" s="78">
        <f>J2-K3</f>
        <v>2088.1580595856794</v>
      </c>
      <c r="M3" s="10">
        <f>L3</f>
        <v>2088.1580595856794</v>
      </c>
      <c r="N3" s="10">
        <f>gas!H35</f>
        <v>319.43866703331429</v>
      </c>
      <c r="O3" s="10">
        <f t="shared" ref="O3:O66" si="7">N3/1000</f>
        <v>0.31943866703331431</v>
      </c>
      <c r="P3" s="10">
        <f>N3</f>
        <v>319.43866703331429</v>
      </c>
      <c r="Q3" s="10">
        <f t="shared" ref="Q3:Q66" si="8">P3/(M3/1000)</f>
        <v>152.97628719575735</v>
      </c>
      <c r="R3" s="10">
        <f>Q3/62.4</f>
        <v>2.4515430640345728</v>
      </c>
      <c r="S3" s="91"/>
    </row>
    <row r="4" spans="1:20" s="95" customFormat="1">
      <c r="A4" s="23">
        <v>38651</v>
      </c>
      <c r="B4" s="9" t="s">
        <v>30</v>
      </c>
      <c r="C4" s="104">
        <v>1</v>
      </c>
      <c r="D4" s="47">
        <f t="shared" si="0"/>
        <v>0.7</v>
      </c>
      <c r="E4" s="47">
        <f t="shared" si="1"/>
        <v>700</v>
      </c>
      <c r="F4" s="47">
        <f t="shared" si="4"/>
        <v>3500</v>
      </c>
      <c r="G4" s="61">
        <f>VS!I27</f>
        <v>7869.8845750262335</v>
      </c>
      <c r="H4" s="61">
        <f t="shared" si="5"/>
        <v>1573.9769150052468</v>
      </c>
      <c r="I4" s="61">
        <f t="shared" si="2"/>
        <v>14165.79223504722</v>
      </c>
      <c r="J4" s="61">
        <f t="shared" si="3"/>
        <v>14865.79223504722</v>
      </c>
      <c r="K4" s="61">
        <f t="shared" si="6"/>
        <v>15739.769150052467</v>
      </c>
      <c r="L4" s="78">
        <f>J3-K4</f>
        <v>3073.4383971172792</v>
      </c>
      <c r="M4" s="10">
        <f>M3+L4</f>
        <v>5161.5964567029587</v>
      </c>
      <c r="N4" s="10">
        <f>gas!H38</f>
        <v>282.84387765698523</v>
      </c>
      <c r="O4" s="10">
        <f t="shared" si="7"/>
        <v>0.28284387765698521</v>
      </c>
      <c r="P4" s="10">
        <f>P3+N4</f>
        <v>602.28254469029957</v>
      </c>
      <c r="Q4" s="10">
        <f t="shared" si="8"/>
        <v>116.68532202050835</v>
      </c>
      <c r="R4" s="10">
        <f>Q4/62.4</f>
        <v>1.8699570836619928</v>
      </c>
      <c r="S4" s="91"/>
    </row>
    <row r="5" spans="1:20" s="95" customFormat="1">
      <c r="A5" s="23">
        <v>38657</v>
      </c>
      <c r="B5" s="9" t="s">
        <v>30</v>
      </c>
      <c r="C5" s="100">
        <v>1</v>
      </c>
      <c r="D5" s="47">
        <f t="shared" si="0"/>
        <v>0.7</v>
      </c>
      <c r="E5" s="47">
        <f t="shared" si="1"/>
        <v>700</v>
      </c>
      <c r="F5" s="47">
        <f t="shared" si="4"/>
        <v>3500</v>
      </c>
      <c r="G5" s="10">
        <f>VS!I36</f>
        <v>5221.9321148824865</v>
      </c>
      <c r="H5" s="61">
        <f t="shared" si="5"/>
        <v>1044.3864229764974</v>
      </c>
      <c r="I5" s="61">
        <f t="shared" si="2"/>
        <v>9399.4778067884763</v>
      </c>
      <c r="J5" s="61">
        <f t="shared" si="3"/>
        <v>10099.477806788476</v>
      </c>
      <c r="K5" s="61">
        <f t="shared" si="6"/>
        <v>10443.864229764973</v>
      </c>
      <c r="L5" s="78">
        <f t="shared" ref="L5:L68" si="9">J4-K5</f>
        <v>4421.9280052822469</v>
      </c>
      <c r="M5" s="10">
        <f t="shared" ref="M5:M68" si="10">M4+L5</f>
        <v>9583.5244619852056</v>
      </c>
      <c r="N5" s="10">
        <f>gas!H50</f>
        <v>604.32321174752553</v>
      </c>
      <c r="O5" s="10">
        <f t="shared" si="7"/>
        <v>0.60432321174752557</v>
      </c>
      <c r="P5" s="10">
        <f t="shared" ref="P5:P68" si="11">P4+N5</f>
        <v>1206.6057564378252</v>
      </c>
      <c r="Q5" s="10">
        <f t="shared" si="8"/>
        <v>125.90417661310789</v>
      </c>
      <c r="R5" s="10">
        <f t="shared" ref="R5:R65" si="12">Q5/62.4</f>
        <v>2.0176951380305752</v>
      </c>
      <c r="S5" s="91"/>
      <c r="T5" s="94"/>
    </row>
    <row r="6" spans="1:20" s="95" customFormat="1">
      <c r="A6" s="23">
        <v>38659</v>
      </c>
      <c r="B6" s="9" t="s">
        <v>30</v>
      </c>
      <c r="C6" s="100">
        <v>1</v>
      </c>
      <c r="D6" s="47">
        <f t="shared" si="0"/>
        <v>0.7</v>
      </c>
      <c r="E6" s="47">
        <f t="shared" si="1"/>
        <v>700</v>
      </c>
      <c r="F6" s="47">
        <f t="shared" si="4"/>
        <v>3500</v>
      </c>
      <c r="G6" s="10">
        <f>VS!I39</f>
        <v>7054.6737213404886</v>
      </c>
      <c r="H6" s="61">
        <f t="shared" si="5"/>
        <v>1410.9347442680978</v>
      </c>
      <c r="I6" s="61">
        <f t="shared" si="2"/>
        <v>12698.41269841288</v>
      </c>
      <c r="J6" s="61">
        <f t="shared" si="3"/>
        <v>13398.41269841288</v>
      </c>
      <c r="K6" s="61">
        <f t="shared" si="6"/>
        <v>14109.347442680977</v>
      </c>
      <c r="L6" s="78">
        <f t="shared" si="9"/>
        <v>-4009.8696358925008</v>
      </c>
      <c r="M6" s="10">
        <f t="shared" si="10"/>
        <v>5573.6548260927048</v>
      </c>
      <c r="N6" s="10">
        <f>gas!H53</f>
        <v>639.87418682374437</v>
      </c>
      <c r="O6" s="10">
        <f t="shared" si="7"/>
        <v>0.63987418682374442</v>
      </c>
      <c r="P6" s="10">
        <f t="shared" si="11"/>
        <v>1846.4799432615696</v>
      </c>
      <c r="Q6" s="10">
        <f t="shared" si="8"/>
        <v>331.28709991465439</v>
      </c>
      <c r="R6" s="10">
        <f t="shared" si="12"/>
        <v>5.3090881396579235</v>
      </c>
      <c r="S6" s="91"/>
      <c r="T6" s="94"/>
    </row>
    <row r="7" spans="1:20" s="95" customFormat="1">
      <c r="A7" s="23">
        <v>38661</v>
      </c>
      <c r="B7" s="9" t="s">
        <v>30</v>
      </c>
      <c r="C7" s="100">
        <v>1</v>
      </c>
      <c r="D7" s="47">
        <f t="shared" si="0"/>
        <v>0.7</v>
      </c>
      <c r="E7" s="47">
        <f t="shared" si="1"/>
        <v>700</v>
      </c>
      <c r="F7" s="47">
        <f t="shared" si="4"/>
        <v>3500</v>
      </c>
      <c r="G7" s="10">
        <f>VS!I42</f>
        <v>5228.7581699346219</v>
      </c>
      <c r="H7" s="61">
        <f t="shared" si="5"/>
        <v>1045.7516339869244</v>
      </c>
      <c r="I7" s="61">
        <f t="shared" si="2"/>
        <v>9411.7647058823204</v>
      </c>
      <c r="J7" s="61">
        <f t="shared" si="3"/>
        <v>10111.76470588232</v>
      </c>
      <c r="K7" s="61">
        <f t="shared" si="6"/>
        <v>10457.516339869244</v>
      </c>
      <c r="L7" s="78">
        <f t="shared" si="9"/>
        <v>2940.8963585436359</v>
      </c>
      <c r="M7" s="10">
        <f t="shared" si="10"/>
        <v>8514.5511846363406</v>
      </c>
      <c r="N7" s="10">
        <f>gas!H56</f>
        <v>547.44126440045432</v>
      </c>
      <c r="O7" s="10">
        <f t="shared" si="7"/>
        <v>0.54744126440045426</v>
      </c>
      <c r="P7" s="10">
        <f t="shared" si="11"/>
        <v>2393.9212076620238</v>
      </c>
      <c r="Q7" s="10">
        <f t="shared" si="8"/>
        <v>281.15647621939439</v>
      </c>
      <c r="R7" s="10">
        <f t="shared" si="12"/>
        <v>4.5057127599261921</v>
      </c>
      <c r="S7" s="91"/>
      <c r="T7" s="94"/>
    </row>
    <row r="8" spans="1:20" s="95" customFormat="1">
      <c r="A8" s="23">
        <v>38668</v>
      </c>
      <c r="B8" s="9" t="s">
        <v>30</v>
      </c>
      <c r="C8" s="100">
        <v>1</v>
      </c>
      <c r="D8" s="47">
        <f t="shared" si="0"/>
        <v>0.7</v>
      </c>
      <c r="E8" s="47">
        <f t="shared" si="1"/>
        <v>700</v>
      </c>
      <c r="F8" s="47">
        <f t="shared" si="4"/>
        <v>3500</v>
      </c>
      <c r="G8" s="10">
        <f>VS!I48</f>
        <v>3787.8787878788407</v>
      </c>
      <c r="H8" s="61">
        <f t="shared" si="5"/>
        <v>757.57575757576819</v>
      </c>
      <c r="I8" s="61">
        <f t="shared" si="2"/>
        <v>6818.1818181819135</v>
      </c>
      <c r="J8" s="61">
        <f t="shared" si="3"/>
        <v>7518.1818181819135</v>
      </c>
      <c r="K8" s="61">
        <f t="shared" si="6"/>
        <v>7575.7575757576815</v>
      </c>
      <c r="L8" s="78">
        <f t="shared" si="9"/>
        <v>2536.0071301246389</v>
      </c>
      <c r="M8" s="10">
        <f t="shared" si="10"/>
        <v>11050.55831476098</v>
      </c>
      <c r="N8" s="10">
        <f>gas!H65</f>
        <v>147.06711425185958</v>
      </c>
      <c r="O8" s="10">
        <f t="shared" si="7"/>
        <v>0.14706711425185959</v>
      </c>
      <c r="P8" s="10">
        <f t="shared" si="11"/>
        <v>2540.9883219138833</v>
      </c>
      <c r="Q8" s="10">
        <f t="shared" si="8"/>
        <v>229.94207618629667</v>
      </c>
      <c r="R8" s="10">
        <f t="shared" si="12"/>
        <v>3.6849691696521902</v>
      </c>
      <c r="S8" s="91"/>
      <c r="T8" s="94"/>
    </row>
    <row r="9" spans="1:20" s="95" customFormat="1">
      <c r="A9" s="23">
        <v>38671</v>
      </c>
      <c r="B9" s="9" t="s">
        <v>30</v>
      </c>
      <c r="C9" s="100">
        <v>1</v>
      </c>
      <c r="D9" s="47">
        <f t="shared" si="0"/>
        <v>0.7</v>
      </c>
      <c r="E9" s="47">
        <f t="shared" si="1"/>
        <v>700</v>
      </c>
      <c r="F9" s="47">
        <f t="shared" si="4"/>
        <v>3500</v>
      </c>
      <c r="G9" s="10">
        <f>VS!I51</f>
        <v>7407.407407407336</v>
      </c>
      <c r="H9" s="61">
        <f t="shared" si="5"/>
        <v>1481.4814814814672</v>
      </c>
      <c r="I9" s="61">
        <f t="shared" si="2"/>
        <v>13333.333333333205</v>
      </c>
      <c r="J9" s="61">
        <f t="shared" si="3"/>
        <v>14033.333333333205</v>
      </c>
      <c r="K9" s="61">
        <f t="shared" si="6"/>
        <v>14814.814814814672</v>
      </c>
      <c r="L9" s="78">
        <f t="shared" si="9"/>
        <v>-7296.6329966327585</v>
      </c>
      <c r="M9" s="10">
        <f t="shared" si="10"/>
        <v>3753.9253181282211</v>
      </c>
      <c r="N9" s="10">
        <f>gas!H68</f>
        <v>254.61497971766997</v>
      </c>
      <c r="O9" s="10">
        <f t="shared" si="7"/>
        <v>0.25461497971766994</v>
      </c>
      <c r="P9" s="10">
        <f t="shared" si="11"/>
        <v>2795.6033016315532</v>
      </c>
      <c r="Q9" s="10">
        <f t="shared" si="8"/>
        <v>744.71468255673619</v>
      </c>
      <c r="R9" s="10">
        <f t="shared" si="12"/>
        <v>11.934530169178466</v>
      </c>
      <c r="S9" s="91"/>
      <c r="T9" s="94"/>
    </row>
    <row r="10" spans="1:20" s="95" customFormat="1">
      <c r="A10" s="23">
        <v>38673</v>
      </c>
      <c r="B10" s="9" t="s">
        <v>30</v>
      </c>
      <c r="C10" s="100">
        <v>1</v>
      </c>
      <c r="D10" s="47">
        <f t="shared" si="0"/>
        <v>0.7</v>
      </c>
      <c r="E10" s="47">
        <f t="shared" si="1"/>
        <v>700</v>
      </c>
      <c r="F10" s="47">
        <f t="shared" si="4"/>
        <v>3500</v>
      </c>
      <c r="G10" s="10">
        <f>VS!I54</f>
        <v>4184.1004184100266</v>
      </c>
      <c r="H10" s="61">
        <f t="shared" si="5"/>
        <v>836.82008368200536</v>
      </c>
      <c r="I10" s="61">
        <f t="shared" si="2"/>
        <v>7531.380753138048</v>
      </c>
      <c r="J10" s="61">
        <f t="shared" si="3"/>
        <v>8231.380753138048</v>
      </c>
      <c r="K10" s="61">
        <f t="shared" si="6"/>
        <v>8368.2008368200532</v>
      </c>
      <c r="L10" s="78">
        <f t="shared" si="9"/>
        <v>5665.1324965131516</v>
      </c>
      <c r="M10" s="10">
        <f t="shared" si="10"/>
        <v>9419.0578146413718</v>
      </c>
      <c r="N10" s="10">
        <f>gas!H71</f>
        <v>403.85413647979885</v>
      </c>
      <c r="O10" s="10">
        <f t="shared" si="7"/>
        <v>0.40385413647979884</v>
      </c>
      <c r="P10" s="10">
        <f t="shared" si="11"/>
        <v>3199.4574381113521</v>
      </c>
      <c r="Q10" s="10">
        <f t="shared" si="8"/>
        <v>339.67913787916063</v>
      </c>
      <c r="R10" s="10">
        <f t="shared" si="12"/>
        <v>5.4435759275506514</v>
      </c>
      <c r="S10" s="91"/>
      <c r="T10" s="94"/>
    </row>
    <row r="11" spans="1:20" s="95" customFormat="1">
      <c r="A11" s="23">
        <v>38675</v>
      </c>
      <c r="B11" s="9" t="s">
        <v>30</v>
      </c>
      <c r="C11" s="100">
        <v>1</v>
      </c>
      <c r="D11" s="47">
        <f t="shared" si="0"/>
        <v>0.7</v>
      </c>
      <c r="E11" s="47">
        <f t="shared" si="1"/>
        <v>700</v>
      </c>
      <c r="F11" s="47">
        <f t="shared" si="4"/>
        <v>3500</v>
      </c>
      <c r="G11" s="10">
        <f>VS!I57</f>
        <v>5228.7581699346219</v>
      </c>
      <c r="H11" s="61">
        <f t="shared" si="5"/>
        <v>1045.7516339869244</v>
      </c>
      <c r="I11" s="61">
        <f t="shared" si="2"/>
        <v>9411.7647058823204</v>
      </c>
      <c r="J11" s="61">
        <f t="shared" si="3"/>
        <v>10111.76470588232</v>
      </c>
      <c r="K11" s="61">
        <f t="shared" si="6"/>
        <v>10457.516339869244</v>
      </c>
      <c r="L11" s="78">
        <f t="shared" si="9"/>
        <v>-2226.1355867311959</v>
      </c>
      <c r="M11" s="10">
        <f t="shared" si="10"/>
        <v>7192.9222279101759</v>
      </c>
      <c r="N11" s="10">
        <f>gas!H74</f>
        <v>110.72122781817639</v>
      </c>
      <c r="O11" s="10">
        <f t="shared" si="7"/>
        <v>0.11072122781817639</v>
      </c>
      <c r="P11" s="10">
        <f t="shared" si="11"/>
        <v>3310.1786659295285</v>
      </c>
      <c r="Q11" s="10">
        <f t="shared" si="8"/>
        <v>460.19942396781124</v>
      </c>
      <c r="R11" s="10">
        <f t="shared" si="12"/>
        <v>7.3749907687149241</v>
      </c>
      <c r="S11" s="91"/>
      <c r="T11" s="94"/>
    </row>
    <row r="12" spans="1:20" s="95" customFormat="1">
      <c r="A12" s="23">
        <v>38687</v>
      </c>
      <c r="B12" s="9" t="s">
        <v>30</v>
      </c>
      <c r="C12" s="100">
        <v>1</v>
      </c>
      <c r="D12" s="47">
        <f t="shared" si="0"/>
        <v>0.7</v>
      </c>
      <c r="E12" s="47">
        <f t="shared" si="1"/>
        <v>700</v>
      </c>
      <c r="F12" s="47">
        <f t="shared" si="4"/>
        <v>3500</v>
      </c>
      <c r="G12" s="10">
        <f>VS!I60</f>
        <v>3865.9793814432628</v>
      </c>
      <c r="H12" s="61">
        <f t="shared" si="5"/>
        <v>773.19587628865258</v>
      </c>
      <c r="I12" s="61">
        <f t="shared" si="2"/>
        <v>6958.7628865978731</v>
      </c>
      <c r="J12" s="61">
        <f t="shared" si="3"/>
        <v>7658.7628865978731</v>
      </c>
      <c r="K12" s="61">
        <f t="shared" si="6"/>
        <v>7731.9587628865256</v>
      </c>
      <c r="L12" s="78">
        <f t="shared" si="9"/>
        <v>2379.8059429957948</v>
      </c>
      <c r="M12" s="10">
        <f t="shared" si="10"/>
        <v>9572.7281709059716</v>
      </c>
      <c r="N12" s="10">
        <f>gas!H86</f>
        <v>152.8764777919161</v>
      </c>
      <c r="O12" s="10">
        <f t="shared" si="7"/>
        <v>0.1528764777919161</v>
      </c>
      <c r="P12" s="10">
        <f t="shared" si="11"/>
        <v>3463.0551437214444</v>
      </c>
      <c r="Q12" s="10">
        <f t="shared" si="8"/>
        <v>361.76261164989268</v>
      </c>
      <c r="R12" s="10">
        <f t="shared" si="12"/>
        <v>5.7974777507995618</v>
      </c>
      <c r="S12" s="91"/>
      <c r="T12" s="94"/>
    </row>
    <row r="13" spans="1:20" s="95" customFormat="1">
      <c r="A13" s="23">
        <v>38689</v>
      </c>
      <c r="B13" s="9" t="s">
        <v>30</v>
      </c>
      <c r="C13" s="100">
        <v>1</v>
      </c>
      <c r="D13" s="47">
        <f t="shared" si="0"/>
        <v>0.7</v>
      </c>
      <c r="E13" s="47">
        <f t="shared" si="1"/>
        <v>700</v>
      </c>
      <c r="F13" s="47">
        <f t="shared" si="4"/>
        <v>3500</v>
      </c>
      <c r="G13" s="10">
        <f>VS!I63</f>
        <v>5056.8900126422968</v>
      </c>
      <c r="H13" s="61">
        <f t="shared" si="5"/>
        <v>1011.3780025284594</v>
      </c>
      <c r="I13" s="61">
        <f t="shared" si="2"/>
        <v>9102.4020227561341</v>
      </c>
      <c r="J13" s="61">
        <f t="shared" si="3"/>
        <v>9802.4020227561341</v>
      </c>
      <c r="K13" s="61">
        <f t="shared" si="6"/>
        <v>10113.780025284594</v>
      </c>
      <c r="L13" s="78">
        <f t="shared" si="9"/>
        <v>-2455.0171386867205</v>
      </c>
      <c r="M13" s="10">
        <f t="shared" si="10"/>
        <v>7117.7110322192511</v>
      </c>
      <c r="N13" s="10">
        <f>gas!H89</f>
        <v>245.01102226530145</v>
      </c>
      <c r="O13" s="10">
        <f t="shared" si="7"/>
        <v>0.24501102226530144</v>
      </c>
      <c r="P13" s="10">
        <f t="shared" si="11"/>
        <v>3708.066165986746</v>
      </c>
      <c r="Q13" s="10">
        <f t="shared" si="8"/>
        <v>520.96329131678692</v>
      </c>
      <c r="R13" s="10">
        <f t="shared" si="12"/>
        <v>8.3487706941792776</v>
      </c>
      <c r="S13" s="91"/>
      <c r="T13" s="94"/>
    </row>
    <row r="14" spans="1:20" s="95" customFormat="1">
      <c r="A14" s="23">
        <v>38692</v>
      </c>
      <c r="B14" s="9" t="s">
        <v>30</v>
      </c>
      <c r="C14" s="100">
        <v>2</v>
      </c>
      <c r="D14" s="47">
        <f t="shared" si="0"/>
        <v>1.4</v>
      </c>
      <c r="E14" s="47">
        <f t="shared" si="1"/>
        <v>1400</v>
      </c>
      <c r="F14" s="47">
        <f t="shared" si="4"/>
        <v>7000</v>
      </c>
      <c r="G14" s="10">
        <f>VS!I66</f>
        <v>4418.2621502208713</v>
      </c>
      <c r="H14" s="61">
        <f t="shared" si="5"/>
        <v>883.65243004417425</v>
      </c>
      <c r="I14" s="61">
        <f t="shared" si="2"/>
        <v>7952.8718703975683</v>
      </c>
      <c r="J14" s="61">
        <f t="shared" si="3"/>
        <v>9352.8718703975683</v>
      </c>
      <c r="K14" s="61">
        <f t="shared" si="6"/>
        <v>8836.5243004417425</v>
      </c>
      <c r="L14" s="78">
        <f t="shared" si="9"/>
        <v>965.87772231439158</v>
      </c>
      <c r="M14" s="10">
        <f t="shared" si="10"/>
        <v>8083.5887545336427</v>
      </c>
      <c r="N14" s="10">
        <f>gas!H92</f>
        <v>148.87496803675589</v>
      </c>
      <c r="O14" s="10">
        <f t="shared" si="7"/>
        <v>0.1488749680367559</v>
      </c>
      <c r="P14" s="10">
        <f t="shared" si="11"/>
        <v>3856.9411340235019</v>
      </c>
      <c r="Q14" s="10">
        <f t="shared" si="8"/>
        <v>477.13228012253273</v>
      </c>
      <c r="R14" s="10">
        <f t="shared" si="12"/>
        <v>7.6463506429893071</v>
      </c>
      <c r="S14" s="91"/>
    </row>
    <row r="15" spans="1:20" s="95" customFormat="1">
      <c r="A15" s="23">
        <v>38696</v>
      </c>
      <c r="B15" s="9" t="s">
        <v>30</v>
      </c>
      <c r="C15" s="100">
        <v>1</v>
      </c>
      <c r="D15" s="47">
        <f t="shared" si="0"/>
        <v>0.7</v>
      </c>
      <c r="E15" s="47">
        <f t="shared" si="1"/>
        <v>700</v>
      </c>
      <c r="F15" s="47">
        <f t="shared" si="4"/>
        <v>3500</v>
      </c>
      <c r="G15" s="10">
        <f>VS!I69</f>
        <v>4748.3380816714161</v>
      </c>
      <c r="H15" s="61">
        <f t="shared" si="5"/>
        <v>949.66761633428325</v>
      </c>
      <c r="I15" s="61">
        <f t="shared" si="2"/>
        <v>8547.0085470085487</v>
      </c>
      <c r="J15" s="61">
        <f t="shared" si="3"/>
        <v>9247.0085470085487</v>
      </c>
      <c r="K15" s="61">
        <f t="shared" si="6"/>
        <v>9496.6761633428323</v>
      </c>
      <c r="L15" s="78">
        <f t="shared" si="9"/>
        <v>-143.80429294526402</v>
      </c>
      <c r="M15" s="10">
        <f t="shared" si="10"/>
        <v>7939.7844615883787</v>
      </c>
      <c r="N15" s="10">
        <f>gas!H95</f>
        <v>181.13084861268865</v>
      </c>
      <c r="O15" s="10">
        <f t="shared" si="7"/>
        <v>0.18113084861268866</v>
      </c>
      <c r="P15" s="10">
        <f t="shared" si="11"/>
        <v>4038.0719826361906</v>
      </c>
      <c r="Q15" s="10">
        <f t="shared" si="8"/>
        <v>508.58710361368696</v>
      </c>
      <c r="R15" s="10">
        <f t="shared" si="12"/>
        <v>8.1504343527834457</v>
      </c>
      <c r="S15" s="91"/>
    </row>
    <row r="16" spans="1:20" s="95" customFormat="1">
      <c r="A16" s="23">
        <v>38699</v>
      </c>
      <c r="B16" s="9" t="s">
        <v>30</v>
      </c>
      <c r="C16" s="100">
        <v>1</v>
      </c>
      <c r="D16" s="47">
        <f t="shared" si="0"/>
        <v>0.7</v>
      </c>
      <c r="E16" s="47">
        <f t="shared" si="1"/>
        <v>700</v>
      </c>
      <c r="F16" s="47">
        <f t="shared" si="4"/>
        <v>3500</v>
      </c>
      <c r="G16" s="10">
        <f>VS!I72</f>
        <v>4580.1526717556817</v>
      </c>
      <c r="H16" s="61">
        <f t="shared" si="5"/>
        <v>916.03053435113634</v>
      </c>
      <c r="I16" s="61">
        <f t="shared" si="2"/>
        <v>8244.274809160228</v>
      </c>
      <c r="J16" s="61">
        <f t="shared" si="3"/>
        <v>8944.274809160228</v>
      </c>
      <c r="K16" s="61">
        <f t="shared" si="6"/>
        <v>9160.3053435113634</v>
      </c>
      <c r="L16" s="78">
        <f t="shared" si="9"/>
        <v>86.703203497185314</v>
      </c>
      <c r="M16" s="10">
        <f t="shared" si="10"/>
        <v>8026.487665085564</v>
      </c>
      <c r="N16" s="10">
        <f>gas!H98</f>
        <v>127.57392873429718</v>
      </c>
      <c r="O16" s="10">
        <f t="shared" si="7"/>
        <v>0.12757392873429718</v>
      </c>
      <c r="P16" s="10">
        <f t="shared" si="11"/>
        <v>4165.6459113704877</v>
      </c>
      <c r="Q16" s="10">
        <f t="shared" si="8"/>
        <v>518.98739338884673</v>
      </c>
      <c r="R16" s="10">
        <f t="shared" si="12"/>
        <v>8.3171056632828009</v>
      </c>
      <c r="S16" s="91"/>
    </row>
    <row r="17" spans="1:19" s="95" customFormat="1">
      <c r="A17" s="23">
        <v>38701</v>
      </c>
      <c r="B17" s="9" t="s">
        <v>30</v>
      </c>
      <c r="C17" s="100">
        <v>1</v>
      </c>
      <c r="D17" s="47">
        <f t="shared" si="0"/>
        <v>0.7</v>
      </c>
      <c r="E17" s="47">
        <f t="shared" si="1"/>
        <v>700</v>
      </c>
      <c r="F17" s="47">
        <f t="shared" si="4"/>
        <v>3500</v>
      </c>
      <c r="G17" s="10">
        <f>VS!I78</f>
        <v>4815.4093097912864</v>
      </c>
      <c r="H17" s="61">
        <f t="shared" si="5"/>
        <v>963.08186195825738</v>
      </c>
      <c r="I17" s="61">
        <f t="shared" si="2"/>
        <v>8667.7367576243159</v>
      </c>
      <c r="J17" s="61">
        <f t="shared" si="3"/>
        <v>9367.7367576243159</v>
      </c>
      <c r="K17" s="61">
        <f t="shared" si="6"/>
        <v>9630.8186195825729</v>
      </c>
      <c r="L17" s="78">
        <f t="shared" si="9"/>
        <v>-686.5438104223449</v>
      </c>
      <c r="M17" s="10">
        <f t="shared" si="10"/>
        <v>7339.9438546632191</v>
      </c>
      <c r="N17" s="10">
        <f>gas!H104</f>
        <v>121.9405730078482</v>
      </c>
      <c r="O17" s="10">
        <f t="shared" si="7"/>
        <v>0.1219405730078482</v>
      </c>
      <c r="P17" s="10">
        <f t="shared" si="11"/>
        <v>4287.5864843783356</v>
      </c>
      <c r="Q17" s="10">
        <f t="shared" si="8"/>
        <v>584.14431626126714</v>
      </c>
      <c r="R17" s="10">
        <f t="shared" si="12"/>
        <v>9.361287119571589</v>
      </c>
      <c r="S17" s="93"/>
    </row>
    <row r="18" spans="1:19" s="77" customFormat="1">
      <c r="A18" s="105">
        <v>38720</v>
      </c>
      <c r="B18" s="9" t="s">
        <v>30</v>
      </c>
      <c r="C18" s="106">
        <v>4</v>
      </c>
      <c r="D18" s="47">
        <f t="shared" si="0"/>
        <v>2.8</v>
      </c>
      <c r="E18" s="47">
        <f t="shared" si="1"/>
        <v>2800</v>
      </c>
      <c r="F18" s="47">
        <f t="shared" si="4"/>
        <v>14000</v>
      </c>
      <c r="G18" s="14">
        <f>VS!I81</f>
        <v>3508.7719298245279</v>
      </c>
      <c r="H18" s="61">
        <f t="shared" si="5"/>
        <v>701.75438596490562</v>
      </c>
      <c r="I18" s="61">
        <f t="shared" si="2"/>
        <v>6315.7894736841499</v>
      </c>
      <c r="J18" s="61">
        <f t="shared" si="3"/>
        <v>9115.7894736841499</v>
      </c>
      <c r="K18" s="61">
        <f t="shared" si="6"/>
        <v>7017.5438596490558</v>
      </c>
      <c r="L18" s="78">
        <f t="shared" si="9"/>
        <v>2350.1928979752602</v>
      </c>
      <c r="M18" s="10">
        <f t="shared" si="10"/>
        <v>9690.1367526384784</v>
      </c>
      <c r="N18" s="14">
        <f>gas!H113</f>
        <v>120.95607410983388</v>
      </c>
      <c r="O18" s="10">
        <f t="shared" si="7"/>
        <v>0.12095607410983387</v>
      </c>
      <c r="P18" s="10">
        <f t="shared" si="11"/>
        <v>4408.5425584881696</v>
      </c>
      <c r="Q18" s="10">
        <f t="shared" si="8"/>
        <v>454.95153175085892</v>
      </c>
      <c r="R18" s="14">
        <f t="shared" si="12"/>
        <v>7.2908899319047906</v>
      </c>
      <c r="S18" s="25"/>
    </row>
    <row r="19" spans="1:19" s="98" customFormat="1">
      <c r="A19" s="107">
        <v>38722</v>
      </c>
      <c r="B19" s="9" t="s">
        <v>30</v>
      </c>
      <c r="C19" s="108">
        <v>1</v>
      </c>
      <c r="D19" s="47">
        <f t="shared" si="0"/>
        <v>0.7</v>
      </c>
      <c r="E19" s="47">
        <f t="shared" si="1"/>
        <v>700</v>
      </c>
      <c r="F19" s="47">
        <f t="shared" si="4"/>
        <v>3500</v>
      </c>
      <c r="G19" s="109">
        <f>VS!I84</f>
        <v>2257.3363431153166</v>
      </c>
      <c r="H19" s="61">
        <f t="shared" si="5"/>
        <v>451.46726862306332</v>
      </c>
      <c r="I19" s="61">
        <f t="shared" si="2"/>
        <v>4063.2054176075699</v>
      </c>
      <c r="J19" s="61">
        <f t="shared" si="3"/>
        <v>4763.2054176075699</v>
      </c>
      <c r="K19" s="61">
        <f t="shared" si="6"/>
        <v>4514.6726862306332</v>
      </c>
      <c r="L19" s="78">
        <f t="shared" si="9"/>
        <v>4601.1167874535167</v>
      </c>
      <c r="M19" s="10">
        <f t="shared" si="10"/>
        <v>14291.253540091995</v>
      </c>
      <c r="N19" s="109">
        <f>gas!H116</f>
        <v>112.74906982567576</v>
      </c>
      <c r="O19" s="10">
        <f t="shared" si="7"/>
        <v>0.11274906982567576</v>
      </c>
      <c r="P19" s="10">
        <f t="shared" si="11"/>
        <v>4521.2916283138456</v>
      </c>
      <c r="Q19" s="10">
        <f t="shared" si="8"/>
        <v>316.3677430835603</v>
      </c>
      <c r="R19" s="10">
        <f t="shared" si="12"/>
        <v>5.0699958827493639</v>
      </c>
      <c r="S19" s="97"/>
    </row>
    <row r="20" spans="1:19" s="95" customFormat="1">
      <c r="A20" s="23">
        <v>38724</v>
      </c>
      <c r="B20" s="9" t="s">
        <v>30</v>
      </c>
      <c r="C20" s="100">
        <v>1</v>
      </c>
      <c r="D20" s="47">
        <f t="shared" si="0"/>
        <v>0.7</v>
      </c>
      <c r="E20" s="47">
        <f t="shared" si="1"/>
        <v>700</v>
      </c>
      <c r="F20" s="47">
        <f t="shared" si="4"/>
        <v>3500</v>
      </c>
      <c r="G20" s="10">
        <f>VS!I88</f>
        <v>2525.2525252523819</v>
      </c>
      <c r="H20" s="61">
        <f t="shared" si="5"/>
        <v>505.05050505047643</v>
      </c>
      <c r="I20" s="61">
        <f t="shared" si="2"/>
        <v>4545.4545454542877</v>
      </c>
      <c r="J20" s="61">
        <f t="shared" si="3"/>
        <v>5245.4545454542877</v>
      </c>
      <c r="K20" s="61">
        <f t="shared" si="6"/>
        <v>5050.5050505047639</v>
      </c>
      <c r="L20" s="78">
        <f t="shared" si="9"/>
        <v>-287.29963289719399</v>
      </c>
      <c r="M20" s="10">
        <f t="shared" si="10"/>
        <v>14003.953907194802</v>
      </c>
      <c r="N20" s="10">
        <f>gas!H119</f>
        <v>92.845879666070829</v>
      </c>
      <c r="O20" s="10">
        <f t="shared" si="7"/>
        <v>9.284587966607083E-2</v>
      </c>
      <c r="P20" s="10">
        <f t="shared" si="11"/>
        <v>4614.1375079799163</v>
      </c>
      <c r="Q20" s="10">
        <f t="shared" si="8"/>
        <v>329.48819587368922</v>
      </c>
      <c r="R20" s="10">
        <f t="shared" si="12"/>
        <v>5.2802595492578401</v>
      </c>
      <c r="S20" s="91"/>
    </row>
    <row r="21" spans="1:19" s="95" customFormat="1">
      <c r="A21" s="23">
        <v>38727</v>
      </c>
      <c r="B21" s="9" t="s">
        <v>30</v>
      </c>
      <c r="C21" s="100">
        <v>1</v>
      </c>
      <c r="D21" s="47">
        <f t="shared" si="0"/>
        <v>0.7</v>
      </c>
      <c r="E21" s="47">
        <f t="shared" si="1"/>
        <v>700</v>
      </c>
      <c r="F21" s="47">
        <f t="shared" si="4"/>
        <v>3500</v>
      </c>
      <c r="G21" s="10">
        <f>VS!I92</f>
        <v>4264.3923240938784</v>
      </c>
      <c r="H21" s="61">
        <f t="shared" si="5"/>
        <v>852.87846481877568</v>
      </c>
      <c r="I21" s="61">
        <f t="shared" si="2"/>
        <v>7675.9061833689811</v>
      </c>
      <c r="J21" s="61">
        <f t="shared" si="3"/>
        <v>8375.9061833689811</v>
      </c>
      <c r="K21" s="61">
        <f t="shared" si="6"/>
        <v>8528.7846481877568</v>
      </c>
      <c r="L21" s="78">
        <f t="shared" si="9"/>
        <v>-3283.3301027334692</v>
      </c>
      <c r="M21" s="10">
        <f t="shared" si="10"/>
        <v>10720.623804461333</v>
      </c>
      <c r="N21" s="10">
        <f>gas!H122</f>
        <v>129.86451604906173</v>
      </c>
      <c r="O21" s="10">
        <f t="shared" si="7"/>
        <v>0.12986451604906174</v>
      </c>
      <c r="P21" s="10">
        <f t="shared" si="11"/>
        <v>4744.0020240289778</v>
      </c>
      <c r="Q21" s="10">
        <f t="shared" si="8"/>
        <v>442.5117521663978</v>
      </c>
      <c r="R21" s="10">
        <f t="shared" si="12"/>
        <v>7.0915344898461186</v>
      </c>
      <c r="S21" s="91"/>
    </row>
    <row r="22" spans="1:19" s="95" customFormat="1">
      <c r="A22" s="23">
        <v>38729</v>
      </c>
      <c r="B22" s="9" t="s">
        <v>30</v>
      </c>
      <c r="C22" s="100">
        <v>1</v>
      </c>
      <c r="D22" s="47">
        <f t="shared" si="0"/>
        <v>0.7</v>
      </c>
      <c r="E22" s="47">
        <f t="shared" si="1"/>
        <v>700</v>
      </c>
      <c r="F22" s="47">
        <f t="shared" si="4"/>
        <v>3500</v>
      </c>
      <c r="G22" s="10">
        <f>VS!I95</f>
        <v>4484.3049327354893</v>
      </c>
      <c r="H22" s="61">
        <f t="shared" si="5"/>
        <v>896.86098654709792</v>
      </c>
      <c r="I22" s="61">
        <f t="shared" si="2"/>
        <v>8071.7488789238805</v>
      </c>
      <c r="J22" s="61">
        <f t="shared" si="3"/>
        <v>8771.7488789238814</v>
      </c>
      <c r="K22" s="61">
        <f t="shared" si="6"/>
        <v>8968.6098654709785</v>
      </c>
      <c r="L22" s="78">
        <f t="shared" si="9"/>
        <v>-592.7036821019974</v>
      </c>
      <c r="M22" s="10">
        <f t="shared" si="10"/>
        <v>10127.920122359335</v>
      </c>
      <c r="N22" s="10">
        <f>gas!H125</f>
        <v>113.61894526371618</v>
      </c>
      <c r="O22" s="10">
        <f t="shared" si="7"/>
        <v>0.11361894526371619</v>
      </c>
      <c r="P22" s="10">
        <f t="shared" si="11"/>
        <v>4857.6209692926941</v>
      </c>
      <c r="Q22" s="10">
        <f t="shared" si="8"/>
        <v>479.62670623443802</v>
      </c>
      <c r="R22" s="10">
        <f t="shared" si="12"/>
        <v>7.6863254204236862</v>
      </c>
      <c r="S22" s="91"/>
    </row>
    <row r="23" spans="1:19" s="95" customFormat="1">
      <c r="A23" s="23">
        <v>38731</v>
      </c>
      <c r="B23" s="9" t="s">
        <v>30</v>
      </c>
      <c r="C23" s="100">
        <v>1</v>
      </c>
      <c r="D23" s="47">
        <f t="shared" si="0"/>
        <v>0.7</v>
      </c>
      <c r="E23" s="47">
        <f t="shared" si="1"/>
        <v>700</v>
      </c>
      <c r="F23" s="47">
        <f t="shared" si="4"/>
        <v>3500</v>
      </c>
      <c r="G23" s="10">
        <f>VS!I98</f>
        <v>4373.1778425656603</v>
      </c>
      <c r="H23" s="61">
        <f t="shared" si="5"/>
        <v>874.63556851313206</v>
      </c>
      <c r="I23" s="61">
        <f t="shared" si="2"/>
        <v>7871.7201166181885</v>
      </c>
      <c r="J23" s="61">
        <f t="shared" si="3"/>
        <v>8571.7201166181876</v>
      </c>
      <c r="K23" s="61">
        <f t="shared" si="6"/>
        <v>8746.3556851313206</v>
      </c>
      <c r="L23" s="78">
        <f t="shared" si="9"/>
        <v>25.393193792560851</v>
      </c>
      <c r="M23" s="10">
        <f t="shared" si="10"/>
        <v>10153.313316151896</v>
      </c>
      <c r="N23" s="10">
        <f>gas!H128</f>
        <v>145.38393838872861</v>
      </c>
      <c r="O23" s="10">
        <f t="shared" si="7"/>
        <v>0.1453839383887286</v>
      </c>
      <c r="P23" s="10">
        <f t="shared" si="11"/>
        <v>5003.004907681423</v>
      </c>
      <c r="Q23" s="10">
        <f t="shared" si="8"/>
        <v>492.7460378596453</v>
      </c>
      <c r="R23" s="10">
        <f t="shared" si="12"/>
        <v>7.8965711195455981</v>
      </c>
      <c r="S23" s="91"/>
    </row>
    <row r="24" spans="1:19" s="95" customFormat="1">
      <c r="A24" s="23">
        <v>38734</v>
      </c>
      <c r="B24" s="9" t="s">
        <v>30</v>
      </c>
      <c r="C24" s="100">
        <v>1</v>
      </c>
      <c r="D24" s="47">
        <f t="shared" si="0"/>
        <v>0.7</v>
      </c>
      <c r="E24" s="47">
        <f t="shared" si="1"/>
        <v>700</v>
      </c>
      <c r="F24" s="47">
        <f t="shared" si="4"/>
        <v>3500</v>
      </c>
      <c r="G24" s="10">
        <f>VS!I101</f>
        <v>3929.2730844792877</v>
      </c>
      <c r="H24" s="61">
        <f t="shared" si="5"/>
        <v>785.85461689585759</v>
      </c>
      <c r="I24" s="61">
        <f t="shared" si="2"/>
        <v>7072.6915520627181</v>
      </c>
      <c r="J24" s="61">
        <f t="shared" si="3"/>
        <v>7772.6915520627181</v>
      </c>
      <c r="K24" s="61">
        <f t="shared" si="6"/>
        <v>7858.5461689585754</v>
      </c>
      <c r="L24" s="78">
        <f t="shared" si="9"/>
        <v>713.17394765961217</v>
      </c>
      <c r="M24" s="10">
        <f t="shared" si="10"/>
        <v>10866.487263811508</v>
      </c>
      <c r="N24" s="10">
        <f>gas!H131</f>
        <v>164.49255721487347</v>
      </c>
      <c r="O24" s="10">
        <f t="shared" si="7"/>
        <v>0.16449255721487346</v>
      </c>
      <c r="P24" s="10">
        <f t="shared" si="11"/>
        <v>5167.4974648962962</v>
      </c>
      <c r="Q24" s="10">
        <f t="shared" si="8"/>
        <v>475.54442750837535</v>
      </c>
      <c r="R24" s="10">
        <f t="shared" si="12"/>
        <v>7.6209042869931949</v>
      </c>
      <c r="S24" s="91"/>
    </row>
    <row r="25" spans="1:19" s="95" customFormat="1">
      <c r="A25" s="23">
        <v>38736</v>
      </c>
      <c r="B25" s="9" t="s">
        <v>30</v>
      </c>
      <c r="C25" s="100">
        <v>1</v>
      </c>
      <c r="D25" s="47">
        <f t="shared" si="0"/>
        <v>0.7</v>
      </c>
      <c r="E25" s="47">
        <f t="shared" si="1"/>
        <v>700</v>
      </c>
      <c r="F25" s="47">
        <f t="shared" si="4"/>
        <v>3500</v>
      </c>
      <c r="G25" s="10">
        <f>VS!I104</f>
        <v>3154.5741324921587</v>
      </c>
      <c r="H25" s="61">
        <f t="shared" si="5"/>
        <v>630.91482649843181</v>
      </c>
      <c r="I25" s="61">
        <f t="shared" si="2"/>
        <v>5678.2334384858859</v>
      </c>
      <c r="J25" s="61">
        <f t="shared" si="3"/>
        <v>6378.2334384858859</v>
      </c>
      <c r="K25" s="61">
        <f t="shared" si="6"/>
        <v>6309.1482649843174</v>
      </c>
      <c r="L25" s="78">
        <f t="shared" si="9"/>
        <v>1463.5432870784007</v>
      </c>
      <c r="M25" s="10">
        <f t="shared" si="10"/>
        <v>12330.030550889909</v>
      </c>
      <c r="N25" s="10">
        <f>gas!H134</f>
        <v>138.10221000381725</v>
      </c>
      <c r="O25" s="10">
        <f t="shared" si="7"/>
        <v>0.13810221000381726</v>
      </c>
      <c r="P25" s="10">
        <f t="shared" si="11"/>
        <v>5305.5996749001133</v>
      </c>
      <c r="Q25" s="10">
        <f t="shared" si="8"/>
        <v>430.29898855499482</v>
      </c>
      <c r="R25" s="10">
        <f t="shared" si="12"/>
        <v>6.8958171242787634</v>
      </c>
      <c r="S25" s="91"/>
    </row>
    <row r="26" spans="1:19" s="95" customFormat="1">
      <c r="A26" s="23">
        <v>38738</v>
      </c>
      <c r="B26" s="9" t="s">
        <v>30</v>
      </c>
      <c r="C26" s="100">
        <v>1</v>
      </c>
      <c r="D26" s="47">
        <f t="shared" si="0"/>
        <v>0.7</v>
      </c>
      <c r="E26" s="47">
        <f t="shared" si="1"/>
        <v>700</v>
      </c>
      <c r="F26" s="47">
        <f t="shared" si="4"/>
        <v>3500</v>
      </c>
      <c r="G26" s="10">
        <f>VS!I107</f>
        <v>3205.1282051281751</v>
      </c>
      <c r="H26" s="61">
        <f t="shared" si="5"/>
        <v>641.02564102563508</v>
      </c>
      <c r="I26" s="61">
        <f t="shared" si="2"/>
        <v>5769.2307692307149</v>
      </c>
      <c r="J26" s="61">
        <f t="shared" si="3"/>
        <v>6469.2307692307149</v>
      </c>
      <c r="K26" s="61">
        <f t="shared" si="6"/>
        <v>6410.2564102563501</v>
      </c>
      <c r="L26" s="78">
        <f t="shared" si="9"/>
        <v>-32.02297177046421</v>
      </c>
      <c r="M26" s="10">
        <f t="shared" si="10"/>
        <v>12298.007579119445</v>
      </c>
      <c r="N26" s="10">
        <f>gas!H137</f>
        <v>151.18612099888162</v>
      </c>
      <c r="O26" s="10">
        <f t="shared" si="7"/>
        <v>0.15118612099888162</v>
      </c>
      <c r="P26" s="10">
        <f t="shared" si="11"/>
        <v>5456.7857958989953</v>
      </c>
      <c r="Q26" s="10">
        <f t="shared" si="8"/>
        <v>443.71299666166811</v>
      </c>
      <c r="R26" s="10">
        <f t="shared" si="12"/>
        <v>7.1107852029113481</v>
      </c>
      <c r="S26" s="91"/>
    </row>
    <row r="27" spans="1:19" s="95" customFormat="1">
      <c r="A27" s="23">
        <v>38741</v>
      </c>
      <c r="B27" s="9" t="s">
        <v>30</v>
      </c>
      <c r="C27" s="100">
        <v>1</v>
      </c>
      <c r="D27" s="47">
        <f t="shared" si="0"/>
        <v>0.7</v>
      </c>
      <c r="E27" s="47">
        <f t="shared" si="1"/>
        <v>700</v>
      </c>
      <c r="F27" s="47">
        <f t="shared" si="4"/>
        <v>3500</v>
      </c>
      <c r="G27" s="10">
        <f>VS!I110</f>
        <v>3027.2452068617267</v>
      </c>
      <c r="H27" s="61">
        <f t="shared" si="5"/>
        <v>605.44904137234539</v>
      </c>
      <c r="I27" s="61">
        <f t="shared" si="2"/>
        <v>5449.0413723511083</v>
      </c>
      <c r="J27" s="61">
        <f t="shared" si="3"/>
        <v>6149.0413723511083</v>
      </c>
      <c r="K27" s="61">
        <f t="shared" si="6"/>
        <v>6054.4904137234535</v>
      </c>
      <c r="L27" s="78">
        <f t="shared" si="9"/>
        <v>414.74035550726148</v>
      </c>
      <c r="M27" s="10">
        <f t="shared" si="10"/>
        <v>12712.747934626706</v>
      </c>
      <c r="N27" s="10">
        <f>gas!H140</f>
        <v>123.32944223822108</v>
      </c>
      <c r="O27" s="10">
        <f t="shared" si="7"/>
        <v>0.12332944223822108</v>
      </c>
      <c r="P27" s="10">
        <f t="shared" si="11"/>
        <v>5580.1152381372167</v>
      </c>
      <c r="Q27" s="10">
        <f t="shared" si="8"/>
        <v>438.93855733096223</v>
      </c>
      <c r="R27" s="10">
        <f t="shared" si="12"/>
        <v>7.0342717520987534</v>
      </c>
      <c r="S27" s="91"/>
    </row>
    <row r="28" spans="1:19" s="95" customFormat="1">
      <c r="A28" s="23">
        <v>38743</v>
      </c>
      <c r="B28" s="9" t="s">
        <v>30</v>
      </c>
      <c r="C28" s="100">
        <v>1</v>
      </c>
      <c r="D28" s="47">
        <f t="shared" si="0"/>
        <v>0.7</v>
      </c>
      <c r="E28" s="47">
        <f t="shared" si="1"/>
        <v>700</v>
      </c>
      <c r="F28" s="47">
        <f t="shared" si="4"/>
        <v>3500</v>
      </c>
      <c r="G28" s="10">
        <f>VS!I113</f>
        <v>2127.6595744681154</v>
      </c>
      <c r="H28" s="61">
        <f t="shared" si="5"/>
        <v>425.53191489362308</v>
      </c>
      <c r="I28" s="61">
        <f t="shared" si="2"/>
        <v>3829.7872340426079</v>
      </c>
      <c r="J28" s="61">
        <f t="shared" si="3"/>
        <v>4529.7872340426075</v>
      </c>
      <c r="K28" s="61">
        <f t="shared" si="6"/>
        <v>4255.3191489362307</v>
      </c>
      <c r="L28" s="78">
        <f t="shared" si="9"/>
        <v>1893.7222234148776</v>
      </c>
      <c r="M28" s="10">
        <f t="shared" si="10"/>
        <v>14606.470158041584</v>
      </c>
      <c r="N28" s="10">
        <f>gas!H143</f>
        <v>145.82093328010382</v>
      </c>
      <c r="O28" s="10">
        <f t="shared" si="7"/>
        <v>0.14582093328010381</v>
      </c>
      <c r="P28" s="10">
        <f t="shared" si="11"/>
        <v>5725.9361714173201</v>
      </c>
      <c r="Q28" s="10">
        <f t="shared" si="8"/>
        <v>392.01368362532884</v>
      </c>
      <c r="R28" s="10">
        <f t="shared" si="12"/>
        <v>6.2822705709187314</v>
      </c>
      <c r="S28" s="91"/>
    </row>
    <row r="29" spans="1:19" s="95" customFormat="1">
      <c r="A29" s="23">
        <v>38745</v>
      </c>
      <c r="B29" s="9" t="s">
        <v>30</v>
      </c>
      <c r="C29" s="100">
        <v>1</v>
      </c>
      <c r="D29" s="47">
        <f t="shared" si="0"/>
        <v>0.7</v>
      </c>
      <c r="E29" s="47">
        <f t="shared" si="1"/>
        <v>700</v>
      </c>
      <c r="F29" s="47">
        <f t="shared" si="4"/>
        <v>3500</v>
      </c>
      <c r="G29" s="10">
        <f>VS!I116</f>
        <v>2285.7142857143185</v>
      </c>
      <c r="H29" s="61">
        <f t="shared" si="5"/>
        <v>457.1428571428637</v>
      </c>
      <c r="I29" s="61">
        <f t="shared" si="2"/>
        <v>4114.2857142857738</v>
      </c>
      <c r="J29" s="61">
        <f t="shared" si="3"/>
        <v>4814.2857142857738</v>
      </c>
      <c r="K29" s="61">
        <f t="shared" si="6"/>
        <v>4571.428571428637</v>
      </c>
      <c r="L29" s="78">
        <f t="shared" si="9"/>
        <v>-41.641337386029591</v>
      </c>
      <c r="M29" s="10">
        <f t="shared" si="10"/>
        <v>14564.828820655555</v>
      </c>
      <c r="N29" s="10">
        <f>gas!H146</f>
        <v>125.48714931974678</v>
      </c>
      <c r="O29" s="10">
        <f t="shared" si="7"/>
        <v>0.12548714931974678</v>
      </c>
      <c r="P29" s="10">
        <f t="shared" si="11"/>
        <v>5851.4233207370671</v>
      </c>
      <c r="Q29" s="10">
        <f t="shared" si="8"/>
        <v>401.75022945952469</v>
      </c>
      <c r="R29" s="10">
        <f t="shared" si="12"/>
        <v>6.4383049592872545</v>
      </c>
      <c r="S29" s="91"/>
    </row>
    <row r="30" spans="1:19" s="95" customFormat="1">
      <c r="A30" s="23">
        <v>38748</v>
      </c>
      <c r="B30" s="9" t="s">
        <v>30</v>
      </c>
      <c r="C30" s="100">
        <v>1</v>
      </c>
      <c r="D30" s="47">
        <f t="shared" si="0"/>
        <v>0.7</v>
      </c>
      <c r="E30" s="47">
        <f t="shared" si="1"/>
        <v>700</v>
      </c>
      <c r="F30" s="47">
        <f t="shared" si="4"/>
        <v>3500</v>
      </c>
      <c r="G30" s="110">
        <v>2875.5264789116763</v>
      </c>
      <c r="H30" s="61">
        <f t="shared" si="5"/>
        <v>575.10529578233525</v>
      </c>
      <c r="I30" s="61">
        <f t="shared" si="2"/>
        <v>5175.9476620410178</v>
      </c>
      <c r="J30" s="61">
        <f t="shared" si="3"/>
        <v>5875.9476620410178</v>
      </c>
      <c r="K30" s="61">
        <f t="shared" si="6"/>
        <v>5751.0529578233527</v>
      </c>
      <c r="L30" s="78">
        <f t="shared" si="9"/>
        <v>-936.76724353757891</v>
      </c>
      <c r="M30" s="10">
        <f t="shared" si="10"/>
        <v>13628.061577117976</v>
      </c>
      <c r="N30" s="10">
        <f>gas!H148</f>
        <v>77.972754043520155</v>
      </c>
      <c r="O30" s="10">
        <f t="shared" si="7"/>
        <v>7.7972754043520151E-2</v>
      </c>
      <c r="P30" s="10">
        <f t="shared" si="11"/>
        <v>5929.3960747805877</v>
      </c>
      <c r="Q30" s="10">
        <f t="shared" si="8"/>
        <v>435.08726763725991</v>
      </c>
      <c r="R30" s="10">
        <f t="shared" si="12"/>
        <v>6.9725523659817297</v>
      </c>
      <c r="S30" s="91"/>
    </row>
    <row r="31" spans="1:19" s="95" customFormat="1">
      <c r="A31" s="23">
        <v>38750</v>
      </c>
      <c r="B31" s="9" t="s">
        <v>30</v>
      </c>
      <c r="C31" s="100">
        <v>1</v>
      </c>
      <c r="D31" s="47">
        <f t="shared" si="0"/>
        <v>0.7</v>
      </c>
      <c r="E31" s="47">
        <f t="shared" si="1"/>
        <v>700</v>
      </c>
      <c r="F31" s="47">
        <f t="shared" si="4"/>
        <v>3500</v>
      </c>
      <c r="G31" s="110">
        <v>2859.4979032210267</v>
      </c>
      <c r="H31" s="61">
        <f t="shared" si="5"/>
        <v>571.89958064420534</v>
      </c>
      <c r="I31" s="61">
        <f t="shared" si="2"/>
        <v>5147.0962257978481</v>
      </c>
      <c r="J31" s="61">
        <f t="shared" si="3"/>
        <v>5847.0962257978481</v>
      </c>
      <c r="K31" s="61">
        <f t="shared" si="6"/>
        <v>5718.9958064420534</v>
      </c>
      <c r="L31" s="78">
        <f t="shared" si="9"/>
        <v>156.95185559896436</v>
      </c>
      <c r="M31" s="10">
        <f t="shared" si="10"/>
        <v>13785.01343271694</v>
      </c>
      <c r="N31" s="10">
        <f>gas!H150</f>
        <v>82.928917576346677</v>
      </c>
      <c r="O31" s="10">
        <f t="shared" si="7"/>
        <v>8.2928917576346683E-2</v>
      </c>
      <c r="P31" s="10">
        <f t="shared" si="11"/>
        <v>6012.3249923569347</v>
      </c>
      <c r="Q31" s="10">
        <f t="shared" si="8"/>
        <v>436.14937495000635</v>
      </c>
      <c r="R31" s="10">
        <f t="shared" si="12"/>
        <v>6.9895733165065117</v>
      </c>
      <c r="S31" s="91"/>
    </row>
    <row r="32" spans="1:19" s="95" customFormat="1">
      <c r="A32" s="23">
        <v>38752</v>
      </c>
      <c r="B32" s="9" t="s">
        <v>30</v>
      </c>
      <c r="C32" s="100">
        <v>1</v>
      </c>
      <c r="D32" s="47">
        <f t="shared" si="0"/>
        <v>0.7</v>
      </c>
      <c r="E32" s="47">
        <f t="shared" si="1"/>
        <v>700</v>
      </c>
      <c r="F32" s="47">
        <f t="shared" si="4"/>
        <v>3500</v>
      </c>
      <c r="G32" s="110">
        <v>3429.1037689696127</v>
      </c>
      <c r="H32" s="61">
        <f t="shared" si="5"/>
        <v>685.82075379392256</v>
      </c>
      <c r="I32" s="61">
        <f t="shared" si="2"/>
        <v>6172.386784145303</v>
      </c>
      <c r="J32" s="61">
        <f t="shared" si="3"/>
        <v>6872.386784145303</v>
      </c>
      <c r="K32" s="61">
        <f t="shared" si="6"/>
        <v>6858.2075379392254</v>
      </c>
      <c r="L32" s="78">
        <f t="shared" si="9"/>
        <v>-1011.1113121413773</v>
      </c>
      <c r="M32" s="10">
        <f t="shared" si="10"/>
        <v>12773.902120575563</v>
      </c>
      <c r="N32" s="10">
        <f>gas!H152</f>
        <v>54.60704552490072</v>
      </c>
      <c r="O32" s="10">
        <f t="shared" si="7"/>
        <v>5.460704552490072E-2</v>
      </c>
      <c r="P32" s="10">
        <f t="shared" si="11"/>
        <v>6066.9320378818356</v>
      </c>
      <c r="Q32" s="10">
        <f t="shared" si="8"/>
        <v>474.94743427770004</v>
      </c>
      <c r="R32" s="10">
        <f t="shared" si="12"/>
        <v>7.6113370877836548</v>
      </c>
      <c r="S32" s="91"/>
    </row>
    <row r="33" spans="1:19" s="95" customFormat="1">
      <c r="A33" s="23">
        <v>38755</v>
      </c>
      <c r="B33" s="9" t="s">
        <v>30</v>
      </c>
      <c r="C33" s="100">
        <v>1</v>
      </c>
      <c r="D33" s="47">
        <f t="shared" si="0"/>
        <v>0.7</v>
      </c>
      <c r="E33" s="47">
        <f t="shared" si="1"/>
        <v>700</v>
      </c>
      <c r="F33" s="47">
        <f t="shared" si="4"/>
        <v>3500</v>
      </c>
      <c r="G33" s="110">
        <v>3418.136486126426</v>
      </c>
      <c r="H33" s="61">
        <f t="shared" si="5"/>
        <v>683.62729722528525</v>
      </c>
      <c r="I33" s="61">
        <f t="shared" si="2"/>
        <v>6152.6456750275665</v>
      </c>
      <c r="J33" s="61">
        <f t="shared" si="3"/>
        <v>6852.6456750275665</v>
      </c>
      <c r="K33" s="61">
        <f t="shared" si="6"/>
        <v>6836.272972252852</v>
      </c>
      <c r="L33" s="78">
        <f t="shared" si="9"/>
        <v>36.11381189245094</v>
      </c>
      <c r="M33" s="10">
        <f t="shared" si="10"/>
        <v>12810.015932468013</v>
      </c>
      <c r="N33" s="10">
        <f>gas!H154</f>
        <v>113.27215685637272</v>
      </c>
      <c r="O33" s="10">
        <f t="shared" si="7"/>
        <v>0.11327215685637272</v>
      </c>
      <c r="P33" s="10">
        <f t="shared" si="11"/>
        <v>6180.2041947382086</v>
      </c>
      <c r="Q33" s="10">
        <f t="shared" si="8"/>
        <v>482.45093740078693</v>
      </c>
      <c r="R33" s="10">
        <f t="shared" si="12"/>
        <v>7.731585535269021</v>
      </c>
      <c r="S33" s="91"/>
    </row>
    <row r="34" spans="1:19" s="95" customFormat="1">
      <c r="A34" s="23">
        <v>38757</v>
      </c>
      <c r="B34" s="9" t="s">
        <v>30</v>
      </c>
      <c r="C34" s="100">
        <v>1</v>
      </c>
      <c r="D34" s="47">
        <f t="shared" si="0"/>
        <v>0.7</v>
      </c>
      <c r="E34" s="47">
        <f t="shared" si="1"/>
        <v>700</v>
      </c>
      <c r="F34" s="47">
        <f t="shared" si="4"/>
        <v>3500</v>
      </c>
      <c r="G34" s="110">
        <v>2490.98729648374</v>
      </c>
      <c r="H34" s="61">
        <f t="shared" si="5"/>
        <v>498.19745929674804</v>
      </c>
      <c r="I34" s="61">
        <f t="shared" si="2"/>
        <v>4483.7771336707319</v>
      </c>
      <c r="J34" s="61">
        <f t="shared" si="3"/>
        <v>5183.7771336707319</v>
      </c>
      <c r="K34" s="61">
        <f t="shared" si="6"/>
        <v>4981.97459296748</v>
      </c>
      <c r="L34" s="78">
        <f t="shared" si="9"/>
        <v>1870.6710820600865</v>
      </c>
      <c r="M34" s="10">
        <f t="shared" si="10"/>
        <v>14680.687014528099</v>
      </c>
      <c r="N34" s="10">
        <f>gas!H156</f>
        <v>85.863609986580627</v>
      </c>
      <c r="O34" s="10">
        <f t="shared" si="7"/>
        <v>8.586360998658063E-2</v>
      </c>
      <c r="P34" s="10">
        <f t="shared" si="11"/>
        <v>6266.0678047247893</v>
      </c>
      <c r="Q34" s="10">
        <f t="shared" si="8"/>
        <v>426.82388082545793</v>
      </c>
      <c r="R34" s="10">
        <f t="shared" si="12"/>
        <v>6.8401262952797746</v>
      </c>
      <c r="S34" s="91"/>
    </row>
    <row r="35" spans="1:19" s="95" customFormat="1">
      <c r="A35" s="23">
        <v>38759</v>
      </c>
      <c r="B35" s="9" t="s">
        <v>30</v>
      </c>
      <c r="C35" s="100">
        <v>1</v>
      </c>
      <c r="D35" s="47">
        <f t="shared" si="0"/>
        <v>0.7</v>
      </c>
      <c r="E35" s="47">
        <f t="shared" si="1"/>
        <v>700</v>
      </c>
      <c r="F35" s="47">
        <f t="shared" si="4"/>
        <v>3500</v>
      </c>
      <c r="G35" s="110">
        <v>3185.8227583332555</v>
      </c>
      <c r="H35" s="61">
        <f t="shared" si="5"/>
        <v>637.16455166665116</v>
      </c>
      <c r="I35" s="61">
        <f t="shared" si="2"/>
        <v>5734.4809649998597</v>
      </c>
      <c r="J35" s="61">
        <f t="shared" si="3"/>
        <v>6434.4809649998597</v>
      </c>
      <c r="K35" s="61">
        <f t="shared" si="6"/>
        <v>6371.645516666511</v>
      </c>
      <c r="L35" s="78">
        <f t="shared" si="9"/>
        <v>-1187.868382995779</v>
      </c>
      <c r="M35" s="10">
        <f t="shared" si="10"/>
        <v>13492.81863153232</v>
      </c>
      <c r="N35" s="10">
        <f>gas!H158</f>
        <v>83.703330606619218</v>
      </c>
      <c r="O35" s="10">
        <f t="shared" si="7"/>
        <v>8.370333060661922E-2</v>
      </c>
      <c r="P35" s="10">
        <f t="shared" si="11"/>
        <v>6349.7711353314089</v>
      </c>
      <c r="Q35" s="10">
        <f t="shared" si="8"/>
        <v>470.60375661555111</v>
      </c>
      <c r="R35" s="10">
        <f t="shared" si="12"/>
        <v>7.5417268688389605</v>
      </c>
      <c r="S35" s="91"/>
    </row>
    <row r="36" spans="1:19" s="95" customFormat="1">
      <c r="A36" s="23">
        <v>38762</v>
      </c>
      <c r="B36" s="9" t="s">
        <v>30</v>
      </c>
      <c r="C36" s="100">
        <v>1</v>
      </c>
      <c r="D36" s="47">
        <f t="shared" si="0"/>
        <v>0.7</v>
      </c>
      <c r="E36" s="47">
        <f t="shared" si="1"/>
        <v>700</v>
      </c>
      <c r="F36" s="47">
        <f t="shared" si="4"/>
        <v>3500</v>
      </c>
      <c r="G36" s="10">
        <f>VS!I130</f>
        <v>3367.0033670034945</v>
      </c>
      <c r="H36" s="61">
        <f t="shared" si="5"/>
        <v>673.40067340069891</v>
      </c>
      <c r="I36" s="61">
        <f t="shared" si="2"/>
        <v>6060.6060606062902</v>
      </c>
      <c r="J36" s="61">
        <f t="shared" si="3"/>
        <v>6760.6060606062902</v>
      </c>
      <c r="K36" s="61">
        <f t="shared" si="6"/>
        <v>6734.0067340069891</v>
      </c>
      <c r="L36" s="78">
        <f t="shared" si="9"/>
        <v>-299.52576900712938</v>
      </c>
      <c r="M36" s="10">
        <f t="shared" si="10"/>
        <v>13193.292862525192</v>
      </c>
      <c r="N36" s="10">
        <f>gas!H160</f>
        <v>101.806338523994</v>
      </c>
      <c r="O36" s="10">
        <f t="shared" si="7"/>
        <v>0.101806338523994</v>
      </c>
      <c r="P36" s="10">
        <f t="shared" si="11"/>
        <v>6451.5774738554028</v>
      </c>
      <c r="Q36" s="10">
        <f t="shared" si="8"/>
        <v>489.0043403933484</v>
      </c>
      <c r="R36" s="10">
        <f t="shared" si="12"/>
        <v>7.8366080191241734</v>
      </c>
      <c r="S36" s="91"/>
    </row>
    <row r="37" spans="1:19" s="95" customFormat="1">
      <c r="A37" s="23">
        <v>38764</v>
      </c>
      <c r="B37" s="9" t="s">
        <v>30</v>
      </c>
      <c r="C37" s="100">
        <v>1</v>
      </c>
      <c r="D37" s="47">
        <f t="shared" si="0"/>
        <v>0.7</v>
      </c>
      <c r="E37" s="47">
        <f t="shared" si="1"/>
        <v>700</v>
      </c>
      <c r="F37" s="47">
        <f t="shared" si="4"/>
        <v>3500</v>
      </c>
      <c r="G37" s="10">
        <f>VS!I132</f>
        <v>3257.328990228059</v>
      </c>
      <c r="H37" s="61">
        <f t="shared" si="5"/>
        <v>651.46579804561179</v>
      </c>
      <c r="I37" s="61">
        <f t="shared" si="2"/>
        <v>5863.1921824105066</v>
      </c>
      <c r="J37" s="61">
        <f t="shared" si="3"/>
        <v>6563.1921824105066</v>
      </c>
      <c r="K37" s="61">
        <f t="shared" si="6"/>
        <v>6514.6579804561179</v>
      </c>
      <c r="L37" s="78">
        <f t="shared" si="9"/>
        <v>245.94808015017225</v>
      </c>
      <c r="M37" s="10">
        <f t="shared" si="10"/>
        <v>13439.240942675364</v>
      </c>
      <c r="N37" s="10">
        <f>gas!H162</f>
        <v>90.46648001392731</v>
      </c>
      <c r="O37" s="10">
        <f t="shared" si="7"/>
        <v>9.0466480013927306E-2</v>
      </c>
      <c r="P37" s="10">
        <f t="shared" si="11"/>
        <v>6542.0439538693299</v>
      </c>
      <c r="Q37" s="10">
        <f t="shared" si="8"/>
        <v>486.78671524487146</v>
      </c>
      <c r="R37" s="10">
        <f t="shared" si="12"/>
        <v>7.8010691545652477</v>
      </c>
      <c r="S37" s="91"/>
    </row>
    <row r="38" spans="1:19" s="95" customFormat="1">
      <c r="A38" s="23">
        <v>38766</v>
      </c>
      <c r="B38" s="9" t="s">
        <v>30</v>
      </c>
      <c r="C38" s="100">
        <v>1</v>
      </c>
      <c r="D38" s="47">
        <f t="shared" si="0"/>
        <v>0.7</v>
      </c>
      <c r="E38" s="47">
        <f t="shared" si="1"/>
        <v>700</v>
      </c>
      <c r="F38" s="47">
        <f t="shared" si="4"/>
        <v>3500</v>
      </c>
      <c r="G38" s="10">
        <f>VS!I134</f>
        <v>2961.5004935833881</v>
      </c>
      <c r="H38" s="61">
        <f t="shared" si="5"/>
        <v>592.30009871667767</v>
      </c>
      <c r="I38" s="61">
        <f t="shared" si="2"/>
        <v>5330.7008884500983</v>
      </c>
      <c r="J38" s="61">
        <f t="shared" si="3"/>
        <v>6030.7008884500983</v>
      </c>
      <c r="K38" s="61">
        <f t="shared" si="6"/>
        <v>5923.0009871667762</v>
      </c>
      <c r="L38" s="78">
        <f t="shared" si="9"/>
        <v>640.19119524373036</v>
      </c>
      <c r="M38" s="10">
        <f t="shared" si="10"/>
        <v>14079.432137919095</v>
      </c>
      <c r="N38" s="10">
        <f>gas!H164</f>
        <v>64.541965879014754</v>
      </c>
      <c r="O38" s="10">
        <f t="shared" si="7"/>
        <v>6.4541965879014757E-2</v>
      </c>
      <c r="P38" s="10">
        <f t="shared" si="11"/>
        <v>6606.5859197483451</v>
      </c>
      <c r="Q38" s="10">
        <f t="shared" si="8"/>
        <v>469.23667481981141</v>
      </c>
      <c r="R38" s="10">
        <f t="shared" si="12"/>
        <v>7.5198185067277468</v>
      </c>
      <c r="S38" s="91"/>
    </row>
    <row r="39" spans="1:19" s="95" customFormat="1">
      <c r="A39" s="23">
        <v>38771</v>
      </c>
      <c r="B39" s="9" t="s">
        <v>30</v>
      </c>
      <c r="C39" s="100">
        <v>1</v>
      </c>
      <c r="D39" s="47">
        <f t="shared" si="0"/>
        <v>0.7</v>
      </c>
      <c r="E39" s="47">
        <f t="shared" si="1"/>
        <v>700</v>
      </c>
      <c r="F39" s="47">
        <f t="shared" si="4"/>
        <v>3500</v>
      </c>
      <c r="G39" s="10">
        <f>VS!I136</f>
        <v>2406.7388688327655</v>
      </c>
      <c r="H39" s="61">
        <f t="shared" si="5"/>
        <v>481.34777376655313</v>
      </c>
      <c r="I39" s="61">
        <f t="shared" si="2"/>
        <v>4332.1299638989785</v>
      </c>
      <c r="J39" s="61">
        <f t="shared" si="3"/>
        <v>5032.1299638989785</v>
      </c>
      <c r="K39" s="61">
        <f t="shared" si="6"/>
        <v>4813.4777376655311</v>
      </c>
      <c r="L39" s="78">
        <f t="shared" si="9"/>
        <v>1217.2231507845672</v>
      </c>
      <c r="M39" s="10">
        <f t="shared" si="10"/>
        <v>15296.655288703663</v>
      </c>
      <c r="N39" s="10">
        <f>gas!H166</f>
        <v>82.624969749750733</v>
      </c>
      <c r="O39" s="10">
        <f t="shared" si="7"/>
        <v>8.2624969749750726E-2</v>
      </c>
      <c r="P39" s="10">
        <f t="shared" si="11"/>
        <v>6689.2108894980956</v>
      </c>
      <c r="Q39" s="10">
        <f t="shared" si="8"/>
        <v>437.29892340830691</v>
      </c>
      <c r="R39" s="10">
        <f t="shared" si="12"/>
        <v>7.0079955674408163</v>
      </c>
      <c r="S39" s="91"/>
    </row>
    <row r="40" spans="1:19" s="95" customFormat="1">
      <c r="A40" s="23">
        <v>38773</v>
      </c>
      <c r="B40" s="9" t="s">
        <v>30</v>
      </c>
      <c r="C40" s="100">
        <v>1</v>
      </c>
      <c r="D40" s="47">
        <f t="shared" si="0"/>
        <v>0.7</v>
      </c>
      <c r="E40" s="47">
        <f t="shared" si="1"/>
        <v>700</v>
      </c>
      <c r="F40" s="47">
        <f t="shared" si="4"/>
        <v>3500</v>
      </c>
      <c r="G40" s="10">
        <f>VS!I138</f>
        <v>2336.448598130874</v>
      </c>
      <c r="H40" s="61">
        <f t="shared" si="5"/>
        <v>467.28971962617481</v>
      </c>
      <c r="I40" s="61">
        <f t="shared" si="2"/>
        <v>4205.6074766355732</v>
      </c>
      <c r="J40" s="61">
        <f t="shared" si="3"/>
        <v>4905.6074766355732</v>
      </c>
      <c r="K40" s="61">
        <f t="shared" si="6"/>
        <v>4672.8971962617479</v>
      </c>
      <c r="L40" s="78">
        <f t="shared" si="9"/>
        <v>359.23276763723061</v>
      </c>
      <c r="M40" s="10">
        <f t="shared" si="10"/>
        <v>15655.888056340893</v>
      </c>
      <c r="N40" s="10">
        <f>gas!H168</f>
        <v>89.674511782996348</v>
      </c>
      <c r="O40" s="10">
        <f t="shared" si="7"/>
        <v>8.9674511782996347E-2</v>
      </c>
      <c r="P40" s="10">
        <f t="shared" si="11"/>
        <v>6778.8854012810916</v>
      </c>
      <c r="Q40" s="10">
        <f t="shared" si="8"/>
        <v>432.99271027525845</v>
      </c>
      <c r="R40" s="10">
        <f t="shared" si="12"/>
        <v>6.9389857415906802</v>
      </c>
      <c r="S40" s="91"/>
    </row>
    <row r="41" spans="1:19" s="95" customFormat="1">
      <c r="A41" s="23">
        <v>38776</v>
      </c>
      <c r="B41" s="9" t="s">
        <v>30</v>
      </c>
      <c r="C41" s="100">
        <v>1</v>
      </c>
      <c r="D41" s="47">
        <f t="shared" si="0"/>
        <v>0.7</v>
      </c>
      <c r="E41" s="47">
        <f t="shared" si="1"/>
        <v>700</v>
      </c>
      <c r="F41" s="47">
        <f t="shared" si="4"/>
        <v>3500</v>
      </c>
      <c r="G41" s="10">
        <f>VS!I140</f>
        <v>2375.2969121140482</v>
      </c>
      <c r="H41" s="61">
        <f t="shared" si="5"/>
        <v>475.05938242280968</v>
      </c>
      <c r="I41" s="61">
        <f t="shared" si="2"/>
        <v>4275.5344418052864</v>
      </c>
      <c r="J41" s="61">
        <f t="shared" si="3"/>
        <v>4975.5344418052864</v>
      </c>
      <c r="K41" s="61">
        <f t="shared" si="6"/>
        <v>4750.5938242280963</v>
      </c>
      <c r="L41" s="78">
        <f t="shared" si="9"/>
        <v>155.01365240747691</v>
      </c>
      <c r="M41" s="10">
        <f t="shared" si="10"/>
        <v>15810.90170874837</v>
      </c>
      <c r="N41" s="10">
        <f>gas!H170</f>
        <v>115.36791234485177</v>
      </c>
      <c r="O41" s="10">
        <f t="shared" si="7"/>
        <v>0.11536791234485178</v>
      </c>
      <c r="P41" s="10">
        <f t="shared" si="11"/>
        <v>6894.2533136259435</v>
      </c>
      <c r="Q41" s="10">
        <f t="shared" si="8"/>
        <v>436.04428391400768</v>
      </c>
      <c r="R41" s="10">
        <f t="shared" si="12"/>
        <v>6.9878891652885846</v>
      </c>
      <c r="S41" s="91"/>
    </row>
    <row r="42" spans="1:19" s="95" customFormat="1">
      <c r="A42" s="23">
        <v>38778</v>
      </c>
      <c r="B42" s="9" t="s">
        <v>30</v>
      </c>
      <c r="C42" s="100">
        <v>1</v>
      </c>
      <c r="D42" s="47">
        <f t="shared" si="0"/>
        <v>0.7</v>
      </c>
      <c r="E42" s="47">
        <f t="shared" si="1"/>
        <v>700</v>
      </c>
      <c r="F42" s="47">
        <f t="shared" si="4"/>
        <v>3500</v>
      </c>
      <c r="G42" s="10">
        <f>VS!I142</f>
        <v>3164.5569620252868</v>
      </c>
      <c r="H42" s="61">
        <f t="shared" si="5"/>
        <v>632.91139240505743</v>
      </c>
      <c r="I42" s="61">
        <f t="shared" si="2"/>
        <v>5696.2025316455165</v>
      </c>
      <c r="J42" s="61">
        <f t="shared" si="3"/>
        <v>6396.2025316455165</v>
      </c>
      <c r="K42" s="61">
        <f t="shared" si="6"/>
        <v>6329.1139240505736</v>
      </c>
      <c r="L42" s="78">
        <f t="shared" si="9"/>
        <v>-1353.5794822452872</v>
      </c>
      <c r="M42" s="10">
        <f t="shared" si="10"/>
        <v>14457.322226503082</v>
      </c>
      <c r="N42" s="10">
        <f>gas!H172</f>
        <v>118.33079980147863</v>
      </c>
      <c r="O42" s="10">
        <f t="shared" si="7"/>
        <v>0.11833079980147863</v>
      </c>
      <c r="P42" s="10">
        <f t="shared" si="11"/>
        <v>7012.5841134274224</v>
      </c>
      <c r="Q42" s="10">
        <f t="shared" si="8"/>
        <v>485.05414789552054</v>
      </c>
      <c r="R42" s="10">
        <f t="shared" si="12"/>
        <v>7.773303652171804</v>
      </c>
      <c r="S42" s="91"/>
    </row>
    <row r="43" spans="1:19" s="95" customFormat="1">
      <c r="A43" s="23">
        <v>38780</v>
      </c>
      <c r="B43" s="9" t="s">
        <v>30</v>
      </c>
      <c r="C43" s="100">
        <v>1</v>
      </c>
      <c r="D43" s="47">
        <f t="shared" si="0"/>
        <v>0.7</v>
      </c>
      <c r="E43" s="47">
        <f t="shared" si="1"/>
        <v>700</v>
      </c>
      <c r="F43" s="47">
        <f t="shared" si="4"/>
        <v>3500</v>
      </c>
      <c r="G43" s="10">
        <f>VS!I144</f>
        <v>2253.4606717459046</v>
      </c>
      <c r="H43" s="61">
        <f t="shared" si="5"/>
        <v>450.69213434918095</v>
      </c>
      <c r="I43" s="61">
        <f t="shared" si="2"/>
        <v>4056.2292091426284</v>
      </c>
      <c r="J43" s="61">
        <f t="shared" si="3"/>
        <v>4756.229209142628</v>
      </c>
      <c r="K43" s="61">
        <f t="shared" si="6"/>
        <v>4506.9213434918092</v>
      </c>
      <c r="L43" s="78">
        <f t="shared" si="9"/>
        <v>1889.2811881537073</v>
      </c>
      <c r="M43" s="10">
        <f t="shared" si="10"/>
        <v>16346.603414656789</v>
      </c>
      <c r="N43" s="10">
        <f>gas!H174</f>
        <v>87.997446088500567</v>
      </c>
      <c r="O43" s="10">
        <f t="shared" si="7"/>
        <v>8.7997446088500561E-2</v>
      </c>
      <c r="P43" s="10">
        <f t="shared" si="11"/>
        <v>7100.5815595159229</v>
      </c>
      <c r="Q43" s="10">
        <f t="shared" si="8"/>
        <v>434.37657227001398</v>
      </c>
      <c r="R43" s="10">
        <f t="shared" si="12"/>
        <v>6.9611630171476602</v>
      </c>
      <c r="S43" s="91"/>
    </row>
    <row r="44" spans="1:19" s="95" customFormat="1">
      <c r="A44" s="23">
        <v>38783</v>
      </c>
      <c r="B44" s="9" t="s">
        <v>30</v>
      </c>
      <c r="C44" s="100">
        <v>1</v>
      </c>
      <c r="D44" s="47">
        <f t="shared" si="0"/>
        <v>0.7</v>
      </c>
      <c r="E44" s="47">
        <f t="shared" si="1"/>
        <v>700</v>
      </c>
      <c r="F44" s="47">
        <f t="shared" si="4"/>
        <v>3500</v>
      </c>
      <c r="G44" s="10">
        <f>VS!I146</f>
        <v>2242.1524663676655</v>
      </c>
      <c r="H44" s="61">
        <f t="shared" si="5"/>
        <v>448.4304932735331</v>
      </c>
      <c r="I44" s="61">
        <f t="shared" si="2"/>
        <v>4035.8744394617979</v>
      </c>
      <c r="J44" s="61">
        <f t="shared" si="3"/>
        <v>4735.8744394617979</v>
      </c>
      <c r="K44" s="61">
        <f t="shared" si="6"/>
        <v>4484.304932735331</v>
      </c>
      <c r="L44" s="78">
        <f t="shared" si="9"/>
        <v>271.92427640729693</v>
      </c>
      <c r="M44" s="10">
        <f t="shared" si="10"/>
        <v>16618.527691064086</v>
      </c>
      <c r="N44" s="10">
        <f>gas!H176</f>
        <v>70.28418597176298</v>
      </c>
      <c r="O44" s="10">
        <f t="shared" si="7"/>
        <v>7.0284185971762975E-2</v>
      </c>
      <c r="P44" s="10">
        <f t="shared" si="11"/>
        <v>7170.8657454876857</v>
      </c>
      <c r="Q44" s="10">
        <f t="shared" si="8"/>
        <v>431.49825777547778</v>
      </c>
      <c r="R44" s="10">
        <f t="shared" si="12"/>
        <v>6.9150361822993238</v>
      </c>
      <c r="S44" s="91"/>
    </row>
    <row r="45" spans="1:19" s="95" customFormat="1">
      <c r="A45" s="23">
        <v>38785</v>
      </c>
      <c r="B45" s="9" t="s">
        <v>30</v>
      </c>
      <c r="C45" s="100">
        <v>1</v>
      </c>
      <c r="D45" s="47">
        <f t="shared" si="0"/>
        <v>0.7</v>
      </c>
      <c r="E45" s="47">
        <f t="shared" si="1"/>
        <v>700</v>
      </c>
      <c r="F45" s="47">
        <f t="shared" si="4"/>
        <v>3500</v>
      </c>
      <c r="G45" s="10">
        <f>VS!I148</f>
        <v>1047.1204188481825</v>
      </c>
      <c r="H45" s="61">
        <f t="shared" si="5"/>
        <v>209.4240837696365</v>
      </c>
      <c r="I45" s="61">
        <f t="shared" si="2"/>
        <v>1884.8167539267286</v>
      </c>
      <c r="J45" s="61">
        <f t="shared" si="3"/>
        <v>2584.8167539267288</v>
      </c>
      <c r="K45" s="61">
        <f t="shared" si="6"/>
        <v>2094.2408376963649</v>
      </c>
      <c r="L45" s="78">
        <f t="shared" si="9"/>
        <v>2641.633601765433</v>
      </c>
      <c r="M45" s="10">
        <f t="shared" si="10"/>
        <v>19260.161292829518</v>
      </c>
      <c r="N45" s="10">
        <f>gas!H178</f>
        <v>44.952697625449595</v>
      </c>
      <c r="O45" s="10">
        <f t="shared" si="7"/>
        <v>4.4952697625449595E-2</v>
      </c>
      <c r="P45" s="10">
        <f t="shared" si="11"/>
        <v>7215.8184431131349</v>
      </c>
      <c r="Q45" s="10">
        <f t="shared" si="8"/>
        <v>374.64994884542091</v>
      </c>
      <c r="R45" s="10">
        <f t="shared" si="12"/>
        <v>6.0040055904714889</v>
      </c>
      <c r="S45" s="91"/>
    </row>
    <row r="46" spans="1:19" s="95" customFormat="1">
      <c r="A46" s="23">
        <v>38787</v>
      </c>
      <c r="B46" s="9" t="s">
        <v>30</v>
      </c>
      <c r="C46" s="100">
        <v>1</v>
      </c>
      <c r="D46" s="47">
        <f t="shared" si="0"/>
        <v>0.7</v>
      </c>
      <c r="E46" s="47">
        <f t="shared" si="1"/>
        <v>700</v>
      </c>
      <c r="F46" s="47">
        <f t="shared" si="4"/>
        <v>3500</v>
      </c>
      <c r="G46" s="10">
        <f>VS!I150</f>
        <v>2049.1803278688085</v>
      </c>
      <c r="H46" s="61">
        <f t="shared" si="5"/>
        <v>409.83606557376174</v>
      </c>
      <c r="I46" s="61">
        <f t="shared" si="2"/>
        <v>3688.5245901638555</v>
      </c>
      <c r="J46" s="61">
        <f t="shared" si="3"/>
        <v>4388.5245901638555</v>
      </c>
      <c r="K46" s="61">
        <f t="shared" si="6"/>
        <v>4098.360655737617</v>
      </c>
      <c r="L46" s="78">
        <f t="shared" si="9"/>
        <v>-1513.5439018108882</v>
      </c>
      <c r="M46" s="10">
        <f t="shared" si="10"/>
        <v>17746.61739101863</v>
      </c>
      <c r="N46" s="10">
        <f>gas!H180</f>
        <v>132.23084933569967</v>
      </c>
      <c r="O46" s="10">
        <f t="shared" si="7"/>
        <v>0.13223084933569967</v>
      </c>
      <c r="P46" s="10">
        <f t="shared" si="11"/>
        <v>7348.0492924488344</v>
      </c>
      <c r="Q46" s="10">
        <f t="shared" si="8"/>
        <v>414.05351400473654</v>
      </c>
      <c r="R46" s="10">
        <f t="shared" si="12"/>
        <v>6.6354729808451367</v>
      </c>
      <c r="S46" s="91"/>
    </row>
    <row r="47" spans="1:19" s="95" customFormat="1">
      <c r="A47" s="23">
        <v>38790</v>
      </c>
      <c r="B47" s="9" t="s">
        <v>30</v>
      </c>
      <c r="C47" s="100">
        <v>1</v>
      </c>
      <c r="D47" s="47">
        <f t="shared" si="0"/>
        <v>0.7</v>
      </c>
      <c r="E47" s="47">
        <f t="shared" si="1"/>
        <v>700</v>
      </c>
      <c r="F47" s="47">
        <f t="shared" si="4"/>
        <v>3500</v>
      </c>
      <c r="G47" s="10">
        <f>VS!I152</f>
        <v>2207.5055187638281</v>
      </c>
      <c r="H47" s="61">
        <f t="shared" si="5"/>
        <v>441.50110375276563</v>
      </c>
      <c r="I47" s="61">
        <f t="shared" si="2"/>
        <v>3973.5099337748907</v>
      </c>
      <c r="J47" s="61">
        <f t="shared" si="3"/>
        <v>4673.5099337748907</v>
      </c>
      <c r="K47" s="61">
        <f t="shared" si="6"/>
        <v>4415.0110375276563</v>
      </c>
      <c r="L47" s="78">
        <f t="shared" si="9"/>
        <v>-26.486447363800835</v>
      </c>
      <c r="M47" s="10">
        <f t="shared" si="10"/>
        <v>17720.130943654829</v>
      </c>
      <c r="N47" s="10">
        <f>gas!H182</f>
        <v>132.52262602685272</v>
      </c>
      <c r="O47" s="10">
        <f t="shared" si="7"/>
        <v>0.13252262602685272</v>
      </c>
      <c r="P47" s="10">
        <f t="shared" si="11"/>
        <v>7480.5719184756872</v>
      </c>
      <c r="Q47" s="10">
        <f t="shared" si="8"/>
        <v>422.15105194548846</v>
      </c>
      <c r="R47" s="10">
        <f t="shared" si="12"/>
        <v>6.7652412170751361</v>
      </c>
      <c r="S47" s="91"/>
    </row>
    <row r="48" spans="1:19" s="95" customFormat="1">
      <c r="A48" s="23">
        <v>38793</v>
      </c>
      <c r="B48" s="9" t="s">
        <v>30</v>
      </c>
      <c r="C48" s="100">
        <v>1</v>
      </c>
      <c r="D48" s="47">
        <f t="shared" si="0"/>
        <v>0.7</v>
      </c>
      <c r="E48" s="47">
        <f t="shared" si="1"/>
        <v>700</v>
      </c>
      <c r="F48" s="47">
        <f t="shared" si="4"/>
        <v>3500</v>
      </c>
      <c r="G48" s="10">
        <f>VS!I154</f>
        <v>3355.7046979865449</v>
      </c>
      <c r="H48" s="61">
        <f t="shared" si="5"/>
        <v>671.14093959730906</v>
      </c>
      <c r="I48" s="61">
        <f t="shared" si="2"/>
        <v>6040.2684563757812</v>
      </c>
      <c r="J48" s="61">
        <f t="shared" si="3"/>
        <v>6740.2684563757812</v>
      </c>
      <c r="K48" s="61">
        <f t="shared" si="6"/>
        <v>6711.4093959730899</v>
      </c>
      <c r="L48" s="78">
        <f t="shared" si="9"/>
        <v>-2037.8994621981992</v>
      </c>
      <c r="M48" s="10">
        <f t="shared" si="10"/>
        <v>15682.231481456631</v>
      </c>
      <c r="N48" s="10">
        <f>gas!H184</f>
        <v>131.78157528715772</v>
      </c>
      <c r="O48" s="10">
        <f t="shared" si="7"/>
        <v>0.13178157528715773</v>
      </c>
      <c r="P48" s="10">
        <f t="shared" si="11"/>
        <v>7612.3534937628447</v>
      </c>
      <c r="Q48" s="10">
        <f t="shared" si="8"/>
        <v>485.41264696698494</v>
      </c>
      <c r="R48" s="10">
        <f t="shared" si="12"/>
        <v>7.7790488295991178</v>
      </c>
      <c r="S48" s="91"/>
    </row>
    <row r="49" spans="1:19" s="95" customFormat="1">
      <c r="A49" s="23">
        <v>38797</v>
      </c>
      <c r="B49" s="9" t="s">
        <v>30</v>
      </c>
      <c r="C49" s="100">
        <v>1</v>
      </c>
      <c r="D49" s="47">
        <f t="shared" si="0"/>
        <v>0.7</v>
      </c>
      <c r="E49" s="47">
        <f t="shared" si="1"/>
        <v>700</v>
      </c>
      <c r="F49" s="47">
        <f t="shared" si="4"/>
        <v>3500</v>
      </c>
      <c r="G49" s="10">
        <f>VS!I156</f>
        <v>2350.1762632197747</v>
      </c>
      <c r="H49" s="61">
        <f t="shared" si="5"/>
        <v>470.03525264395495</v>
      </c>
      <c r="I49" s="61">
        <f t="shared" si="2"/>
        <v>4230.3172737955947</v>
      </c>
      <c r="J49" s="61">
        <f t="shared" si="3"/>
        <v>4930.3172737955947</v>
      </c>
      <c r="K49" s="61">
        <f t="shared" si="6"/>
        <v>4700.3525264395494</v>
      </c>
      <c r="L49" s="78">
        <f t="shared" si="9"/>
        <v>2039.9159299362318</v>
      </c>
      <c r="M49" s="10">
        <f t="shared" si="10"/>
        <v>17722.147411392863</v>
      </c>
      <c r="N49" s="10">
        <f>gas!H188</f>
        <v>91.863261663611596</v>
      </c>
      <c r="O49" s="10">
        <f t="shared" si="7"/>
        <v>9.1863261663611598E-2</v>
      </c>
      <c r="P49" s="10">
        <f t="shared" si="11"/>
        <v>7704.2167554264561</v>
      </c>
      <c r="Q49" s="10">
        <f t="shared" si="8"/>
        <v>434.72252975808794</v>
      </c>
      <c r="R49" s="10">
        <f t="shared" si="12"/>
        <v>6.9667072076616661</v>
      </c>
      <c r="S49" s="91"/>
    </row>
    <row r="50" spans="1:19" s="95" customFormat="1">
      <c r="A50" s="23">
        <v>38799</v>
      </c>
      <c r="B50" s="9" t="s">
        <v>30</v>
      </c>
      <c r="C50" s="100">
        <v>1</v>
      </c>
      <c r="D50" s="47">
        <f t="shared" si="0"/>
        <v>0.7</v>
      </c>
      <c r="E50" s="47">
        <f t="shared" si="1"/>
        <v>700</v>
      </c>
      <c r="F50" s="47">
        <f t="shared" si="4"/>
        <v>3500</v>
      </c>
      <c r="G50" s="10">
        <f>VS!I158</f>
        <v>2159.8272138229249</v>
      </c>
      <c r="H50" s="61">
        <f t="shared" si="5"/>
        <v>431.96544276458502</v>
      </c>
      <c r="I50" s="61">
        <f t="shared" si="2"/>
        <v>3887.6889848812648</v>
      </c>
      <c r="J50" s="61">
        <f t="shared" si="3"/>
        <v>4587.6889848812643</v>
      </c>
      <c r="K50" s="61">
        <f t="shared" si="6"/>
        <v>4319.6544276458499</v>
      </c>
      <c r="L50" s="78">
        <f t="shared" si="9"/>
        <v>610.66284614974484</v>
      </c>
      <c r="M50" s="10">
        <f t="shared" si="10"/>
        <v>18332.810257542609</v>
      </c>
      <c r="N50" s="10">
        <f>gas!H190</f>
        <v>96.23828665529885</v>
      </c>
      <c r="O50" s="10">
        <f t="shared" si="7"/>
        <v>9.6238286655298849E-2</v>
      </c>
      <c r="P50" s="10">
        <f t="shared" si="11"/>
        <v>7800.455042081755</v>
      </c>
      <c r="Q50" s="10">
        <f t="shared" si="8"/>
        <v>425.49150580295998</v>
      </c>
      <c r="R50" s="10">
        <f t="shared" si="12"/>
        <v>6.8187741314576922</v>
      </c>
      <c r="S50" s="91"/>
    </row>
    <row r="51" spans="1:19" s="77" customFormat="1">
      <c r="A51" s="105">
        <v>38801</v>
      </c>
      <c r="B51" s="9" t="s">
        <v>30</v>
      </c>
      <c r="C51" s="106">
        <v>1</v>
      </c>
      <c r="D51" s="47">
        <f t="shared" si="0"/>
        <v>0.7</v>
      </c>
      <c r="E51" s="47">
        <f t="shared" si="1"/>
        <v>700</v>
      </c>
      <c r="F51" s="47">
        <f t="shared" si="4"/>
        <v>3500</v>
      </c>
      <c r="G51" s="14">
        <f>VS!I160</f>
        <v>2100.840336134484</v>
      </c>
      <c r="H51" s="61">
        <f t="shared" si="5"/>
        <v>420.16806722689682</v>
      </c>
      <c r="I51" s="61">
        <f t="shared" si="2"/>
        <v>3781.5126050420713</v>
      </c>
      <c r="J51" s="61">
        <f t="shared" si="3"/>
        <v>4481.5126050420713</v>
      </c>
      <c r="K51" s="61">
        <f t="shared" si="6"/>
        <v>4201.680672268968</v>
      </c>
      <c r="L51" s="78">
        <f t="shared" si="9"/>
        <v>386.00831261229632</v>
      </c>
      <c r="M51" s="10">
        <f t="shared" si="10"/>
        <v>18718.818570154905</v>
      </c>
      <c r="N51" s="14">
        <f>gas!H192</f>
        <v>94.4357021114606</v>
      </c>
      <c r="O51" s="10">
        <f t="shared" si="7"/>
        <v>9.4435702111460601E-2</v>
      </c>
      <c r="P51" s="10">
        <f t="shared" si="11"/>
        <v>7894.8907441932151</v>
      </c>
      <c r="Q51" s="10">
        <f t="shared" si="8"/>
        <v>421.76223433143099</v>
      </c>
      <c r="R51" s="14">
        <f t="shared" si="12"/>
        <v>6.7590101655678048</v>
      </c>
      <c r="S51" s="25"/>
    </row>
    <row r="52" spans="1:19" s="95" customFormat="1">
      <c r="A52" s="23">
        <v>38804</v>
      </c>
      <c r="B52" s="9" t="s">
        <v>30</v>
      </c>
      <c r="C52" s="100">
        <v>1.5</v>
      </c>
      <c r="D52" s="47">
        <f t="shared" si="0"/>
        <v>1.0499999999999998</v>
      </c>
      <c r="E52" s="47">
        <f t="shared" si="1"/>
        <v>1049.9999999999998</v>
      </c>
      <c r="F52" s="47">
        <f t="shared" si="4"/>
        <v>5249.9999999999991</v>
      </c>
      <c r="G52" s="10">
        <f>VS!I162</f>
        <v>2442.002442002477</v>
      </c>
      <c r="H52" s="61">
        <f t="shared" si="5"/>
        <v>488.40048840049542</v>
      </c>
      <c r="I52" s="61">
        <f t="shared" si="2"/>
        <v>4395.6043956044587</v>
      </c>
      <c r="J52" s="61">
        <f t="shared" si="3"/>
        <v>5445.6043956044587</v>
      </c>
      <c r="K52" s="61">
        <f t="shared" si="6"/>
        <v>4884.004884004954</v>
      </c>
      <c r="L52" s="78">
        <f t="shared" si="9"/>
        <v>-402.49227896288266</v>
      </c>
      <c r="M52" s="10">
        <f t="shared" si="10"/>
        <v>18316.326291192021</v>
      </c>
      <c r="N52" s="10">
        <f>gas!H194</f>
        <v>98.190254118161945</v>
      </c>
      <c r="O52" s="10">
        <f t="shared" si="7"/>
        <v>9.8190254118161943E-2</v>
      </c>
      <c r="P52" s="10">
        <f t="shared" si="11"/>
        <v>7993.0809983113768</v>
      </c>
      <c r="Q52" s="10">
        <f t="shared" si="8"/>
        <v>436.39105742263939</v>
      </c>
      <c r="R52" s="10">
        <f t="shared" si="12"/>
        <v>6.9934464330551185</v>
      </c>
      <c r="S52" s="91"/>
    </row>
    <row r="53" spans="1:19" s="95" customFormat="1">
      <c r="A53" s="23">
        <v>38806</v>
      </c>
      <c r="B53" s="9" t="s">
        <v>30</v>
      </c>
      <c r="C53" s="100">
        <v>1.5</v>
      </c>
      <c r="D53" s="47">
        <f t="shared" si="0"/>
        <v>1.0499999999999998</v>
      </c>
      <c r="E53" s="47">
        <f t="shared" si="1"/>
        <v>1049.9999999999998</v>
      </c>
      <c r="F53" s="47">
        <f t="shared" si="4"/>
        <v>5249.9999999999991</v>
      </c>
      <c r="G53" s="10">
        <f>VS!I164</f>
        <v>1108.6474501108808</v>
      </c>
      <c r="H53" s="61">
        <f t="shared" si="5"/>
        <v>221.72949002217615</v>
      </c>
      <c r="I53" s="61">
        <f t="shared" si="2"/>
        <v>1995.5654101995854</v>
      </c>
      <c r="J53" s="61">
        <f t="shared" si="3"/>
        <v>3045.5654101995851</v>
      </c>
      <c r="K53" s="61">
        <f t="shared" si="6"/>
        <v>2217.2949002217615</v>
      </c>
      <c r="L53" s="78">
        <f t="shared" si="9"/>
        <v>3228.3094953826972</v>
      </c>
      <c r="M53" s="10">
        <f t="shared" si="10"/>
        <v>21544.63578657472</v>
      </c>
      <c r="N53" s="10">
        <f>gas!H196</f>
        <v>141.25390607953946</v>
      </c>
      <c r="O53" s="10">
        <f t="shared" si="7"/>
        <v>0.14125390607953947</v>
      </c>
      <c r="P53" s="10">
        <f t="shared" si="11"/>
        <v>8134.3349043909166</v>
      </c>
      <c r="Q53" s="10">
        <f t="shared" si="8"/>
        <v>377.55731797795022</v>
      </c>
      <c r="R53" s="10">
        <f t="shared" si="12"/>
        <v>6.0505980445184333</v>
      </c>
      <c r="S53" s="91"/>
    </row>
    <row r="54" spans="1:19" s="95" customFormat="1">
      <c r="A54" s="23">
        <v>38808</v>
      </c>
      <c r="B54" s="9" t="s">
        <v>30</v>
      </c>
      <c r="C54" s="100">
        <v>1.5</v>
      </c>
      <c r="D54" s="47">
        <f t="shared" si="0"/>
        <v>1.0499999999999998</v>
      </c>
      <c r="E54" s="47">
        <f t="shared" si="1"/>
        <v>1049.9999999999998</v>
      </c>
      <c r="F54" s="47">
        <f t="shared" si="4"/>
        <v>5249.9999999999991</v>
      </c>
      <c r="G54" s="10">
        <f>VS!I166</f>
        <v>2207.5055187638281</v>
      </c>
      <c r="H54" s="61">
        <f t="shared" si="5"/>
        <v>441.50110375276563</v>
      </c>
      <c r="I54" s="61">
        <f t="shared" si="2"/>
        <v>3973.5099337748907</v>
      </c>
      <c r="J54" s="61">
        <f t="shared" si="3"/>
        <v>5023.5099337748907</v>
      </c>
      <c r="K54" s="61">
        <f t="shared" si="6"/>
        <v>4415.0110375276563</v>
      </c>
      <c r="L54" s="78">
        <f t="shared" si="9"/>
        <v>-1369.4456273280712</v>
      </c>
      <c r="M54" s="10">
        <f t="shared" si="10"/>
        <v>20175.190159246649</v>
      </c>
      <c r="N54" s="10">
        <f>gas!H198</f>
        <v>103.26960814670728</v>
      </c>
      <c r="O54" s="10">
        <f t="shared" si="7"/>
        <v>0.10326960814670728</v>
      </c>
      <c r="P54" s="10">
        <f t="shared" si="11"/>
        <v>8237.604512537624</v>
      </c>
      <c r="Q54" s="10">
        <f t="shared" si="8"/>
        <v>408.30368623624508</v>
      </c>
      <c r="R54" s="10">
        <f t="shared" si="12"/>
        <v>6.5433283050680302</v>
      </c>
      <c r="S54" s="91"/>
    </row>
    <row r="55" spans="1:19" s="95" customFormat="1">
      <c r="A55" s="23">
        <v>38811</v>
      </c>
      <c r="B55" s="9" t="s">
        <v>30</v>
      </c>
      <c r="C55" s="100">
        <v>1.5</v>
      </c>
      <c r="D55" s="47">
        <f t="shared" si="0"/>
        <v>1.0499999999999998</v>
      </c>
      <c r="E55" s="47">
        <f t="shared" si="1"/>
        <v>1049.9999999999998</v>
      </c>
      <c r="F55" s="47">
        <f t="shared" si="4"/>
        <v>5249.9999999999991</v>
      </c>
      <c r="G55" s="10">
        <f>VS!I168</f>
        <v>2111.9324181626489</v>
      </c>
      <c r="H55" s="61">
        <f t="shared" si="5"/>
        <v>422.3864836325298</v>
      </c>
      <c r="I55" s="61">
        <f t="shared" si="2"/>
        <v>3801.4783526927681</v>
      </c>
      <c r="J55" s="61">
        <f t="shared" si="3"/>
        <v>4851.4783526927677</v>
      </c>
      <c r="K55" s="61">
        <f t="shared" si="6"/>
        <v>4223.8648363252978</v>
      </c>
      <c r="L55" s="78">
        <f t="shared" si="9"/>
        <v>799.64509744959287</v>
      </c>
      <c r="M55" s="10">
        <f t="shared" si="10"/>
        <v>20974.835256696242</v>
      </c>
      <c r="N55" s="10">
        <f>gas!H200</f>
        <v>193.32523757197774</v>
      </c>
      <c r="O55" s="10">
        <f t="shared" si="7"/>
        <v>0.19332523757197773</v>
      </c>
      <c r="P55" s="10">
        <f t="shared" si="11"/>
        <v>8430.9297501096025</v>
      </c>
      <c r="Q55" s="10">
        <f t="shared" si="8"/>
        <v>401.95451582476761</v>
      </c>
      <c r="R55" s="10">
        <f t="shared" si="12"/>
        <v>6.4415787792430708</v>
      </c>
      <c r="S55" s="91"/>
    </row>
    <row r="56" spans="1:19" s="77" customFormat="1">
      <c r="A56" s="105">
        <v>38813</v>
      </c>
      <c r="B56" s="9" t="s">
        <v>30</v>
      </c>
      <c r="C56" s="106">
        <v>1.5</v>
      </c>
      <c r="D56" s="47">
        <f t="shared" si="0"/>
        <v>1.0499999999999998</v>
      </c>
      <c r="E56" s="47">
        <f t="shared" si="1"/>
        <v>1049.9999999999998</v>
      </c>
      <c r="F56" s="47">
        <f t="shared" si="4"/>
        <v>5249.9999999999991</v>
      </c>
      <c r="G56" s="14">
        <f>VS!I170</f>
        <v>2317.4971031286545</v>
      </c>
      <c r="H56" s="61">
        <f t="shared" si="5"/>
        <v>463.49942062573092</v>
      </c>
      <c r="I56" s="61">
        <f t="shared" si="2"/>
        <v>4171.4947856315785</v>
      </c>
      <c r="J56" s="61">
        <f t="shared" si="3"/>
        <v>5221.4947856315785</v>
      </c>
      <c r="K56" s="61">
        <f t="shared" si="6"/>
        <v>4634.9942062573091</v>
      </c>
      <c r="L56" s="78">
        <f t="shared" si="9"/>
        <v>216.48414643545857</v>
      </c>
      <c r="M56" s="10">
        <f t="shared" si="10"/>
        <v>21191.3194031317</v>
      </c>
      <c r="N56" s="14">
        <f>gas!H202</f>
        <v>170.29229554631476</v>
      </c>
      <c r="O56" s="10">
        <f t="shared" si="7"/>
        <v>0.17029229554631475</v>
      </c>
      <c r="P56" s="10">
        <f t="shared" si="11"/>
        <v>8601.2220456559171</v>
      </c>
      <c r="Q56" s="10">
        <f t="shared" si="8"/>
        <v>405.88421523129932</v>
      </c>
      <c r="R56" s="14">
        <f t="shared" si="12"/>
        <v>6.5045547312708223</v>
      </c>
      <c r="S56" s="25"/>
    </row>
    <row r="57" spans="1:19" s="95" customFormat="1">
      <c r="A57" s="23">
        <v>38815</v>
      </c>
      <c r="B57" s="9" t="s">
        <v>30</v>
      </c>
      <c r="C57" s="100">
        <v>1</v>
      </c>
      <c r="D57" s="47">
        <f t="shared" si="0"/>
        <v>0.7</v>
      </c>
      <c r="E57" s="47">
        <f t="shared" si="1"/>
        <v>700</v>
      </c>
      <c r="F57" s="47">
        <f t="shared" si="4"/>
        <v>3500</v>
      </c>
      <c r="G57" s="10">
        <f>VS!I172</f>
        <v>3311.2582781457422</v>
      </c>
      <c r="H57" s="61">
        <f t="shared" si="5"/>
        <v>662.25165562914844</v>
      </c>
      <c r="I57" s="61">
        <f t="shared" si="2"/>
        <v>5960.264900662336</v>
      </c>
      <c r="J57" s="61">
        <f t="shared" si="3"/>
        <v>6660.264900662336</v>
      </c>
      <c r="K57" s="61">
        <f t="shared" si="6"/>
        <v>6622.5165562914844</v>
      </c>
      <c r="L57" s="78">
        <f t="shared" si="9"/>
        <v>-1401.021770659906</v>
      </c>
      <c r="M57" s="10">
        <f t="shared" si="10"/>
        <v>19790.297632471793</v>
      </c>
      <c r="N57" s="10">
        <f>gas!H204</f>
        <v>153.43909490828682</v>
      </c>
      <c r="O57" s="10">
        <f t="shared" si="7"/>
        <v>0.15343909490828683</v>
      </c>
      <c r="P57" s="10">
        <f t="shared" si="11"/>
        <v>8754.6611405642034</v>
      </c>
      <c r="Q57" s="10">
        <f t="shared" si="8"/>
        <v>442.37137324299823</v>
      </c>
      <c r="R57" s="10">
        <f t="shared" si="12"/>
        <v>7.0892848276121514</v>
      </c>
      <c r="S57" s="91"/>
    </row>
    <row r="58" spans="1:19" s="77" customFormat="1">
      <c r="A58" s="105">
        <v>38820</v>
      </c>
      <c r="B58" s="9" t="s">
        <v>30</v>
      </c>
      <c r="C58" s="106">
        <v>1.5</v>
      </c>
      <c r="D58" s="47">
        <f t="shared" si="0"/>
        <v>1.0499999999999998</v>
      </c>
      <c r="E58" s="47">
        <f t="shared" si="1"/>
        <v>1049.9999999999998</v>
      </c>
      <c r="F58" s="47">
        <f t="shared" si="4"/>
        <v>5249.9999999999991</v>
      </c>
      <c r="G58" s="14">
        <f>VS!I174</f>
        <v>3816.7938931297354</v>
      </c>
      <c r="H58" s="61">
        <f t="shared" si="5"/>
        <v>763.35877862594714</v>
      </c>
      <c r="I58" s="61">
        <f t="shared" si="2"/>
        <v>6870.2290076335239</v>
      </c>
      <c r="J58" s="61">
        <f t="shared" si="3"/>
        <v>7920.2290076335239</v>
      </c>
      <c r="K58" s="61">
        <f t="shared" si="6"/>
        <v>7633.5877862594707</v>
      </c>
      <c r="L58" s="78">
        <f t="shared" si="9"/>
        <v>-973.3228855971347</v>
      </c>
      <c r="M58" s="10">
        <f t="shared" si="10"/>
        <v>18816.974746874657</v>
      </c>
      <c r="N58" s="14">
        <f>gas!H206</f>
        <v>182.56473911044023</v>
      </c>
      <c r="O58" s="10">
        <f t="shared" si="7"/>
        <v>0.18256473911044022</v>
      </c>
      <c r="P58" s="10">
        <f t="shared" si="11"/>
        <v>8937.2258796746428</v>
      </c>
      <c r="Q58" s="10">
        <f t="shared" si="8"/>
        <v>474.95551223817432</v>
      </c>
      <c r="R58" s="14">
        <f t="shared" si="12"/>
        <v>7.6114665422784347</v>
      </c>
      <c r="S58" s="25"/>
    </row>
    <row r="59" spans="1:19" s="95" customFormat="1">
      <c r="A59" s="23">
        <v>38822</v>
      </c>
      <c r="B59" s="9" t="s">
        <v>30</v>
      </c>
      <c r="C59" s="100">
        <v>1.5</v>
      </c>
      <c r="D59" s="47">
        <f t="shared" si="0"/>
        <v>1.0499999999999998</v>
      </c>
      <c r="E59" s="47">
        <f t="shared" si="1"/>
        <v>1049.9999999999998</v>
      </c>
      <c r="F59" s="47">
        <f t="shared" si="4"/>
        <v>5249.9999999999991</v>
      </c>
      <c r="G59" s="10">
        <f>VS!I176</f>
        <v>2926.8292682926549</v>
      </c>
      <c r="H59" s="61">
        <f t="shared" si="5"/>
        <v>585.36585365853102</v>
      </c>
      <c r="I59" s="61">
        <f t="shared" si="2"/>
        <v>5268.292682926779</v>
      </c>
      <c r="J59" s="61">
        <f t="shared" si="3"/>
        <v>6318.292682926779</v>
      </c>
      <c r="K59" s="61">
        <f t="shared" si="6"/>
        <v>5853.6585365853098</v>
      </c>
      <c r="L59" s="78">
        <f t="shared" si="9"/>
        <v>2066.5704710482141</v>
      </c>
      <c r="M59" s="10">
        <f t="shared" si="10"/>
        <v>20883.545217922871</v>
      </c>
      <c r="N59" s="10">
        <f>gas!H208</f>
        <v>43.084817700709664</v>
      </c>
      <c r="O59" s="10">
        <f t="shared" si="7"/>
        <v>4.3084817700709661E-2</v>
      </c>
      <c r="P59" s="10">
        <f t="shared" si="11"/>
        <v>8980.3106973753529</v>
      </c>
      <c r="Q59" s="10">
        <f t="shared" si="8"/>
        <v>430.01849559854367</v>
      </c>
      <c r="R59" s="10">
        <f t="shared" si="12"/>
        <v>6.8913220448484562</v>
      </c>
      <c r="S59" s="91"/>
    </row>
    <row r="60" spans="1:19" s="95" customFormat="1">
      <c r="A60" s="23">
        <v>38825</v>
      </c>
      <c r="B60" s="9" t="s">
        <v>30</v>
      </c>
      <c r="C60" s="100">
        <v>1.5</v>
      </c>
      <c r="D60" s="47">
        <f t="shared" si="0"/>
        <v>1.0499999999999998</v>
      </c>
      <c r="E60" s="47">
        <f t="shared" si="1"/>
        <v>1049.9999999999998</v>
      </c>
      <c r="F60" s="47">
        <f t="shared" si="4"/>
        <v>5249.9999999999991</v>
      </c>
      <c r="G60" s="10">
        <f>VS!I178</f>
        <v>2016.1290322580933</v>
      </c>
      <c r="H60" s="61">
        <f t="shared" si="5"/>
        <v>403.22580645161867</v>
      </c>
      <c r="I60" s="61">
        <f t="shared" si="2"/>
        <v>3629.0322580645679</v>
      </c>
      <c r="J60" s="61">
        <f t="shared" si="3"/>
        <v>4679.0322580645679</v>
      </c>
      <c r="K60" s="61">
        <f t="shared" si="6"/>
        <v>4032.2580645161866</v>
      </c>
      <c r="L60" s="78">
        <f t="shared" si="9"/>
        <v>2286.0346184105924</v>
      </c>
      <c r="M60" s="10">
        <f t="shared" si="10"/>
        <v>23169.579836333462</v>
      </c>
      <c r="N60" s="10">
        <f>gas!H210</f>
        <v>131.19989543711623</v>
      </c>
      <c r="O60" s="10">
        <f t="shared" si="7"/>
        <v>0.13119989543711622</v>
      </c>
      <c r="P60" s="10">
        <f t="shared" si="11"/>
        <v>9111.5105928124685</v>
      </c>
      <c r="Q60" s="10">
        <f t="shared" si="8"/>
        <v>393.25316458800086</v>
      </c>
      <c r="R60" s="10">
        <f t="shared" si="12"/>
        <v>6.3021340478846293</v>
      </c>
      <c r="S60" s="91"/>
    </row>
    <row r="61" spans="1:19" s="95" customFormat="1">
      <c r="A61" s="23">
        <v>38827</v>
      </c>
      <c r="B61" s="9" t="s">
        <v>30</v>
      </c>
      <c r="C61" s="100">
        <v>1.5</v>
      </c>
      <c r="D61" s="47">
        <f t="shared" si="0"/>
        <v>1.0499999999999998</v>
      </c>
      <c r="E61" s="47">
        <f t="shared" si="1"/>
        <v>1049.9999999999998</v>
      </c>
      <c r="F61" s="47">
        <f t="shared" si="4"/>
        <v>5249.9999999999991</v>
      </c>
      <c r="G61" s="10">
        <f>VS!I180</f>
        <v>2401.2224405151587</v>
      </c>
      <c r="H61" s="61">
        <f t="shared" si="5"/>
        <v>480.24448810303176</v>
      </c>
      <c r="I61" s="61">
        <f t="shared" si="2"/>
        <v>4322.200392927286</v>
      </c>
      <c r="J61" s="61">
        <f t="shared" si="3"/>
        <v>5372.200392927286</v>
      </c>
      <c r="K61" s="61">
        <f t="shared" si="6"/>
        <v>4802.4448810303174</v>
      </c>
      <c r="L61" s="78">
        <f t="shared" si="9"/>
        <v>-123.41262296574951</v>
      </c>
      <c r="M61" s="10">
        <f t="shared" si="10"/>
        <v>23046.167213367713</v>
      </c>
      <c r="N61" s="10">
        <f>gas!H212</f>
        <v>62.399742034381759</v>
      </c>
      <c r="O61" s="10">
        <f t="shared" si="7"/>
        <v>6.2399742034381762E-2</v>
      </c>
      <c r="P61" s="10">
        <f t="shared" si="11"/>
        <v>9173.9103348468507</v>
      </c>
      <c r="Q61" s="10">
        <f t="shared" si="8"/>
        <v>398.0666394508155</v>
      </c>
      <c r="R61" s="10">
        <f t="shared" si="12"/>
        <v>6.3792730681220435</v>
      </c>
      <c r="S61" s="91"/>
    </row>
    <row r="62" spans="1:19" s="95" customFormat="1">
      <c r="A62" s="23">
        <v>38829</v>
      </c>
      <c r="B62" s="9" t="s">
        <v>30</v>
      </c>
      <c r="C62" s="100">
        <v>1.5</v>
      </c>
      <c r="D62" s="47">
        <f t="shared" ref="D62:D125" si="13">C62*0.7</f>
        <v>1.0499999999999998</v>
      </c>
      <c r="E62" s="47">
        <f t="shared" ref="E62:E125" si="14">D62*1000</f>
        <v>1049.9999999999998</v>
      </c>
      <c r="F62" s="47">
        <f t="shared" si="4"/>
        <v>5249.9999999999991</v>
      </c>
      <c r="G62" s="10">
        <f>VS!I182</f>
        <v>1359.3112822836945</v>
      </c>
      <c r="H62" s="61">
        <f t="shared" si="5"/>
        <v>271.86225645673892</v>
      </c>
      <c r="I62" s="61">
        <f t="shared" ref="I62:I125" si="15">G62*1.8</f>
        <v>2446.7603081106499</v>
      </c>
      <c r="J62" s="61">
        <f t="shared" ref="J62:J125" si="16">I62+E62</f>
        <v>3496.7603081106499</v>
      </c>
      <c r="K62" s="61">
        <f t="shared" si="6"/>
        <v>2718.622564567389</v>
      </c>
      <c r="L62" s="78">
        <f t="shared" si="9"/>
        <v>2653.577828359897</v>
      </c>
      <c r="M62" s="10">
        <f t="shared" si="10"/>
        <v>25699.745041727609</v>
      </c>
      <c r="N62" s="10">
        <f>gas!H214</f>
        <v>63.171766287778517</v>
      </c>
      <c r="O62" s="10">
        <f t="shared" si="7"/>
        <v>6.3171766287778514E-2</v>
      </c>
      <c r="P62" s="10">
        <f t="shared" si="11"/>
        <v>9237.0821011346288</v>
      </c>
      <c r="Q62" s="10">
        <f t="shared" si="8"/>
        <v>359.42310268591234</v>
      </c>
      <c r="R62" s="10">
        <f t="shared" si="12"/>
        <v>5.7599856199665442</v>
      </c>
      <c r="S62" s="91"/>
    </row>
    <row r="63" spans="1:19" s="95" customFormat="1">
      <c r="A63" s="23">
        <v>38832</v>
      </c>
      <c r="B63" s="9" t="s">
        <v>30</v>
      </c>
      <c r="C63" s="100">
        <v>1.5</v>
      </c>
      <c r="D63" s="47">
        <f t="shared" si="13"/>
        <v>1.0499999999999998</v>
      </c>
      <c r="E63" s="47">
        <f t="shared" si="14"/>
        <v>1049.9999999999998</v>
      </c>
      <c r="F63" s="47">
        <f t="shared" ref="F63:F126" si="17">E63*1000/200</f>
        <v>5249.9999999999991</v>
      </c>
      <c r="G63" s="10">
        <f>VS!I184</f>
        <v>2269.8899103393001</v>
      </c>
      <c r="H63" s="61">
        <f t="shared" ref="H63:H126" si="18">G63*0.2</f>
        <v>453.97798206786001</v>
      </c>
      <c r="I63" s="61">
        <f t="shared" si="15"/>
        <v>4085.8018386107401</v>
      </c>
      <c r="J63" s="61">
        <f t="shared" si="16"/>
        <v>5135.8018386107397</v>
      </c>
      <c r="K63" s="61">
        <f t="shared" ref="K63:K126" si="19">G63*2</f>
        <v>4539.7798206786001</v>
      </c>
      <c r="L63" s="78">
        <f t="shared" si="9"/>
        <v>-1043.0195125679502</v>
      </c>
      <c r="M63" s="10">
        <f t="shared" si="10"/>
        <v>24656.725529159659</v>
      </c>
      <c r="N63" s="10">
        <f>gas!H216</f>
        <v>109.13783747235199</v>
      </c>
      <c r="O63" s="10">
        <f t="shared" si="7"/>
        <v>0.10913783747235199</v>
      </c>
      <c r="P63" s="10">
        <f t="shared" si="11"/>
        <v>9346.2199386069806</v>
      </c>
      <c r="Q63" s="10">
        <f t="shared" si="8"/>
        <v>379.05357414770702</v>
      </c>
      <c r="R63" s="10">
        <f t="shared" si="12"/>
        <v>6.0745765087773567</v>
      </c>
      <c r="S63" s="91"/>
    </row>
    <row r="64" spans="1:19" s="95" customFormat="1">
      <c r="A64" s="23">
        <v>38834</v>
      </c>
      <c r="B64" s="9" t="s">
        <v>30</v>
      </c>
      <c r="C64" s="100">
        <v>1.5</v>
      </c>
      <c r="D64" s="47">
        <f t="shared" si="13"/>
        <v>1.0499999999999998</v>
      </c>
      <c r="E64" s="47">
        <f t="shared" si="14"/>
        <v>1049.9999999999998</v>
      </c>
      <c r="F64" s="47">
        <f t="shared" si="17"/>
        <v>5249.9999999999991</v>
      </c>
      <c r="G64" s="10">
        <f>VS!I186</f>
        <v>2375.5790473927514</v>
      </c>
      <c r="H64" s="61">
        <f t="shared" si="18"/>
        <v>475.11580947855032</v>
      </c>
      <c r="I64" s="61">
        <f t="shared" si="15"/>
        <v>4276.0422853069522</v>
      </c>
      <c r="J64" s="61">
        <f t="shared" si="16"/>
        <v>5326.0422853069522</v>
      </c>
      <c r="K64" s="61">
        <f t="shared" si="19"/>
        <v>4751.1580947855027</v>
      </c>
      <c r="L64" s="78">
        <f t="shared" si="9"/>
        <v>384.64374382523692</v>
      </c>
      <c r="M64" s="10">
        <f t="shared" si="10"/>
        <v>25041.369272984895</v>
      </c>
      <c r="N64" s="10">
        <f>gas!H218</f>
        <v>131.46246206136792</v>
      </c>
      <c r="O64" s="10">
        <f t="shared" si="7"/>
        <v>0.13146246206136791</v>
      </c>
      <c r="P64" s="10">
        <f t="shared" si="11"/>
        <v>9477.6824006683491</v>
      </c>
      <c r="Q64" s="10">
        <f t="shared" si="8"/>
        <v>378.48099667988419</v>
      </c>
      <c r="R64" s="10">
        <f t="shared" si="12"/>
        <v>6.0654005878186572</v>
      </c>
      <c r="S64" s="91"/>
    </row>
    <row r="65" spans="1:19" s="95" customFormat="1">
      <c r="A65" s="23">
        <v>38836</v>
      </c>
      <c r="B65" s="9" t="s">
        <v>30</v>
      </c>
      <c r="C65" s="100">
        <v>1.5</v>
      </c>
      <c r="D65" s="47">
        <f t="shared" si="13"/>
        <v>1.0499999999999998</v>
      </c>
      <c r="E65" s="47">
        <f t="shared" si="14"/>
        <v>1049.9999999999998</v>
      </c>
      <c r="F65" s="47">
        <f t="shared" si="17"/>
        <v>5249.9999999999991</v>
      </c>
      <c r="G65" s="10">
        <f>VS!I188</f>
        <v>1807.2969614819447</v>
      </c>
      <c r="H65" s="61">
        <f t="shared" si="18"/>
        <v>361.45939229638896</v>
      </c>
      <c r="I65" s="61">
        <f t="shared" si="15"/>
        <v>3253.1345306675003</v>
      </c>
      <c r="J65" s="61">
        <f t="shared" si="16"/>
        <v>4303.1345306675003</v>
      </c>
      <c r="K65" s="61">
        <f t="shared" si="19"/>
        <v>3614.5939229638893</v>
      </c>
      <c r="L65" s="78">
        <f t="shared" si="9"/>
        <v>1711.4483623430629</v>
      </c>
      <c r="M65" s="10">
        <f t="shared" si="10"/>
        <v>26752.81763532796</v>
      </c>
      <c r="N65" s="10">
        <f>gas!H220</f>
        <v>94.288850440233333</v>
      </c>
      <c r="O65" s="10">
        <f t="shared" si="7"/>
        <v>9.4288850440233329E-2</v>
      </c>
      <c r="P65" s="10">
        <f t="shared" si="11"/>
        <v>9571.9712511085818</v>
      </c>
      <c r="Q65" s="10">
        <f t="shared" si="8"/>
        <v>357.79301386439698</v>
      </c>
      <c r="R65" s="10">
        <f t="shared" si="12"/>
        <v>5.7338624016730284</v>
      </c>
      <c r="S65" s="91"/>
    </row>
    <row r="66" spans="1:19" s="95" customFormat="1">
      <c r="A66" s="23">
        <v>38839</v>
      </c>
      <c r="B66" s="9" t="s">
        <v>30</v>
      </c>
      <c r="C66" s="100">
        <v>1.5</v>
      </c>
      <c r="D66" s="47">
        <f t="shared" si="13"/>
        <v>1.0499999999999998</v>
      </c>
      <c r="E66" s="47">
        <f t="shared" si="14"/>
        <v>1049.9999999999998</v>
      </c>
      <c r="F66" s="47">
        <f t="shared" si="17"/>
        <v>5249.9999999999991</v>
      </c>
      <c r="G66" s="10">
        <f>VS!I190</f>
        <v>2695.6972524623952</v>
      </c>
      <c r="H66" s="61">
        <f t="shared" si="18"/>
        <v>539.13945049247911</v>
      </c>
      <c r="I66" s="61">
        <f t="shared" si="15"/>
        <v>4852.2550544323112</v>
      </c>
      <c r="J66" s="61">
        <f t="shared" si="16"/>
        <v>5902.2550544323112</v>
      </c>
      <c r="K66" s="61">
        <f t="shared" si="19"/>
        <v>5391.3945049247905</v>
      </c>
      <c r="L66" s="78">
        <f t="shared" si="9"/>
        <v>-1088.2599742572902</v>
      </c>
      <c r="M66" s="10">
        <f t="shared" si="10"/>
        <v>25664.55766107067</v>
      </c>
      <c r="N66" s="10">
        <f>gas!H222</f>
        <v>185.40506749105444</v>
      </c>
      <c r="O66" s="10">
        <f t="shared" si="7"/>
        <v>0.18540506749105443</v>
      </c>
      <c r="P66" s="10">
        <f t="shared" si="11"/>
        <v>9757.3763185996359</v>
      </c>
      <c r="Q66" s="10">
        <f t="shared" si="8"/>
        <v>380.18875865529253</v>
      </c>
      <c r="R66" s="10">
        <f t="shared" ref="R66:R129" si="20">Q66/62.4</f>
        <v>6.0927685681937911</v>
      </c>
      <c r="S66" s="91"/>
    </row>
    <row r="67" spans="1:19" s="95" customFormat="1">
      <c r="A67" s="23">
        <v>38841</v>
      </c>
      <c r="B67" s="9" t="s">
        <v>30</v>
      </c>
      <c r="C67" s="100">
        <v>1.5</v>
      </c>
      <c r="D67" s="47">
        <f t="shared" si="13"/>
        <v>1.0499999999999998</v>
      </c>
      <c r="E67" s="47">
        <f t="shared" si="14"/>
        <v>1049.9999999999998</v>
      </c>
      <c r="F67" s="47">
        <f t="shared" si="17"/>
        <v>5249.9999999999991</v>
      </c>
      <c r="G67" s="10">
        <f>VS!I192</f>
        <v>3403.2898468519247</v>
      </c>
      <c r="H67" s="61">
        <f t="shared" si="18"/>
        <v>680.65796937038499</v>
      </c>
      <c r="I67" s="61">
        <f t="shared" si="15"/>
        <v>6125.9217243334642</v>
      </c>
      <c r="J67" s="61">
        <f t="shared" si="16"/>
        <v>7175.9217243334642</v>
      </c>
      <c r="K67" s="61">
        <f t="shared" si="19"/>
        <v>6806.5796937038494</v>
      </c>
      <c r="L67" s="78">
        <f t="shared" si="9"/>
        <v>-904.32463927153822</v>
      </c>
      <c r="M67" s="10">
        <f t="shared" si="10"/>
        <v>24760.233021799133</v>
      </c>
      <c r="N67" s="10">
        <f>gas!H224</f>
        <v>137.39805317640503</v>
      </c>
      <c r="O67" s="10">
        <f t="shared" ref="O67:O130" si="21">N67/1000</f>
        <v>0.13739805317640502</v>
      </c>
      <c r="P67" s="10">
        <f t="shared" si="11"/>
        <v>9894.7743717760404</v>
      </c>
      <c r="Q67" s="10">
        <f t="shared" ref="Q67:Q130" si="22">P67/(M67/1000)</f>
        <v>399.62363694495895</v>
      </c>
      <c r="R67" s="10">
        <f t="shared" si="20"/>
        <v>6.4042249510410088</v>
      </c>
      <c r="S67" s="91"/>
    </row>
    <row r="68" spans="1:19" s="95" customFormat="1" ht="12" customHeight="1">
      <c r="A68" s="23">
        <v>38846</v>
      </c>
      <c r="B68" s="9" t="s">
        <v>30</v>
      </c>
      <c r="C68" s="100">
        <v>1.5</v>
      </c>
      <c r="D68" s="47">
        <f t="shared" si="13"/>
        <v>1.0499999999999998</v>
      </c>
      <c r="E68" s="47">
        <f t="shared" si="14"/>
        <v>1049.9999999999998</v>
      </c>
      <c r="F68" s="47">
        <f t="shared" si="17"/>
        <v>5249.9999999999991</v>
      </c>
      <c r="G68" s="10">
        <f>VS!I194</f>
        <v>2803.5367694630704</v>
      </c>
      <c r="H68" s="61">
        <f t="shared" si="18"/>
        <v>560.70735389261415</v>
      </c>
      <c r="I68" s="61">
        <f t="shared" si="15"/>
        <v>5046.3661850335266</v>
      </c>
      <c r="J68" s="61">
        <f t="shared" si="16"/>
        <v>6096.3661850335266</v>
      </c>
      <c r="K68" s="61">
        <f t="shared" si="19"/>
        <v>5607.0735389261408</v>
      </c>
      <c r="L68" s="78">
        <f t="shared" si="9"/>
        <v>1568.8481854073234</v>
      </c>
      <c r="M68" s="10">
        <f t="shared" si="10"/>
        <v>26329.081207206458</v>
      </c>
      <c r="N68" s="10">
        <f>gas!H226</f>
        <v>251.12782692250869</v>
      </c>
      <c r="O68" s="10">
        <f t="shared" si="21"/>
        <v>0.25112782692250868</v>
      </c>
      <c r="P68" s="10">
        <f t="shared" si="11"/>
        <v>10145.90219869855</v>
      </c>
      <c r="Q68" s="10">
        <f t="shared" si="22"/>
        <v>385.3496488864011</v>
      </c>
      <c r="R68" s="10">
        <f t="shared" si="20"/>
        <v>6.1754751424102743</v>
      </c>
      <c r="S68" s="91"/>
    </row>
    <row r="69" spans="1:19" s="95" customFormat="1">
      <c r="A69" s="23">
        <v>38848</v>
      </c>
      <c r="B69" s="9" t="s">
        <v>30</v>
      </c>
      <c r="C69" s="100">
        <v>1.5</v>
      </c>
      <c r="D69" s="47">
        <f t="shared" si="13"/>
        <v>1.0499999999999998</v>
      </c>
      <c r="E69" s="47">
        <f t="shared" si="14"/>
        <v>1049.9999999999998</v>
      </c>
      <c r="F69" s="47">
        <f t="shared" si="17"/>
        <v>5249.9999999999991</v>
      </c>
      <c r="G69" s="10">
        <f>VS!I196</f>
        <v>2879.4734677087736</v>
      </c>
      <c r="H69" s="61">
        <f t="shared" si="18"/>
        <v>575.89469354175469</v>
      </c>
      <c r="I69" s="61">
        <f t="shared" si="15"/>
        <v>5183.0522418757928</v>
      </c>
      <c r="J69" s="61">
        <f t="shared" si="16"/>
        <v>6233.0522418757928</v>
      </c>
      <c r="K69" s="61">
        <f t="shared" si="19"/>
        <v>5758.9469354175471</v>
      </c>
      <c r="L69" s="78">
        <f t="shared" ref="L69:L132" si="23">J68-K69</f>
        <v>337.41924961597942</v>
      </c>
      <c r="M69" s="10">
        <f t="shared" ref="M69:M132" si="24">M68+L69</f>
        <v>26666.500456822439</v>
      </c>
      <c r="N69" s="10">
        <f>gas!H228</f>
        <v>184.20757613687798</v>
      </c>
      <c r="O69" s="10">
        <f t="shared" si="21"/>
        <v>0.18420757613687797</v>
      </c>
      <c r="P69" s="10">
        <f t="shared" ref="P69:P132" si="25">P68+N69</f>
        <v>10330.109774835428</v>
      </c>
      <c r="Q69" s="10">
        <f t="shared" si="22"/>
        <v>387.381531054726</v>
      </c>
      <c r="R69" s="10">
        <f t="shared" si="20"/>
        <v>6.2080373566462503</v>
      </c>
      <c r="S69" s="91"/>
    </row>
    <row r="70" spans="1:19" s="77" customFormat="1">
      <c r="A70" s="105">
        <v>38850</v>
      </c>
      <c r="B70" s="9" t="s">
        <v>30</v>
      </c>
      <c r="C70" s="106">
        <v>2</v>
      </c>
      <c r="D70" s="47">
        <f t="shared" si="13"/>
        <v>1.4</v>
      </c>
      <c r="E70" s="47">
        <f t="shared" si="14"/>
        <v>1400</v>
      </c>
      <c r="F70" s="47">
        <f t="shared" si="17"/>
        <v>7000</v>
      </c>
      <c r="G70" s="14">
        <f>VS!I198</f>
        <v>3272.652894252406</v>
      </c>
      <c r="H70" s="61">
        <f t="shared" si="18"/>
        <v>654.53057885048122</v>
      </c>
      <c r="I70" s="61">
        <f t="shared" si="15"/>
        <v>5890.7752096543309</v>
      </c>
      <c r="J70" s="61">
        <f t="shared" si="16"/>
        <v>7290.7752096543309</v>
      </c>
      <c r="K70" s="61">
        <f t="shared" si="19"/>
        <v>6545.305788504812</v>
      </c>
      <c r="L70" s="78">
        <f t="shared" si="23"/>
        <v>-312.25354662901918</v>
      </c>
      <c r="M70" s="10">
        <f t="shared" si="24"/>
        <v>26354.246910193418</v>
      </c>
      <c r="N70" s="14">
        <f>gas!H230</f>
        <v>286.58070597888928</v>
      </c>
      <c r="O70" s="10">
        <f t="shared" si="21"/>
        <v>0.28658070597888929</v>
      </c>
      <c r="P70" s="10">
        <f t="shared" si="25"/>
        <v>10616.690480814317</v>
      </c>
      <c r="Q70" s="10">
        <f t="shared" si="22"/>
        <v>402.84552683263905</v>
      </c>
      <c r="R70" s="14">
        <f t="shared" si="20"/>
        <v>6.4558578018051129</v>
      </c>
      <c r="S70" s="25"/>
    </row>
    <row r="71" spans="1:19" s="95" customFormat="1">
      <c r="A71" s="23">
        <v>38853</v>
      </c>
      <c r="B71" s="9" t="s">
        <v>30</v>
      </c>
      <c r="C71" s="100">
        <v>2</v>
      </c>
      <c r="D71" s="47">
        <f t="shared" si="13"/>
        <v>1.4</v>
      </c>
      <c r="E71" s="47">
        <f t="shared" si="14"/>
        <v>1400</v>
      </c>
      <c r="F71" s="47">
        <f t="shared" si="17"/>
        <v>7000</v>
      </c>
      <c r="G71" s="10">
        <f>VS!I200</f>
        <v>3587.9036391594195</v>
      </c>
      <c r="H71" s="61">
        <f t="shared" si="18"/>
        <v>717.58072783188391</v>
      </c>
      <c r="I71" s="61">
        <f t="shared" si="15"/>
        <v>6458.2265504869556</v>
      </c>
      <c r="J71" s="61">
        <f t="shared" si="16"/>
        <v>7858.2265504869556</v>
      </c>
      <c r="K71" s="61">
        <f t="shared" si="19"/>
        <v>7175.8072783188391</v>
      </c>
      <c r="L71" s="78">
        <f t="shared" si="23"/>
        <v>114.96793133549181</v>
      </c>
      <c r="M71" s="10">
        <f t="shared" si="24"/>
        <v>26469.214841528912</v>
      </c>
      <c r="N71" s="10">
        <f>gas!H232</f>
        <v>394.84395294390549</v>
      </c>
      <c r="O71" s="10">
        <f t="shared" si="21"/>
        <v>0.39484395294390551</v>
      </c>
      <c r="P71" s="10">
        <f t="shared" si="25"/>
        <v>11011.534433758223</v>
      </c>
      <c r="Q71" s="10">
        <f t="shared" si="22"/>
        <v>416.01288514541278</v>
      </c>
      <c r="R71" s="10">
        <f t="shared" si="20"/>
        <v>6.6668731593816153</v>
      </c>
      <c r="S71" s="91"/>
    </row>
    <row r="72" spans="1:19" s="95" customFormat="1">
      <c r="A72" s="23">
        <v>38855</v>
      </c>
      <c r="B72" s="9" t="s">
        <v>30</v>
      </c>
      <c r="C72" s="100">
        <v>2</v>
      </c>
      <c r="D72" s="47">
        <f t="shared" si="13"/>
        <v>1.4</v>
      </c>
      <c r="E72" s="47">
        <f t="shared" si="14"/>
        <v>1400</v>
      </c>
      <c r="F72" s="47">
        <f t="shared" si="17"/>
        <v>7000</v>
      </c>
      <c r="G72" s="10">
        <f>VS!I202</f>
        <v>3200.16516981524</v>
      </c>
      <c r="H72" s="61">
        <f t="shared" si="18"/>
        <v>640.03303396304807</v>
      </c>
      <c r="I72" s="61">
        <f t="shared" si="15"/>
        <v>5760.2973056674318</v>
      </c>
      <c r="J72" s="61">
        <f t="shared" si="16"/>
        <v>7160.2973056674318</v>
      </c>
      <c r="K72" s="61">
        <f t="shared" si="19"/>
        <v>6400.33033963048</v>
      </c>
      <c r="L72" s="78">
        <f t="shared" si="23"/>
        <v>1457.8962108564756</v>
      </c>
      <c r="M72" s="10">
        <f t="shared" si="24"/>
        <v>27927.111052385386</v>
      </c>
      <c r="N72" s="10">
        <f>gas!H234</f>
        <v>276.18281922794779</v>
      </c>
      <c r="O72" s="10">
        <f t="shared" si="21"/>
        <v>0.2761828192279478</v>
      </c>
      <c r="P72" s="10">
        <f t="shared" si="25"/>
        <v>11287.717252986171</v>
      </c>
      <c r="Q72" s="10">
        <f t="shared" si="22"/>
        <v>404.18492381158899</v>
      </c>
      <c r="R72" s="10">
        <f t="shared" si="20"/>
        <v>6.4773224969805927</v>
      </c>
      <c r="S72" s="91"/>
    </row>
    <row r="73" spans="1:19" s="95" customFormat="1">
      <c r="A73" s="23">
        <v>38857</v>
      </c>
      <c r="B73" s="9" t="s">
        <v>30</v>
      </c>
      <c r="C73" s="100">
        <v>2</v>
      </c>
      <c r="D73" s="47">
        <f t="shared" si="13"/>
        <v>1.4</v>
      </c>
      <c r="E73" s="47">
        <f t="shared" si="14"/>
        <v>1400</v>
      </c>
      <c r="F73" s="47">
        <f t="shared" si="17"/>
        <v>7000</v>
      </c>
      <c r="G73" s="10">
        <f>VS!I204</f>
        <v>3322.5936367297454</v>
      </c>
      <c r="H73" s="61">
        <f t="shared" si="18"/>
        <v>664.51872734594917</v>
      </c>
      <c r="I73" s="61">
        <f t="shared" si="15"/>
        <v>5980.6685461135421</v>
      </c>
      <c r="J73" s="61">
        <f t="shared" si="16"/>
        <v>7380.6685461135421</v>
      </c>
      <c r="K73" s="61">
        <f t="shared" si="19"/>
        <v>6645.1872734594908</v>
      </c>
      <c r="L73" s="78">
        <f t="shared" si="23"/>
        <v>515.110032207941</v>
      </c>
      <c r="M73" s="10">
        <f t="shared" si="24"/>
        <v>28442.221084593326</v>
      </c>
      <c r="N73" s="10">
        <f>gas!H236</f>
        <v>238.34992906279703</v>
      </c>
      <c r="O73" s="10">
        <f t="shared" si="21"/>
        <v>0.23834992906279703</v>
      </c>
      <c r="P73" s="10">
        <f t="shared" si="25"/>
        <v>11526.067182048968</v>
      </c>
      <c r="Q73" s="10">
        <f t="shared" si="22"/>
        <v>405.24497534028541</v>
      </c>
      <c r="R73" s="10">
        <f t="shared" si="20"/>
        <v>6.4943105022481635</v>
      </c>
      <c r="S73" s="91"/>
    </row>
    <row r="74" spans="1:19" s="95" customFormat="1">
      <c r="A74" s="105">
        <v>38860</v>
      </c>
      <c r="B74" s="9" t="s">
        <v>30</v>
      </c>
      <c r="C74" s="100">
        <v>2</v>
      </c>
      <c r="D74" s="47">
        <f t="shared" si="13"/>
        <v>1.4</v>
      </c>
      <c r="E74" s="47">
        <f t="shared" si="14"/>
        <v>1400</v>
      </c>
      <c r="F74" s="47">
        <f t="shared" si="17"/>
        <v>7000</v>
      </c>
      <c r="G74" s="14">
        <f>VS!I158</f>
        <v>2159.8272138229249</v>
      </c>
      <c r="H74" s="61">
        <f t="shared" si="18"/>
        <v>431.96544276458502</v>
      </c>
      <c r="I74" s="61">
        <f t="shared" si="15"/>
        <v>3887.6889848812648</v>
      </c>
      <c r="J74" s="61">
        <f t="shared" si="16"/>
        <v>5287.6889848812643</v>
      </c>
      <c r="K74" s="61">
        <f t="shared" si="19"/>
        <v>4319.6544276458499</v>
      </c>
      <c r="L74" s="78">
        <f t="shared" si="23"/>
        <v>3061.0141184676922</v>
      </c>
      <c r="M74" s="10">
        <f t="shared" si="24"/>
        <v>31503.23520306102</v>
      </c>
      <c r="N74" s="10">
        <f>gas!H238</f>
        <v>571.39194946754833</v>
      </c>
      <c r="O74" s="10">
        <f t="shared" si="21"/>
        <v>0.57139194946754834</v>
      </c>
      <c r="P74" s="10">
        <f t="shared" si="25"/>
        <v>12097.459131516516</v>
      </c>
      <c r="Q74" s="10">
        <f t="shared" si="22"/>
        <v>384.00688226271643</v>
      </c>
      <c r="R74" s="10">
        <f t="shared" si="20"/>
        <v>6.153956446517892</v>
      </c>
      <c r="S74" s="91"/>
    </row>
    <row r="75" spans="1:19" s="95" customFormat="1">
      <c r="A75" s="105">
        <v>38862</v>
      </c>
      <c r="B75" s="9" t="s">
        <v>30</v>
      </c>
      <c r="C75" s="100">
        <v>2</v>
      </c>
      <c r="D75" s="47">
        <f t="shared" si="13"/>
        <v>1.4</v>
      </c>
      <c r="E75" s="47">
        <f t="shared" si="14"/>
        <v>1400</v>
      </c>
      <c r="F75" s="47">
        <f t="shared" si="17"/>
        <v>7000</v>
      </c>
      <c r="G75" s="14">
        <f>VS!I160</f>
        <v>2100.840336134484</v>
      </c>
      <c r="H75" s="61">
        <f t="shared" si="18"/>
        <v>420.16806722689682</v>
      </c>
      <c r="I75" s="61">
        <f t="shared" si="15"/>
        <v>3781.5126050420713</v>
      </c>
      <c r="J75" s="61">
        <f t="shared" si="16"/>
        <v>5181.5126050420713</v>
      </c>
      <c r="K75" s="61">
        <f t="shared" si="19"/>
        <v>4201.680672268968</v>
      </c>
      <c r="L75" s="78">
        <f t="shared" si="23"/>
        <v>1086.0083126122963</v>
      </c>
      <c r="M75" s="10">
        <f t="shared" si="24"/>
        <v>32589.243515673315</v>
      </c>
      <c r="N75" s="10">
        <f>gas!H240</f>
        <v>474.25690134857217</v>
      </c>
      <c r="O75" s="10">
        <f t="shared" si="21"/>
        <v>0.47425690134857218</v>
      </c>
      <c r="P75" s="10">
        <f t="shared" si="25"/>
        <v>12571.716032865088</v>
      </c>
      <c r="Q75" s="10">
        <f t="shared" si="22"/>
        <v>385.76274490136313</v>
      </c>
      <c r="R75" s="10">
        <f t="shared" si="20"/>
        <v>6.1820952708551786</v>
      </c>
      <c r="S75" s="91"/>
    </row>
    <row r="76" spans="1:19" s="95" customFormat="1">
      <c r="A76" s="105">
        <v>38864</v>
      </c>
      <c r="B76" s="9" t="s">
        <v>30</v>
      </c>
      <c r="C76" s="100">
        <v>2</v>
      </c>
      <c r="D76" s="47">
        <f t="shared" si="13"/>
        <v>1.4</v>
      </c>
      <c r="E76" s="47">
        <f t="shared" si="14"/>
        <v>1400</v>
      </c>
      <c r="F76" s="47">
        <f t="shared" si="17"/>
        <v>7000</v>
      </c>
      <c r="G76" s="14">
        <f>VS!I162</f>
        <v>2442.002442002477</v>
      </c>
      <c r="H76" s="61">
        <f t="shared" si="18"/>
        <v>488.40048840049542</v>
      </c>
      <c r="I76" s="61">
        <f t="shared" si="15"/>
        <v>4395.6043956044587</v>
      </c>
      <c r="J76" s="61">
        <f t="shared" si="16"/>
        <v>5795.6043956044587</v>
      </c>
      <c r="K76" s="61">
        <f t="shared" si="19"/>
        <v>4884.004884004954</v>
      </c>
      <c r="L76" s="78">
        <f t="shared" si="23"/>
        <v>297.50772103711734</v>
      </c>
      <c r="M76" s="10">
        <f t="shared" si="24"/>
        <v>32886.751236710435</v>
      </c>
      <c r="N76" s="10">
        <f>gas!H242</f>
        <v>439.25019841404992</v>
      </c>
      <c r="O76" s="10">
        <f t="shared" si="21"/>
        <v>0.43925019841404994</v>
      </c>
      <c r="P76" s="10">
        <f t="shared" si="25"/>
        <v>13010.966231279137</v>
      </c>
      <c r="Q76" s="10">
        <f t="shared" si="22"/>
        <v>395.62941737934295</v>
      </c>
      <c r="R76" s="10">
        <f t="shared" si="20"/>
        <v>6.3402150221048554</v>
      </c>
      <c r="S76" s="91"/>
    </row>
    <row r="77" spans="1:19" s="95" customFormat="1">
      <c r="A77" s="23">
        <v>38867</v>
      </c>
      <c r="B77" s="9" t="s">
        <v>30</v>
      </c>
      <c r="C77" s="100">
        <v>2</v>
      </c>
      <c r="D77" s="47">
        <f t="shared" si="13"/>
        <v>1.4</v>
      </c>
      <c r="E77" s="47">
        <f t="shared" si="14"/>
        <v>1400</v>
      </c>
      <c r="F77" s="47">
        <f t="shared" si="17"/>
        <v>7000</v>
      </c>
      <c r="G77" s="10">
        <f>VS!I206</f>
        <v>2722.3230490018464</v>
      </c>
      <c r="H77" s="61">
        <f t="shared" si="18"/>
        <v>544.46460980036932</v>
      </c>
      <c r="I77" s="61">
        <f t="shared" si="15"/>
        <v>4900.1814882033232</v>
      </c>
      <c r="J77" s="61">
        <f t="shared" si="16"/>
        <v>6300.1814882033232</v>
      </c>
      <c r="K77" s="61">
        <f t="shared" si="19"/>
        <v>5444.6460980036927</v>
      </c>
      <c r="L77" s="78">
        <f t="shared" si="23"/>
        <v>350.95829760076595</v>
      </c>
      <c r="M77" s="10">
        <f t="shared" si="24"/>
        <v>33237.709534311201</v>
      </c>
      <c r="N77" s="10">
        <f>gas!H244</f>
        <v>299.24036276522884</v>
      </c>
      <c r="O77" s="10">
        <f t="shared" si="21"/>
        <v>0.29924036276522886</v>
      </c>
      <c r="P77" s="10">
        <f t="shared" si="25"/>
        <v>13310.206594044366</v>
      </c>
      <c r="Q77" s="10">
        <f t="shared" si="22"/>
        <v>400.45498864186999</v>
      </c>
      <c r="R77" s="10">
        <f t="shared" si="20"/>
        <v>6.4175478949017624</v>
      </c>
      <c r="S77" s="91"/>
    </row>
    <row r="78" spans="1:19" s="95" customFormat="1">
      <c r="A78" s="23">
        <v>38869</v>
      </c>
      <c r="B78" s="9" t="s">
        <v>30</v>
      </c>
      <c r="C78" s="100">
        <v>2</v>
      </c>
      <c r="D78" s="47">
        <f t="shared" si="13"/>
        <v>1.4</v>
      </c>
      <c r="E78" s="47">
        <f t="shared" si="14"/>
        <v>1400</v>
      </c>
      <c r="F78" s="47">
        <f t="shared" si="17"/>
        <v>7000</v>
      </c>
      <c r="G78" s="10">
        <f>VS!I208</f>
        <v>2593.3609958506222</v>
      </c>
      <c r="H78" s="61">
        <f t="shared" si="18"/>
        <v>518.67219917012449</v>
      </c>
      <c r="I78" s="61">
        <f t="shared" si="15"/>
        <v>4668.0497925311201</v>
      </c>
      <c r="J78" s="61">
        <f t="shared" si="16"/>
        <v>6068.0497925311201</v>
      </c>
      <c r="K78" s="61">
        <f t="shared" si="19"/>
        <v>5186.7219917012444</v>
      </c>
      <c r="L78" s="78">
        <f t="shared" si="23"/>
        <v>1113.4594965020788</v>
      </c>
      <c r="M78" s="10">
        <f t="shared" si="24"/>
        <v>34351.169030813282</v>
      </c>
      <c r="N78" s="10">
        <f>gas!H246</f>
        <v>221.67229707251252</v>
      </c>
      <c r="O78" s="10">
        <f t="shared" si="21"/>
        <v>0.22167229707251251</v>
      </c>
      <c r="P78" s="10">
        <f t="shared" si="25"/>
        <v>13531.878891116879</v>
      </c>
      <c r="Q78" s="10">
        <f t="shared" si="22"/>
        <v>393.92775480155194</v>
      </c>
      <c r="R78" s="10">
        <f t="shared" si="20"/>
        <v>6.3129447884864094</v>
      </c>
      <c r="S78" s="91"/>
    </row>
    <row r="79" spans="1:19" s="77" customFormat="1">
      <c r="A79" s="105">
        <v>38871</v>
      </c>
      <c r="B79" s="9" t="s">
        <v>30</v>
      </c>
      <c r="C79" s="106">
        <v>1.5</v>
      </c>
      <c r="D79" s="47">
        <f t="shared" si="13"/>
        <v>1.0499999999999998</v>
      </c>
      <c r="E79" s="47">
        <f t="shared" si="14"/>
        <v>1049.9999999999998</v>
      </c>
      <c r="F79" s="47">
        <f t="shared" si="17"/>
        <v>5249.9999999999991</v>
      </c>
      <c r="G79" s="14">
        <f>VS!I210</f>
        <v>3101.4621178555731</v>
      </c>
      <c r="H79" s="61">
        <f t="shared" si="18"/>
        <v>620.29242357111468</v>
      </c>
      <c r="I79" s="61">
        <f t="shared" si="15"/>
        <v>5582.6318121400318</v>
      </c>
      <c r="J79" s="61">
        <f t="shared" si="16"/>
        <v>6632.6318121400318</v>
      </c>
      <c r="K79" s="61">
        <f t="shared" si="19"/>
        <v>6202.9242357111461</v>
      </c>
      <c r="L79" s="78">
        <f t="shared" si="23"/>
        <v>-134.87444318002599</v>
      </c>
      <c r="M79" s="10">
        <f t="shared" si="24"/>
        <v>34216.294587633252</v>
      </c>
      <c r="N79" s="14">
        <f>gas!H248</f>
        <v>26.089184761095499</v>
      </c>
      <c r="O79" s="10">
        <f t="shared" si="21"/>
        <v>2.60891847610955E-2</v>
      </c>
      <c r="P79" s="10">
        <f t="shared" si="25"/>
        <v>13557.968075877974</v>
      </c>
      <c r="Q79" s="10">
        <f t="shared" si="22"/>
        <v>396.24302512225307</v>
      </c>
      <c r="R79" s="14">
        <f t="shared" si="20"/>
        <v>6.350048479523287</v>
      </c>
      <c r="S79" s="25"/>
    </row>
    <row r="80" spans="1:19" s="95" customFormat="1">
      <c r="A80" s="23">
        <v>38874</v>
      </c>
      <c r="B80" s="9" t="s">
        <v>30</v>
      </c>
      <c r="C80" s="100">
        <v>2</v>
      </c>
      <c r="D80" s="47">
        <f t="shared" si="13"/>
        <v>1.4</v>
      </c>
      <c r="E80" s="47">
        <f t="shared" si="14"/>
        <v>1400</v>
      </c>
      <c r="F80" s="47">
        <f t="shared" si="17"/>
        <v>7000</v>
      </c>
      <c r="G80" s="10">
        <f>VS!I212</f>
        <v>3602.6762738034113</v>
      </c>
      <c r="H80" s="61">
        <f t="shared" si="18"/>
        <v>720.53525476068228</v>
      </c>
      <c r="I80" s="61">
        <f t="shared" si="15"/>
        <v>6484.8172928461408</v>
      </c>
      <c r="J80" s="61">
        <f t="shared" si="16"/>
        <v>7884.8172928461408</v>
      </c>
      <c r="K80" s="61">
        <f t="shared" si="19"/>
        <v>7205.3525476068226</v>
      </c>
      <c r="L80" s="78">
        <f t="shared" si="23"/>
        <v>-572.72073546679076</v>
      </c>
      <c r="M80" s="10">
        <f t="shared" si="24"/>
        <v>33643.573852166461</v>
      </c>
      <c r="N80" s="10">
        <f>gas!H250</f>
        <v>279.49485132825777</v>
      </c>
      <c r="O80" s="10">
        <f t="shared" si="21"/>
        <v>0.27949485132825774</v>
      </c>
      <c r="P80" s="10">
        <f t="shared" si="25"/>
        <v>13837.462927206232</v>
      </c>
      <c r="Q80" s="10">
        <f t="shared" si="22"/>
        <v>411.29586850700093</v>
      </c>
      <c r="R80" s="10">
        <f t="shared" si="20"/>
        <v>6.5912799440224514</v>
      </c>
      <c r="S80" s="91"/>
    </row>
    <row r="81" spans="1:19" s="95" customFormat="1">
      <c r="A81" s="23">
        <v>38876</v>
      </c>
      <c r="B81" s="9" t="s">
        <v>30</v>
      </c>
      <c r="C81" s="100">
        <v>2</v>
      </c>
      <c r="D81" s="47">
        <f t="shared" si="13"/>
        <v>1.4</v>
      </c>
      <c r="E81" s="47">
        <f t="shared" si="14"/>
        <v>1400</v>
      </c>
      <c r="F81" s="47">
        <f t="shared" si="17"/>
        <v>7000</v>
      </c>
      <c r="G81" s="10">
        <f>VS!I214</f>
        <v>3514.5751498862546</v>
      </c>
      <c r="H81" s="61">
        <f t="shared" si="18"/>
        <v>702.91502997725092</v>
      </c>
      <c r="I81" s="61">
        <f t="shared" si="15"/>
        <v>6326.2352697952583</v>
      </c>
      <c r="J81" s="61">
        <f t="shared" si="16"/>
        <v>7726.2352697952583</v>
      </c>
      <c r="K81" s="61">
        <f t="shared" si="19"/>
        <v>7029.1502997725092</v>
      </c>
      <c r="L81" s="78">
        <f t="shared" si="23"/>
        <v>855.6669930736316</v>
      </c>
      <c r="M81" s="10">
        <f t="shared" si="24"/>
        <v>34499.240845240092</v>
      </c>
      <c r="N81" s="10">
        <f>gas!H252</f>
        <v>318.79152183175063</v>
      </c>
      <c r="O81" s="10">
        <f t="shared" si="21"/>
        <v>0.31879152183175063</v>
      </c>
      <c r="P81" s="10">
        <f t="shared" si="25"/>
        <v>14156.254449037982</v>
      </c>
      <c r="Q81" s="10">
        <f t="shared" si="22"/>
        <v>410.33524513021678</v>
      </c>
      <c r="R81" s="10">
        <f t="shared" si="20"/>
        <v>6.5758853386252687</v>
      </c>
      <c r="S81" s="91"/>
    </row>
    <row r="82" spans="1:19" s="95" customFormat="1">
      <c r="A82" s="23">
        <v>38878</v>
      </c>
      <c r="B82" s="9" t="s">
        <v>30</v>
      </c>
      <c r="C82" s="100">
        <v>2</v>
      </c>
      <c r="D82" s="47">
        <f t="shared" si="13"/>
        <v>1.4</v>
      </c>
      <c r="E82" s="47">
        <f t="shared" si="14"/>
        <v>1400</v>
      </c>
      <c r="F82" s="47">
        <f t="shared" si="17"/>
        <v>7000</v>
      </c>
      <c r="G82" s="10">
        <f>VS!I216</f>
        <v>2699.7840172786182</v>
      </c>
      <c r="H82" s="61">
        <f t="shared" si="18"/>
        <v>539.95680345572362</v>
      </c>
      <c r="I82" s="61">
        <f t="shared" si="15"/>
        <v>4859.6112311015131</v>
      </c>
      <c r="J82" s="61">
        <f t="shared" si="16"/>
        <v>6259.6112311015131</v>
      </c>
      <c r="K82" s="61">
        <f t="shared" si="19"/>
        <v>5399.5680345572364</v>
      </c>
      <c r="L82" s="78">
        <f t="shared" si="23"/>
        <v>2326.6672352380219</v>
      </c>
      <c r="M82" s="10">
        <f t="shared" si="24"/>
        <v>36825.908080478112</v>
      </c>
      <c r="N82" s="10">
        <f>gas!H254</f>
        <v>223.61413774733771</v>
      </c>
      <c r="O82" s="10">
        <f t="shared" si="21"/>
        <v>0.22361413774733771</v>
      </c>
      <c r="P82" s="10">
        <f t="shared" si="25"/>
        <v>14379.86858678532</v>
      </c>
      <c r="Q82" s="10">
        <f t="shared" si="22"/>
        <v>390.48238960896862</v>
      </c>
      <c r="R82" s="10">
        <f t="shared" si="20"/>
        <v>6.2577306027078308</v>
      </c>
      <c r="S82" s="91"/>
    </row>
    <row r="83" spans="1:19" s="95" customFormat="1">
      <c r="A83" s="23">
        <v>38881</v>
      </c>
      <c r="B83" s="9" t="s">
        <v>30</v>
      </c>
      <c r="C83" s="100">
        <v>2</v>
      </c>
      <c r="D83" s="47">
        <f t="shared" si="13"/>
        <v>1.4</v>
      </c>
      <c r="E83" s="47">
        <f t="shared" si="14"/>
        <v>1400</v>
      </c>
      <c r="F83" s="47">
        <f t="shared" si="17"/>
        <v>7000</v>
      </c>
      <c r="G83" s="10">
        <f>VS!I218</f>
        <v>3084.1220886951637</v>
      </c>
      <c r="H83" s="61">
        <f t="shared" si="18"/>
        <v>616.82441773903281</v>
      </c>
      <c r="I83" s="61">
        <f t="shared" si="15"/>
        <v>5551.419759651295</v>
      </c>
      <c r="J83" s="61">
        <f t="shared" si="16"/>
        <v>6951.419759651295</v>
      </c>
      <c r="K83" s="61">
        <f t="shared" si="19"/>
        <v>6168.2441773903274</v>
      </c>
      <c r="L83" s="78">
        <f t="shared" si="23"/>
        <v>91.36705371118569</v>
      </c>
      <c r="M83" s="10">
        <f t="shared" si="24"/>
        <v>36917.275134189294</v>
      </c>
      <c r="N83" s="10">
        <f>gas!H256</f>
        <v>227.19575580197403</v>
      </c>
      <c r="O83" s="10">
        <f t="shared" si="21"/>
        <v>0.22719575580197404</v>
      </c>
      <c r="P83" s="10">
        <f t="shared" si="25"/>
        <v>14607.064342587295</v>
      </c>
      <c r="Q83" s="10">
        <f t="shared" si="22"/>
        <v>395.67016496999287</v>
      </c>
      <c r="R83" s="10">
        <f t="shared" si="20"/>
        <v>6.3408680283652705</v>
      </c>
      <c r="S83" s="91"/>
    </row>
    <row r="84" spans="1:19" s="95" customFormat="1">
      <c r="A84" s="23">
        <v>38883</v>
      </c>
      <c r="B84" s="9" t="s">
        <v>30</v>
      </c>
      <c r="C84" s="100">
        <v>2</v>
      </c>
      <c r="D84" s="47">
        <f t="shared" si="13"/>
        <v>1.4</v>
      </c>
      <c r="E84" s="47">
        <f t="shared" si="14"/>
        <v>1400</v>
      </c>
      <c r="F84" s="47">
        <f t="shared" si="17"/>
        <v>7000</v>
      </c>
      <c r="G84" s="10">
        <f>VS!I220</f>
        <v>2687.3051703751476</v>
      </c>
      <c r="H84" s="61">
        <f t="shared" si="18"/>
        <v>537.46103407502949</v>
      </c>
      <c r="I84" s="61">
        <f t="shared" si="15"/>
        <v>4837.1493066752655</v>
      </c>
      <c r="J84" s="61">
        <f t="shared" si="16"/>
        <v>6237.1493066752655</v>
      </c>
      <c r="K84" s="61">
        <f t="shared" si="19"/>
        <v>5374.6103407502951</v>
      </c>
      <c r="L84" s="78">
        <f t="shared" si="23"/>
        <v>1576.8094189009998</v>
      </c>
      <c r="M84" s="10">
        <f t="shared" si="24"/>
        <v>38494.084553090295</v>
      </c>
      <c r="N84" s="10">
        <f>gas!H258</f>
        <v>198.96652638862437</v>
      </c>
      <c r="O84" s="10">
        <f t="shared" si="21"/>
        <v>0.19896652638862439</v>
      </c>
      <c r="P84" s="10">
        <f t="shared" si="25"/>
        <v>14806.030868975919</v>
      </c>
      <c r="Q84" s="10">
        <f t="shared" si="22"/>
        <v>384.63132818643152</v>
      </c>
      <c r="R84" s="10">
        <f t="shared" si="20"/>
        <v>6.1639635927312746</v>
      </c>
      <c r="S84" s="91"/>
    </row>
    <row r="85" spans="1:19" s="95" customFormat="1">
      <c r="A85" s="23">
        <v>38885</v>
      </c>
      <c r="B85" s="9" t="s">
        <v>30</v>
      </c>
      <c r="C85" s="100">
        <v>2</v>
      </c>
      <c r="D85" s="47">
        <f t="shared" si="13"/>
        <v>1.4</v>
      </c>
      <c r="E85" s="47">
        <f t="shared" si="14"/>
        <v>1400</v>
      </c>
      <c r="F85" s="47">
        <f t="shared" si="17"/>
        <v>7000</v>
      </c>
      <c r="G85" s="10">
        <f>VS!I222</f>
        <v>1949.740034662042</v>
      </c>
      <c r="H85" s="61">
        <f t="shared" si="18"/>
        <v>389.94800693240842</v>
      </c>
      <c r="I85" s="61">
        <f t="shared" si="15"/>
        <v>3509.5320623916759</v>
      </c>
      <c r="J85" s="61">
        <f t="shared" si="16"/>
        <v>4909.5320623916759</v>
      </c>
      <c r="K85" s="61">
        <f t="shared" si="19"/>
        <v>3899.4800693240841</v>
      </c>
      <c r="L85" s="78">
        <f t="shared" si="23"/>
        <v>2337.6692373511814</v>
      </c>
      <c r="M85" s="10">
        <f t="shared" si="24"/>
        <v>40831.753790441478</v>
      </c>
      <c r="N85" s="10">
        <f>gas!H260</f>
        <v>314.3948230132645</v>
      </c>
      <c r="O85" s="10">
        <f t="shared" si="21"/>
        <v>0.31439482301326449</v>
      </c>
      <c r="P85" s="10">
        <f t="shared" si="25"/>
        <v>15120.425691989183</v>
      </c>
      <c r="Q85" s="10">
        <f t="shared" si="22"/>
        <v>370.31046399796821</v>
      </c>
      <c r="R85" s="10">
        <f t="shared" si="20"/>
        <v>5.9344625640700039</v>
      </c>
      <c r="S85" s="91"/>
    </row>
    <row r="86" spans="1:19" s="95" customFormat="1">
      <c r="A86" s="23">
        <v>38888</v>
      </c>
      <c r="B86" s="9" t="s">
        <v>30</v>
      </c>
      <c r="C86" s="100">
        <v>2</v>
      </c>
      <c r="D86" s="47">
        <f t="shared" si="13"/>
        <v>1.4</v>
      </c>
      <c r="E86" s="47">
        <f t="shared" si="14"/>
        <v>1400</v>
      </c>
      <c r="F86" s="47">
        <f t="shared" si="17"/>
        <v>7000</v>
      </c>
      <c r="G86" s="10">
        <f>VS!I224</f>
        <v>3785.830178474866</v>
      </c>
      <c r="H86" s="61">
        <f t="shared" si="18"/>
        <v>757.16603569497329</v>
      </c>
      <c r="I86" s="61">
        <f t="shared" si="15"/>
        <v>6814.4943212547587</v>
      </c>
      <c r="J86" s="61">
        <f t="shared" si="16"/>
        <v>8214.4943212547587</v>
      </c>
      <c r="K86" s="61">
        <f t="shared" si="19"/>
        <v>7571.660356949732</v>
      </c>
      <c r="L86" s="78">
        <f t="shared" si="23"/>
        <v>-2662.128294558056</v>
      </c>
      <c r="M86" s="10">
        <f t="shared" si="24"/>
        <v>38169.625495883425</v>
      </c>
      <c r="N86" s="10">
        <f>gas!H262</f>
        <v>186.51308459509437</v>
      </c>
      <c r="O86" s="10">
        <f t="shared" si="21"/>
        <v>0.18651308459509436</v>
      </c>
      <c r="P86" s="10">
        <f t="shared" si="25"/>
        <v>15306.938776584277</v>
      </c>
      <c r="Q86" s="10">
        <f t="shared" si="22"/>
        <v>401.02407549780975</v>
      </c>
      <c r="R86" s="10">
        <f t="shared" si="20"/>
        <v>6.4266678765674641</v>
      </c>
      <c r="S86" s="91"/>
    </row>
    <row r="87" spans="1:19" s="95" customFormat="1">
      <c r="A87" s="23">
        <v>38890</v>
      </c>
      <c r="B87" s="9" t="s">
        <v>30</v>
      </c>
      <c r="C87" s="100">
        <v>2</v>
      </c>
      <c r="D87" s="47">
        <f t="shared" si="13"/>
        <v>1.4</v>
      </c>
      <c r="E87" s="47">
        <f t="shared" si="14"/>
        <v>1400</v>
      </c>
      <c r="F87" s="47">
        <f t="shared" si="17"/>
        <v>7000</v>
      </c>
      <c r="G87" s="10">
        <f>VS!I226</f>
        <v>3400.2413074476508</v>
      </c>
      <c r="H87" s="61">
        <f t="shared" si="18"/>
        <v>680.0482614895302</v>
      </c>
      <c r="I87" s="61">
        <f t="shared" si="15"/>
        <v>6120.4343534057716</v>
      </c>
      <c r="J87" s="61">
        <f t="shared" si="16"/>
        <v>7520.4343534057716</v>
      </c>
      <c r="K87" s="61">
        <f t="shared" si="19"/>
        <v>6800.4826148953016</v>
      </c>
      <c r="L87" s="78">
        <f t="shared" si="23"/>
        <v>1414.0117063594571</v>
      </c>
      <c r="M87" s="10">
        <f t="shared" si="24"/>
        <v>39583.637202242884</v>
      </c>
      <c r="N87" s="10">
        <f>gas!H264</f>
        <v>164.37545188281354</v>
      </c>
      <c r="O87" s="10">
        <f t="shared" si="21"/>
        <v>0.16437545188281352</v>
      </c>
      <c r="P87" s="10">
        <f t="shared" si="25"/>
        <v>15471.31422846709</v>
      </c>
      <c r="Q87" s="10">
        <f t="shared" si="22"/>
        <v>390.85125374962905</v>
      </c>
      <c r="R87" s="10">
        <f t="shared" si="20"/>
        <v>6.2636418870132866</v>
      </c>
      <c r="S87" s="91"/>
    </row>
    <row r="88" spans="1:19" s="77" customFormat="1">
      <c r="A88" s="105">
        <v>38892</v>
      </c>
      <c r="B88" s="9" t="s">
        <v>30</v>
      </c>
      <c r="C88" s="106">
        <v>2.5</v>
      </c>
      <c r="D88" s="47">
        <f t="shared" si="13"/>
        <v>1.75</v>
      </c>
      <c r="E88" s="47">
        <f t="shared" si="14"/>
        <v>1750</v>
      </c>
      <c r="F88" s="47">
        <f t="shared" si="17"/>
        <v>8750</v>
      </c>
      <c r="G88" s="14">
        <f>VS!I228</f>
        <v>1595.8053117519723</v>
      </c>
      <c r="H88" s="61">
        <f t="shared" si="18"/>
        <v>319.1610623503945</v>
      </c>
      <c r="I88" s="61">
        <f t="shared" si="15"/>
        <v>2872.4495611535503</v>
      </c>
      <c r="J88" s="61">
        <f t="shared" si="16"/>
        <v>4622.4495611535503</v>
      </c>
      <c r="K88" s="61">
        <f t="shared" si="19"/>
        <v>3191.6106235039447</v>
      </c>
      <c r="L88" s="78">
        <f t="shared" si="23"/>
        <v>4328.8237299018274</v>
      </c>
      <c r="M88" s="10">
        <f t="shared" si="24"/>
        <v>43912.460932144713</v>
      </c>
      <c r="N88" s="14">
        <f>gas!H266</f>
        <v>217.32957284949097</v>
      </c>
      <c r="O88" s="10">
        <f t="shared" si="21"/>
        <v>0.21732957284949098</v>
      </c>
      <c r="P88" s="10">
        <f t="shared" si="25"/>
        <v>15688.643801316581</v>
      </c>
      <c r="Q88" s="10">
        <f t="shared" si="22"/>
        <v>357.27088549100677</v>
      </c>
      <c r="R88" s="14">
        <f t="shared" si="20"/>
        <v>5.7254949597917753</v>
      </c>
      <c r="S88" s="25"/>
    </row>
    <row r="89" spans="1:19" s="95" customFormat="1">
      <c r="A89" s="23">
        <v>38895</v>
      </c>
      <c r="B89" s="9" t="s">
        <v>30</v>
      </c>
      <c r="C89" s="100">
        <v>2.5</v>
      </c>
      <c r="D89" s="47">
        <f t="shared" si="13"/>
        <v>1.75</v>
      </c>
      <c r="E89" s="47">
        <f t="shared" si="14"/>
        <v>1750</v>
      </c>
      <c r="F89" s="47">
        <f t="shared" si="17"/>
        <v>8750</v>
      </c>
      <c r="G89" s="10">
        <f>VS!I230</f>
        <v>2930.8323563892141</v>
      </c>
      <c r="H89" s="61">
        <f t="shared" si="18"/>
        <v>586.16647127784279</v>
      </c>
      <c r="I89" s="61">
        <f t="shared" si="15"/>
        <v>5275.4982415005852</v>
      </c>
      <c r="J89" s="61">
        <f t="shared" si="16"/>
        <v>7025.4982415005852</v>
      </c>
      <c r="K89" s="61">
        <f t="shared" si="19"/>
        <v>5861.6647127784281</v>
      </c>
      <c r="L89" s="78">
        <f t="shared" si="23"/>
        <v>-1239.2151516248778</v>
      </c>
      <c r="M89" s="10">
        <f t="shared" si="24"/>
        <v>42673.245780519836</v>
      </c>
      <c r="N89" s="10">
        <f>gas!H268</f>
        <v>267.24026580712194</v>
      </c>
      <c r="O89" s="10">
        <f t="shared" si="21"/>
        <v>0.26724026580712196</v>
      </c>
      <c r="P89" s="10">
        <f t="shared" si="25"/>
        <v>15955.884067123703</v>
      </c>
      <c r="Q89" s="10">
        <f t="shared" si="22"/>
        <v>373.90837690643866</v>
      </c>
      <c r="R89" s="10">
        <f t="shared" si="20"/>
        <v>5.9921214247826713</v>
      </c>
      <c r="S89" s="91"/>
    </row>
    <row r="90" spans="1:19" s="95" customFormat="1">
      <c r="A90" s="23">
        <v>38897</v>
      </c>
      <c r="B90" s="9" t="s">
        <v>30</v>
      </c>
      <c r="C90" s="100">
        <v>2.5</v>
      </c>
      <c r="D90" s="47">
        <f t="shared" si="13"/>
        <v>1.75</v>
      </c>
      <c r="E90" s="47">
        <f t="shared" si="14"/>
        <v>1750</v>
      </c>
      <c r="F90" s="47">
        <f t="shared" si="17"/>
        <v>8750</v>
      </c>
      <c r="G90" s="10">
        <f>VS!I232</f>
        <v>3234.0805174528737</v>
      </c>
      <c r="H90" s="61">
        <f t="shared" si="18"/>
        <v>646.81610349057473</v>
      </c>
      <c r="I90" s="61">
        <f t="shared" si="15"/>
        <v>5821.3449314151731</v>
      </c>
      <c r="J90" s="61">
        <f t="shared" si="16"/>
        <v>7571.3449314151731</v>
      </c>
      <c r="K90" s="61">
        <f t="shared" si="19"/>
        <v>6468.1610349057473</v>
      </c>
      <c r="L90" s="78">
        <f t="shared" si="23"/>
        <v>557.33720659483788</v>
      </c>
      <c r="M90" s="10">
        <f t="shared" si="24"/>
        <v>43230.582987114671</v>
      </c>
      <c r="N90" s="10">
        <f>gas!H270</f>
        <v>240.65129975334636</v>
      </c>
      <c r="O90" s="10">
        <f t="shared" si="21"/>
        <v>0.24065129975334637</v>
      </c>
      <c r="P90" s="10">
        <f t="shared" si="25"/>
        <v>16196.535366877049</v>
      </c>
      <c r="Q90" s="10">
        <f t="shared" si="22"/>
        <v>374.65456738588506</v>
      </c>
      <c r="R90" s="10">
        <f t="shared" si="20"/>
        <v>6.0040796055430299</v>
      </c>
      <c r="S90" s="91"/>
    </row>
    <row r="91" spans="1:19" s="77" customFormat="1">
      <c r="A91" s="105">
        <v>38900</v>
      </c>
      <c r="B91" s="9" t="s">
        <v>30</v>
      </c>
      <c r="C91" s="106">
        <v>2.33</v>
      </c>
      <c r="D91" s="47">
        <f t="shared" si="13"/>
        <v>1.631</v>
      </c>
      <c r="E91" s="47">
        <f t="shared" si="14"/>
        <v>1631</v>
      </c>
      <c r="F91" s="47">
        <f t="shared" si="17"/>
        <v>8155</v>
      </c>
      <c r="G91" s="14">
        <f>VS!I234</f>
        <v>4123.0893000804153</v>
      </c>
      <c r="H91" s="61">
        <f t="shared" si="18"/>
        <v>824.61786001608311</v>
      </c>
      <c r="I91" s="61">
        <f t="shared" si="15"/>
        <v>7421.5607401447478</v>
      </c>
      <c r="J91" s="61">
        <f t="shared" si="16"/>
        <v>9052.5607401447487</v>
      </c>
      <c r="K91" s="61">
        <f t="shared" si="19"/>
        <v>8246.1786001608307</v>
      </c>
      <c r="L91" s="78">
        <f t="shared" si="23"/>
        <v>-674.83366874565763</v>
      </c>
      <c r="M91" s="10">
        <f t="shared" si="24"/>
        <v>42555.749318369009</v>
      </c>
      <c r="N91" s="14">
        <f>gas!H272</f>
        <v>338.65643533248993</v>
      </c>
      <c r="O91" s="10">
        <f t="shared" si="21"/>
        <v>0.33865643533248996</v>
      </c>
      <c r="P91" s="10">
        <f t="shared" si="25"/>
        <v>16535.191802209538</v>
      </c>
      <c r="Q91" s="10">
        <f t="shared" si="22"/>
        <v>388.55365178759035</v>
      </c>
      <c r="R91" s="14">
        <f t="shared" si="20"/>
        <v>6.2268213427498456</v>
      </c>
      <c r="S91" s="25"/>
    </row>
    <row r="92" spans="1:19" s="95" customFormat="1">
      <c r="A92" s="23">
        <v>38902</v>
      </c>
      <c r="B92" s="9" t="s">
        <v>30</v>
      </c>
      <c r="C92" s="100">
        <v>2.33</v>
      </c>
      <c r="D92" s="47">
        <f t="shared" si="13"/>
        <v>1.631</v>
      </c>
      <c r="E92" s="47">
        <f t="shared" si="14"/>
        <v>1631</v>
      </c>
      <c r="F92" s="47">
        <f t="shared" si="17"/>
        <v>8155</v>
      </c>
      <c r="G92" s="10">
        <f>VS!I236</f>
        <v>3041.8250950569695</v>
      </c>
      <c r="H92" s="61">
        <f t="shared" si="18"/>
        <v>608.36501901139388</v>
      </c>
      <c r="I92" s="61">
        <f t="shared" si="15"/>
        <v>5475.2851711025451</v>
      </c>
      <c r="J92" s="61">
        <f t="shared" si="16"/>
        <v>7106.2851711025451</v>
      </c>
      <c r="K92" s="61">
        <f t="shared" si="19"/>
        <v>6083.6501901139391</v>
      </c>
      <c r="L92" s="78">
        <f t="shared" si="23"/>
        <v>2968.9105500308096</v>
      </c>
      <c r="M92" s="10">
        <f t="shared" si="24"/>
        <v>45524.659868399816</v>
      </c>
      <c r="N92" s="10">
        <f>gas!H274</f>
        <v>284.07118986453816</v>
      </c>
      <c r="O92" s="10">
        <f t="shared" si="21"/>
        <v>0.28407118986453817</v>
      </c>
      <c r="P92" s="10">
        <f t="shared" si="25"/>
        <v>16819.262992074076</v>
      </c>
      <c r="Q92" s="10">
        <f t="shared" si="22"/>
        <v>369.45389687027375</v>
      </c>
      <c r="R92" s="10">
        <f t="shared" si="20"/>
        <v>5.9207355267672073</v>
      </c>
      <c r="S92" s="91"/>
    </row>
    <row r="93" spans="1:19" s="95" customFormat="1">
      <c r="A93" s="23">
        <v>38904</v>
      </c>
      <c r="B93" s="9" t="s">
        <v>30</v>
      </c>
      <c r="C93" s="100">
        <v>2.33</v>
      </c>
      <c r="D93" s="47">
        <f t="shared" si="13"/>
        <v>1.631</v>
      </c>
      <c r="E93" s="47">
        <f t="shared" si="14"/>
        <v>1631</v>
      </c>
      <c r="F93" s="47">
        <f t="shared" si="17"/>
        <v>8155</v>
      </c>
      <c r="G93" s="10">
        <f>VS!I238</f>
        <v>3964.9164964556694</v>
      </c>
      <c r="H93" s="61">
        <f t="shared" si="18"/>
        <v>792.9832992911339</v>
      </c>
      <c r="I93" s="61">
        <f t="shared" si="15"/>
        <v>7136.8496936202055</v>
      </c>
      <c r="J93" s="61">
        <f t="shared" si="16"/>
        <v>8767.8496936202064</v>
      </c>
      <c r="K93" s="61">
        <f t="shared" si="19"/>
        <v>7929.8329929113388</v>
      </c>
      <c r="L93" s="78">
        <f t="shared" si="23"/>
        <v>-823.54782180879374</v>
      </c>
      <c r="M93" s="10">
        <f t="shared" si="24"/>
        <v>44701.112046591021</v>
      </c>
      <c r="N93" s="10">
        <f>gas!H276</f>
        <v>233.26835475600686</v>
      </c>
      <c r="O93" s="10">
        <f t="shared" si="21"/>
        <v>0.23326835475600685</v>
      </c>
      <c r="P93" s="10">
        <f t="shared" si="25"/>
        <v>17052.531346830085</v>
      </c>
      <c r="Q93" s="10">
        <f t="shared" si="22"/>
        <v>381.47890658864577</v>
      </c>
      <c r="R93" s="10">
        <f t="shared" si="20"/>
        <v>6.1134440158436822</v>
      </c>
      <c r="S93" s="91"/>
    </row>
    <row r="94" spans="1:19" s="95" customFormat="1">
      <c r="A94" s="23">
        <v>38906</v>
      </c>
      <c r="B94" s="9" t="s">
        <v>30</v>
      </c>
      <c r="C94" s="100">
        <v>2.33</v>
      </c>
      <c r="D94" s="47">
        <f t="shared" si="13"/>
        <v>1.631</v>
      </c>
      <c r="E94" s="47">
        <f t="shared" si="14"/>
        <v>1631</v>
      </c>
      <c r="F94" s="47">
        <f t="shared" si="17"/>
        <v>8155</v>
      </c>
      <c r="G94" s="10">
        <f>VS!I240</f>
        <v>3831.4176245210883</v>
      </c>
      <c r="H94" s="61">
        <f t="shared" si="18"/>
        <v>766.28352490421776</v>
      </c>
      <c r="I94" s="61">
        <f t="shared" si="15"/>
        <v>6896.5517241379594</v>
      </c>
      <c r="J94" s="61">
        <f t="shared" si="16"/>
        <v>8527.5517241379603</v>
      </c>
      <c r="K94" s="61">
        <f t="shared" si="19"/>
        <v>7662.8352490421767</v>
      </c>
      <c r="L94" s="78">
        <f t="shared" si="23"/>
        <v>1105.0144445780297</v>
      </c>
      <c r="M94" s="10">
        <f t="shared" si="24"/>
        <v>45806.126491169052</v>
      </c>
      <c r="N94" s="10">
        <f>gas!H278</f>
        <v>276.69353972539386</v>
      </c>
      <c r="O94" s="10">
        <f t="shared" si="21"/>
        <v>0.27669353972539384</v>
      </c>
      <c r="P94" s="10">
        <f t="shared" si="25"/>
        <v>17329.224886555479</v>
      </c>
      <c r="Q94" s="10">
        <f t="shared" si="22"/>
        <v>378.31674961418918</v>
      </c>
      <c r="R94" s="10">
        <f t="shared" si="20"/>
        <v>6.0627684233043135</v>
      </c>
      <c r="S94" s="91"/>
    </row>
    <row r="95" spans="1:19" s="95" customFormat="1">
      <c r="A95" s="23">
        <v>38909</v>
      </c>
      <c r="B95" s="9" t="s">
        <v>30</v>
      </c>
      <c r="C95" s="100">
        <v>2.33</v>
      </c>
      <c r="D95" s="47">
        <f t="shared" si="13"/>
        <v>1.631</v>
      </c>
      <c r="E95" s="47">
        <f t="shared" si="14"/>
        <v>1631</v>
      </c>
      <c r="F95" s="47">
        <f t="shared" si="17"/>
        <v>8155</v>
      </c>
      <c r="G95" s="10">
        <f>VS!I242</f>
        <v>3843.9796495194601</v>
      </c>
      <c r="H95" s="61">
        <f t="shared" si="18"/>
        <v>768.7959299038921</v>
      </c>
      <c r="I95" s="61">
        <f t="shared" si="15"/>
        <v>6919.163369135028</v>
      </c>
      <c r="J95" s="61">
        <f t="shared" si="16"/>
        <v>8550.1633691350289</v>
      </c>
      <c r="K95" s="61">
        <f t="shared" si="19"/>
        <v>7687.9592990389201</v>
      </c>
      <c r="L95" s="78">
        <f t="shared" si="23"/>
        <v>839.59242509904016</v>
      </c>
      <c r="M95" s="10">
        <f t="shared" si="24"/>
        <v>46645.718916268095</v>
      </c>
      <c r="N95" s="10">
        <f>gas!H280</f>
        <v>315.17863085817737</v>
      </c>
      <c r="O95" s="10">
        <f t="shared" si="21"/>
        <v>0.31517863085817738</v>
      </c>
      <c r="P95" s="10">
        <f t="shared" si="25"/>
        <v>17644.403517413655</v>
      </c>
      <c r="Q95" s="10">
        <f t="shared" si="22"/>
        <v>378.2641564403034</v>
      </c>
      <c r="R95" s="10">
        <f t="shared" si="20"/>
        <v>6.061925583979221</v>
      </c>
      <c r="S95" s="91"/>
    </row>
    <row r="96" spans="1:19" s="77" customFormat="1">
      <c r="A96" s="105">
        <v>38911</v>
      </c>
      <c r="B96" s="9" t="s">
        <v>30</v>
      </c>
      <c r="C96" s="106">
        <v>2.0699999999999998</v>
      </c>
      <c r="D96" s="47">
        <f t="shared" si="13"/>
        <v>1.4489999999999998</v>
      </c>
      <c r="E96" s="47">
        <f t="shared" si="14"/>
        <v>1448.9999999999998</v>
      </c>
      <c r="F96" s="47">
        <f t="shared" si="17"/>
        <v>7244.9999999999991</v>
      </c>
      <c r="G96" s="14">
        <f>VS!I244</f>
        <v>3559.1146702257838</v>
      </c>
      <c r="H96" s="61">
        <f t="shared" si="18"/>
        <v>711.82293404515679</v>
      </c>
      <c r="I96" s="61">
        <f t="shared" si="15"/>
        <v>6406.4064064064114</v>
      </c>
      <c r="J96" s="61">
        <f t="shared" si="16"/>
        <v>7855.4064064064114</v>
      </c>
      <c r="K96" s="61">
        <f t="shared" si="19"/>
        <v>7118.2293404515676</v>
      </c>
      <c r="L96" s="78">
        <f t="shared" si="23"/>
        <v>1431.9340286834613</v>
      </c>
      <c r="M96" s="10">
        <f t="shared" si="24"/>
        <v>48077.652944951558</v>
      </c>
      <c r="N96" s="14">
        <f>gas!H280</f>
        <v>315.17863085817737</v>
      </c>
      <c r="O96" s="10">
        <f t="shared" si="21"/>
        <v>0.31517863085817738</v>
      </c>
      <c r="P96" s="10">
        <f t="shared" si="25"/>
        <v>17959.582148271831</v>
      </c>
      <c r="Q96" s="10">
        <f t="shared" si="22"/>
        <v>373.55363767102727</v>
      </c>
      <c r="R96" s="14">
        <f t="shared" si="20"/>
        <v>5.9864365011382574</v>
      </c>
      <c r="S96" s="25"/>
    </row>
    <row r="97" spans="1:19" s="95" customFormat="1">
      <c r="A97" s="23">
        <v>38913</v>
      </c>
      <c r="B97" s="9" t="s">
        <v>30</v>
      </c>
      <c r="C97" s="106">
        <v>2.0699999999999998</v>
      </c>
      <c r="D97" s="47">
        <f t="shared" si="13"/>
        <v>1.4489999999999998</v>
      </c>
      <c r="E97" s="47">
        <f t="shared" si="14"/>
        <v>1448.9999999999998</v>
      </c>
      <c r="F97" s="47">
        <f t="shared" si="17"/>
        <v>7244.9999999999991</v>
      </c>
      <c r="G97" s="10">
        <f>VS!I246</f>
        <v>3702.528297894863</v>
      </c>
      <c r="H97" s="61">
        <f t="shared" si="18"/>
        <v>740.50565957897265</v>
      </c>
      <c r="I97" s="61">
        <f t="shared" si="15"/>
        <v>6664.5509362107532</v>
      </c>
      <c r="J97" s="61">
        <f t="shared" si="16"/>
        <v>8113.5509362107532</v>
      </c>
      <c r="K97" s="61">
        <f t="shared" si="19"/>
        <v>7405.0565957897261</v>
      </c>
      <c r="L97" s="78">
        <f t="shared" si="23"/>
        <v>450.34981061668532</v>
      </c>
      <c r="M97" s="10">
        <f t="shared" si="24"/>
        <v>48528.002755568246</v>
      </c>
      <c r="N97" s="10">
        <f>gas!H284</f>
        <v>235.43978803716217</v>
      </c>
      <c r="O97" s="10">
        <f t="shared" si="21"/>
        <v>0.23543978803716217</v>
      </c>
      <c r="P97" s="10">
        <f t="shared" si="25"/>
        <v>18195.021936308993</v>
      </c>
      <c r="Q97" s="10">
        <f t="shared" si="22"/>
        <v>374.9386107636841</v>
      </c>
      <c r="R97" s="10">
        <f t="shared" si="20"/>
        <v>6.0086315827513479</v>
      </c>
      <c r="S97" s="91"/>
    </row>
    <row r="98" spans="1:19" s="95" customFormat="1">
      <c r="A98" s="23">
        <v>38916</v>
      </c>
      <c r="B98" s="9" t="s">
        <v>30</v>
      </c>
      <c r="C98" s="106">
        <v>2.0699999999999998</v>
      </c>
      <c r="D98" s="47">
        <f t="shared" si="13"/>
        <v>1.4489999999999998</v>
      </c>
      <c r="E98" s="47">
        <f t="shared" si="14"/>
        <v>1448.9999999999998</v>
      </c>
      <c r="F98" s="47">
        <f t="shared" si="17"/>
        <v>7244.9999999999991</v>
      </c>
      <c r="G98" s="10">
        <f>VS!I248</f>
        <v>3680.5710461744975</v>
      </c>
      <c r="H98" s="61">
        <f t="shared" si="18"/>
        <v>736.11420923489959</v>
      </c>
      <c r="I98" s="61">
        <f t="shared" si="15"/>
        <v>6625.0278831140959</v>
      </c>
      <c r="J98" s="61">
        <f t="shared" si="16"/>
        <v>8074.0278831140959</v>
      </c>
      <c r="K98" s="61">
        <f t="shared" si="19"/>
        <v>7361.142092348995</v>
      </c>
      <c r="L98" s="78">
        <f t="shared" si="23"/>
        <v>752.40884386175821</v>
      </c>
      <c r="M98" s="10">
        <f t="shared" si="24"/>
        <v>49280.411599430008</v>
      </c>
      <c r="N98" s="10">
        <f>gas!H286</f>
        <v>302.09574100889188</v>
      </c>
      <c r="O98" s="10">
        <f t="shared" si="21"/>
        <v>0.30209574100889186</v>
      </c>
      <c r="P98" s="10">
        <f t="shared" si="25"/>
        <v>18497.117677317885</v>
      </c>
      <c r="Q98" s="10">
        <f t="shared" si="22"/>
        <v>375.34422049209968</v>
      </c>
      <c r="R98" s="10">
        <f t="shared" si="20"/>
        <v>6.0151317386554437</v>
      </c>
      <c r="S98" s="91"/>
    </row>
    <row r="99" spans="1:19" s="77" customFormat="1">
      <c r="A99" s="105">
        <v>38918</v>
      </c>
      <c r="B99" s="9" t="s">
        <v>30</v>
      </c>
      <c r="C99" s="106">
        <v>2.0299999999999998</v>
      </c>
      <c r="D99" s="47">
        <f t="shared" si="13"/>
        <v>1.4209999999999998</v>
      </c>
      <c r="E99" s="47">
        <f t="shared" si="14"/>
        <v>1420.9999999999998</v>
      </c>
      <c r="F99" s="47">
        <f t="shared" si="17"/>
        <v>7104.9999999999991</v>
      </c>
      <c r="G99" s="14">
        <f>VS!I250</f>
        <v>3901.4874420873002</v>
      </c>
      <c r="H99" s="61">
        <f t="shared" si="18"/>
        <v>780.29748841746004</v>
      </c>
      <c r="I99" s="61">
        <f t="shared" si="15"/>
        <v>7022.6773957571404</v>
      </c>
      <c r="J99" s="61">
        <f t="shared" si="16"/>
        <v>8443.6773957571404</v>
      </c>
      <c r="K99" s="61">
        <f t="shared" si="19"/>
        <v>7802.9748841746004</v>
      </c>
      <c r="L99" s="78">
        <f t="shared" si="23"/>
        <v>271.05299893949541</v>
      </c>
      <c r="M99" s="10">
        <f t="shared" si="24"/>
        <v>49551.464598369501</v>
      </c>
      <c r="N99" s="14">
        <f>gas!H288</f>
        <v>261.19661899285205</v>
      </c>
      <c r="O99" s="10">
        <f t="shared" si="21"/>
        <v>0.26119661899285207</v>
      </c>
      <c r="P99" s="10">
        <f t="shared" si="25"/>
        <v>18758.314296310738</v>
      </c>
      <c r="Q99" s="10">
        <f t="shared" si="22"/>
        <v>378.56225740960207</v>
      </c>
      <c r="R99" s="14">
        <f t="shared" si="20"/>
        <v>6.0667028431025978</v>
      </c>
      <c r="S99" s="25"/>
    </row>
    <row r="100" spans="1:19" s="95" customFormat="1">
      <c r="A100" s="23">
        <v>38920</v>
      </c>
      <c r="B100" s="9" t="s">
        <v>30</v>
      </c>
      <c r="C100" s="106">
        <v>2.0299999999999998</v>
      </c>
      <c r="D100" s="47">
        <f t="shared" si="13"/>
        <v>1.4209999999999998</v>
      </c>
      <c r="E100" s="47">
        <f t="shared" si="14"/>
        <v>1420.9999999999998</v>
      </c>
      <c r="F100" s="47">
        <f t="shared" si="17"/>
        <v>7104.9999999999991</v>
      </c>
      <c r="G100" s="10">
        <f>VS!I252</f>
        <v>3786.5341379718402</v>
      </c>
      <c r="H100" s="61">
        <f t="shared" si="18"/>
        <v>757.30682759436809</v>
      </c>
      <c r="I100" s="61">
        <f t="shared" si="15"/>
        <v>6815.7614483493126</v>
      </c>
      <c r="J100" s="61">
        <f t="shared" si="16"/>
        <v>8236.7614483493126</v>
      </c>
      <c r="K100" s="61">
        <f t="shared" si="19"/>
        <v>7573.0682759436804</v>
      </c>
      <c r="L100" s="78">
        <f t="shared" si="23"/>
        <v>870.60911981345998</v>
      </c>
      <c r="M100" s="10">
        <f t="shared" si="24"/>
        <v>50422.073718182961</v>
      </c>
      <c r="N100" s="10">
        <f>gas!H290</f>
        <v>288.94109811683518</v>
      </c>
      <c r="O100" s="10">
        <f t="shared" si="21"/>
        <v>0.28894109811683516</v>
      </c>
      <c r="P100" s="10">
        <f t="shared" si="25"/>
        <v>19047.255394427575</v>
      </c>
      <c r="Q100" s="10">
        <f t="shared" si="22"/>
        <v>377.75628786879599</v>
      </c>
      <c r="R100" s="10">
        <f t="shared" si="20"/>
        <v>6.0537866645640381</v>
      </c>
      <c r="S100" s="91"/>
    </row>
    <row r="101" spans="1:19" s="95" customFormat="1">
      <c r="A101" s="23">
        <v>38923</v>
      </c>
      <c r="B101" s="9" t="s">
        <v>30</v>
      </c>
      <c r="C101" s="106">
        <v>2.0299999999999998</v>
      </c>
      <c r="D101" s="47">
        <f t="shared" si="13"/>
        <v>1.4209999999999998</v>
      </c>
      <c r="E101" s="47">
        <f t="shared" si="14"/>
        <v>1420.9999999999998</v>
      </c>
      <c r="F101" s="47">
        <f t="shared" si="17"/>
        <v>7104.9999999999991</v>
      </c>
      <c r="G101" s="10">
        <f>VS!I254</f>
        <v>3731.3432835821054</v>
      </c>
      <c r="H101" s="61">
        <f t="shared" si="18"/>
        <v>746.26865671642111</v>
      </c>
      <c r="I101" s="61">
        <f t="shared" si="15"/>
        <v>6716.4179104477898</v>
      </c>
      <c r="J101" s="61">
        <f t="shared" si="16"/>
        <v>8137.4179104477898</v>
      </c>
      <c r="K101" s="61">
        <f t="shared" si="19"/>
        <v>7462.6865671642108</v>
      </c>
      <c r="L101" s="78">
        <f t="shared" si="23"/>
        <v>774.07488118510173</v>
      </c>
      <c r="M101" s="10">
        <f t="shared" si="24"/>
        <v>51196.148599368062</v>
      </c>
      <c r="N101" s="10">
        <f>gas!H292</f>
        <v>297.78419490019451</v>
      </c>
      <c r="O101" s="10">
        <f t="shared" si="21"/>
        <v>0.29778419490019453</v>
      </c>
      <c r="P101" s="10">
        <f t="shared" si="25"/>
        <v>19345.039589327771</v>
      </c>
      <c r="Q101" s="10">
        <f t="shared" si="22"/>
        <v>377.86122820900158</v>
      </c>
      <c r="R101" s="10">
        <f t="shared" si="20"/>
        <v>6.0554684007852817</v>
      </c>
      <c r="S101" s="91"/>
    </row>
    <row r="102" spans="1:19" s="95" customFormat="1">
      <c r="A102" s="23">
        <v>38927</v>
      </c>
      <c r="B102" s="9" t="s">
        <v>30</v>
      </c>
      <c r="C102" s="106">
        <v>2.0299999999999998</v>
      </c>
      <c r="D102" s="47">
        <f t="shared" si="13"/>
        <v>1.4209999999999998</v>
      </c>
      <c r="E102" s="47">
        <f t="shared" si="14"/>
        <v>1420.9999999999998</v>
      </c>
      <c r="F102" s="47">
        <f t="shared" si="17"/>
        <v>7104.9999999999991</v>
      </c>
      <c r="G102" s="10">
        <f>VS!I256</f>
        <v>3707.3383491440013</v>
      </c>
      <c r="H102" s="61">
        <f t="shared" si="18"/>
        <v>741.46766982880035</v>
      </c>
      <c r="I102" s="61">
        <f t="shared" si="15"/>
        <v>6673.2090284592023</v>
      </c>
      <c r="J102" s="61">
        <f t="shared" si="16"/>
        <v>8094.2090284592023</v>
      </c>
      <c r="K102" s="61">
        <f t="shared" si="19"/>
        <v>7414.6766982880026</v>
      </c>
      <c r="L102" s="78">
        <f t="shared" si="23"/>
        <v>722.74121215978721</v>
      </c>
      <c r="M102" s="10">
        <f t="shared" si="24"/>
        <v>51918.88981152785</v>
      </c>
      <c r="N102" s="10">
        <f>gas!H294</f>
        <v>291.74788807962091</v>
      </c>
      <c r="O102" s="10">
        <f t="shared" si="21"/>
        <v>0.29174788807962093</v>
      </c>
      <c r="P102" s="10">
        <f t="shared" si="25"/>
        <v>19636.787477407393</v>
      </c>
      <c r="Q102" s="10">
        <f t="shared" si="22"/>
        <v>378.22048099817658</v>
      </c>
      <c r="R102" s="10">
        <f t="shared" si="20"/>
        <v>6.0612256570220611</v>
      </c>
      <c r="S102" s="91"/>
    </row>
    <row r="103" spans="1:19" s="95" customFormat="1">
      <c r="A103" s="23">
        <v>38930</v>
      </c>
      <c r="B103" s="9" t="s">
        <v>30</v>
      </c>
      <c r="C103" s="106">
        <v>2.0299999999999998</v>
      </c>
      <c r="D103" s="47">
        <f t="shared" si="13"/>
        <v>1.4209999999999998</v>
      </c>
      <c r="E103" s="47">
        <f t="shared" si="14"/>
        <v>1420.9999999999998</v>
      </c>
      <c r="F103" s="47">
        <f t="shared" si="17"/>
        <v>7104.9999999999991</v>
      </c>
      <c r="G103" s="10">
        <f>VS!I258</f>
        <v>3845.7188100893145</v>
      </c>
      <c r="H103" s="61">
        <f t="shared" si="18"/>
        <v>769.14376201786297</v>
      </c>
      <c r="I103" s="61">
        <f t="shared" si="15"/>
        <v>6922.2938581607659</v>
      </c>
      <c r="J103" s="61">
        <f t="shared" si="16"/>
        <v>8343.293858160765</v>
      </c>
      <c r="K103" s="61">
        <f t="shared" si="19"/>
        <v>7691.437620178629</v>
      </c>
      <c r="L103" s="78">
        <f t="shared" si="23"/>
        <v>402.77140828057327</v>
      </c>
      <c r="M103" s="10">
        <f t="shared" si="24"/>
        <v>52321.661219808426</v>
      </c>
      <c r="N103" s="10">
        <f>gas!H296</f>
        <v>287.06667698303551</v>
      </c>
      <c r="O103" s="10">
        <f t="shared" si="21"/>
        <v>0.28706667698303551</v>
      </c>
      <c r="P103" s="10">
        <f t="shared" si="25"/>
        <v>19923.854154390428</v>
      </c>
      <c r="Q103" s="10">
        <f t="shared" si="22"/>
        <v>380.79551929149125</v>
      </c>
      <c r="R103" s="10">
        <f t="shared" si="20"/>
        <v>6.1024922963380011</v>
      </c>
      <c r="S103" s="91"/>
    </row>
    <row r="104" spans="1:19" s="95" customFormat="1">
      <c r="A104" s="23">
        <v>38932</v>
      </c>
      <c r="B104" s="9" t="s">
        <v>30</v>
      </c>
      <c r="C104" s="106">
        <v>2.0299999999999998</v>
      </c>
      <c r="D104" s="47">
        <f t="shared" si="13"/>
        <v>1.4209999999999998</v>
      </c>
      <c r="E104" s="47">
        <f t="shared" si="14"/>
        <v>1420.9999999999998</v>
      </c>
      <c r="F104" s="47">
        <f t="shared" si="17"/>
        <v>7104.9999999999991</v>
      </c>
      <c r="G104" s="10">
        <f>VS!I260</f>
        <v>3910.2932719953565</v>
      </c>
      <c r="H104" s="61">
        <f t="shared" si="18"/>
        <v>782.05865439907132</v>
      </c>
      <c r="I104" s="61">
        <f t="shared" si="15"/>
        <v>7038.5278895916417</v>
      </c>
      <c r="J104" s="61">
        <f t="shared" si="16"/>
        <v>8459.5278895916417</v>
      </c>
      <c r="K104" s="61">
        <f t="shared" si="19"/>
        <v>7820.5865439907129</v>
      </c>
      <c r="L104" s="78">
        <f t="shared" si="23"/>
        <v>522.70731417005209</v>
      </c>
      <c r="M104" s="10">
        <f t="shared" si="24"/>
        <v>52844.368533978479</v>
      </c>
      <c r="N104" s="10">
        <f>gas!H298</f>
        <v>257.60753308784865</v>
      </c>
      <c r="O104" s="10">
        <f t="shared" si="21"/>
        <v>0.25760753308784867</v>
      </c>
      <c r="P104" s="10">
        <f t="shared" si="25"/>
        <v>20181.461687478277</v>
      </c>
      <c r="Q104" s="10">
        <f t="shared" si="22"/>
        <v>381.90373444431958</v>
      </c>
      <c r="R104" s="10">
        <f t="shared" si="20"/>
        <v>6.1202521545564039</v>
      </c>
      <c r="S104" s="91"/>
    </row>
    <row r="105" spans="1:19" s="95" customFormat="1">
      <c r="A105" s="23">
        <v>38934</v>
      </c>
      <c r="B105" s="9" t="s">
        <v>30</v>
      </c>
      <c r="C105" s="106">
        <v>2.0299999999999998</v>
      </c>
      <c r="D105" s="47">
        <f t="shared" si="13"/>
        <v>1.4209999999999998</v>
      </c>
      <c r="E105" s="47">
        <f t="shared" si="14"/>
        <v>1420.9999999999998</v>
      </c>
      <c r="F105" s="47">
        <f t="shared" si="17"/>
        <v>7104.9999999999991</v>
      </c>
      <c r="G105" s="10">
        <f>VS!I262</f>
        <v>3916.7412712623259</v>
      </c>
      <c r="H105" s="61">
        <f t="shared" si="18"/>
        <v>783.34825425246527</v>
      </c>
      <c r="I105" s="61">
        <f t="shared" si="15"/>
        <v>7050.1342882721865</v>
      </c>
      <c r="J105" s="61">
        <f t="shared" si="16"/>
        <v>8471.1342882721856</v>
      </c>
      <c r="K105" s="61">
        <f t="shared" si="19"/>
        <v>7833.4825425246518</v>
      </c>
      <c r="L105" s="78">
        <f t="shared" si="23"/>
        <v>626.04534706698996</v>
      </c>
      <c r="M105" s="10">
        <f t="shared" si="24"/>
        <v>53470.413881045468</v>
      </c>
      <c r="N105" s="10">
        <f>gas!H300</f>
        <v>238.65699784119468</v>
      </c>
      <c r="O105" s="10">
        <f t="shared" si="21"/>
        <v>0.23865699784119468</v>
      </c>
      <c r="P105" s="10">
        <f t="shared" si="25"/>
        <v>20420.11868531947</v>
      </c>
      <c r="Q105" s="10">
        <f t="shared" si="22"/>
        <v>381.89565412281434</v>
      </c>
      <c r="R105" s="10">
        <f t="shared" si="20"/>
        <v>6.1201226622245892</v>
      </c>
      <c r="S105" s="91"/>
    </row>
    <row r="106" spans="1:19" s="95" customFormat="1">
      <c r="A106" s="23">
        <v>38937</v>
      </c>
      <c r="B106" s="9" t="s">
        <v>30</v>
      </c>
      <c r="C106" s="100">
        <v>3</v>
      </c>
      <c r="D106" s="47">
        <f t="shared" si="13"/>
        <v>2.0999999999999996</v>
      </c>
      <c r="E106" s="47">
        <f t="shared" si="14"/>
        <v>2099.9999999999995</v>
      </c>
      <c r="F106" s="47">
        <f t="shared" si="17"/>
        <v>10499.999999999998</v>
      </c>
      <c r="G106" s="10">
        <f>VS!I264</f>
        <v>3815.0807899460988</v>
      </c>
      <c r="H106" s="61">
        <f t="shared" si="18"/>
        <v>763.01615798921978</v>
      </c>
      <c r="I106" s="61">
        <f t="shared" si="15"/>
        <v>6867.1454219029783</v>
      </c>
      <c r="J106" s="61">
        <f t="shared" si="16"/>
        <v>8967.1454219029783</v>
      </c>
      <c r="K106" s="61">
        <f t="shared" si="19"/>
        <v>7630.1615798921976</v>
      </c>
      <c r="L106" s="78">
        <f t="shared" si="23"/>
        <v>840.97270837998803</v>
      </c>
      <c r="M106" s="10">
        <f t="shared" si="24"/>
        <v>54311.386589425456</v>
      </c>
      <c r="N106" s="10">
        <f>gas!H302</f>
        <v>265.10346026777199</v>
      </c>
      <c r="O106" s="10">
        <f t="shared" si="21"/>
        <v>0.26510346026777198</v>
      </c>
      <c r="P106" s="10">
        <f t="shared" si="25"/>
        <v>20685.222145587242</v>
      </c>
      <c r="Q106" s="10">
        <f t="shared" si="22"/>
        <v>380.86345137825481</v>
      </c>
      <c r="R106" s="10">
        <f t="shared" si="20"/>
        <v>6.103580951574596</v>
      </c>
      <c r="S106" s="91"/>
    </row>
    <row r="107" spans="1:19" s="95" customFormat="1">
      <c r="A107" s="23">
        <v>38939</v>
      </c>
      <c r="B107" s="9" t="s">
        <v>30</v>
      </c>
      <c r="C107" s="100">
        <v>3</v>
      </c>
      <c r="D107" s="47">
        <f t="shared" si="13"/>
        <v>2.0999999999999996</v>
      </c>
      <c r="E107" s="47">
        <f t="shared" si="14"/>
        <v>2099.9999999999995</v>
      </c>
      <c r="F107" s="47">
        <f t="shared" si="17"/>
        <v>10499.999999999998</v>
      </c>
      <c r="G107" s="10">
        <f>VS!I266</f>
        <v>3882.6081991550009</v>
      </c>
      <c r="H107" s="61">
        <f t="shared" si="18"/>
        <v>776.52163983100024</v>
      </c>
      <c r="I107" s="61">
        <f t="shared" si="15"/>
        <v>6988.6947584790014</v>
      </c>
      <c r="J107" s="61">
        <f t="shared" si="16"/>
        <v>9088.6947584790014</v>
      </c>
      <c r="K107" s="61">
        <f t="shared" si="19"/>
        <v>7765.2163983100018</v>
      </c>
      <c r="L107" s="78">
        <f t="shared" si="23"/>
        <v>1201.9290235929766</v>
      </c>
      <c r="M107" s="10">
        <f t="shared" si="24"/>
        <v>55513.315613018436</v>
      </c>
      <c r="N107" s="10">
        <f>gas!H304</f>
        <v>241.24184555136952</v>
      </c>
      <c r="O107" s="10">
        <f t="shared" si="21"/>
        <v>0.24124184555136952</v>
      </c>
      <c r="P107" s="10">
        <f t="shared" si="25"/>
        <v>20926.463991138611</v>
      </c>
      <c r="Q107" s="10">
        <f t="shared" si="22"/>
        <v>376.9629639313265</v>
      </c>
      <c r="R107" s="10">
        <f t="shared" si="20"/>
        <v>6.0410731399251043</v>
      </c>
      <c r="S107" s="91"/>
    </row>
    <row r="108" spans="1:19" s="95" customFormat="1">
      <c r="A108" s="23">
        <v>38941</v>
      </c>
      <c r="B108" s="9" t="s">
        <v>30</v>
      </c>
      <c r="C108" s="100">
        <v>3</v>
      </c>
      <c r="D108" s="47">
        <f t="shared" si="13"/>
        <v>2.0999999999999996</v>
      </c>
      <c r="E108" s="47">
        <f t="shared" si="14"/>
        <v>2099.9999999999995</v>
      </c>
      <c r="F108" s="47">
        <f t="shared" si="17"/>
        <v>10499.999999999998</v>
      </c>
      <c r="G108" s="10">
        <f>VS!I268</f>
        <v>3507.3241180111027</v>
      </c>
      <c r="H108" s="61">
        <f t="shared" si="18"/>
        <v>701.46482360222058</v>
      </c>
      <c r="I108" s="61">
        <f t="shared" si="15"/>
        <v>6313.183412419985</v>
      </c>
      <c r="J108" s="61">
        <f t="shared" si="16"/>
        <v>8413.183412419985</v>
      </c>
      <c r="K108" s="61">
        <f t="shared" si="19"/>
        <v>7014.6482360222053</v>
      </c>
      <c r="L108" s="78">
        <f t="shared" si="23"/>
        <v>2074.0465224567961</v>
      </c>
      <c r="M108" s="10">
        <f t="shared" si="24"/>
        <v>57587.362135475232</v>
      </c>
      <c r="N108" s="10">
        <f>gas!H306</f>
        <v>270.67337649009653</v>
      </c>
      <c r="O108" s="10">
        <f t="shared" si="21"/>
        <v>0.27067337649009654</v>
      </c>
      <c r="P108" s="10">
        <f t="shared" si="25"/>
        <v>21197.137367628708</v>
      </c>
      <c r="Q108" s="10">
        <f t="shared" si="22"/>
        <v>368.08661799375506</v>
      </c>
      <c r="R108" s="10">
        <f t="shared" si="20"/>
        <v>5.8988240063101776</v>
      </c>
      <c r="S108" s="91"/>
    </row>
    <row r="109" spans="1:19" s="95" customFormat="1">
      <c r="A109" s="23">
        <v>38944</v>
      </c>
      <c r="B109" s="9" t="s">
        <v>30</v>
      </c>
      <c r="C109" s="100">
        <v>3</v>
      </c>
      <c r="D109" s="47">
        <f t="shared" si="13"/>
        <v>2.0999999999999996</v>
      </c>
      <c r="E109" s="47">
        <f t="shared" si="14"/>
        <v>2099.9999999999995</v>
      </c>
      <c r="F109" s="47">
        <f t="shared" si="17"/>
        <v>10499.999999999998</v>
      </c>
      <c r="G109" s="10">
        <f>VS!I271</f>
        <v>3456.2211981567311</v>
      </c>
      <c r="H109" s="61">
        <f t="shared" si="18"/>
        <v>691.24423963134632</v>
      </c>
      <c r="I109" s="61">
        <f t="shared" si="15"/>
        <v>6221.198156682116</v>
      </c>
      <c r="J109" s="61">
        <f t="shared" si="16"/>
        <v>8321.198156682116</v>
      </c>
      <c r="K109" s="61">
        <f t="shared" si="19"/>
        <v>6912.4423963134623</v>
      </c>
      <c r="L109" s="78">
        <f t="shared" si="23"/>
        <v>1500.7410161065227</v>
      </c>
      <c r="M109" s="10">
        <f t="shared" si="24"/>
        <v>59088.103151581752</v>
      </c>
      <c r="N109" s="10">
        <f>gas!H308</f>
        <v>270.97040741526968</v>
      </c>
      <c r="O109" s="10">
        <f t="shared" si="21"/>
        <v>0.27097040741526968</v>
      </c>
      <c r="P109" s="10">
        <f t="shared" si="25"/>
        <v>21468.107775043976</v>
      </c>
      <c r="Q109" s="10">
        <f t="shared" si="22"/>
        <v>363.32369174164779</v>
      </c>
      <c r="R109" s="10">
        <f t="shared" si="20"/>
        <v>5.8224950599623044</v>
      </c>
      <c r="S109" s="91"/>
    </row>
    <row r="110" spans="1:19" s="95" customFormat="1">
      <c r="A110" s="23">
        <v>38946</v>
      </c>
      <c r="B110" s="9" t="s">
        <v>30</v>
      </c>
      <c r="C110" s="100">
        <v>3</v>
      </c>
      <c r="D110" s="47">
        <f t="shared" si="13"/>
        <v>2.0999999999999996</v>
      </c>
      <c r="E110" s="47">
        <f t="shared" si="14"/>
        <v>2099.9999999999995</v>
      </c>
      <c r="F110" s="47">
        <f t="shared" si="17"/>
        <v>10499.999999999998</v>
      </c>
      <c r="G110" s="10">
        <f>VS!I272</f>
        <v>4116.1419512737502</v>
      </c>
      <c r="H110" s="61">
        <f t="shared" si="18"/>
        <v>823.22839025475014</v>
      </c>
      <c r="I110" s="61">
        <f t="shared" si="15"/>
        <v>7409.0555122927508</v>
      </c>
      <c r="J110" s="61">
        <f t="shared" si="16"/>
        <v>9509.0555122927508</v>
      </c>
      <c r="K110" s="61">
        <f t="shared" si="19"/>
        <v>8232.2839025475005</v>
      </c>
      <c r="L110" s="78">
        <f t="shared" si="23"/>
        <v>88.914254134615476</v>
      </c>
      <c r="M110" s="10">
        <f t="shared" si="24"/>
        <v>59177.017405716368</v>
      </c>
      <c r="N110" s="10">
        <f>gas!H310</f>
        <v>241.12410343037018</v>
      </c>
      <c r="O110" s="10">
        <f t="shared" si="21"/>
        <v>0.24112410343037019</v>
      </c>
      <c r="P110" s="10">
        <f t="shared" si="25"/>
        <v>21709.231878474347</v>
      </c>
      <c r="Q110" s="10">
        <f t="shared" si="22"/>
        <v>366.85241720846312</v>
      </c>
      <c r="R110" s="10">
        <f t="shared" si="20"/>
        <v>5.8790451475715244</v>
      </c>
      <c r="S110" s="91"/>
    </row>
    <row r="111" spans="1:19" s="95" customFormat="1">
      <c r="A111" s="23">
        <v>38948</v>
      </c>
      <c r="B111" s="9" t="s">
        <v>30</v>
      </c>
      <c r="C111" s="100">
        <v>3</v>
      </c>
      <c r="D111" s="47">
        <f t="shared" si="13"/>
        <v>2.0999999999999996</v>
      </c>
      <c r="E111" s="47">
        <f t="shared" si="14"/>
        <v>2099.9999999999995</v>
      </c>
      <c r="F111" s="47">
        <f t="shared" si="17"/>
        <v>10499.999999999998</v>
      </c>
      <c r="G111" s="10">
        <f>VS!I274</f>
        <v>4784.1803104401752</v>
      </c>
      <c r="H111" s="61">
        <f t="shared" si="18"/>
        <v>956.83606208803508</v>
      </c>
      <c r="I111" s="61">
        <f t="shared" si="15"/>
        <v>8611.5245587923164</v>
      </c>
      <c r="J111" s="61">
        <f t="shared" si="16"/>
        <v>10711.524558792316</v>
      </c>
      <c r="K111" s="61">
        <f t="shared" si="19"/>
        <v>9568.3606208803503</v>
      </c>
      <c r="L111" s="78">
        <f t="shared" si="23"/>
        <v>-59.305108587599534</v>
      </c>
      <c r="M111" s="10">
        <f t="shared" si="24"/>
        <v>59117.712297128768</v>
      </c>
      <c r="N111" s="10">
        <f>gas!H312</f>
        <v>278.86830955976507</v>
      </c>
      <c r="O111" s="10">
        <f t="shared" si="21"/>
        <v>0.27886830955976505</v>
      </c>
      <c r="P111" s="10">
        <f t="shared" si="25"/>
        <v>21988.100188034114</v>
      </c>
      <c r="Q111" s="10">
        <f t="shared" si="22"/>
        <v>371.93760268531287</v>
      </c>
      <c r="R111" s="10">
        <f t="shared" si="20"/>
        <v>5.9605385045723214</v>
      </c>
      <c r="S111" s="91"/>
    </row>
    <row r="112" spans="1:19" s="95" customFormat="1">
      <c r="A112" s="23">
        <v>38953</v>
      </c>
      <c r="B112" s="9" t="s">
        <v>30</v>
      </c>
      <c r="C112" s="100">
        <v>3</v>
      </c>
      <c r="D112" s="47">
        <f t="shared" si="13"/>
        <v>2.0999999999999996</v>
      </c>
      <c r="E112" s="47">
        <f t="shared" si="14"/>
        <v>2099.9999999999995</v>
      </c>
      <c r="F112" s="47">
        <f t="shared" si="17"/>
        <v>10499.999999999998</v>
      </c>
      <c r="G112" s="10">
        <f>VS!I276</f>
        <v>4834.63355675198</v>
      </c>
      <c r="H112" s="61">
        <f t="shared" si="18"/>
        <v>966.92671135039609</v>
      </c>
      <c r="I112" s="61">
        <f t="shared" si="15"/>
        <v>8702.3404021535644</v>
      </c>
      <c r="J112" s="61">
        <f t="shared" si="16"/>
        <v>10802.340402153564</v>
      </c>
      <c r="K112" s="61">
        <f t="shared" si="19"/>
        <v>9669.26711350396</v>
      </c>
      <c r="L112" s="78">
        <f t="shared" si="23"/>
        <v>1042.2574452883564</v>
      </c>
      <c r="M112" s="10">
        <f t="shared" si="24"/>
        <v>60159.969742417125</v>
      </c>
      <c r="N112" s="10">
        <f>gas!H314</f>
        <v>417.05060686514406</v>
      </c>
      <c r="O112" s="10">
        <f t="shared" si="21"/>
        <v>0.41705060686514406</v>
      </c>
      <c r="P112" s="10">
        <f t="shared" si="25"/>
        <v>22405.150794899258</v>
      </c>
      <c r="Q112" s="10">
        <f t="shared" si="22"/>
        <v>372.42623111065177</v>
      </c>
      <c r="R112" s="10">
        <f t="shared" si="20"/>
        <v>5.9683690883117269</v>
      </c>
      <c r="S112" s="91"/>
    </row>
    <row r="113" spans="1:19" s="95" customFormat="1">
      <c r="A113" s="23">
        <v>38955</v>
      </c>
      <c r="B113" s="9" t="s">
        <v>30</v>
      </c>
      <c r="C113" s="100">
        <v>3</v>
      </c>
      <c r="D113" s="47">
        <f t="shared" si="13"/>
        <v>2.0999999999999996</v>
      </c>
      <c r="E113" s="47">
        <f t="shared" si="14"/>
        <v>2099.9999999999995</v>
      </c>
      <c r="F113" s="47">
        <f t="shared" si="17"/>
        <v>10499.999999999998</v>
      </c>
      <c r="G113" s="10">
        <f>VS!I278</f>
        <v>4837.8229796592068</v>
      </c>
      <c r="H113" s="61">
        <f t="shared" si="18"/>
        <v>967.56459593184138</v>
      </c>
      <c r="I113" s="61">
        <f t="shared" si="15"/>
        <v>8708.0813633865728</v>
      </c>
      <c r="J113" s="61">
        <f t="shared" si="16"/>
        <v>10808.081363386573</v>
      </c>
      <c r="K113" s="61">
        <f t="shared" si="19"/>
        <v>9675.6459593184136</v>
      </c>
      <c r="L113" s="78">
        <f t="shared" si="23"/>
        <v>1126.6944428351508</v>
      </c>
      <c r="M113" s="10">
        <f t="shared" si="24"/>
        <v>61286.664185252273</v>
      </c>
      <c r="N113" s="10">
        <f>gas!H316</f>
        <v>294.43109268118667</v>
      </c>
      <c r="O113" s="10">
        <f t="shared" si="21"/>
        <v>0.29443109268118667</v>
      </c>
      <c r="P113" s="10">
        <f t="shared" si="25"/>
        <v>22699.581887580443</v>
      </c>
      <c r="Q113" s="10">
        <f t="shared" si="22"/>
        <v>370.3837072771006</v>
      </c>
      <c r="R113" s="10">
        <f t="shared" si="20"/>
        <v>5.9356363345689198</v>
      </c>
      <c r="S113" s="91"/>
    </row>
    <row r="114" spans="1:19" s="95" customFormat="1">
      <c r="A114" s="23">
        <v>38958</v>
      </c>
      <c r="B114" s="9" t="s">
        <v>30</v>
      </c>
      <c r="C114" s="100">
        <v>3</v>
      </c>
      <c r="D114" s="47">
        <f t="shared" si="13"/>
        <v>2.0999999999999996</v>
      </c>
      <c r="E114" s="47">
        <f t="shared" si="14"/>
        <v>2099.9999999999995</v>
      </c>
      <c r="F114" s="47">
        <f t="shared" si="17"/>
        <v>10499.999999999998</v>
      </c>
      <c r="G114" s="10">
        <f>VS!I280</f>
        <v>5127.0100209741058</v>
      </c>
      <c r="H114" s="61">
        <f t="shared" si="18"/>
        <v>1025.4020041948213</v>
      </c>
      <c r="I114" s="61">
        <f t="shared" si="15"/>
        <v>9228.618037753391</v>
      </c>
      <c r="J114" s="61">
        <f t="shared" si="16"/>
        <v>11328.618037753391</v>
      </c>
      <c r="K114" s="61">
        <f t="shared" si="19"/>
        <v>10254.020041948212</v>
      </c>
      <c r="L114" s="78">
        <f t="shared" si="23"/>
        <v>554.06132143836112</v>
      </c>
      <c r="M114" s="10">
        <f t="shared" si="24"/>
        <v>61840.725506690636</v>
      </c>
      <c r="N114" s="10">
        <f>gas!H318</f>
        <v>356.50404969573214</v>
      </c>
      <c r="O114" s="10">
        <f t="shared" si="21"/>
        <v>0.35650404969573213</v>
      </c>
      <c r="P114" s="10">
        <f t="shared" si="25"/>
        <v>23056.085937276177</v>
      </c>
      <c r="Q114" s="10">
        <f t="shared" si="22"/>
        <v>372.83013335252195</v>
      </c>
      <c r="R114" s="10">
        <f t="shared" si="20"/>
        <v>5.9748418806493904</v>
      </c>
      <c r="S114" s="91"/>
    </row>
    <row r="115" spans="1:19" s="95" customFormat="1">
      <c r="A115" s="23">
        <v>38960</v>
      </c>
      <c r="B115" s="9" t="s">
        <v>30</v>
      </c>
      <c r="C115" s="100">
        <v>3</v>
      </c>
      <c r="D115" s="47">
        <f t="shared" si="13"/>
        <v>2.0999999999999996</v>
      </c>
      <c r="E115" s="47">
        <f t="shared" si="14"/>
        <v>2099.9999999999995</v>
      </c>
      <c r="F115" s="47">
        <f t="shared" si="17"/>
        <v>10499.999999999998</v>
      </c>
      <c r="G115" s="10">
        <f>VS!I282</f>
        <v>5120.9413815646758</v>
      </c>
      <c r="H115" s="61">
        <f t="shared" si="18"/>
        <v>1024.1882763129352</v>
      </c>
      <c r="I115" s="61">
        <f t="shared" si="15"/>
        <v>9217.6944868164173</v>
      </c>
      <c r="J115" s="61">
        <f t="shared" si="16"/>
        <v>11317.694486816417</v>
      </c>
      <c r="K115" s="61">
        <f t="shared" si="19"/>
        <v>10241.882763129352</v>
      </c>
      <c r="L115" s="78">
        <f t="shared" si="23"/>
        <v>1086.7352746240394</v>
      </c>
      <c r="M115" s="10">
        <f t="shared" si="24"/>
        <v>62927.460781314672</v>
      </c>
      <c r="N115" s="10">
        <f>gas!H320</f>
        <v>305.35403250944472</v>
      </c>
      <c r="O115" s="10">
        <f t="shared" si="21"/>
        <v>0.30535403250944471</v>
      </c>
      <c r="P115" s="10">
        <f t="shared" si="25"/>
        <v>23361.439969785621</v>
      </c>
      <c r="Q115" s="10">
        <f t="shared" si="22"/>
        <v>371.24396375965699</v>
      </c>
      <c r="R115" s="10">
        <f t="shared" si="20"/>
        <v>5.9494224961483493</v>
      </c>
      <c r="S115" s="91"/>
    </row>
    <row r="116" spans="1:19" s="95" customFormat="1">
      <c r="A116" s="23">
        <v>38962</v>
      </c>
      <c r="B116" s="9" t="s">
        <v>30</v>
      </c>
      <c r="C116" s="100">
        <v>3</v>
      </c>
      <c r="D116" s="47">
        <f t="shared" si="13"/>
        <v>2.0999999999999996</v>
      </c>
      <c r="E116" s="47">
        <f t="shared" si="14"/>
        <v>2099.9999999999995</v>
      </c>
      <c r="F116" s="47">
        <f t="shared" si="17"/>
        <v>10499.999999999998</v>
      </c>
      <c r="G116" s="10">
        <f>VS!I284</f>
        <v>5101.4492753623763</v>
      </c>
      <c r="H116" s="61">
        <f t="shared" si="18"/>
        <v>1020.2898550724753</v>
      </c>
      <c r="I116" s="61">
        <f t="shared" si="15"/>
        <v>9182.6086956522777</v>
      </c>
      <c r="J116" s="61">
        <f t="shared" si="16"/>
        <v>11282.608695652278</v>
      </c>
      <c r="K116" s="61">
        <f t="shared" si="19"/>
        <v>10202.898550724753</v>
      </c>
      <c r="L116" s="78">
        <f t="shared" si="23"/>
        <v>1114.7959360916648</v>
      </c>
      <c r="M116" s="10">
        <f t="shared" si="24"/>
        <v>64042.256717406337</v>
      </c>
      <c r="N116" s="10">
        <f>gas!H322</f>
        <v>389.8896418061716</v>
      </c>
      <c r="O116" s="10">
        <f t="shared" si="21"/>
        <v>0.38988964180617158</v>
      </c>
      <c r="P116" s="10">
        <f t="shared" si="25"/>
        <v>23751.329611591791</v>
      </c>
      <c r="Q116" s="10">
        <f t="shared" si="22"/>
        <v>370.86965433459358</v>
      </c>
      <c r="R116" s="10">
        <f t="shared" si="20"/>
        <v>5.9434239476697686</v>
      </c>
      <c r="S116" s="91"/>
    </row>
    <row r="117" spans="1:19" s="95" customFormat="1">
      <c r="A117" s="23">
        <v>38966</v>
      </c>
      <c r="B117" s="9" t="s">
        <v>30</v>
      </c>
      <c r="C117" s="100">
        <v>3</v>
      </c>
      <c r="D117" s="47">
        <f t="shared" si="13"/>
        <v>2.0999999999999996</v>
      </c>
      <c r="E117" s="47">
        <f t="shared" si="14"/>
        <v>2099.9999999999995</v>
      </c>
      <c r="F117" s="47">
        <f t="shared" si="17"/>
        <v>10499.999999999998</v>
      </c>
      <c r="G117" s="10">
        <f>VS!I286</f>
        <v>4999.9999999999582</v>
      </c>
      <c r="H117" s="61">
        <f t="shared" si="18"/>
        <v>999.9999999999917</v>
      </c>
      <c r="I117" s="61">
        <f t="shared" si="15"/>
        <v>8999.9999999999254</v>
      </c>
      <c r="J117" s="61">
        <f t="shared" si="16"/>
        <v>11099.999999999925</v>
      </c>
      <c r="K117" s="61">
        <f t="shared" si="19"/>
        <v>9999.9999999999163</v>
      </c>
      <c r="L117" s="78">
        <f t="shared" si="23"/>
        <v>1282.6086956523613</v>
      </c>
      <c r="M117" s="10">
        <f t="shared" si="24"/>
        <v>65324.865413058695</v>
      </c>
      <c r="N117" s="10">
        <f>gas!H324</f>
        <v>459.71054015049805</v>
      </c>
      <c r="O117" s="10">
        <f t="shared" si="21"/>
        <v>0.45971054015049806</v>
      </c>
      <c r="P117" s="10">
        <f t="shared" si="25"/>
        <v>24211.040151742291</v>
      </c>
      <c r="Q117" s="10">
        <f t="shared" si="22"/>
        <v>370.62518228935244</v>
      </c>
      <c r="R117" s="10">
        <f t="shared" si="20"/>
        <v>5.9395061264319304</v>
      </c>
      <c r="S117" s="91"/>
    </row>
    <row r="118" spans="1:19" s="95" customFormat="1">
      <c r="A118" s="23">
        <v>38968</v>
      </c>
      <c r="B118" s="9" t="s">
        <v>30</v>
      </c>
      <c r="C118" s="100">
        <v>3</v>
      </c>
      <c r="D118" s="47">
        <f t="shared" si="13"/>
        <v>2.0999999999999996</v>
      </c>
      <c r="E118" s="47">
        <f t="shared" si="14"/>
        <v>2099.9999999999995</v>
      </c>
      <c r="F118" s="47">
        <f t="shared" si="17"/>
        <v>10499.999999999998</v>
      </c>
      <c r="G118" s="10">
        <f>VS!I288</f>
        <v>5220.4820615350309</v>
      </c>
      <c r="H118" s="61">
        <f t="shared" si="18"/>
        <v>1044.0964123070062</v>
      </c>
      <c r="I118" s="61">
        <f t="shared" si="15"/>
        <v>9396.8677107630556</v>
      </c>
      <c r="J118" s="61">
        <f t="shared" si="16"/>
        <v>11496.867710763056</v>
      </c>
      <c r="K118" s="61">
        <f t="shared" si="19"/>
        <v>10440.964123070062</v>
      </c>
      <c r="L118" s="78">
        <f t="shared" si="23"/>
        <v>659.03587692986366</v>
      </c>
      <c r="M118" s="10">
        <f t="shared" si="24"/>
        <v>65983.901289988557</v>
      </c>
      <c r="N118" s="10">
        <f>gas!H326</f>
        <v>293.92882974431905</v>
      </c>
      <c r="O118" s="10">
        <f t="shared" si="21"/>
        <v>0.29392882974431905</v>
      </c>
      <c r="P118" s="10">
        <f t="shared" si="25"/>
        <v>24504.968981486611</v>
      </c>
      <c r="Q118" s="10">
        <f t="shared" si="22"/>
        <v>371.37799527480564</v>
      </c>
      <c r="R118" s="10">
        <f t="shared" si="20"/>
        <v>5.9515704370962448</v>
      </c>
      <c r="S118" s="91"/>
    </row>
    <row r="119" spans="1:19" s="95" customFormat="1">
      <c r="A119" s="23">
        <v>38970</v>
      </c>
      <c r="B119" s="9" t="s">
        <v>30</v>
      </c>
      <c r="C119" s="100">
        <v>3</v>
      </c>
      <c r="D119" s="47">
        <f t="shared" si="13"/>
        <v>2.0999999999999996</v>
      </c>
      <c r="E119" s="47">
        <f t="shared" si="14"/>
        <v>2099.9999999999995</v>
      </c>
      <c r="F119" s="47">
        <f t="shared" si="17"/>
        <v>10499.999999999998</v>
      </c>
      <c r="G119" s="10">
        <f>VS!I290</f>
        <v>3802.2813688212736</v>
      </c>
      <c r="H119" s="61">
        <f t="shared" si="18"/>
        <v>760.45627376425477</v>
      </c>
      <c r="I119" s="61">
        <f t="shared" si="15"/>
        <v>6844.1064638782927</v>
      </c>
      <c r="J119" s="61">
        <f t="shared" si="16"/>
        <v>8944.1064638782918</v>
      </c>
      <c r="K119" s="61">
        <f t="shared" si="19"/>
        <v>7604.5627376425473</v>
      </c>
      <c r="L119" s="78">
        <f t="shared" si="23"/>
        <v>3892.3049731205083</v>
      </c>
      <c r="M119" s="10">
        <f t="shared" si="24"/>
        <v>69876.206263109067</v>
      </c>
      <c r="N119" s="10">
        <f>gas!H328</f>
        <v>364.45188945256916</v>
      </c>
      <c r="O119" s="10">
        <f t="shared" si="21"/>
        <v>0.36445188945256918</v>
      </c>
      <c r="P119" s="10">
        <f t="shared" si="25"/>
        <v>24869.420870939179</v>
      </c>
      <c r="Q119" s="10">
        <f t="shared" si="22"/>
        <v>355.90685586588455</v>
      </c>
      <c r="R119" s="10">
        <f t="shared" si="20"/>
        <v>5.7036355106712273</v>
      </c>
      <c r="S119" s="91"/>
    </row>
    <row r="120" spans="1:19" s="95" customFormat="1">
      <c r="A120" s="23">
        <v>38972</v>
      </c>
      <c r="B120" s="9" t="s">
        <v>30</v>
      </c>
      <c r="C120" s="100">
        <v>3</v>
      </c>
      <c r="D120" s="47">
        <f t="shared" si="13"/>
        <v>2.0999999999999996</v>
      </c>
      <c r="E120" s="47">
        <f t="shared" si="14"/>
        <v>2099.9999999999995</v>
      </c>
      <c r="F120" s="47">
        <f t="shared" si="17"/>
        <v>10499.999999999998</v>
      </c>
      <c r="G120" s="10">
        <f>VS!I292</f>
        <v>5357.3761923429201</v>
      </c>
      <c r="H120" s="61">
        <f t="shared" si="18"/>
        <v>1071.4752384685842</v>
      </c>
      <c r="I120" s="61">
        <f t="shared" si="15"/>
        <v>9643.2771462172568</v>
      </c>
      <c r="J120" s="61">
        <f t="shared" si="16"/>
        <v>11743.277146217257</v>
      </c>
      <c r="K120" s="61">
        <f t="shared" si="19"/>
        <v>10714.75238468584</v>
      </c>
      <c r="L120" s="78">
        <f t="shared" si="23"/>
        <v>-1770.6459208075485</v>
      </c>
      <c r="M120" s="10">
        <f t="shared" si="24"/>
        <v>68105.560342301513</v>
      </c>
      <c r="N120" s="10">
        <f>gas!H330</f>
        <v>404.14242194589724</v>
      </c>
      <c r="O120" s="10">
        <f t="shared" si="21"/>
        <v>0.40414242194589722</v>
      </c>
      <c r="P120" s="10">
        <f t="shared" si="25"/>
        <v>25273.563292885075</v>
      </c>
      <c r="Q120" s="10">
        <f t="shared" si="22"/>
        <v>371.09397772897023</v>
      </c>
      <c r="R120" s="10">
        <f t="shared" si="20"/>
        <v>5.9470188738617029</v>
      </c>
      <c r="S120" s="91"/>
    </row>
    <row r="121" spans="1:19" s="95" customFormat="1">
      <c r="A121" s="23">
        <v>38974</v>
      </c>
      <c r="B121" s="9" t="s">
        <v>30</v>
      </c>
      <c r="C121" s="100">
        <v>3</v>
      </c>
      <c r="D121" s="47">
        <f t="shared" si="13"/>
        <v>2.0999999999999996</v>
      </c>
      <c r="E121" s="47">
        <f t="shared" si="14"/>
        <v>2099.9999999999995</v>
      </c>
      <c r="F121" s="47">
        <f t="shared" si="17"/>
        <v>10499.999999999998</v>
      </c>
      <c r="G121" s="10">
        <f>VS!I294</f>
        <v>5796.7280690455091</v>
      </c>
      <c r="H121" s="61">
        <f t="shared" si="18"/>
        <v>1159.3456138091019</v>
      </c>
      <c r="I121" s="61">
        <f t="shared" si="15"/>
        <v>10434.110524281916</v>
      </c>
      <c r="J121" s="61">
        <f t="shared" si="16"/>
        <v>12534.110524281916</v>
      </c>
      <c r="K121" s="61">
        <f t="shared" si="19"/>
        <v>11593.456138091018</v>
      </c>
      <c r="L121" s="78">
        <f t="shared" si="23"/>
        <v>149.82100812623867</v>
      </c>
      <c r="M121" s="10">
        <f t="shared" si="24"/>
        <v>68255.38135042775</v>
      </c>
      <c r="N121" s="10">
        <f>gas!H332</f>
        <v>347.98017735898458</v>
      </c>
      <c r="O121" s="10">
        <f t="shared" si="21"/>
        <v>0.34798017735898457</v>
      </c>
      <c r="P121" s="10">
        <f t="shared" si="25"/>
        <v>25621.543470244062</v>
      </c>
      <c r="Q121" s="10">
        <f t="shared" si="22"/>
        <v>375.37763269831169</v>
      </c>
      <c r="R121" s="10">
        <f t="shared" si="20"/>
        <v>6.0156671906780721</v>
      </c>
      <c r="S121" s="91"/>
    </row>
    <row r="122" spans="1:19" s="95" customFormat="1">
      <c r="A122" s="23">
        <v>38976</v>
      </c>
      <c r="B122" s="9" t="s">
        <v>30</v>
      </c>
      <c r="C122" s="100">
        <v>3</v>
      </c>
      <c r="D122" s="47">
        <f t="shared" si="13"/>
        <v>2.0999999999999996</v>
      </c>
      <c r="E122" s="47">
        <f t="shared" si="14"/>
        <v>2099.9999999999995</v>
      </c>
      <c r="F122" s="47">
        <f t="shared" si="17"/>
        <v>10499.999999999998</v>
      </c>
      <c r="G122" s="10">
        <f>VS!I296</f>
        <v>5892.1623123957879</v>
      </c>
      <c r="H122" s="61">
        <f t="shared" si="18"/>
        <v>1178.4324624791577</v>
      </c>
      <c r="I122" s="61">
        <f t="shared" si="15"/>
        <v>10605.892162312419</v>
      </c>
      <c r="J122" s="61">
        <f t="shared" si="16"/>
        <v>12705.892162312419</v>
      </c>
      <c r="K122" s="61">
        <f t="shared" si="19"/>
        <v>11784.324624791576</v>
      </c>
      <c r="L122" s="78">
        <f t="shared" si="23"/>
        <v>749.78589949033994</v>
      </c>
      <c r="M122" s="10">
        <f t="shared" si="24"/>
        <v>69005.167249918086</v>
      </c>
      <c r="N122" s="10">
        <f>gas!H334</f>
        <v>404.90423370026519</v>
      </c>
      <c r="O122" s="10">
        <f t="shared" si="21"/>
        <v>0.40490423370026518</v>
      </c>
      <c r="P122" s="10">
        <f t="shared" si="25"/>
        <v>26026.447703944326</v>
      </c>
      <c r="Q122" s="10">
        <f t="shared" si="22"/>
        <v>377.16664912474681</v>
      </c>
      <c r="R122" s="10">
        <f t="shared" si="20"/>
        <v>6.0443373257170965</v>
      </c>
      <c r="S122" s="91"/>
    </row>
    <row r="123" spans="1:19" s="95" customFormat="1">
      <c r="A123" s="23">
        <v>38980</v>
      </c>
      <c r="B123" s="9" t="s">
        <v>30</v>
      </c>
      <c r="C123" s="100">
        <v>3</v>
      </c>
      <c r="D123" s="47">
        <f t="shared" si="13"/>
        <v>2.0999999999999996</v>
      </c>
      <c r="E123" s="47">
        <f t="shared" si="14"/>
        <v>2099.9999999999995</v>
      </c>
      <c r="F123" s="47">
        <f t="shared" si="17"/>
        <v>10499.999999999998</v>
      </c>
      <c r="G123" s="10">
        <f>VS!I298</f>
        <v>5727.091633466056</v>
      </c>
      <c r="H123" s="61">
        <f t="shared" si="18"/>
        <v>1145.4183266932112</v>
      </c>
      <c r="I123" s="61">
        <f t="shared" si="15"/>
        <v>10308.764940238902</v>
      </c>
      <c r="J123" s="61">
        <f t="shared" si="16"/>
        <v>12408.764940238902</v>
      </c>
      <c r="K123" s="61">
        <f t="shared" si="19"/>
        <v>11454.183266932112</v>
      </c>
      <c r="L123" s="78">
        <f t="shared" si="23"/>
        <v>1251.7088953803068</v>
      </c>
      <c r="M123" s="10">
        <f t="shared" si="24"/>
        <v>70256.876145298389</v>
      </c>
      <c r="N123" s="10">
        <f>gas!H336</f>
        <v>602.34829266656004</v>
      </c>
      <c r="O123" s="10">
        <f t="shared" si="21"/>
        <v>0.60234829266656009</v>
      </c>
      <c r="P123" s="10">
        <f t="shared" si="25"/>
        <v>26628.795996610887</v>
      </c>
      <c r="Q123" s="10">
        <f t="shared" si="22"/>
        <v>379.02049532546562</v>
      </c>
      <c r="R123" s="10">
        <f t="shared" si="20"/>
        <v>6.0740463994465648</v>
      </c>
      <c r="S123" s="91"/>
    </row>
    <row r="124" spans="1:19" s="95" customFormat="1">
      <c r="A124" s="23">
        <v>38982</v>
      </c>
      <c r="B124" s="9" t="s">
        <v>30</v>
      </c>
      <c r="C124" s="100">
        <v>3</v>
      </c>
      <c r="D124" s="47">
        <f t="shared" si="13"/>
        <v>2.0999999999999996</v>
      </c>
      <c r="E124" s="47">
        <f t="shared" si="14"/>
        <v>2099.9999999999995</v>
      </c>
      <c r="F124" s="47">
        <f t="shared" si="17"/>
        <v>10499.999999999998</v>
      </c>
      <c r="G124" s="10">
        <f>VS!I300</f>
        <v>5711.7750439366873</v>
      </c>
      <c r="H124" s="61">
        <f t="shared" si="18"/>
        <v>1142.3550087873375</v>
      </c>
      <c r="I124" s="61">
        <f t="shared" si="15"/>
        <v>10281.195079086037</v>
      </c>
      <c r="J124" s="61">
        <f t="shared" si="16"/>
        <v>12381.195079086037</v>
      </c>
      <c r="K124" s="61">
        <f t="shared" si="19"/>
        <v>11423.550087873375</v>
      </c>
      <c r="L124" s="78">
        <f t="shared" si="23"/>
        <v>985.21485236552689</v>
      </c>
      <c r="M124" s="10">
        <f t="shared" si="24"/>
        <v>71242.090997663909</v>
      </c>
      <c r="N124" s="10">
        <f>gas!H338</f>
        <v>329.96384255393519</v>
      </c>
      <c r="O124" s="10">
        <f t="shared" si="21"/>
        <v>0.32996384255393518</v>
      </c>
      <c r="P124" s="10">
        <f t="shared" si="25"/>
        <v>26958.759839164821</v>
      </c>
      <c r="Q124" s="10">
        <f t="shared" si="22"/>
        <v>378.41056405894687</v>
      </c>
      <c r="R124" s="10">
        <f t="shared" si="20"/>
        <v>6.0642718599190202</v>
      </c>
      <c r="S124" s="91"/>
    </row>
    <row r="125" spans="1:19" s="95" customFormat="1">
      <c r="A125" s="23">
        <v>38984</v>
      </c>
      <c r="B125" s="9" t="s">
        <v>30</v>
      </c>
      <c r="C125" s="100">
        <v>3</v>
      </c>
      <c r="D125" s="47">
        <f t="shared" si="13"/>
        <v>2.0999999999999996</v>
      </c>
      <c r="E125" s="47">
        <f t="shared" si="14"/>
        <v>2099.9999999999995</v>
      </c>
      <c r="F125" s="47">
        <f t="shared" si="17"/>
        <v>10499.999999999998</v>
      </c>
      <c r="G125" s="10">
        <f>VS!I302</f>
        <v>5974.1121805509365</v>
      </c>
      <c r="H125" s="61">
        <f t="shared" si="18"/>
        <v>1194.8224361101873</v>
      </c>
      <c r="I125" s="61">
        <f t="shared" si="15"/>
        <v>10753.401924991686</v>
      </c>
      <c r="J125" s="61">
        <f t="shared" si="16"/>
        <v>12853.401924991686</v>
      </c>
      <c r="K125" s="61">
        <f t="shared" si="19"/>
        <v>11948.224361101873</v>
      </c>
      <c r="L125" s="78">
        <f t="shared" si="23"/>
        <v>432.97071798416437</v>
      </c>
      <c r="M125" s="10">
        <f t="shared" si="24"/>
        <v>71675.061715648073</v>
      </c>
      <c r="N125" s="10">
        <f>gas!H340</f>
        <v>292.73855748421204</v>
      </c>
      <c r="O125" s="10">
        <f t="shared" si="21"/>
        <v>0.29273855748421201</v>
      </c>
      <c r="P125" s="10">
        <f t="shared" si="25"/>
        <v>27251.498396649033</v>
      </c>
      <c r="Q125" s="10">
        <f t="shared" si="22"/>
        <v>380.20892824288279</v>
      </c>
      <c r="R125" s="10">
        <f t="shared" si="20"/>
        <v>6.0930917987641475</v>
      </c>
      <c r="S125" s="91"/>
    </row>
    <row r="126" spans="1:19" s="95" customFormat="1">
      <c r="A126" s="23">
        <v>38986</v>
      </c>
      <c r="B126" s="9" t="s">
        <v>30</v>
      </c>
      <c r="C126" s="100">
        <v>3</v>
      </c>
      <c r="D126" s="47">
        <f t="shared" ref="D126:D143" si="26">C126*0.7</f>
        <v>2.0999999999999996</v>
      </c>
      <c r="E126" s="47">
        <f t="shared" ref="E126:E143" si="27">D126*1000</f>
        <v>2099.9999999999995</v>
      </c>
      <c r="F126" s="47">
        <f t="shared" si="17"/>
        <v>10499.999999999998</v>
      </c>
      <c r="G126" s="10">
        <f>VS!I304</f>
        <v>5421.9707685053481</v>
      </c>
      <c r="H126" s="61">
        <f t="shared" si="18"/>
        <v>1084.3941537010696</v>
      </c>
      <c r="I126" s="61">
        <f t="shared" ref="I126:I143" si="28">G126*1.8</f>
        <v>9759.5473833096275</v>
      </c>
      <c r="J126" s="61">
        <f t="shared" ref="J126:J143" si="29">I126+E126</f>
        <v>11859.547383309628</v>
      </c>
      <c r="K126" s="61">
        <f t="shared" si="19"/>
        <v>10843.941537010696</v>
      </c>
      <c r="L126" s="78">
        <f t="shared" si="23"/>
        <v>2009.4603879809893</v>
      </c>
      <c r="M126" s="10">
        <f t="shared" si="24"/>
        <v>73684.52210362906</v>
      </c>
      <c r="N126" s="10">
        <f>gas!H342</f>
        <v>345.22421134327215</v>
      </c>
      <c r="O126" s="10">
        <f t="shared" si="21"/>
        <v>0.34522421134327214</v>
      </c>
      <c r="P126" s="10">
        <f t="shared" si="25"/>
        <v>27596.722607992306</v>
      </c>
      <c r="Q126" s="10">
        <f t="shared" si="22"/>
        <v>374.52536598093957</v>
      </c>
      <c r="R126" s="10">
        <f t="shared" si="20"/>
        <v>6.0020090702073654</v>
      </c>
      <c r="S126" s="91"/>
    </row>
    <row r="127" spans="1:19" s="95" customFormat="1">
      <c r="A127" s="23">
        <v>38988</v>
      </c>
      <c r="B127" s="9" t="s">
        <v>30</v>
      </c>
      <c r="C127" s="100">
        <v>3</v>
      </c>
      <c r="D127" s="47">
        <f t="shared" si="26"/>
        <v>2.0999999999999996</v>
      </c>
      <c r="E127" s="47">
        <f t="shared" si="27"/>
        <v>2099.9999999999995</v>
      </c>
      <c r="F127" s="47">
        <f t="shared" ref="F127:F143" si="30">E127*1000/200</f>
        <v>10499.999999999998</v>
      </c>
      <c r="G127" s="10">
        <f>VS!I306</f>
        <v>5350.9208561473324</v>
      </c>
      <c r="H127" s="61">
        <f t="shared" ref="H127:H143" si="31">G127*0.2</f>
        <v>1070.1841712294665</v>
      </c>
      <c r="I127" s="61">
        <f t="shared" si="28"/>
        <v>9631.6575410651985</v>
      </c>
      <c r="J127" s="61">
        <f t="shared" si="29"/>
        <v>11731.657541065199</v>
      </c>
      <c r="K127" s="61">
        <f t="shared" ref="K127:K143" si="32">G127*2</f>
        <v>10701.841712294665</v>
      </c>
      <c r="L127" s="78">
        <f t="shared" si="23"/>
        <v>1157.7056710149627</v>
      </c>
      <c r="M127" s="10">
        <f t="shared" si="24"/>
        <v>74842.227774644023</v>
      </c>
      <c r="N127" s="10">
        <f>gas!H344</f>
        <v>355.9179290362618</v>
      </c>
      <c r="O127" s="10">
        <f t="shared" si="21"/>
        <v>0.35591792903626179</v>
      </c>
      <c r="P127" s="10">
        <f t="shared" si="25"/>
        <v>27952.640537028568</v>
      </c>
      <c r="Q127" s="10">
        <f t="shared" si="22"/>
        <v>373.48755332612785</v>
      </c>
      <c r="R127" s="10">
        <f t="shared" si="20"/>
        <v>5.9853774571494851</v>
      </c>
      <c r="S127" s="91"/>
    </row>
    <row r="128" spans="1:19" s="95" customFormat="1">
      <c r="A128" s="23">
        <v>38990</v>
      </c>
      <c r="B128" s="9" t="s">
        <v>30</v>
      </c>
      <c r="C128" s="100">
        <v>3</v>
      </c>
      <c r="D128" s="47">
        <f t="shared" si="26"/>
        <v>2.0999999999999996</v>
      </c>
      <c r="E128" s="47">
        <f t="shared" si="27"/>
        <v>2099.9999999999995</v>
      </c>
      <c r="F128" s="47">
        <f t="shared" si="30"/>
        <v>10499.999999999998</v>
      </c>
      <c r="G128" s="10">
        <f>VS!I308</f>
        <v>5115.6842227647694</v>
      </c>
      <c r="H128" s="61">
        <f t="shared" si="31"/>
        <v>1023.1368445529539</v>
      </c>
      <c r="I128" s="61">
        <f t="shared" si="28"/>
        <v>9208.2316009765855</v>
      </c>
      <c r="J128" s="61">
        <f t="shared" si="29"/>
        <v>11308.231600976585</v>
      </c>
      <c r="K128" s="61">
        <f t="shared" si="32"/>
        <v>10231.368445529539</v>
      </c>
      <c r="L128" s="78">
        <f t="shared" si="23"/>
        <v>1500.2890955356597</v>
      </c>
      <c r="M128" s="10">
        <f t="shared" si="24"/>
        <v>76342.516870179679</v>
      </c>
      <c r="N128" s="10">
        <f>gas!H346</f>
        <v>286.40557768497928</v>
      </c>
      <c r="O128" s="10">
        <f t="shared" si="21"/>
        <v>0.28640557768497926</v>
      </c>
      <c r="P128" s="10">
        <f t="shared" si="25"/>
        <v>28239.046114713547</v>
      </c>
      <c r="Q128" s="10">
        <f t="shared" si="22"/>
        <v>369.89933358804501</v>
      </c>
      <c r="R128" s="10">
        <f t="shared" si="20"/>
        <v>5.9278739357058496</v>
      </c>
      <c r="S128" s="91"/>
    </row>
    <row r="129" spans="1:19" s="95" customFormat="1">
      <c r="A129" s="23">
        <v>38993</v>
      </c>
      <c r="B129" s="9" t="s">
        <v>30</v>
      </c>
      <c r="C129" s="100">
        <v>3</v>
      </c>
      <c r="D129" s="47">
        <f t="shared" si="26"/>
        <v>2.0999999999999996</v>
      </c>
      <c r="E129" s="47">
        <f t="shared" si="27"/>
        <v>2099.9999999999995</v>
      </c>
      <c r="F129" s="47">
        <f t="shared" si="30"/>
        <v>10499.999999999998</v>
      </c>
      <c r="G129" s="10">
        <f>VS!I310</f>
        <v>5624.29696287964</v>
      </c>
      <c r="H129" s="61">
        <f t="shared" si="31"/>
        <v>1124.859392575928</v>
      </c>
      <c r="I129" s="61">
        <f t="shared" si="28"/>
        <v>10123.734533183353</v>
      </c>
      <c r="J129" s="61">
        <f t="shared" si="29"/>
        <v>12223.734533183353</v>
      </c>
      <c r="K129" s="61">
        <f t="shared" si="32"/>
        <v>11248.59392575928</v>
      </c>
      <c r="L129" s="78">
        <f t="shared" si="23"/>
        <v>59.637675217305514</v>
      </c>
      <c r="M129" s="10">
        <f t="shared" si="24"/>
        <v>76402.154545396988</v>
      </c>
      <c r="N129" s="10">
        <f>gas!H348</f>
        <v>939.59631612427006</v>
      </c>
      <c r="O129" s="10">
        <f t="shared" si="21"/>
        <v>0.93959631612427008</v>
      </c>
      <c r="P129" s="10">
        <f t="shared" si="25"/>
        <v>29178.642430837815</v>
      </c>
      <c r="Q129" s="10">
        <f t="shared" si="22"/>
        <v>381.90863339462913</v>
      </c>
      <c r="R129" s="10">
        <f t="shared" si="20"/>
        <v>6.1203306633754666</v>
      </c>
      <c r="S129" s="91"/>
    </row>
    <row r="130" spans="1:19" s="95" customFormat="1">
      <c r="A130" s="23">
        <v>38995</v>
      </c>
      <c r="B130" s="9" t="s">
        <v>30</v>
      </c>
      <c r="C130" s="100">
        <v>3</v>
      </c>
      <c r="D130" s="47">
        <f t="shared" si="26"/>
        <v>2.0999999999999996</v>
      </c>
      <c r="E130" s="47">
        <f t="shared" si="27"/>
        <v>2099.9999999999995</v>
      </c>
      <c r="F130" s="47">
        <f t="shared" si="30"/>
        <v>10499.999999999998</v>
      </c>
      <c r="G130" s="10">
        <f>VS!I312</f>
        <v>4914.0049140048968</v>
      </c>
      <c r="H130" s="61">
        <f t="shared" si="31"/>
        <v>982.80098280097945</v>
      </c>
      <c r="I130" s="61">
        <f t="shared" si="28"/>
        <v>8845.2088452088137</v>
      </c>
      <c r="J130" s="61">
        <f t="shared" si="29"/>
        <v>10945.208845208814</v>
      </c>
      <c r="K130" s="61">
        <f t="shared" si="32"/>
        <v>9828.0098280097936</v>
      </c>
      <c r="L130" s="78">
        <f t="shared" si="23"/>
        <v>2395.7247051735594</v>
      </c>
      <c r="M130" s="10">
        <f t="shared" si="24"/>
        <v>78797.87925057055</v>
      </c>
      <c r="N130" s="10">
        <f>gas!H350</f>
        <v>317.74046954296563</v>
      </c>
      <c r="O130" s="10">
        <f t="shared" si="21"/>
        <v>0.31774046954296564</v>
      </c>
      <c r="P130" s="10">
        <f t="shared" si="25"/>
        <v>29496.38290038078</v>
      </c>
      <c r="Q130" s="10">
        <f t="shared" si="22"/>
        <v>374.32965431194913</v>
      </c>
      <c r="R130" s="10">
        <f t="shared" ref="R130:R143" si="33">Q130/62.4</f>
        <v>5.998872665255595</v>
      </c>
      <c r="S130" s="91"/>
    </row>
    <row r="131" spans="1:19" s="95" customFormat="1">
      <c r="A131" s="23">
        <v>38997</v>
      </c>
      <c r="B131" s="9" t="s">
        <v>30</v>
      </c>
      <c r="C131" s="100">
        <v>3</v>
      </c>
      <c r="D131" s="47">
        <f t="shared" si="26"/>
        <v>2.0999999999999996</v>
      </c>
      <c r="E131" s="47">
        <f t="shared" si="27"/>
        <v>2099.9999999999995</v>
      </c>
      <c r="F131" s="47">
        <f t="shared" si="30"/>
        <v>10499.999999999998</v>
      </c>
      <c r="G131" s="10">
        <f>VS!I314</f>
        <v>5668.9342403628116</v>
      </c>
      <c r="H131" s="61">
        <f t="shared" si="31"/>
        <v>1133.7868480725624</v>
      </c>
      <c r="I131" s="61">
        <f t="shared" si="28"/>
        <v>10204.08163265306</v>
      </c>
      <c r="J131" s="61">
        <f t="shared" si="29"/>
        <v>12304.08163265306</v>
      </c>
      <c r="K131" s="61">
        <f t="shared" si="32"/>
        <v>11337.868480725623</v>
      </c>
      <c r="L131" s="78">
        <f t="shared" si="23"/>
        <v>-392.65963551680943</v>
      </c>
      <c r="M131" s="10">
        <f t="shared" si="24"/>
        <v>78405.219615053735</v>
      </c>
      <c r="N131" s="10">
        <f>gas!H352</f>
        <v>420.82467584152522</v>
      </c>
      <c r="O131" s="10">
        <f t="shared" ref="O131:O143" si="34">N131/1000</f>
        <v>0.42082467584152522</v>
      </c>
      <c r="P131" s="10">
        <f t="shared" si="25"/>
        <v>29917.207576222307</v>
      </c>
      <c r="Q131" s="10">
        <f t="shared" ref="Q131:Q143" si="35">P131/(M131/1000)</f>
        <v>381.57163162231905</v>
      </c>
      <c r="R131" s="10">
        <f t="shared" si="33"/>
        <v>6.1149299939474204</v>
      </c>
      <c r="S131" s="91"/>
    </row>
    <row r="132" spans="1:19" s="95" customFormat="1">
      <c r="A132" s="23">
        <v>38999</v>
      </c>
      <c r="B132" s="9" t="s">
        <v>30</v>
      </c>
      <c r="C132" s="100">
        <v>3</v>
      </c>
      <c r="D132" s="47">
        <f t="shared" si="26"/>
        <v>2.0999999999999996</v>
      </c>
      <c r="E132" s="47">
        <f t="shared" si="27"/>
        <v>2099.9999999999995</v>
      </c>
      <c r="F132" s="47">
        <f t="shared" si="30"/>
        <v>10499.999999999998</v>
      </c>
      <c r="G132" s="10">
        <f>VS!I316</f>
        <v>4645.7607433217026</v>
      </c>
      <c r="H132" s="61">
        <f t="shared" si="31"/>
        <v>929.15214866434053</v>
      </c>
      <c r="I132" s="61">
        <f t="shared" si="28"/>
        <v>8362.3693379790657</v>
      </c>
      <c r="J132" s="61">
        <f t="shared" si="29"/>
        <v>10462.369337979066</v>
      </c>
      <c r="K132" s="61">
        <f t="shared" si="32"/>
        <v>9291.5214866434053</v>
      </c>
      <c r="L132" s="78">
        <f t="shared" si="23"/>
        <v>3012.560146009655</v>
      </c>
      <c r="M132" s="10">
        <f t="shared" si="24"/>
        <v>81417.779761063386</v>
      </c>
      <c r="N132" s="10">
        <f>gas!H354</f>
        <v>660.44381207963329</v>
      </c>
      <c r="O132" s="10">
        <f t="shared" si="34"/>
        <v>0.66044381207963332</v>
      </c>
      <c r="P132" s="10">
        <f t="shared" si="25"/>
        <v>30577.65138830194</v>
      </c>
      <c r="Q132" s="10">
        <f t="shared" si="35"/>
        <v>375.5647903693532</v>
      </c>
      <c r="R132" s="10">
        <f t="shared" si="33"/>
        <v>6.0186665123293785</v>
      </c>
      <c r="S132" s="91"/>
    </row>
    <row r="133" spans="1:19" s="95" customFormat="1">
      <c r="A133" s="23">
        <v>39002</v>
      </c>
      <c r="B133" s="9" t="s">
        <v>30</v>
      </c>
      <c r="C133" s="100">
        <v>3</v>
      </c>
      <c r="D133" s="47">
        <f t="shared" si="26"/>
        <v>2.0999999999999996</v>
      </c>
      <c r="E133" s="47">
        <f t="shared" si="27"/>
        <v>2099.9999999999995</v>
      </c>
      <c r="F133" s="47">
        <f t="shared" si="30"/>
        <v>10499.999999999998</v>
      </c>
      <c r="G133" s="10">
        <f>VS!I318</f>
        <v>5031.4465408804854</v>
      </c>
      <c r="H133" s="61">
        <f t="shared" si="31"/>
        <v>1006.2893081760972</v>
      </c>
      <c r="I133" s="61">
        <f t="shared" si="28"/>
        <v>9056.6037735848731</v>
      </c>
      <c r="J133" s="61">
        <f t="shared" si="29"/>
        <v>11156.603773584873</v>
      </c>
      <c r="K133" s="61">
        <f t="shared" si="32"/>
        <v>10062.893081760971</v>
      </c>
      <c r="L133" s="78">
        <f t="shared" ref="L133:L143" si="36">J132-K133</f>
        <v>399.47625621809493</v>
      </c>
      <c r="M133" s="10">
        <f t="shared" ref="M133:M143" si="37">M132+L133</f>
        <v>81817.256017281485</v>
      </c>
      <c r="N133" s="10">
        <f>gas!H356</f>
        <v>346.39516126018202</v>
      </c>
      <c r="O133" s="10">
        <f t="shared" si="34"/>
        <v>0.34639516126018199</v>
      </c>
      <c r="P133" s="10">
        <f t="shared" ref="P133:P143" si="38">P132+N133</f>
        <v>30924.046549562121</v>
      </c>
      <c r="Q133" s="10">
        <f t="shared" si="35"/>
        <v>377.96484574146962</v>
      </c>
      <c r="R133" s="10">
        <f t="shared" si="33"/>
        <v>6.0571289381645776</v>
      </c>
      <c r="S133" s="91"/>
    </row>
    <row r="134" spans="1:19" s="95" customFormat="1">
      <c r="A134" s="23">
        <v>39004</v>
      </c>
      <c r="B134" s="9" t="s">
        <v>30</v>
      </c>
      <c r="C134" s="100">
        <v>3</v>
      </c>
      <c r="D134" s="47">
        <f t="shared" si="26"/>
        <v>2.0999999999999996</v>
      </c>
      <c r="E134" s="47">
        <f t="shared" si="27"/>
        <v>2099.9999999999995</v>
      </c>
      <c r="F134" s="47">
        <f t="shared" si="30"/>
        <v>10499.999999999998</v>
      </c>
      <c r="G134" s="10">
        <f>VS!I320</f>
        <v>5813.9534883720935</v>
      </c>
      <c r="H134" s="61">
        <f t="shared" si="31"/>
        <v>1162.7906976744187</v>
      </c>
      <c r="I134" s="61">
        <f t="shared" si="28"/>
        <v>10465.116279069769</v>
      </c>
      <c r="J134" s="61">
        <f t="shared" si="29"/>
        <v>12565.116279069769</v>
      </c>
      <c r="K134" s="61">
        <f t="shared" si="32"/>
        <v>11627.906976744187</v>
      </c>
      <c r="L134" s="78">
        <f t="shared" si="36"/>
        <v>-471.30320315931385</v>
      </c>
      <c r="M134" s="10">
        <f t="shared" si="37"/>
        <v>81345.952814122167</v>
      </c>
      <c r="N134" s="10">
        <f>gas!H358</f>
        <v>389.83378979426357</v>
      </c>
      <c r="O134" s="10">
        <f t="shared" si="34"/>
        <v>0.38983378979426359</v>
      </c>
      <c r="P134" s="10">
        <f t="shared" si="38"/>
        <v>31313.880339356383</v>
      </c>
      <c r="Q134" s="10">
        <f t="shared" si="35"/>
        <v>384.94699805052988</v>
      </c>
      <c r="R134" s="10">
        <f t="shared" si="33"/>
        <v>6.1690224046559274</v>
      </c>
      <c r="S134" s="91"/>
    </row>
    <row r="135" spans="1:19" s="95" customFormat="1">
      <c r="A135" s="23">
        <v>39007</v>
      </c>
      <c r="B135" s="9" t="s">
        <v>30</v>
      </c>
      <c r="C135" s="100">
        <v>3</v>
      </c>
      <c r="D135" s="47">
        <f t="shared" si="26"/>
        <v>2.0999999999999996</v>
      </c>
      <c r="E135" s="47">
        <f t="shared" si="27"/>
        <v>2099.9999999999995</v>
      </c>
      <c r="F135" s="47">
        <f t="shared" si="30"/>
        <v>10499.999999999998</v>
      </c>
      <c r="G135" s="10">
        <f>VS!I322</f>
        <v>5434.7826086956329</v>
      </c>
      <c r="H135" s="61">
        <f t="shared" si="31"/>
        <v>1086.9565217391266</v>
      </c>
      <c r="I135" s="61">
        <f t="shared" si="28"/>
        <v>9782.6086956521394</v>
      </c>
      <c r="J135" s="61">
        <f t="shared" si="29"/>
        <v>11882.608695652139</v>
      </c>
      <c r="K135" s="61">
        <f t="shared" si="32"/>
        <v>10869.565217391266</v>
      </c>
      <c r="L135" s="78">
        <f t="shared" si="36"/>
        <v>1695.5510616785032</v>
      </c>
      <c r="M135" s="10">
        <f t="shared" si="37"/>
        <v>83041.50387580067</v>
      </c>
      <c r="N135" s="10">
        <f>gas!H360</f>
        <v>505.3585346737143</v>
      </c>
      <c r="O135" s="10">
        <f t="shared" si="34"/>
        <v>0.50535853467371428</v>
      </c>
      <c r="P135" s="10">
        <f t="shared" si="38"/>
        <v>31819.238874030096</v>
      </c>
      <c r="Q135" s="10">
        <f t="shared" si="35"/>
        <v>383.17271953094553</v>
      </c>
      <c r="R135" s="10">
        <f t="shared" si="33"/>
        <v>6.1405884540215627</v>
      </c>
      <c r="S135" s="91"/>
    </row>
    <row r="136" spans="1:19" s="95" customFormat="1">
      <c r="A136" s="23">
        <v>39009</v>
      </c>
      <c r="B136" s="9" t="s">
        <v>30</v>
      </c>
      <c r="C136" s="100">
        <v>3</v>
      </c>
      <c r="D136" s="47">
        <f t="shared" si="26"/>
        <v>2.0999999999999996</v>
      </c>
      <c r="E136" s="47">
        <f t="shared" si="27"/>
        <v>2099.9999999999995</v>
      </c>
      <c r="F136" s="47">
        <f t="shared" si="30"/>
        <v>10499.999999999998</v>
      </c>
      <c r="G136" s="10">
        <f>VS!I322</f>
        <v>5434.7826086956329</v>
      </c>
      <c r="H136" s="61">
        <f t="shared" si="31"/>
        <v>1086.9565217391266</v>
      </c>
      <c r="I136" s="61">
        <f t="shared" si="28"/>
        <v>9782.6086956521394</v>
      </c>
      <c r="J136" s="61">
        <f t="shared" si="29"/>
        <v>11882.608695652139</v>
      </c>
      <c r="K136" s="61">
        <f t="shared" si="32"/>
        <v>10869.565217391266</v>
      </c>
      <c r="L136" s="78">
        <f t="shared" si="36"/>
        <v>1013.0434782608736</v>
      </c>
      <c r="M136" s="10">
        <f t="shared" si="37"/>
        <v>84054.547354061549</v>
      </c>
      <c r="N136" s="10">
        <f>gas!H362</f>
        <v>400.78692101190381</v>
      </c>
      <c r="O136" s="10">
        <f t="shared" si="34"/>
        <v>0.40078692101190383</v>
      </c>
      <c r="P136" s="10">
        <f t="shared" si="38"/>
        <v>32220.025795041998</v>
      </c>
      <c r="Q136" s="10">
        <f t="shared" si="35"/>
        <v>383.32281606754867</v>
      </c>
      <c r="R136" s="10">
        <f t="shared" si="33"/>
        <v>6.1429938472363572</v>
      </c>
      <c r="S136" s="91"/>
    </row>
    <row r="137" spans="1:19" s="95" customFormat="1">
      <c r="A137" s="23">
        <v>39011</v>
      </c>
      <c r="B137" s="9" t="s">
        <v>30</v>
      </c>
      <c r="C137" s="100">
        <v>3</v>
      </c>
      <c r="D137" s="47">
        <f t="shared" si="26"/>
        <v>2.0999999999999996</v>
      </c>
      <c r="E137" s="47">
        <f t="shared" si="27"/>
        <v>2099.9999999999995</v>
      </c>
      <c r="F137" s="47">
        <f t="shared" si="30"/>
        <v>10499.999999999998</v>
      </c>
      <c r="G137" s="10">
        <f>VS!I326</f>
        <v>5201.5604681404229</v>
      </c>
      <c r="H137" s="61">
        <f t="shared" si="31"/>
        <v>1040.3120936280845</v>
      </c>
      <c r="I137" s="61">
        <f t="shared" si="28"/>
        <v>9362.8088426527611</v>
      </c>
      <c r="J137" s="61">
        <f t="shared" si="29"/>
        <v>11462.808842652761</v>
      </c>
      <c r="K137" s="61">
        <f t="shared" si="32"/>
        <v>10403.120936280846</v>
      </c>
      <c r="L137" s="78">
        <f t="shared" si="36"/>
        <v>1479.4877593712936</v>
      </c>
      <c r="M137" s="10">
        <f t="shared" si="37"/>
        <v>85534.035113432838</v>
      </c>
      <c r="N137" s="10">
        <f>gas!H364</f>
        <v>452.66143060036853</v>
      </c>
      <c r="O137" s="10">
        <f t="shared" si="34"/>
        <v>0.45266143060036851</v>
      </c>
      <c r="P137" s="10">
        <f t="shared" si="38"/>
        <v>32672.687225642367</v>
      </c>
      <c r="Q137" s="10">
        <f t="shared" si="35"/>
        <v>381.98463549992431</v>
      </c>
      <c r="R137" s="10">
        <f t="shared" si="33"/>
        <v>6.1215486458321209</v>
      </c>
      <c r="S137" s="91"/>
    </row>
    <row r="138" spans="1:19" s="95" customFormat="1">
      <c r="A138" s="23">
        <v>39014</v>
      </c>
      <c r="B138" s="9" t="s">
        <v>30</v>
      </c>
      <c r="C138" s="100">
        <v>3</v>
      </c>
      <c r="D138" s="47">
        <f t="shared" si="26"/>
        <v>2.0999999999999996</v>
      </c>
      <c r="E138" s="47">
        <f t="shared" si="27"/>
        <v>2099.9999999999995</v>
      </c>
      <c r="F138" s="47">
        <f t="shared" si="30"/>
        <v>10499.999999999998</v>
      </c>
      <c r="G138" s="10">
        <f>VS!I328</f>
        <v>4807.6923076922913</v>
      </c>
      <c r="H138" s="61">
        <f t="shared" si="31"/>
        <v>961.53846153845825</v>
      </c>
      <c r="I138" s="61">
        <f t="shared" si="28"/>
        <v>8653.8461538461252</v>
      </c>
      <c r="J138" s="61">
        <f t="shared" si="29"/>
        <v>10753.846153846125</v>
      </c>
      <c r="K138" s="61">
        <f t="shared" si="32"/>
        <v>9615.3846153845825</v>
      </c>
      <c r="L138" s="78">
        <f t="shared" si="36"/>
        <v>1847.4242272681786</v>
      </c>
      <c r="M138" s="10">
        <f t="shared" si="37"/>
        <v>87381.459340701011</v>
      </c>
      <c r="N138" s="10">
        <f>gas!H366</f>
        <v>92.861845271085471</v>
      </c>
      <c r="O138" s="10">
        <f t="shared" si="34"/>
        <v>9.2861845271085472E-2</v>
      </c>
      <c r="P138" s="10">
        <f t="shared" si="38"/>
        <v>32765.549070913454</v>
      </c>
      <c r="Q138" s="10">
        <f t="shared" si="35"/>
        <v>374.97141061881689</v>
      </c>
      <c r="R138" s="10">
        <f t="shared" si="33"/>
        <v>6.009157221455399</v>
      </c>
      <c r="S138" s="91"/>
    </row>
    <row r="139" spans="1:19" s="95" customFormat="1">
      <c r="A139" s="23">
        <v>39016</v>
      </c>
      <c r="B139" s="9" t="s">
        <v>30</v>
      </c>
      <c r="C139" s="100">
        <v>3</v>
      </c>
      <c r="D139" s="47">
        <f t="shared" si="26"/>
        <v>2.0999999999999996</v>
      </c>
      <c r="E139" s="47">
        <f t="shared" si="27"/>
        <v>2099.9999999999995</v>
      </c>
      <c r="F139" s="47">
        <f t="shared" si="30"/>
        <v>10499.999999999998</v>
      </c>
      <c r="G139" s="10">
        <f>VS!I330</f>
        <v>5945.3032104637332</v>
      </c>
      <c r="H139" s="61">
        <f t="shared" si="31"/>
        <v>1189.0606420927468</v>
      </c>
      <c r="I139" s="61">
        <f t="shared" si="28"/>
        <v>10701.545778834719</v>
      </c>
      <c r="J139" s="61">
        <f t="shared" si="29"/>
        <v>12801.545778834719</v>
      </c>
      <c r="K139" s="61">
        <f t="shared" si="32"/>
        <v>11890.606420927466</v>
      </c>
      <c r="L139" s="78">
        <f t="shared" si="36"/>
        <v>-1136.7602670813412</v>
      </c>
      <c r="M139" s="10">
        <f t="shared" si="37"/>
        <v>86244.699073619675</v>
      </c>
      <c r="N139" s="10">
        <f>gas!H368</f>
        <v>296.95339387132753</v>
      </c>
      <c r="O139" s="10">
        <f t="shared" si="34"/>
        <v>0.29695339387132752</v>
      </c>
      <c r="P139" s="10">
        <f t="shared" si="38"/>
        <v>33062.502464784782</v>
      </c>
      <c r="Q139" s="10">
        <f t="shared" si="35"/>
        <v>383.35692303317302</v>
      </c>
      <c r="R139" s="10">
        <f t="shared" si="33"/>
        <v>6.1435404332239267</v>
      </c>
      <c r="S139" s="91"/>
    </row>
    <row r="140" spans="1:19" s="95" customFormat="1">
      <c r="A140" s="23">
        <v>39018</v>
      </c>
      <c r="B140" s="9" t="s">
        <v>30</v>
      </c>
      <c r="C140" s="100">
        <v>3</v>
      </c>
      <c r="D140" s="47">
        <f t="shared" si="26"/>
        <v>2.0999999999999996</v>
      </c>
      <c r="E140" s="47">
        <f t="shared" si="27"/>
        <v>2099.9999999999995</v>
      </c>
      <c r="F140" s="47">
        <f t="shared" si="30"/>
        <v>10499.999999999998</v>
      </c>
      <c r="G140" s="10">
        <f>VS!I332</f>
        <v>5827.5058275058282</v>
      </c>
      <c r="H140" s="61">
        <f t="shared" si="31"/>
        <v>1165.5011655011656</v>
      </c>
      <c r="I140" s="61">
        <f t="shared" si="28"/>
        <v>10489.510489510491</v>
      </c>
      <c r="J140" s="61">
        <f t="shared" si="29"/>
        <v>12589.510489510491</v>
      </c>
      <c r="K140" s="61">
        <f t="shared" si="32"/>
        <v>11655.011655011656</v>
      </c>
      <c r="L140" s="78">
        <f t="shared" si="36"/>
        <v>1146.5341238230631</v>
      </c>
      <c r="M140" s="10">
        <f t="shared" si="37"/>
        <v>87391.233197442736</v>
      </c>
      <c r="N140" s="10">
        <f>gas!H370</f>
        <v>404.2945201393822</v>
      </c>
      <c r="O140" s="10">
        <f t="shared" si="34"/>
        <v>0.40429452013938222</v>
      </c>
      <c r="P140" s="10">
        <f t="shared" si="38"/>
        <v>33466.796984924164</v>
      </c>
      <c r="Q140" s="10">
        <f t="shared" si="35"/>
        <v>382.95371012001556</v>
      </c>
      <c r="R140" s="10">
        <f t="shared" si="33"/>
        <v>6.1370786878207619</v>
      </c>
      <c r="S140" s="91"/>
    </row>
    <row r="141" spans="1:19" s="95" customFormat="1">
      <c r="A141" s="23">
        <v>39021</v>
      </c>
      <c r="B141" s="9" t="s">
        <v>30</v>
      </c>
      <c r="C141" s="100">
        <v>3.5</v>
      </c>
      <c r="D141" s="47">
        <f t="shared" si="26"/>
        <v>2.4499999999999997</v>
      </c>
      <c r="E141" s="47">
        <f t="shared" si="27"/>
        <v>2449.9999999999995</v>
      </c>
      <c r="F141" s="47">
        <f t="shared" si="30"/>
        <v>12249.999999999998</v>
      </c>
      <c r="G141" s="10">
        <f>VS!I334</f>
        <v>5649.7175141242942</v>
      </c>
      <c r="H141" s="61">
        <f t="shared" si="31"/>
        <v>1129.9435028248588</v>
      </c>
      <c r="I141" s="61">
        <f t="shared" si="28"/>
        <v>10169.491525423729</v>
      </c>
      <c r="J141" s="61">
        <f t="shared" si="29"/>
        <v>12619.491525423729</v>
      </c>
      <c r="K141" s="61">
        <f t="shared" si="32"/>
        <v>11299.435028248588</v>
      </c>
      <c r="L141" s="78">
        <f t="shared" si="36"/>
        <v>1290.0754612619021</v>
      </c>
      <c r="M141" s="10">
        <f t="shared" si="37"/>
        <v>88681.308658704642</v>
      </c>
      <c r="N141" s="10">
        <f>gas!H372</f>
        <v>453.7738027358597</v>
      </c>
      <c r="O141" s="10">
        <f t="shared" si="34"/>
        <v>0.45377380273585971</v>
      </c>
      <c r="P141" s="10">
        <f t="shared" si="38"/>
        <v>33920.570787660021</v>
      </c>
      <c r="Q141" s="10">
        <f t="shared" si="35"/>
        <v>382.49966425512935</v>
      </c>
      <c r="R141" s="10">
        <f t="shared" si="33"/>
        <v>6.1298023117809191</v>
      </c>
      <c r="S141" s="91"/>
    </row>
    <row r="142" spans="1:19" s="95" customFormat="1">
      <c r="A142" s="23">
        <v>39023</v>
      </c>
      <c r="B142" s="9" t="s">
        <v>30</v>
      </c>
      <c r="C142" s="100">
        <v>3.5</v>
      </c>
      <c r="D142" s="47">
        <f t="shared" si="26"/>
        <v>2.4499999999999997</v>
      </c>
      <c r="E142" s="47">
        <f t="shared" si="27"/>
        <v>2449.9999999999995</v>
      </c>
      <c r="F142" s="47">
        <f t="shared" si="30"/>
        <v>12249.999999999998</v>
      </c>
      <c r="G142" s="10">
        <f>VS!I336</f>
        <v>6053.2687651331726</v>
      </c>
      <c r="H142" s="61">
        <f t="shared" si="31"/>
        <v>1210.6537530266346</v>
      </c>
      <c r="I142" s="61">
        <f t="shared" si="28"/>
        <v>10895.883777239711</v>
      </c>
      <c r="J142" s="61">
        <f t="shared" si="29"/>
        <v>13345.883777239711</v>
      </c>
      <c r="K142" s="61">
        <f t="shared" si="32"/>
        <v>12106.537530266345</v>
      </c>
      <c r="L142" s="78">
        <f t="shared" si="36"/>
        <v>512.95399515738427</v>
      </c>
      <c r="M142" s="10">
        <f t="shared" si="37"/>
        <v>89194.262653862024</v>
      </c>
      <c r="N142" s="10">
        <f>gas!H374</f>
        <v>416.27374714994482</v>
      </c>
      <c r="O142" s="10">
        <f t="shared" si="34"/>
        <v>0.41627374714994481</v>
      </c>
      <c r="P142" s="10">
        <f t="shared" si="38"/>
        <v>34336.844534809963</v>
      </c>
      <c r="Q142" s="10">
        <f t="shared" si="35"/>
        <v>384.96696438942098</v>
      </c>
      <c r="R142" s="10">
        <f t="shared" si="33"/>
        <v>6.1693423780355925</v>
      </c>
      <c r="S142" s="91"/>
    </row>
    <row r="143" spans="1:19" s="95" customFormat="1">
      <c r="A143" s="23">
        <v>39025</v>
      </c>
      <c r="B143" s="9" t="s">
        <v>30</v>
      </c>
      <c r="C143" s="100">
        <v>3.5</v>
      </c>
      <c r="D143" s="47">
        <f t="shared" si="26"/>
        <v>2.4499999999999997</v>
      </c>
      <c r="E143" s="47">
        <f t="shared" si="27"/>
        <v>2449.9999999999995</v>
      </c>
      <c r="F143" s="47">
        <f t="shared" si="30"/>
        <v>12249.999999999998</v>
      </c>
      <c r="G143" s="10">
        <f>VS!I338</f>
        <v>9881.422924901186</v>
      </c>
      <c r="H143" s="61">
        <f t="shared" si="31"/>
        <v>1976.2845849802372</v>
      </c>
      <c r="I143" s="61">
        <f t="shared" si="28"/>
        <v>17786.561264822136</v>
      </c>
      <c r="J143" s="61">
        <f t="shared" si="29"/>
        <v>20236.561264822136</v>
      </c>
      <c r="K143" s="61">
        <f t="shared" si="32"/>
        <v>19762.845849802372</v>
      </c>
      <c r="L143" s="78">
        <f t="shared" si="36"/>
        <v>-6416.962072562661</v>
      </c>
      <c r="M143" s="10">
        <f t="shared" si="37"/>
        <v>82777.300581299365</v>
      </c>
      <c r="N143" s="10">
        <f>gas!H376</f>
        <v>492.19636796285516</v>
      </c>
      <c r="O143" s="10">
        <f t="shared" si="34"/>
        <v>0.49219636796285515</v>
      </c>
      <c r="P143" s="10">
        <f t="shared" si="38"/>
        <v>34829.040902772816</v>
      </c>
      <c r="Q143" s="10">
        <f t="shared" si="35"/>
        <v>420.75593983118142</v>
      </c>
      <c r="R143" s="10">
        <f t="shared" si="33"/>
        <v>6.742883651140728</v>
      </c>
      <c r="S143" s="91"/>
    </row>
    <row r="144" spans="1:19">
      <c r="L144" s="74"/>
      <c r="M144" s="18"/>
      <c r="Q144" s="18"/>
    </row>
    <row r="145" spans="6:17">
      <c r="Q145" s="18"/>
    </row>
    <row r="146" spans="6:17">
      <c r="F146" s="18"/>
    </row>
    <row r="147" spans="6:17">
      <c r="Q147" s="18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A1:EL148"/>
  <sheetViews>
    <sheetView topLeftCell="A77" workbookViewId="0">
      <selection activeCell="A77" sqref="A77"/>
    </sheetView>
  </sheetViews>
  <sheetFormatPr baseColWidth="10" defaultColWidth="8.83203125" defaultRowHeight="14" x14ac:dyDescent="0"/>
  <cols>
    <col min="1" max="1" width="13.83203125" style="32" customWidth="1"/>
    <col min="2" max="2" width="7.5" style="32" customWidth="1"/>
    <col min="3" max="3" width="9.1640625" style="6" customWidth="1"/>
    <col min="4" max="4" width="10.1640625" style="32" customWidth="1"/>
    <col min="5" max="5" width="8.1640625" style="32" customWidth="1"/>
    <col min="6" max="6" width="10.33203125" style="32" customWidth="1"/>
    <col min="7" max="7" width="7" style="96" customWidth="1"/>
    <col min="8" max="8" width="9.1640625" style="6" customWidth="1"/>
    <col min="9" max="11" width="13.33203125" style="32" customWidth="1"/>
    <col min="12" max="12" width="13" style="32" customWidth="1"/>
    <col min="13" max="13" width="13.33203125" style="32" customWidth="1"/>
    <col min="14" max="14" width="9.33203125" style="32" customWidth="1"/>
    <col min="15" max="15" width="8.5" style="32" customWidth="1"/>
    <col min="16" max="16" width="11.83203125" style="32" customWidth="1"/>
    <col min="17" max="17" width="9.5" style="32" customWidth="1"/>
    <col min="18" max="18" width="8.6640625" style="6" customWidth="1"/>
    <col min="19" max="142" width="8.83203125" style="29"/>
  </cols>
  <sheetData>
    <row r="1" spans="1:142" ht="28">
      <c r="A1" s="111" t="s">
        <v>12</v>
      </c>
      <c r="B1" s="111" t="s">
        <v>13</v>
      </c>
      <c r="C1" s="12" t="s">
        <v>32</v>
      </c>
      <c r="D1" s="5" t="s">
        <v>37</v>
      </c>
      <c r="E1" s="5"/>
      <c r="F1" s="5" t="s">
        <v>36</v>
      </c>
      <c r="G1" s="112" t="s">
        <v>44</v>
      </c>
      <c r="H1" s="12" t="s">
        <v>35</v>
      </c>
      <c r="I1" s="5" t="s">
        <v>43</v>
      </c>
      <c r="J1" s="5" t="s">
        <v>33</v>
      </c>
      <c r="K1" s="5" t="s">
        <v>45</v>
      </c>
      <c r="L1" s="7" t="s">
        <v>34</v>
      </c>
      <c r="M1" s="33" t="s">
        <v>40</v>
      </c>
      <c r="N1" s="33" t="s">
        <v>39</v>
      </c>
      <c r="O1" s="33" t="s">
        <v>53</v>
      </c>
      <c r="P1" s="33" t="s">
        <v>41</v>
      </c>
      <c r="Q1" s="33" t="s">
        <v>46</v>
      </c>
      <c r="R1" s="7" t="s">
        <v>47</v>
      </c>
    </row>
    <row r="2" spans="1:142">
      <c r="A2" s="113">
        <v>38645</v>
      </c>
      <c r="B2" s="111" t="s">
        <v>31</v>
      </c>
      <c r="C2" s="12">
        <v>0.9</v>
      </c>
      <c r="D2" s="111">
        <f t="shared" ref="D2:D62" si="0">C2*0.7</f>
        <v>0.63</v>
      </c>
      <c r="E2" s="111">
        <f>F2/0.2</f>
        <v>3150</v>
      </c>
      <c r="F2" s="111">
        <f t="shared" ref="F2:F62" si="1">D2*1000</f>
        <v>630</v>
      </c>
      <c r="G2" s="112"/>
      <c r="H2" s="12"/>
      <c r="I2" s="5"/>
      <c r="J2" s="5"/>
      <c r="K2" s="5"/>
      <c r="L2" s="7"/>
      <c r="M2" s="33"/>
      <c r="N2" s="33"/>
      <c r="O2" s="33"/>
      <c r="P2" s="33"/>
      <c r="Q2" s="33"/>
      <c r="R2" s="7"/>
    </row>
    <row r="3" spans="1:142" ht="15" customHeight="1">
      <c r="A3" s="13">
        <v>38647</v>
      </c>
      <c r="B3" s="33" t="s">
        <v>31</v>
      </c>
      <c r="C3" s="7">
        <v>0.9</v>
      </c>
      <c r="D3" s="111">
        <f t="shared" si="0"/>
        <v>0.63</v>
      </c>
      <c r="E3" s="111">
        <f t="shared" ref="E3:E62" si="2">F3/0.2</f>
        <v>3150</v>
      </c>
      <c r="F3" s="111">
        <f t="shared" si="1"/>
        <v>630</v>
      </c>
      <c r="G3" s="114">
        <f>H3*0.2</f>
        <v>1431.9809069212274</v>
      </c>
      <c r="H3" s="115">
        <f>VS!I23</f>
        <v>7159.9045346061366</v>
      </c>
      <c r="I3" s="115">
        <f t="shared" ref="I3:I62" si="3">H3*1.8</f>
        <v>12887.828162291045</v>
      </c>
      <c r="J3" s="115">
        <f t="shared" ref="J3:J62" si="4">I3+F3</f>
        <v>13517.828162291045</v>
      </c>
      <c r="K3" s="115">
        <f>H3*2</f>
        <v>14319.809069212273</v>
      </c>
      <c r="L3" s="116"/>
      <c r="M3" s="7">
        <f>L3</f>
        <v>0</v>
      </c>
      <c r="N3" s="7">
        <f>gas!H32</f>
        <v>61.294470908733786</v>
      </c>
      <c r="O3" s="7">
        <f>N3/1000</f>
        <v>6.1294470908733786E-2</v>
      </c>
      <c r="P3" s="7">
        <v>0</v>
      </c>
      <c r="Q3" s="7"/>
      <c r="R3" s="7"/>
    </row>
    <row r="4" spans="1:142" ht="15" customHeight="1">
      <c r="A4" s="13">
        <v>38649</v>
      </c>
      <c r="B4" s="33" t="s">
        <v>31</v>
      </c>
      <c r="C4" s="7">
        <v>0.9</v>
      </c>
      <c r="D4" s="111">
        <f t="shared" si="0"/>
        <v>0.63</v>
      </c>
      <c r="E4" s="111">
        <f t="shared" si="2"/>
        <v>3150</v>
      </c>
      <c r="F4" s="111">
        <f t="shared" si="1"/>
        <v>630</v>
      </c>
      <c r="G4" s="114">
        <f t="shared" ref="G4:G63" si="5">H4*0.2</f>
        <v>1472.1345951629926</v>
      </c>
      <c r="H4" s="115">
        <f>VS!I25</f>
        <v>7360.6729758149622</v>
      </c>
      <c r="I4" s="115">
        <f t="shared" si="3"/>
        <v>13249.211356466933</v>
      </c>
      <c r="J4" s="115">
        <f t="shared" si="4"/>
        <v>13879.211356466933</v>
      </c>
      <c r="K4" s="115">
        <f t="shared" ref="K4:K63" si="6">H4*2</f>
        <v>14721.345951629924</v>
      </c>
      <c r="L4" s="116">
        <f t="shared" ref="L4:L67" si="7">J3-K4</f>
        <v>-1203.5177893388791</v>
      </c>
      <c r="M4" s="7">
        <f t="shared" ref="M4:M67" si="8">M3+L4</f>
        <v>-1203.5177893388791</v>
      </c>
      <c r="N4" s="7">
        <f>gas!H36</f>
        <v>108.18595881363314</v>
      </c>
      <c r="O4" s="7">
        <f t="shared" ref="O4:O67" si="9">N4/1000</f>
        <v>0.10818595881363313</v>
      </c>
      <c r="P4" s="7">
        <f>N4</f>
        <v>108.18595881363314</v>
      </c>
      <c r="Q4" s="7">
        <f t="shared" ref="Q4:Q35" si="10">P4/(M4/1000)</f>
        <v>-89.891449691875565</v>
      </c>
      <c r="R4" s="7">
        <f>Q4/62.4</f>
        <v>-1.4405681040364675</v>
      </c>
    </row>
    <row r="5" spans="1:142" ht="15" customHeight="1">
      <c r="A5" s="13">
        <v>38651</v>
      </c>
      <c r="B5" s="33" t="s">
        <v>31</v>
      </c>
      <c r="C5" s="7">
        <v>0.9</v>
      </c>
      <c r="D5" s="111">
        <f t="shared" si="0"/>
        <v>0.63</v>
      </c>
      <c r="E5" s="111">
        <f t="shared" si="2"/>
        <v>3150</v>
      </c>
      <c r="F5" s="111">
        <f t="shared" si="1"/>
        <v>630</v>
      </c>
      <c r="G5" s="114">
        <f t="shared" si="5"/>
        <v>1253.0120481927756</v>
      </c>
      <c r="H5" s="7">
        <f>VS!I28</f>
        <v>6265.0602409638777</v>
      </c>
      <c r="I5" s="115">
        <f>H5*1.8</f>
        <v>11277.10843373498</v>
      </c>
      <c r="J5" s="115">
        <f t="shared" si="4"/>
        <v>11907.10843373498</v>
      </c>
      <c r="K5" s="115">
        <f t="shared" si="6"/>
        <v>12530.120481927755</v>
      </c>
      <c r="L5" s="116">
        <f t="shared" si="7"/>
        <v>1349.0908745391771</v>
      </c>
      <c r="M5" s="7">
        <f t="shared" si="8"/>
        <v>145.57308520029801</v>
      </c>
      <c r="N5" s="7">
        <f>gas!H39</f>
        <v>77.00144150576017</v>
      </c>
      <c r="O5" s="7">
        <f t="shared" si="9"/>
        <v>7.7001441505760174E-2</v>
      </c>
      <c r="P5" s="7">
        <f>P4+N5</f>
        <v>185.1874003193933</v>
      </c>
      <c r="Q5" s="7">
        <f t="shared" si="10"/>
        <v>1272.1266439094072</v>
      </c>
      <c r="R5" s="7">
        <f>Q5/62.4</f>
        <v>20.386644934445631</v>
      </c>
    </row>
    <row r="6" spans="1:142" ht="15" customHeight="1">
      <c r="A6" s="13">
        <v>38657</v>
      </c>
      <c r="B6" s="33" t="s">
        <v>31</v>
      </c>
      <c r="C6" s="7">
        <v>0.9</v>
      </c>
      <c r="D6" s="111">
        <f t="shared" si="0"/>
        <v>0.63</v>
      </c>
      <c r="E6" s="111">
        <f t="shared" si="2"/>
        <v>3150</v>
      </c>
      <c r="F6" s="111">
        <f t="shared" si="1"/>
        <v>630</v>
      </c>
      <c r="G6" s="114">
        <f t="shared" si="5"/>
        <v>946.74556213017411</v>
      </c>
      <c r="H6" s="7">
        <f>VS!I37</f>
        <v>4733.7278106508702</v>
      </c>
      <c r="I6" s="115">
        <f t="shared" si="3"/>
        <v>8520.7100591715662</v>
      </c>
      <c r="J6" s="115">
        <f t="shared" si="4"/>
        <v>9150.7100591715662</v>
      </c>
      <c r="K6" s="115">
        <f t="shared" si="6"/>
        <v>9467.4556213017404</v>
      </c>
      <c r="L6" s="116">
        <f t="shared" si="7"/>
        <v>2439.6528124332399</v>
      </c>
      <c r="M6" s="7">
        <f t="shared" si="8"/>
        <v>2585.2258976335379</v>
      </c>
      <c r="N6" s="7">
        <f>gas!H51</f>
        <v>549.38473795229606</v>
      </c>
      <c r="O6" s="7">
        <f t="shared" si="9"/>
        <v>0.54938473795229603</v>
      </c>
      <c r="P6" s="7">
        <f t="shared" ref="P6:P69" si="11">P5+N6</f>
        <v>734.57213827168937</v>
      </c>
      <c r="Q6" s="7">
        <f t="shared" si="10"/>
        <v>284.1423408856075</v>
      </c>
      <c r="R6" s="7">
        <f t="shared" ref="R6:R66" si="12">Q6/62.4</f>
        <v>4.5535631552180691</v>
      </c>
    </row>
    <row r="7" spans="1:142" ht="15" customHeight="1">
      <c r="A7" s="13">
        <v>38659</v>
      </c>
      <c r="B7" s="33" t="s">
        <v>31</v>
      </c>
      <c r="C7" s="7">
        <v>0.9</v>
      </c>
      <c r="D7" s="111">
        <f t="shared" si="0"/>
        <v>0.63</v>
      </c>
      <c r="E7" s="111">
        <f t="shared" si="2"/>
        <v>3150</v>
      </c>
      <c r="F7" s="111">
        <f t="shared" si="1"/>
        <v>630</v>
      </c>
      <c r="G7" s="114">
        <f t="shared" si="5"/>
        <v>612.55742725879247</v>
      </c>
      <c r="H7" s="7">
        <f>VS!I40</f>
        <v>3062.7871362939622</v>
      </c>
      <c r="I7" s="115">
        <f t="shared" si="3"/>
        <v>5513.0168453291326</v>
      </c>
      <c r="J7" s="115">
        <f t="shared" si="4"/>
        <v>6143.0168453291326</v>
      </c>
      <c r="K7" s="115">
        <f t="shared" si="6"/>
        <v>6125.5742725879245</v>
      </c>
      <c r="L7" s="116">
        <f t="shared" si="7"/>
        <v>3025.1357865836417</v>
      </c>
      <c r="M7" s="7">
        <f t="shared" si="8"/>
        <v>5610.3616842171796</v>
      </c>
      <c r="N7" s="7">
        <f>gas!H54</f>
        <v>527.63420959546363</v>
      </c>
      <c r="O7" s="7">
        <f t="shared" si="9"/>
        <v>0.52763420959546359</v>
      </c>
      <c r="P7" s="7">
        <f t="shared" si="11"/>
        <v>1262.206347867153</v>
      </c>
      <c r="Q7" s="7">
        <f t="shared" si="10"/>
        <v>224.97771425645084</v>
      </c>
      <c r="R7" s="7">
        <f t="shared" si="12"/>
        <v>3.6054120874431224</v>
      </c>
    </row>
    <row r="8" spans="1:142" ht="15" customHeight="1">
      <c r="A8" s="13">
        <v>38661</v>
      </c>
      <c r="B8" s="33" t="s">
        <v>31</v>
      </c>
      <c r="C8" s="7">
        <v>0.9</v>
      </c>
      <c r="D8" s="111">
        <f t="shared" si="0"/>
        <v>0.63</v>
      </c>
      <c r="E8" s="111">
        <f t="shared" si="2"/>
        <v>3150</v>
      </c>
      <c r="F8" s="111">
        <f t="shared" si="1"/>
        <v>630</v>
      </c>
      <c r="G8" s="114">
        <f t="shared" si="5"/>
        <v>997.50623441394373</v>
      </c>
      <c r="H8" s="7">
        <f>VS!I43</f>
        <v>4987.5311720697182</v>
      </c>
      <c r="I8" s="115">
        <f t="shared" si="3"/>
        <v>8977.5561097254922</v>
      </c>
      <c r="J8" s="115">
        <f t="shared" si="4"/>
        <v>9607.5561097254922</v>
      </c>
      <c r="K8" s="115">
        <f t="shared" si="6"/>
        <v>9975.0623441394364</v>
      </c>
      <c r="L8" s="116">
        <f t="shared" si="7"/>
        <v>-3832.0454988103038</v>
      </c>
      <c r="M8" s="7">
        <f t="shared" si="8"/>
        <v>1778.3161854068758</v>
      </c>
      <c r="N8" s="7">
        <f>gas!H55</f>
        <v>175.57430808645825</v>
      </c>
      <c r="O8" s="7">
        <f t="shared" si="9"/>
        <v>0.17557430808645824</v>
      </c>
      <c r="P8" s="7">
        <f t="shared" si="11"/>
        <v>1437.7806559536111</v>
      </c>
      <c r="Q8" s="7">
        <f t="shared" si="10"/>
        <v>808.506759232273</v>
      </c>
      <c r="R8" s="7">
        <f t="shared" si="12"/>
        <v>12.956839090260786</v>
      </c>
    </row>
    <row r="9" spans="1:142" ht="15" customHeight="1">
      <c r="A9" s="13">
        <v>38668</v>
      </c>
      <c r="B9" s="33" t="s">
        <v>31</v>
      </c>
      <c r="C9" s="7">
        <v>0.9</v>
      </c>
      <c r="D9" s="111">
        <f t="shared" si="0"/>
        <v>0.63</v>
      </c>
      <c r="E9" s="111">
        <f t="shared" si="2"/>
        <v>3150</v>
      </c>
      <c r="F9" s="111">
        <f t="shared" si="1"/>
        <v>630</v>
      </c>
      <c r="G9" s="114">
        <f t="shared" si="5"/>
        <v>1379.3103448276058</v>
      </c>
      <c r="H9" s="7">
        <f>VS!I49</f>
        <v>6896.5517241380285</v>
      </c>
      <c r="I9" s="115">
        <f t="shared" si="3"/>
        <v>12413.793103448452</v>
      </c>
      <c r="J9" s="115">
        <f t="shared" si="4"/>
        <v>13043.793103448452</v>
      </c>
      <c r="K9" s="115">
        <f t="shared" si="6"/>
        <v>13793.103448276057</v>
      </c>
      <c r="L9" s="116">
        <f t="shared" si="7"/>
        <v>-4185.5473385505647</v>
      </c>
      <c r="M9" s="7">
        <f t="shared" si="8"/>
        <v>-2407.231153143689</v>
      </c>
      <c r="N9" s="7">
        <f>gas!H66</f>
        <v>217.87720629905118</v>
      </c>
      <c r="O9" s="7">
        <f t="shared" si="9"/>
        <v>0.21787720629905119</v>
      </c>
      <c r="P9" s="7">
        <f t="shared" si="11"/>
        <v>1655.6578622526622</v>
      </c>
      <c r="Q9" s="7">
        <f t="shared" si="10"/>
        <v>-687.7851593481081</v>
      </c>
      <c r="R9" s="7">
        <f t="shared" si="12"/>
        <v>-11.022198066476092</v>
      </c>
    </row>
    <row r="10" spans="1:142" ht="15" customHeight="1">
      <c r="A10" s="13">
        <v>38671</v>
      </c>
      <c r="B10" s="33" t="s">
        <v>31</v>
      </c>
      <c r="C10" s="7">
        <v>0.9</v>
      </c>
      <c r="D10" s="111">
        <f t="shared" si="0"/>
        <v>0.63</v>
      </c>
      <c r="E10" s="111">
        <f>F10/0.2</f>
        <v>3150</v>
      </c>
      <c r="F10" s="111">
        <f t="shared" si="1"/>
        <v>630</v>
      </c>
      <c r="G10" s="114">
        <f t="shared" si="5"/>
        <v>995.02487562190493</v>
      </c>
      <c r="H10" s="7">
        <f>VS!I52</f>
        <v>4975.1243781095245</v>
      </c>
      <c r="I10" s="115">
        <f t="shared" si="3"/>
        <v>8955.2238805971447</v>
      </c>
      <c r="J10" s="115">
        <f t="shared" si="4"/>
        <v>9585.2238805971447</v>
      </c>
      <c r="K10" s="115">
        <f t="shared" si="6"/>
        <v>9950.248756219049</v>
      </c>
      <c r="L10" s="116">
        <f t="shared" si="7"/>
        <v>3093.5443472294028</v>
      </c>
      <c r="M10" s="7">
        <f t="shared" si="8"/>
        <v>686.3131940857138</v>
      </c>
      <c r="N10" s="7">
        <f>gas!H69</f>
        <v>179.06903813078043</v>
      </c>
      <c r="O10" s="7">
        <f t="shared" si="9"/>
        <v>0.17906903813078043</v>
      </c>
      <c r="P10" s="7">
        <f t="shared" si="11"/>
        <v>1834.7269003834426</v>
      </c>
      <c r="Q10" s="7">
        <f t="shared" si="10"/>
        <v>2673.3085072444392</v>
      </c>
      <c r="R10" s="7">
        <f t="shared" si="12"/>
        <v>42.841482487891653</v>
      </c>
    </row>
    <row r="11" spans="1:142" ht="15" customHeight="1">
      <c r="A11" s="13">
        <v>38673</v>
      </c>
      <c r="B11" s="33" t="s">
        <v>31</v>
      </c>
      <c r="C11" s="7">
        <v>0.9</v>
      </c>
      <c r="D11" s="111">
        <f t="shared" si="0"/>
        <v>0.63</v>
      </c>
      <c r="E11" s="111">
        <f t="shared" si="2"/>
        <v>3150</v>
      </c>
      <c r="F11" s="111">
        <f t="shared" si="1"/>
        <v>630</v>
      </c>
      <c r="G11" s="114">
        <f t="shared" si="5"/>
        <v>860.83213773313389</v>
      </c>
      <c r="H11" s="7">
        <f>VS!I55</f>
        <v>4304.1606886656691</v>
      </c>
      <c r="I11" s="115">
        <f t="shared" si="3"/>
        <v>7747.4892395982042</v>
      </c>
      <c r="J11" s="115">
        <f t="shared" si="4"/>
        <v>8377.4892395982042</v>
      </c>
      <c r="K11" s="115">
        <f t="shared" si="6"/>
        <v>8608.3213773313382</v>
      </c>
      <c r="L11" s="116">
        <f t="shared" si="7"/>
        <v>976.90250326580644</v>
      </c>
      <c r="M11" s="7">
        <f t="shared" si="8"/>
        <v>1663.2156973515202</v>
      </c>
      <c r="N11" s="7">
        <f>gas!H72</f>
        <v>57.55908978240263</v>
      </c>
      <c r="O11" s="7">
        <f t="shared" si="9"/>
        <v>5.755908978240263E-2</v>
      </c>
      <c r="P11" s="7">
        <f t="shared" si="11"/>
        <v>1892.2859901658453</v>
      </c>
      <c r="Q11" s="7">
        <f t="shared" si="10"/>
        <v>1137.7273514067317</v>
      </c>
      <c r="R11" s="7">
        <f t="shared" si="12"/>
        <v>18.232810118697625</v>
      </c>
    </row>
    <row r="12" spans="1:142" ht="15" customHeight="1">
      <c r="A12" s="13">
        <v>38675</v>
      </c>
      <c r="B12" s="33" t="s">
        <v>31</v>
      </c>
      <c r="C12" s="7">
        <v>0.9</v>
      </c>
      <c r="D12" s="111">
        <f t="shared" si="0"/>
        <v>0.63</v>
      </c>
      <c r="E12" s="111">
        <f t="shared" si="2"/>
        <v>3150</v>
      </c>
      <c r="F12" s="111">
        <f t="shared" si="1"/>
        <v>630</v>
      </c>
      <c r="G12" s="114">
        <f t="shared" si="5"/>
        <v>1032.2580645161254</v>
      </c>
      <c r="H12" s="7">
        <f>VS!I58</f>
        <v>5161.2903225806267</v>
      </c>
      <c r="I12" s="115">
        <f t="shared" si="3"/>
        <v>9290.3225806451283</v>
      </c>
      <c r="J12" s="115">
        <f t="shared" si="4"/>
        <v>9920.3225806451283</v>
      </c>
      <c r="K12" s="115">
        <f t="shared" si="6"/>
        <v>10322.580645161253</v>
      </c>
      <c r="L12" s="116">
        <f t="shared" si="7"/>
        <v>-1945.0914055630492</v>
      </c>
      <c r="M12" s="7">
        <f t="shared" si="8"/>
        <v>-281.87570821152894</v>
      </c>
      <c r="N12" s="7">
        <f>gas!H75</f>
        <v>52.316343897794134</v>
      </c>
      <c r="O12" s="7">
        <f t="shared" si="9"/>
        <v>5.2316343897794132E-2</v>
      </c>
      <c r="P12" s="7">
        <f t="shared" si="11"/>
        <v>1944.6023340636395</v>
      </c>
      <c r="Q12" s="7">
        <f t="shared" si="10"/>
        <v>-6898.7936080123118</v>
      </c>
      <c r="R12" s="7">
        <f t="shared" si="12"/>
        <v>-110.55758987199218</v>
      </c>
    </row>
    <row r="13" spans="1:142" ht="15" customHeight="1">
      <c r="A13" s="13">
        <v>38687</v>
      </c>
      <c r="B13" s="33" t="s">
        <v>31</v>
      </c>
      <c r="C13" s="7">
        <v>0.9</v>
      </c>
      <c r="D13" s="111">
        <f t="shared" si="0"/>
        <v>0.63</v>
      </c>
      <c r="E13" s="111">
        <f t="shared" si="2"/>
        <v>3150</v>
      </c>
      <c r="F13" s="111">
        <f t="shared" si="1"/>
        <v>630</v>
      </c>
      <c r="G13" s="114">
        <f t="shared" si="5"/>
        <v>883.97790055248322</v>
      </c>
      <c r="H13" s="7">
        <f>VS!I61</f>
        <v>4419.8895027624158</v>
      </c>
      <c r="I13" s="115">
        <f t="shared" si="3"/>
        <v>7955.8011049723482</v>
      </c>
      <c r="J13" s="115">
        <f t="shared" si="4"/>
        <v>8585.8011049723482</v>
      </c>
      <c r="K13" s="115">
        <f t="shared" si="6"/>
        <v>8839.7790055248315</v>
      </c>
      <c r="L13" s="116">
        <f t="shared" si="7"/>
        <v>1080.5435751202967</v>
      </c>
      <c r="M13" s="7">
        <f t="shared" si="8"/>
        <v>798.66786690876779</v>
      </c>
      <c r="N13" s="7">
        <f>gas!H87</f>
        <v>187.25833625114223</v>
      </c>
      <c r="O13" s="7">
        <f t="shared" si="9"/>
        <v>0.18725833625114222</v>
      </c>
      <c r="P13" s="7">
        <f t="shared" si="11"/>
        <v>2131.8606703147816</v>
      </c>
      <c r="Q13" s="7">
        <f t="shared" si="10"/>
        <v>2669.2706175423295</v>
      </c>
      <c r="R13" s="7">
        <f t="shared" si="12"/>
        <v>42.776772717024514</v>
      </c>
    </row>
    <row r="14" spans="1:142" ht="15" customHeight="1">
      <c r="A14" s="13">
        <v>38689</v>
      </c>
      <c r="B14" s="33" t="s">
        <v>31</v>
      </c>
      <c r="C14" s="7">
        <v>0.9</v>
      </c>
      <c r="D14" s="111">
        <f t="shared" si="0"/>
        <v>0.63</v>
      </c>
      <c r="E14" s="111">
        <f t="shared" si="2"/>
        <v>3150</v>
      </c>
      <c r="F14" s="111">
        <f t="shared" si="1"/>
        <v>630</v>
      </c>
      <c r="G14" s="114">
        <f t="shared" si="5"/>
        <v>1041.6666666666629</v>
      </c>
      <c r="H14" s="7">
        <f>VS!I64</f>
        <v>5208.3333333333139</v>
      </c>
      <c r="I14" s="115">
        <f t="shared" si="3"/>
        <v>9374.9999999999654</v>
      </c>
      <c r="J14" s="115">
        <f t="shared" si="4"/>
        <v>10004.999999999965</v>
      </c>
      <c r="K14" s="115">
        <f t="shared" si="6"/>
        <v>10416.666666666628</v>
      </c>
      <c r="L14" s="116">
        <f t="shared" si="7"/>
        <v>-1830.8655616942797</v>
      </c>
      <c r="M14" s="7">
        <f t="shared" si="8"/>
        <v>-1032.1976947855119</v>
      </c>
      <c r="N14" s="7">
        <f>gas!H90</f>
        <v>133.82764709685134</v>
      </c>
      <c r="O14" s="7">
        <f t="shared" si="9"/>
        <v>0.13382764709685133</v>
      </c>
      <c r="P14" s="7">
        <f t="shared" si="11"/>
        <v>2265.6883174116329</v>
      </c>
      <c r="Q14" s="7">
        <f t="shared" si="10"/>
        <v>-2195.0139288796199</v>
      </c>
      <c r="R14" s="7">
        <f t="shared" si="12"/>
        <v>-35.17650527050673</v>
      </c>
    </row>
    <row r="15" spans="1:142" s="24" customFormat="1" ht="15" customHeight="1">
      <c r="A15" s="117">
        <v>38692</v>
      </c>
      <c r="B15" s="33" t="s">
        <v>31</v>
      </c>
      <c r="C15" s="68">
        <v>1.9</v>
      </c>
      <c r="D15" s="118">
        <f t="shared" si="0"/>
        <v>1.3299999999999998</v>
      </c>
      <c r="E15" s="118">
        <f t="shared" si="2"/>
        <v>6649.9999999999982</v>
      </c>
      <c r="F15" s="118">
        <f t="shared" si="1"/>
        <v>1329.9999999999998</v>
      </c>
      <c r="G15" s="119">
        <f t="shared" si="5"/>
        <v>914.63414634147648</v>
      </c>
      <c r="H15" s="68">
        <f>VS!I67</f>
        <v>4573.1707317073824</v>
      </c>
      <c r="I15" s="120">
        <f t="shared" si="3"/>
        <v>8231.7073170732892</v>
      </c>
      <c r="J15" s="115">
        <f t="shared" si="4"/>
        <v>9561.7073170732892</v>
      </c>
      <c r="K15" s="115">
        <f t="shared" si="6"/>
        <v>9146.3414634147648</v>
      </c>
      <c r="L15" s="116">
        <f t="shared" si="7"/>
        <v>858.65853658520064</v>
      </c>
      <c r="M15" s="7">
        <f t="shared" si="8"/>
        <v>-173.53915820031125</v>
      </c>
      <c r="N15" s="68">
        <f>gas!H93</f>
        <v>89.74099869680694</v>
      </c>
      <c r="O15" s="7">
        <f t="shared" si="9"/>
        <v>8.9740998696806934E-2</v>
      </c>
      <c r="P15" s="7">
        <f t="shared" si="11"/>
        <v>2355.4293161084397</v>
      </c>
      <c r="Q15" s="7">
        <f t="shared" si="10"/>
        <v>-13572.898131669141</v>
      </c>
      <c r="R15" s="7">
        <f t="shared" si="12"/>
        <v>-217.51439313572342</v>
      </c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</row>
    <row r="16" spans="1:142" ht="15" customHeight="1">
      <c r="A16" s="13">
        <v>38696</v>
      </c>
      <c r="B16" s="33" t="s">
        <v>31</v>
      </c>
      <c r="C16" s="7">
        <v>0.9</v>
      </c>
      <c r="D16" s="111">
        <f t="shared" si="0"/>
        <v>0.63</v>
      </c>
      <c r="E16" s="111">
        <f t="shared" si="2"/>
        <v>3150</v>
      </c>
      <c r="F16" s="111">
        <f t="shared" si="1"/>
        <v>630</v>
      </c>
      <c r="G16" s="114">
        <f t="shared" si="5"/>
        <v>1117.3184357541793</v>
      </c>
      <c r="H16" s="7">
        <f>VS!I70</f>
        <v>5586.5921787708967</v>
      </c>
      <c r="I16" s="115">
        <f t="shared" si="3"/>
        <v>10055.865921787614</v>
      </c>
      <c r="J16" s="115">
        <f t="shared" si="4"/>
        <v>10685.865921787614</v>
      </c>
      <c r="K16" s="115">
        <f t="shared" si="6"/>
        <v>11173.184357541793</v>
      </c>
      <c r="L16" s="116">
        <f t="shared" si="7"/>
        <v>-1611.4770404685041</v>
      </c>
      <c r="M16" s="7">
        <f t="shared" si="8"/>
        <v>-1785.0161986688154</v>
      </c>
      <c r="N16" s="7">
        <f>gas!H96</f>
        <v>136.75228379036182</v>
      </c>
      <c r="O16" s="7">
        <f t="shared" si="9"/>
        <v>0.13675228379036181</v>
      </c>
      <c r="P16" s="7">
        <f t="shared" si="11"/>
        <v>2492.1815998988013</v>
      </c>
      <c r="Q16" s="7">
        <f t="shared" si="10"/>
        <v>-1396.1674979517597</v>
      </c>
      <c r="R16" s="7">
        <f t="shared" si="12"/>
        <v>-22.374479133842303</v>
      </c>
    </row>
    <row r="17" spans="1:142" ht="15" customHeight="1">
      <c r="A17" s="13">
        <v>38699</v>
      </c>
      <c r="B17" s="33" t="s">
        <v>31</v>
      </c>
      <c r="C17" s="7">
        <v>0.9</v>
      </c>
      <c r="D17" s="111">
        <f t="shared" si="0"/>
        <v>0.63</v>
      </c>
      <c r="E17" s="111">
        <f t="shared" si="2"/>
        <v>3150</v>
      </c>
      <c r="F17" s="111">
        <f t="shared" si="1"/>
        <v>630</v>
      </c>
      <c r="G17" s="114">
        <f t="shared" si="5"/>
        <v>813.00813008131252</v>
      </c>
      <c r="H17" s="7">
        <f>VS!I73</f>
        <v>4065.0406504065622</v>
      </c>
      <c r="I17" s="115">
        <f t="shared" si="3"/>
        <v>7317.0731707318118</v>
      </c>
      <c r="J17" s="115">
        <f t="shared" si="4"/>
        <v>7947.0731707318118</v>
      </c>
      <c r="K17" s="115">
        <f t="shared" si="6"/>
        <v>8130.0813008131245</v>
      </c>
      <c r="L17" s="116">
        <f t="shared" si="7"/>
        <v>2555.7846209744894</v>
      </c>
      <c r="M17" s="7">
        <f t="shared" si="8"/>
        <v>770.76842230567399</v>
      </c>
      <c r="N17" s="7">
        <f>gas!H99</f>
        <v>90.18547715142148</v>
      </c>
      <c r="O17" s="7">
        <f t="shared" si="9"/>
        <v>9.0185477151421486E-2</v>
      </c>
      <c r="P17" s="7">
        <f t="shared" si="11"/>
        <v>2582.3670770502226</v>
      </c>
      <c r="Q17" s="7">
        <f t="shared" si="10"/>
        <v>3350.3799615004191</v>
      </c>
      <c r="R17" s="7">
        <f t="shared" si="12"/>
        <v>53.69198656250672</v>
      </c>
    </row>
    <row r="18" spans="1:142" ht="15" customHeight="1">
      <c r="A18" s="13">
        <v>38701</v>
      </c>
      <c r="B18" s="33" t="s">
        <v>31</v>
      </c>
      <c r="C18" s="7">
        <v>0.9</v>
      </c>
      <c r="D18" s="111">
        <f t="shared" si="0"/>
        <v>0.63</v>
      </c>
      <c r="E18" s="111">
        <f t="shared" si="2"/>
        <v>3150</v>
      </c>
      <c r="F18" s="111">
        <f t="shared" si="1"/>
        <v>630</v>
      </c>
      <c r="G18" s="114">
        <f t="shared" si="5"/>
        <v>598.80239520958946</v>
      </c>
      <c r="H18" s="7">
        <f>VS!I79</f>
        <v>2994.011976047947</v>
      </c>
      <c r="I18" s="115">
        <f>H18*1.8</f>
        <v>5389.2215568863048</v>
      </c>
      <c r="J18" s="115">
        <f t="shared" si="4"/>
        <v>6019.2215568863048</v>
      </c>
      <c r="K18" s="115">
        <f t="shared" si="6"/>
        <v>5988.0239520958939</v>
      </c>
      <c r="L18" s="116">
        <f t="shared" si="7"/>
        <v>1959.0492186359179</v>
      </c>
      <c r="M18" s="7">
        <f t="shared" si="8"/>
        <v>2729.8176409415919</v>
      </c>
      <c r="N18" s="7">
        <f>gas!G105</f>
        <v>75.975434895855585</v>
      </c>
      <c r="O18" s="7">
        <f t="shared" si="9"/>
        <v>7.5975434895855579E-2</v>
      </c>
      <c r="P18" s="7">
        <f t="shared" si="11"/>
        <v>2658.342511946078</v>
      </c>
      <c r="Q18" s="7">
        <f t="shared" si="10"/>
        <v>973.81688508289506</v>
      </c>
      <c r="R18" s="7">
        <f t="shared" si="12"/>
        <v>15.606039825046395</v>
      </c>
    </row>
    <row r="19" spans="1:142" s="24" customFormat="1" ht="15" customHeight="1">
      <c r="A19" s="117">
        <v>38720</v>
      </c>
      <c r="B19" s="33" t="s">
        <v>31</v>
      </c>
      <c r="C19" s="68">
        <v>3.6</v>
      </c>
      <c r="D19" s="118">
        <f t="shared" si="0"/>
        <v>2.52</v>
      </c>
      <c r="E19" s="118">
        <f t="shared" si="2"/>
        <v>12600</v>
      </c>
      <c r="F19" s="118">
        <f t="shared" si="1"/>
        <v>2520</v>
      </c>
      <c r="G19" s="119">
        <f t="shared" si="5"/>
        <v>840.33613445377853</v>
      </c>
      <c r="H19" s="68">
        <f>VS!I82</f>
        <v>4201.6806722688925</v>
      </c>
      <c r="I19" s="120">
        <f t="shared" si="3"/>
        <v>7563.0252100840071</v>
      </c>
      <c r="J19" s="115">
        <f t="shared" si="4"/>
        <v>10083.025210084008</v>
      </c>
      <c r="K19" s="115">
        <f t="shared" si="6"/>
        <v>8403.361344537785</v>
      </c>
      <c r="L19" s="116">
        <f t="shared" si="7"/>
        <v>-2384.1397876514802</v>
      </c>
      <c r="M19" s="7">
        <f t="shared" si="8"/>
        <v>345.67785329011167</v>
      </c>
      <c r="N19" s="68">
        <f>gas!H114</f>
        <v>88.284424231870148</v>
      </c>
      <c r="O19" s="7">
        <f t="shared" si="9"/>
        <v>8.8284424231870148E-2</v>
      </c>
      <c r="P19" s="7">
        <f t="shared" si="11"/>
        <v>2746.6269361779482</v>
      </c>
      <c r="Q19" s="7">
        <f t="shared" si="10"/>
        <v>7945.6259926285447</v>
      </c>
      <c r="R19" s="7">
        <f t="shared" si="12"/>
        <v>127.3337498818677</v>
      </c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</row>
    <row r="20" spans="1:142" ht="15" customHeight="1">
      <c r="A20" s="117">
        <v>38722</v>
      </c>
      <c r="B20" s="33" t="s">
        <v>31</v>
      </c>
      <c r="C20" s="7">
        <v>0.9</v>
      </c>
      <c r="D20" s="111">
        <f t="shared" si="0"/>
        <v>0.63</v>
      </c>
      <c r="E20" s="111">
        <f t="shared" si="2"/>
        <v>3150</v>
      </c>
      <c r="F20" s="111">
        <f t="shared" si="1"/>
        <v>630</v>
      </c>
      <c r="G20" s="114">
        <f t="shared" si="5"/>
        <v>1092.8961748634038</v>
      </c>
      <c r="H20" s="7">
        <f>VS!I85</f>
        <v>5464.4808743170188</v>
      </c>
      <c r="I20" s="115">
        <f t="shared" si="3"/>
        <v>9836.0655737706347</v>
      </c>
      <c r="J20" s="115">
        <f t="shared" si="4"/>
        <v>10466.065573770635</v>
      </c>
      <c r="K20" s="115">
        <f t="shared" si="6"/>
        <v>10928.961748634038</v>
      </c>
      <c r="L20" s="116">
        <f t="shared" si="7"/>
        <v>-845.93653855002958</v>
      </c>
      <c r="M20" s="7">
        <f t="shared" si="8"/>
        <v>-500.25868525991791</v>
      </c>
      <c r="N20" s="7">
        <f>gas!H117</f>
        <v>109.62387748755469</v>
      </c>
      <c r="O20" s="7">
        <f t="shared" si="9"/>
        <v>0.1096238774875547</v>
      </c>
      <c r="P20" s="7">
        <f t="shared" si="11"/>
        <v>2856.2508136655028</v>
      </c>
      <c r="Q20" s="7">
        <f t="shared" si="10"/>
        <v>-5709.5476756820108</v>
      </c>
      <c r="R20" s="7">
        <f t="shared" si="12"/>
        <v>-91.499161469263001</v>
      </c>
    </row>
    <row r="21" spans="1:142" ht="15" customHeight="1">
      <c r="A21" s="13">
        <v>38724</v>
      </c>
      <c r="B21" s="33" t="s">
        <v>31</v>
      </c>
      <c r="C21" s="7">
        <v>0.9</v>
      </c>
      <c r="D21" s="111">
        <f t="shared" si="0"/>
        <v>0.63</v>
      </c>
      <c r="E21" s="111">
        <f t="shared" si="2"/>
        <v>3150</v>
      </c>
      <c r="F21" s="111">
        <f t="shared" si="1"/>
        <v>630</v>
      </c>
      <c r="G21" s="114">
        <f t="shared" si="5"/>
        <v>469.48356807512414</v>
      </c>
      <c r="H21" s="7">
        <f>VS!I89</f>
        <v>2347.4178403756205</v>
      </c>
      <c r="I21" s="115">
        <f t="shared" si="3"/>
        <v>4225.352112676117</v>
      </c>
      <c r="J21" s="115">
        <f t="shared" si="4"/>
        <v>4855.352112676117</v>
      </c>
      <c r="K21" s="115">
        <f t="shared" si="6"/>
        <v>4694.8356807512409</v>
      </c>
      <c r="L21" s="116">
        <f t="shared" si="7"/>
        <v>5771.2298930193938</v>
      </c>
      <c r="M21" s="7">
        <f t="shared" si="8"/>
        <v>5270.9712077594759</v>
      </c>
      <c r="N21" s="7">
        <f>gas!H120</f>
        <v>88.223418026435681</v>
      </c>
      <c r="O21" s="7">
        <f t="shared" si="9"/>
        <v>8.8223418026435685E-2</v>
      </c>
      <c r="P21" s="7">
        <f t="shared" si="11"/>
        <v>2944.4742316919387</v>
      </c>
      <c r="Q21" s="7">
        <f t="shared" si="10"/>
        <v>558.62081495670748</v>
      </c>
      <c r="R21" s="7">
        <f t="shared" si="12"/>
        <v>8.9522566499472358</v>
      </c>
    </row>
    <row r="22" spans="1:142" ht="15" customHeight="1">
      <c r="A22" s="13">
        <v>38727</v>
      </c>
      <c r="B22" s="33" t="s">
        <v>31</v>
      </c>
      <c r="C22" s="7">
        <v>0.9</v>
      </c>
      <c r="D22" s="111">
        <f t="shared" si="0"/>
        <v>0.63</v>
      </c>
      <c r="E22" s="111">
        <f t="shared" si="2"/>
        <v>3150</v>
      </c>
      <c r="F22" s="111">
        <f t="shared" si="1"/>
        <v>630</v>
      </c>
      <c r="G22" s="114">
        <f t="shared" si="5"/>
        <v>478.46889952153788</v>
      </c>
      <c r="H22" s="7">
        <f>VS!I93</f>
        <v>2392.3444976076894</v>
      </c>
      <c r="I22" s="115">
        <f t="shared" si="3"/>
        <v>4306.2200956938414</v>
      </c>
      <c r="J22" s="115">
        <f t="shared" si="4"/>
        <v>4936.2200956938414</v>
      </c>
      <c r="K22" s="115">
        <f t="shared" si="6"/>
        <v>4784.6889952153788</v>
      </c>
      <c r="L22" s="116">
        <f t="shared" si="7"/>
        <v>70.663117460738249</v>
      </c>
      <c r="M22" s="7">
        <f t="shared" si="8"/>
        <v>5341.6343252202141</v>
      </c>
      <c r="N22" s="7">
        <f>gas!H123</f>
        <v>130.27613099691931</v>
      </c>
      <c r="O22" s="7">
        <f t="shared" si="9"/>
        <v>0.13027613099691931</v>
      </c>
      <c r="P22" s="7">
        <f t="shared" si="11"/>
        <v>3074.7503626888579</v>
      </c>
      <c r="Q22" s="7">
        <f t="shared" si="10"/>
        <v>575.61977767208884</v>
      </c>
      <c r="R22" s="7">
        <f t="shared" si="12"/>
        <v>9.2246759242321925</v>
      </c>
    </row>
    <row r="23" spans="1:142" ht="15" customHeight="1">
      <c r="A23" s="13">
        <v>38729</v>
      </c>
      <c r="B23" s="33" t="s">
        <v>31</v>
      </c>
      <c r="C23" s="7">
        <v>0.9</v>
      </c>
      <c r="D23" s="111">
        <f t="shared" si="0"/>
        <v>0.63</v>
      </c>
      <c r="E23" s="111">
        <f t="shared" si="2"/>
        <v>3150</v>
      </c>
      <c r="F23" s="111">
        <f t="shared" si="1"/>
        <v>630</v>
      </c>
      <c r="G23" s="114">
        <f t="shared" si="5"/>
        <v>911.16173120730218</v>
      </c>
      <c r="H23" s="68">
        <f>VS!I96</f>
        <v>4555.8086560365109</v>
      </c>
      <c r="I23" s="115">
        <f t="shared" si="3"/>
        <v>8200.4555808657205</v>
      </c>
      <c r="J23" s="115">
        <f t="shared" si="4"/>
        <v>8830.4555808657205</v>
      </c>
      <c r="K23" s="115">
        <f t="shared" si="6"/>
        <v>9111.6173120730218</v>
      </c>
      <c r="L23" s="116">
        <f t="shared" si="7"/>
        <v>-4175.3972163791805</v>
      </c>
      <c r="M23" s="7">
        <f t="shared" si="8"/>
        <v>1166.2371088410337</v>
      </c>
      <c r="N23" s="7">
        <f>gas!H126</f>
        <v>66.522618967242778</v>
      </c>
      <c r="O23" s="7">
        <f t="shared" si="9"/>
        <v>6.6522618967242778E-2</v>
      </c>
      <c r="P23" s="7">
        <f t="shared" si="11"/>
        <v>3141.2729816561005</v>
      </c>
      <c r="Q23" s="7">
        <f t="shared" si="10"/>
        <v>2693.5114290590441</v>
      </c>
      <c r="R23" s="7">
        <f t="shared" si="12"/>
        <v>43.165247260561607</v>
      </c>
    </row>
    <row r="24" spans="1:142" ht="15" customHeight="1">
      <c r="A24" s="13">
        <v>38731</v>
      </c>
      <c r="B24" s="33" t="s">
        <v>31</v>
      </c>
      <c r="C24" s="7">
        <v>0.9</v>
      </c>
      <c r="D24" s="111">
        <f t="shared" si="0"/>
        <v>0.63</v>
      </c>
      <c r="E24" s="111">
        <f t="shared" si="2"/>
        <v>3150</v>
      </c>
      <c r="F24" s="111">
        <f t="shared" si="1"/>
        <v>630</v>
      </c>
      <c r="G24" s="114">
        <f t="shared" si="5"/>
        <v>1071.4285714285868</v>
      </c>
      <c r="H24" s="68">
        <f>VS!I99</f>
        <v>5357.1428571429342</v>
      </c>
      <c r="I24" s="115">
        <f t="shared" si="3"/>
        <v>9642.8571428572814</v>
      </c>
      <c r="J24" s="115">
        <f t="shared" si="4"/>
        <v>10272.857142857281</v>
      </c>
      <c r="K24" s="115">
        <f t="shared" si="6"/>
        <v>10714.285714285868</v>
      </c>
      <c r="L24" s="116">
        <f t="shared" si="7"/>
        <v>-1883.8301334201478</v>
      </c>
      <c r="M24" s="7">
        <f t="shared" si="8"/>
        <v>-717.59302457911417</v>
      </c>
      <c r="N24" s="7">
        <f>gas!H129</f>
        <v>81.060622158000086</v>
      </c>
      <c r="O24" s="7">
        <f t="shared" si="9"/>
        <v>8.1060622158000084E-2</v>
      </c>
      <c r="P24" s="7">
        <f t="shared" si="11"/>
        <v>3222.3336038141006</v>
      </c>
      <c r="Q24" s="7">
        <f t="shared" si="10"/>
        <v>-4490.475093043272</v>
      </c>
      <c r="R24" s="7">
        <f t="shared" si="12"/>
        <v>-71.962741875693467</v>
      </c>
    </row>
    <row r="25" spans="1:142" ht="15" customHeight="1">
      <c r="A25" s="13">
        <v>38734</v>
      </c>
      <c r="B25" s="33" t="s">
        <v>31</v>
      </c>
      <c r="C25" s="7">
        <v>0.9</v>
      </c>
      <c r="D25" s="111">
        <f t="shared" si="0"/>
        <v>0.63</v>
      </c>
      <c r="E25" s="111">
        <f t="shared" si="2"/>
        <v>3150</v>
      </c>
      <c r="F25" s="111">
        <f t="shared" si="1"/>
        <v>630</v>
      </c>
      <c r="G25" s="114">
        <f t="shared" si="5"/>
        <v>388.34951456308477</v>
      </c>
      <c r="H25" s="68">
        <f>VS!I102</f>
        <v>1941.7475728154236</v>
      </c>
      <c r="I25" s="115">
        <f t="shared" si="3"/>
        <v>3495.1456310677627</v>
      </c>
      <c r="J25" s="115">
        <f t="shared" si="4"/>
        <v>4125.1456310677622</v>
      </c>
      <c r="K25" s="115">
        <f t="shared" si="6"/>
        <v>3883.4951456308472</v>
      </c>
      <c r="L25" s="116">
        <f t="shared" si="7"/>
        <v>6389.3619972264341</v>
      </c>
      <c r="M25" s="7">
        <f t="shared" si="8"/>
        <v>5671.76897264732</v>
      </c>
      <c r="N25" s="7">
        <f>gas!H132</f>
        <v>90.561976045146338</v>
      </c>
      <c r="O25" s="7">
        <f t="shared" si="9"/>
        <v>9.0561976045146333E-2</v>
      </c>
      <c r="P25" s="7">
        <f t="shared" si="11"/>
        <v>3312.8955798592469</v>
      </c>
      <c r="Q25" s="7">
        <f t="shared" si="10"/>
        <v>584.10270161496726</v>
      </c>
      <c r="R25" s="7">
        <f t="shared" si="12"/>
        <v>9.3606202181885774</v>
      </c>
    </row>
    <row r="26" spans="1:142" ht="15" customHeight="1">
      <c r="A26" s="13">
        <v>38736</v>
      </c>
      <c r="B26" s="33" t="s">
        <v>31</v>
      </c>
      <c r="C26" s="7">
        <v>0.9</v>
      </c>
      <c r="D26" s="111">
        <f t="shared" si="0"/>
        <v>0.63</v>
      </c>
      <c r="E26" s="111">
        <f t="shared" si="2"/>
        <v>3150</v>
      </c>
      <c r="F26" s="111">
        <f t="shared" si="1"/>
        <v>630</v>
      </c>
      <c r="G26" s="114">
        <f t="shared" si="5"/>
        <v>638.97763578274146</v>
      </c>
      <c r="H26" s="68">
        <f>VS!I105</f>
        <v>3194.8881789137072</v>
      </c>
      <c r="I26" s="115">
        <f t="shared" si="3"/>
        <v>5750.798722044673</v>
      </c>
      <c r="J26" s="115">
        <f t="shared" si="4"/>
        <v>6380.798722044673</v>
      </c>
      <c r="K26" s="115">
        <f t="shared" si="6"/>
        <v>6389.7763578274144</v>
      </c>
      <c r="L26" s="116">
        <f t="shared" si="7"/>
        <v>-2264.6307267596521</v>
      </c>
      <c r="M26" s="7">
        <f t="shared" si="8"/>
        <v>3407.1382458876678</v>
      </c>
      <c r="N26" s="7">
        <f>gas!H135</f>
        <v>100.69213190831017</v>
      </c>
      <c r="O26" s="7">
        <f t="shared" si="9"/>
        <v>0.10069213190831017</v>
      </c>
      <c r="P26" s="7">
        <f t="shared" si="11"/>
        <v>3413.5877117675573</v>
      </c>
      <c r="Q26" s="7">
        <f t="shared" si="10"/>
        <v>1001.8929275580978</v>
      </c>
      <c r="R26" s="7">
        <f t="shared" si="12"/>
        <v>16.055976403174643</v>
      </c>
    </row>
    <row r="27" spans="1:142" ht="15" customHeight="1">
      <c r="A27" s="13">
        <v>38738</v>
      </c>
      <c r="B27" s="33" t="s">
        <v>31</v>
      </c>
      <c r="C27" s="7">
        <v>0.9</v>
      </c>
      <c r="D27" s="111">
        <f t="shared" si="0"/>
        <v>0.63</v>
      </c>
      <c r="E27" s="111">
        <f t="shared" si="2"/>
        <v>3150</v>
      </c>
      <c r="F27" s="111">
        <f t="shared" si="1"/>
        <v>630</v>
      </c>
      <c r="G27" s="114">
        <f t="shared" si="5"/>
        <v>608.51926977688504</v>
      </c>
      <c r="H27" s="68">
        <f>VS!I108</f>
        <v>3042.596348884425</v>
      </c>
      <c r="I27" s="115">
        <f t="shared" si="3"/>
        <v>5476.6734279919647</v>
      </c>
      <c r="J27" s="115">
        <f t="shared" si="4"/>
        <v>6106.6734279919647</v>
      </c>
      <c r="K27" s="115">
        <f t="shared" si="6"/>
        <v>6085.1926977688499</v>
      </c>
      <c r="L27" s="116">
        <f t="shared" si="7"/>
        <v>295.60602427582307</v>
      </c>
      <c r="M27" s="7">
        <f t="shared" si="8"/>
        <v>3702.7442701634909</v>
      </c>
      <c r="N27" s="7">
        <f>gas!H138</f>
        <v>92.95312135034041</v>
      </c>
      <c r="O27" s="7">
        <f t="shared" si="9"/>
        <v>9.2953121350340409E-2</v>
      </c>
      <c r="P27" s="7">
        <f t="shared" si="11"/>
        <v>3506.5408331178978</v>
      </c>
      <c r="Q27" s="7">
        <f t="shared" si="10"/>
        <v>947.01134544273305</v>
      </c>
      <c r="R27" s="7">
        <f t="shared" si="12"/>
        <v>15.176463869274569</v>
      </c>
    </row>
    <row r="28" spans="1:142" ht="15" customHeight="1">
      <c r="A28" s="13">
        <v>38741</v>
      </c>
      <c r="B28" s="33" t="s">
        <v>31</v>
      </c>
      <c r="C28" s="7">
        <v>0.9</v>
      </c>
      <c r="D28" s="111">
        <f t="shared" si="0"/>
        <v>0.63</v>
      </c>
      <c r="E28" s="111">
        <f t="shared" si="2"/>
        <v>3150</v>
      </c>
      <c r="F28" s="111">
        <f t="shared" si="1"/>
        <v>630</v>
      </c>
      <c r="G28" s="114">
        <f t="shared" si="5"/>
        <v>442.9678848283562</v>
      </c>
      <c r="H28" s="68">
        <f>VS!I111</f>
        <v>2214.8394241417809</v>
      </c>
      <c r="I28" s="115">
        <f t="shared" si="3"/>
        <v>3986.7109634552057</v>
      </c>
      <c r="J28" s="115">
        <f t="shared" si="4"/>
        <v>4616.7109634552053</v>
      </c>
      <c r="K28" s="115">
        <f t="shared" si="6"/>
        <v>4429.6788482835618</v>
      </c>
      <c r="L28" s="116">
        <f t="shared" si="7"/>
        <v>1676.9945797084029</v>
      </c>
      <c r="M28" s="7">
        <f t="shared" si="8"/>
        <v>5379.7388498718938</v>
      </c>
      <c r="N28" s="7">
        <f>gas!H141</f>
        <v>91.908505045370333</v>
      </c>
      <c r="O28" s="7">
        <f t="shared" si="9"/>
        <v>9.1908505045370334E-2</v>
      </c>
      <c r="P28" s="7">
        <f t="shared" si="11"/>
        <v>3598.4493381632683</v>
      </c>
      <c r="Q28" s="7">
        <f t="shared" si="10"/>
        <v>668.88922280102076</v>
      </c>
      <c r="R28" s="7">
        <f t="shared" si="12"/>
        <v>10.719378570529178</v>
      </c>
    </row>
    <row r="29" spans="1:142" ht="15" customHeight="1">
      <c r="A29" s="13">
        <v>38743</v>
      </c>
      <c r="B29" s="33" t="s">
        <v>31</v>
      </c>
      <c r="C29" s="7">
        <v>0.9</v>
      </c>
      <c r="D29" s="111">
        <f t="shared" si="0"/>
        <v>0.63</v>
      </c>
      <c r="E29" s="111">
        <f t="shared" si="2"/>
        <v>3150</v>
      </c>
      <c r="F29" s="111">
        <f t="shared" si="1"/>
        <v>630</v>
      </c>
      <c r="G29" s="114">
        <f t="shared" si="5"/>
        <v>468.38407494145872</v>
      </c>
      <c r="H29" s="68">
        <f>VS!I114</f>
        <v>2341.9203747072934</v>
      </c>
      <c r="I29" s="115">
        <f t="shared" si="3"/>
        <v>4215.4566744731283</v>
      </c>
      <c r="J29" s="115">
        <f t="shared" si="4"/>
        <v>4845.4566744731283</v>
      </c>
      <c r="K29" s="115">
        <f t="shared" si="6"/>
        <v>4683.8407494145868</v>
      </c>
      <c r="L29" s="116">
        <f t="shared" si="7"/>
        <v>-67.129785959381479</v>
      </c>
      <c r="M29" s="7">
        <f t="shared" si="8"/>
        <v>5312.6090639125123</v>
      </c>
      <c r="N29" s="7">
        <f>gas!H144</f>
        <v>92.839340085179686</v>
      </c>
      <c r="O29" s="7">
        <f t="shared" si="9"/>
        <v>9.2839340085179689E-2</v>
      </c>
      <c r="P29" s="7">
        <f t="shared" si="11"/>
        <v>3691.2886782484479</v>
      </c>
      <c r="Q29" s="7">
        <f t="shared" si="10"/>
        <v>694.81654566352938</v>
      </c>
      <c r="R29" s="7">
        <f t="shared" si="12"/>
        <v>11.134880539479639</v>
      </c>
    </row>
    <row r="30" spans="1:142" ht="15" customHeight="1">
      <c r="A30" s="13">
        <v>38745</v>
      </c>
      <c r="B30" s="33" t="s">
        <v>31</v>
      </c>
      <c r="C30" s="7">
        <v>0.9</v>
      </c>
      <c r="D30" s="111">
        <f t="shared" si="0"/>
        <v>0.63</v>
      </c>
      <c r="E30" s="111">
        <f t="shared" si="2"/>
        <v>3150</v>
      </c>
      <c r="F30" s="111">
        <f t="shared" si="1"/>
        <v>630</v>
      </c>
      <c r="G30" s="114">
        <f t="shared" si="5"/>
        <v>645.85575888051062</v>
      </c>
      <c r="H30" s="68">
        <f>VS!I117</f>
        <v>3229.2787944025526</v>
      </c>
      <c r="I30" s="115">
        <f t="shared" si="3"/>
        <v>5812.7018299245947</v>
      </c>
      <c r="J30" s="115">
        <f t="shared" si="4"/>
        <v>6442.7018299245947</v>
      </c>
      <c r="K30" s="115">
        <f t="shared" si="6"/>
        <v>6458.5575888051053</v>
      </c>
      <c r="L30" s="116">
        <f t="shared" si="7"/>
        <v>-1613.100914331977</v>
      </c>
      <c r="M30" s="7">
        <f t="shared" si="8"/>
        <v>3699.5081495805352</v>
      </c>
      <c r="N30" s="7">
        <f>gas!H147</f>
        <v>95.019262794132558</v>
      </c>
      <c r="O30" s="7">
        <f t="shared" si="9"/>
        <v>9.5019262794132558E-2</v>
      </c>
      <c r="P30" s="7">
        <f t="shared" si="11"/>
        <v>3786.3079410425803</v>
      </c>
      <c r="Q30" s="7">
        <f t="shared" si="10"/>
        <v>1023.4625220306344</v>
      </c>
      <c r="R30" s="7">
        <f t="shared" si="12"/>
        <v>16.401642981260167</v>
      </c>
    </row>
    <row r="31" spans="1:142" ht="15" customHeight="1">
      <c r="A31" s="13">
        <v>38748</v>
      </c>
      <c r="B31" s="33" t="s">
        <v>31</v>
      </c>
      <c r="C31" s="7">
        <v>0.9</v>
      </c>
      <c r="D31" s="111">
        <f t="shared" si="0"/>
        <v>0.63</v>
      </c>
      <c r="E31" s="111">
        <f t="shared" si="2"/>
        <v>3150</v>
      </c>
      <c r="F31" s="111">
        <f t="shared" si="1"/>
        <v>630</v>
      </c>
      <c r="G31" s="114">
        <f t="shared" si="5"/>
        <v>578.3471520156171</v>
      </c>
      <c r="H31" s="121">
        <v>2891.7357600780851</v>
      </c>
      <c r="I31" s="115">
        <f t="shared" si="3"/>
        <v>5205.1243681405531</v>
      </c>
      <c r="J31" s="115">
        <f t="shared" si="4"/>
        <v>5835.1243681405531</v>
      </c>
      <c r="K31" s="115">
        <f t="shared" si="6"/>
        <v>5783.4715201561703</v>
      </c>
      <c r="L31" s="116">
        <f t="shared" si="7"/>
        <v>659.23030976842438</v>
      </c>
      <c r="M31" s="7">
        <f t="shared" si="8"/>
        <v>4358.7384593489596</v>
      </c>
      <c r="N31" s="7">
        <f>gas!H149</f>
        <v>90.496563187189793</v>
      </c>
      <c r="O31" s="7">
        <f t="shared" si="9"/>
        <v>9.0496563187189794E-2</v>
      </c>
      <c r="P31" s="7">
        <f t="shared" si="11"/>
        <v>3876.8045042297699</v>
      </c>
      <c r="Q31" s="7">
        <f t="shared" si="10"/>
        <v>889.43269718661361</v>
      </c>
      <c r="R31" s="7">
        <f t="shared" si="12"/>
        <v>14.253729121580347</v>
      </c>
    </row>
    <row r="32" spans="1:142" ht="15" customHeight="1">
      <c r="A32" s="13">
        <v>38750</v>
      </c>
      <c r="B32" s="33" t="s">
        <v>31</v>
      </c>
      <c r="C32" s="7">
        <v>0.9</v>
      </c>
      <c r="D32" s="111">
        <f t="shared" si="0"/>
        <v>0.63</v>
      </c>
      <c r="E32" s="111">
        <f t="shared" si="2"/>
        <v>3150</v>
      </c>
      <c r="F32" s="111">
        <f t="shared" si="1"/>
        <v>630</v>
      </c>
      <c r="G32" s="114">
        <f t="shared" si="5"/>
        <v>522.92958597130712</v>
      </c>
      <c r="H32" s="121">
        <v>2614.6479298565355</v>
      </c>
      <c r="I32" s="115">
        <f t="shared" si="3"/>
        <v>4706.3662737417644</v>
      </c>
      <c r="J32" s="115">
        <f t="shared" si="4"/>
        <v>5336.3662737417644</v>
      </c>
      <c r="K32" s="115">
        <f t="shared" si="6"/>
        <v>5229.295859713071</v>
      </c>
      <c r="L32" s="116">
        <f t="shared" si="7"/>
        <v>605.82850842748212</v>
      </c>
      <c r="M32" s="7">
        <f t="shared" si="8"/>
        <v>4964.5669677764417</v>
      </c>
      <c r="N32" s="7">
        <f>gas!H151</f>
        <v>89.305762140881654</v>
      </c>
      <c r="O32" s="7">
        <f t="shared" si="9"/>
        <v>8.930576214088165E-2</v>
      </c>
      <c r="P32" s="7">
        <f t="shared" si="11"/>
        <v>3966.1102663706515</v>
      </c>
      <c r="Q32" s="7">
        <f t="shared" si="10"/>
        <v>798.88342570732118</v>
      </c>
      <c r="R32" s="7">
        <f t="shared" si="12"/>
        <v>12.802619001719892</v>
      </c>
    </row>
    <row r="33" spans="1:142" ht="15" customHeight="1">
      <c r="A33" s="13">
        <v>38752</v>
      </c>
      <c r="B33" s="33" t="s">
        <v>31</v>
      </c>
      <c r="C33" s="7">
        <v>0.9</v>
      </c>
      <c r="D33" s="111">
        <f t="shared" si="0"/>
        <v>0.63</v>
      </c>
      <c r="E33" s="111">
        <f t="shared" si="2"/>
        <v>3150</v>
      </c>
      <c r="F33" s="111">
        <f t="shared" si="1"/>
        <v>630</v>
      </c>
      <c r="G33" s="114">
        <f t="shared" si="5"/>
        <v>546.90183778022629</v>
      </c>
      <c r="H33" s="121">
        <v>2734.5091889011314</v>
      </c>
      <c r="I33" s="115">
        <f t="shared" si="3"/>
        <v>4922.116540022037</v>
      </c>
      <c r="J33" s="115">
        <f t="shared" si="4"/>
        <v>5552.116540022037</v>
      </c>
      <c r="K33" s="115">
        <f t="shared" si="6"/>
        <v>5469.0183778022629</v>
      </c>
      <c r="L33" s="116">
        <f t="shared" si="7"/>
        <v>-132.65210406049846</v>
      </c>
      <c r="M33" s="7">
        <f t="shared" si="8"/>
        <v>4831.9148637159433</v>
      </c>
      <c r="N33" s="7">
        <f>gas!H153</f>
        <v>116.71734921352827</v>
      </c>
      <c r="O33" s="7">
        <f t="shared" si="9"/>
        <v>0.11671734921352826</v>
      </c>
      <c r="P33" s="7">
        <f t="shared" si="11"/>
        <v>4082.82761558418</v>
      </c>
      <c r="Q33" s="7">
        <f t="shared" si="10"/>
        <v>844.97093403759095</v>
      </c>
      <c r="R33" s="7">
        <f t="shared" si="12"/>
        <v>13.541200865987035</v>
      </c>
    </row>
    <row r="34" spans="1:142" ht="15" customHeight="1">
      <c r="A34" s="117">
        <v>38755</v>
      </c>
      <c r="B34" s="33" t="s">
        <v>31</v>
      </c>
      <c r="C34" s="7">
        <v>0.9</v>
      </c>
      <c r="D34" s="111">
        <f t="shared" si="0"/>
        <v>0.63</v>
      </c>
      <c r="E34" s="111">
        <f t="shared" si="2"/>
        <v>3150</v>
      </c>
      <c r="F34" s="111">
        <f t="shared" si="1"/>
        <v>630</v>
      </c>
      <c r="G34" s="114">
        <f t="shared" si="5"/>
        <v>505.41273284517456</v>
      </c>
      <c r="H34" s="121">
        <v>2527.0636642258728</v>
      </c>
      <c r="I34" s="115">
        <f t="shared" si="3"/>
        <v>4548.7145956065715</v>
      </c>
      <c r="J34" s="115">
        <f t="shared" si="4"/>
        <v>5178.7145956065715</v>
      </c>
      <c r="K34" s="115">
        <f t="shared" si="6"/>
        <v>5054.1273284517456</v>
      </c>
      <c r="L34" s="116">
        <f t="shared" si="7"/>
        <v>497.98921157029145</v>
      </c>
      <c r="M34" s="7">
        <f t="shared" si="8"/>
        <v>5329.9040752862347</v>
      </c>
      <c r="N34" s="7">
        <f>gas!H155</f>
        <v>129.4930966159389</v>
      </c>
      <c r="O34" s="7">
        <f t="shared" si="9"/>
        <v>0.12949309661593889</v>
      </c>
      <c r="P34" s="7">
        <f t="shared" si="11"/>
        <v>4212.3207122001186</v>
      </c>
      <c r="Q34" s="7">
        <f t="shared" si="10"/>
        <v>790.31829704625625</v>
      </c>
      <c r="R34" s="7">
        <f t="shared" si="12"/>
        <v>12.665357324459235</v>
      </c>
    </row>
    <row r="35" spans="1:142" ht="15" customHeight="1">
      <c r="A35" s="13">
        <v>38757</v>
      </c>
      <c r="B35" s="33" t="s">
        <v>31</v>
      </c>
      <c r="C35" s="7">
        <v>0.9</v>
      </c>
      <c r="D35" s="111">
        <f t="shared" si="0"/>
        <v>0.63</v>
      </c>
      <c r="E35" s="111">
        <f t="shared" si="2"/>
        <v>3150</v>
      </c>
      <c r="F35" s="111">
        <f t="shared" si="1"/>
        <v>630</v>
      </c>
      <c r="G35" s="114">
        <f t="shared" si="5"/>
        <v>285.2501800699751</v>
      </c>
      <c r="H35" s="121">
        <v>1426.2509003498753</v>
      </c>
      <c r="I35" s="115">
        <f t="shared" si="3"/>
        <v>2567.2516206297755</v>
      </c>
      <c r="J35" s="115">
        <f t="shared" si="4"/>
        <v>3197.2516206297755</v>
      </c>
      <c r="K35" s="115">
        <f t="shared" si="6"/>
        <v>2852.5018006997507</v>
      </c>
      <c r="L35" s="116">
        <f t="shared" si="7"/>
        <v>2326.2127949068208</v>
      </c>
      <c r="M35" s="7">
        <f t="shared" si="8"/>
        <v>7656.1168701930555</v>
      </c>
      <c r="N35" s="7">
        <f>gas!H157</f>
        <v>150.28387359122357</v>
      </c>
      <c r="O35" s="7">
        <f t="shared" si="9"/>
        <v>0.15028387359122355</v>
      </c>
      <c r="P35" s="7">
        <f t="shared" si="11"/>
        <v>4362.6045857913423</v>
      </c>
      <c r="Q35" s="7">
        <f t="shared" si="10"/>
        <v>569.81948679178606</v>
      </c>
      <c r="R35" s="7">
        <f t="shared" si="12"/>
        <v>9.1317225447401622</v>
      </c>
    </row>
    <row r="36" spans="1:142" ht="15" customHeight="1">
      <c r="A36" s="13">
        <v>38759</v>
      </c>
      <c r="B36" s="33" t="s">
        <v>31</v>
      </c>
      <c r="C36" s="7">
        <v>0.9</v>
      </c>
      <c r="D36" s="111">
        <f t="shared" si="0"/>
        <v>0.63</v>
      </c>
      <c r="E36" s="111">
        <f t="shared" si="2"/>
        <v>3150</v>
      </c>
      <c r="F36" s="111">
        <f t="shared" si="1"/>
        <v>630</v>
      </c>
      <c r="G36" s="114">
        <f t="shared" si="5"/>
        <v>552.79517654940969</v>
      </c>
      <c r="H36" s="121">
        <v>2763.9758827470482</v>
      </c>
      <c r="I36" s="115">
        <f t="shared" si="3"/>
        <v>4975.1565889446865</v>
      </c>
      <c r="J36" s="115">
        <f t="shared" si="4"/>
        <v>5605.1565889446865</v>
      </c>
      <c r="K36" s="115">
        <f t="shared" si="6"/>
        <v>5527.9517654940964</v>
      </c>
      <c r="L36" s="116">
        <f t="shared" si="7"/>
        <v>-2330.7001448643209</v>
      </c>
      <c r="M36" s="7">
        <f t="shared" si="8"/>
        <v>5325.4167253287342</v>
      </c>
      <c r="N36" s="7">
        <f>gas!H159</f>
        <v>72.193934093220307</v>
      </c>
      <c r="O36" s="7">
        <f t="shared" si="9"/>
        <v>7.2193934093220308E-2</v>
      </c>
      <c r="P36" s="7">
        <f t="shared" si="11"/>
        <v>4434.7985198845627</v>
      </c>
      <c r="Q36" s="7">
        <f t="shared" ref="Q36:Q67" si="13">P36/(M36/1000)</f>
        <v>832.76084269457908</v>
      </c>
      <c r="R36" s="7">
        <f t="shared" si="12"/>
        <v>13.345526325233639</v>
      </c>
    </row>
    <row r="37" spans="1:142" ht="15" customHeight="1">
      <c r="A37" s="13">
        <v>38762</v>
      </c>
      <c r="B37" s="33" t="s">
        <v>31</v>
      </c>
      <c r="C37" s="7">
        <v>0.9</v>
      </c>
      <c r="D37" s="111">
        <f t="shared" si="0"/>
        <v>0.63</v>
      </c>
      <c r="E37" s="111">
        <f t="shared" si="2"/>
        <v>3150</v>
      </c>
      <c r="F37" s="111">
        <f t="shared" si="1"/>
        <v>630</v>
      </c>
      <c r="G37" s="114">
        <f t="shared" si="5"/>
        <v>198.60973187685067</v>
      </c>
      <c r="H37" s="68">
        <f>VS!I131</f>
        <v>993.04865938425337</v>
      </c>
      <c r="I37" s="115">
        <f t="shared" si="3"/>
        <v>1787.4875868916561</v>
      </c>
      <c r="J37" s="115">
        <f t="shared" si="4"/>
        <v>2417.4875868916561</v>
      </c>
      <c r="K37" s="115">
        <f t="shared" si="6"/>
        <v>1986.0973187685067</v>
      </c>
      <c r="L37" s="116">
        <f t="shared" si="7"/>
        <v>3619.0592701761798</v>
      </c>
      <c r="M37" s="7">
        <f t="shared" si="8"/>
        <v>8944.475995504914</v>
      </c>
      <c r="N37" s="7">
        <f>gas!H161</f>
        <v>125.33533505201153</v>
      </c>
      <c r="O37" s="7">
        <f t="shared" si="9"/>
        <v>0.12533533505201153</v>
      </c>
      <c r="P37" s="7">
        <f t="shared" si="11"/>
        <v>4560.1338549365746</v>
      </c>
      <c r="Q37" s="7">
        <f t="shared" si="13"/>
        <v>509.82683135695032</v>
      </c>
      <c r="R37" s="7">
        <f t="shared" si="12"/>
        <v>8.1703017845665116</v>
      </c>
    </row>
    <row r="38" spans="1:142" s="24" customFormat="1" ht="15" customHeight="1">
      <c r="A38" s="117">
        <v>38764</v>
      </c>
      <c r="B38" s="33" t="s">
        <v>31</v>
      </c>
      <c r="C38" s="68">
        <v>1</v>
      </c>
      <c r="D38" s="118">
        <f t="shared" si="0"/>
        <v>0.7</v>
      </c>
      <c r="E38" s="118">
        <f t="shared" si="2"/>
        <v>3500</v>
      </c>
      <c r="F38" s="118">
        <f t="shared" si="1"/>
        <v>700</v>
      </c>
      <c r="G38" s="119">
        <f t="shared" si="5"/>
        <v>392.92730844794272</v>
      </c>
      <c r="H38" s="68">
        <f>VS!I133</f>
        <v>1964.6365422397134</v>
      </c>
      <c r="I38" s="120">
        <f t="shared" si="3"/>
        <v>3536.3457760314841</v>
      </c>
      <c r="J38" s="115">
        <f t="shared" si="4"/>
        <v>4236.3457760314841</v>
      </c>
      <c r="K38" s="115">
        <f t="shared" si="6"/>
        <v>3929.2730844794269</v>
      </c>
      <c r="L38" s="116">
        <f t="shared" si="7"/>
        <v>-1511.7854975877708</v>
      </c>
      <c r="M38" s="7">
        <f t="shared" si="8"/>
        <v>7432.6904979171431</v>
      </c>
      <c r="N38" s="68">
        <f>gas!H163</f>
        <v>80.295424041763411</v>
      </c>
      <c r="O38" s="7">
        <f t="shared" si="9"/>
        <v>8.0295424041763416E-2</v>
      </c>
      <c r="P38" s="7">
        <f t="shared" si="11"/>
        <v>4640.4292789783376</v>
      </c>
      <c r="Q38" s="7">
        <f t="shared" si="13"/>
        <v>624.32698903293783</v>
      </c>
      <c r="R38" s="7">
        <f t="shared" si="12"/>
        <v>10.005240208861183</v>
      </c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</row>
    <row r="39" spans="1:142" ht="15" customHeight="1">
      <c r="A39" s="13">
        <v>38766</v>
      </c>
      <c r="B39" s="33" t="s">
        <v>31</v>
      </c>
      <c r="C39" s="7">
        <v>1</v>
      </c>
      <c r="D39" s="111">
        <f t="shared" si="0"/>
        <v>0.7</v>
      </c>
      <c r="E39" s="111">
        <f t="shared" si="2"/>
        <v>3500</v>
      </c>
      <c r="F39" s="111">
        <f t="shared" si="1"/>
        <v>700</v>
      </c>
      <c r="G39" s="114">
        <f t="shared" si="5"/>
        <v>419.72717733473837</v>
      </c>
      <c r="H39" s="68">
        <f>VS!I135</f>
        <v>2098.6358866736919</v>
      </c>
      <c r="I39" s="115">
        <f t="shared" si="3"/>
        <v>3777.5445960126453</v>
      </c>
      <c r="J39" s="115">
        <f t="shared" si="4"/>
        <v>4477.5445960126453</v>
      </c>
      <c r="K39" s="115">
        <f t="shared" si="6"/>
        <v>4197.2717733473837</v>
      </c>
      <c r="L39" s="116">
        <f t="shared" si="7"/>
        <v>39.074002684100378</v>
      </c>
      <c r="M39" s="7">
        <f t="shared" si="8"/>
        <v>7471.7645006012435</v>
      </c>
      <c r="N39" s="7">
        <f>gas!H165</f>
        <v>77.988364877086596</v>
      </c>
      <c r="O39" s="7">
        <f t="shared" si="9"/>
        <v>7.7988364877086602E-2</v>
      </c>
      <c r="P39" s="7">
        <f t="shared" si="11"/>
        <v>4718.4176438554241</v>
      </c>
      <c r="Q39" s="7">
        <f t="shared" si="13"/>
        <v>631.49978073796876</v>
      </c>
      <c r="R39" s="7">
        <f t="shared" si="12"/>
        <v>10.120188793877706</v>
      </c>
    </row>
    <row r="40" spans="1:142" ht="15" customHeight="1">
      <c r="A40" s="13">
        <v>38771</v>
      </c>
      <c r="B40" s="33" t="s">
        <v>31</v>
      </c>
      <c r="C40" s="7">
        <v>1</v>
      </c>
      <c r="D40" s="111">
        <f t="shared" si="0"/>
        <v>0.7</v>
      </c>
      <c r="E40" s="111">
        <f t="shared" si="2"/>
        <v>3500</v>
      </c>
      <c r="F40" s="111">
        <f t="shared" si="1"/>
        <v>700</v>
      </c>
      <c r="G40" s="114">
        <f t="shared" si="5"/>
        <v>424.17815482503261</v>
      </c>
      <c r="H40" s="68">
        <f>VS!I137</f>
        <v>2120.8907741251628</v>
      </c>
      <c r="I40" s="115">
        <f t="shared" si="3"/>
        <v>3817.6033934252932</v>
      </c>
      <c r="J40" s="115">
        <f t="shared" si="4"/>
        <v>4517.6033934252937</v>
      </c>
      <c r="K40" s="115">
        <f t="shared" si="6"/>
        <v>4241.7815482503256</v>
      </c>
      <c r="L40" s="116">
        <f t="shared" si="7"/>
        <v>235.76304776231973</v>
      </c>
      <c r="M40" s="7">
        <f t="shared" si="8"/>
        <v>7707.5275483635633</v>
      </c>
      <c r="N40" s="7">
        <f>gas!H167</f>
        <v>148.39384366712974</v>
      </c>
      <c r="O40" s="7">
        <f t="shared" si="9"/>
        <v>0.14839384366712974</v>
      </c>
      <c r="P40" s="7">
        <f t="shared" si="11"/>
        <v>4866.8114875225538</v>
      </c>
      <c r="Q40" s="7">
        <f t="shared" si="13"/>
        <v>631.4361456360748</v>
      </c>
      <c r="R40" s="7">
        <f t="shared" si="12"/>
        <v>10.119169000578122</v>
      </c>
    </row>
    <row r="41" spans="1:142" ht="15" customHeight="1">
      <c r="A41" s="13">
        <v>38773</v>
      </c>
      <c r="B41" s="33" t="s">
        <v>31</v>
      </c>
      <c r="C41" s="7">
        <v>1</v>
      </c>
      <c r="D41" s="111">
        <f t="shared" si="0"/>
        <v>0.7</v>
      </c>
      <c r="E41" s="111">
        <f t="shared" si="2"/>
        <v>3500</v>
      </c>
      <c r="F41" s="111">
        <f t="shared" si="1"/>
        <v>700</v>
      </c>
      <c r="G41" s="114">
        <f t="shared" si="5"/>
        <v>427.80748663100695</v>
      </c>
      <c r="H41" s="68">
        <f>VS!I139</f>
        <v>2139.0374331550347</v>
      </c>
      <c r="I41" s="115">
        <f t="shared" si="3"/>
        <v>3850.2673796790627</v>
      </c>
      <c r="J41" s="115">
        <f t="shared" si="4"/>
        <v>4550.2673796790623</v>
      </c>
      <c r="K41" s="115">
        <f t="shared" si="6"/>
        <v>4278.0748663100694</v>
      </c>
      <c r="L41" s="116">
        <f t="shared" si="7"/>
        <v>239.52852711522428</v>
      </c>
      <c r="M41" s="7">
        <f t="shared" si="8"/>
        <v>7947.0560754787875</v>
      </c>
      <c r="N41" s="7">
        <f>gas!H169</f>
        <v>66.139682108302807</v>
      </c>
      <c r="O41" s="7">
        <f t="shared" si="9"/>
        <v>6.6139682108302802E-2</v>
      </c>
      <c r="P41" s="7">
        <f t="shared" si="11"/>
        <v>4932.9511696308564</v>
      </c>
      <c r="Q41" s="7">
        <f t="shared" si="13"/>
        <v>620.72686071158239</v>
      </c>
      <c r="R41" s="7">
        <f t="shared" si="12"/>
        <v>9.9475458447368972</v>
      </c>
    </row>
    <row r="42" spans="1:142" ht="15" customHeight="1">
      <c r="A42" s="13">
        <v>38776</v>
      </c>
      <c r="B42" s="33" t="s">
        <v>31</v>
      </c>
      <c r="C42" s="7">
        <v>1</v>
      </c>
      <c r="D42" s="111">
        <f t="shared" si="0"/>
        <v>0.7</v>
      </c>
      <c r="E42" s="111">
        <f t="shared" si="2"/>
        <v>3500</v>
      </c>
      <c r="F42" s="111">
        <f t="shared" si="1"/>
        <v>700</v>
      </c>
      <c r="G42" s="114">
        <f t="shared" si="5"/>
        <v>446.42857142857775</v>
      </c>
      <c r="H42" s="68">
        <f>VS!I141</f>
        <v>2232.1428571428887</v>
      </c>
      <c r="I42" s="115">
        <f t="shared" si="3"/>
        <v>4017.8571428572</v>
      </c>
      <c r="J42" s="115">
        <f t="shared" si="4"/>
        <v>4717.8571428571995</v>
      </c>
      <c r="K42" s="115">
        <f t="shared" si="6"/>
        <v>4464.2857142857774</v>
      </c>
      <c r="L42" s="116">
        <f t="shared" si="7"/>
        <v>85.981665393284857</v>
      </c>
      <c r="M42" s="7">
        <f t="shared" si="8"/>
        <v>8033.0377408720724</v>
      </c>
      <c r="N42" s="7">
        <f>gas!H171</f>
        <v>112.20095004518917</v>
      </c>
      <c r="O42" s="7">
        <f t="shared" si="9"/>
        <v>0.11220095004518918</v>
      </c>
      <c r="P42" s="7">
        <f t="shared" si="11"/>
        <v>5045.1521196760459</v>
      </c>
      <c r="Q42" s="7">
        <f t="shared" si="13"/>
        <v>628.05034439292206</v>
      </c>
      <c r="R42" s="7">
        <f t="shared" si="12"/>
        <v>10.064909365271188</v>
      </c>
    </row>
    <row r="43" spans="1:142" ht="15" customHeight="1">
      <c r="A43" s="13">
        <v>38778</v>
      </c>
      <c r="B43" s="33" t="s">
        <v>31</v>
      </c>
      <c r="C43" s="7">
        <v>1</v>
      </c>
      <c r="D43" s="111">
        <f t="shared" si="0"/>
        <v>0.7</v>
      </c>
      <c r="E43" s="111">
        <f t="shared" si="2"/>
        <v>3500</v>
      </c>
      <c r="F43" s="111">
        <f t="shared" si="1"/>
        <v>700</v>
      </c>
      <c r="G43" s="114">
        <f t="shared" si="5"/>
        <v>645.16129032257459</v>
      </c>
      <c r="H43" s="68">
        <f>VS!I143</f>
        <v>3225.8064516128725</v>
      </c>
      <c r="I43" s="115">
        <f t="shared" si="3"/>
        <v>5806.4516129031708</v>
      </c>
      <c r="J43" s="115">
        <f t="shared" si="4"/>
        <v>6506.4516129031708</v>
      </c>
      <c r="K43" s="115">
        <f t="shared" si="6"/>
        <v>6451.612903225745</v>
      </c>
      <c r="L43" s="116">
        <f t="shared" si="7"/>
        <v>-1733.7557603685455</v>
      </c>
      <c r="M43" s="7">
        <f t="shared" si="8"/>
        <v>6299.2819805035269</v>
      </c>
      <c r="N43" s="7">
        <f>gas!H173</f>
        <v>69.288757298204203</v>
      </c>
      <c r="O43" s="7">
        <f t="shared" si="9"/>
        <v>6.9288757298204204E-2</v>
      </c>
      <c r="P43" s="7">
        <f t="shared" si="11"/>
        <v>5114.4408769742504</v>
      </c>
      <c r="Q43" s="7">
        <f t="shared" si="13"/>
        <v>811.90854653016061</v>
      </c>
      <c r="R43" s="7">
        <f t="shared" si="12"/>
        <v>13.011354912342318</v>
      </c>
    </row>
    <row r="44" spans="1:142" ht="15" customHeight="1">
      <c r="A44" s="13">
        <v>38780</v>
      </c>
      <c r="B44" s="33" t="s">
        <v>31</v>
      </c>
      <c r="C44" s="7">
        <v>1</v>
      </c>
      <c r="D44" s="111">
        <f t="shared" si="0"/>
        <v>0.7</v>
      </c>
      <c r="E44" s="111">
        <f t="shared" si="2"/>
        <v>3500</v>
      </c>
      <c r="F44" s="111">
        <f t="shared" si="1"/>
        <v>700</v>
      </c>
      <c r="G44" s="114">
        <f t="shared" si="5"/>
        <v>363.56291658250802</v>
      </c>
      <c r="H44" s="68">
        <f>VS!I145</f>
        <v>1817.8145829125399</v>
      </c>
      <c r="I44" s="115">
        <f t="shared" si="3"/>
        <v>3272.0662492425718</v>
      </c>
      <c r="J44" s="115">
        <f t="shared" si="4"/>
        <v>3972.0662492425718</v>
      </c>
      <c r="K44" s="115">
        <f t="shared" si="6"/>
        <v>3635.6291658250798</v>
      </c>
      <c r="L44" s="116">
        <f t="shared" si="7"/>
        <v>2870.822447078091</v>
      </c>
      <c r="M44" s="7">
        <f t="shared" si="8"/>
        <v>9170.1044275816184</v>
      </c>
      <c r="N44" s="7">
        <f>gas!H175</f>
        <v>124.35073514550461</v>
      </c>
      <c r="O44" s="7">
        <f t="shared" si="9"/>
        <v>0.12435073514550461</v>
      </c>
      <c r="P44" s="7">
        <f t="shared" si="11"/>
        <v>5238.791612119755</v>
      </c>
      <c r="Q44" s="7">
        <f t="shared" si="13"/>
        <v>571.2902893845619</v>
      </c>
      <c r="R44" s="7">
        <f t="shared" si="12"/>
        <v>9.1552930991115691</v>
      </c>
    </row>
    <row r="45" spans="1:142" ht="15" customHeight="1">
      <c r="A45" s="13">
        <v>38783</v>
      </c>
      <c r="B45" s="33" t="s">
        <v>31</v>
      </c>
      <c r="C45" s="7">
        <v>1</v>
      </c>
      <c r="D45" s="111">
        <f t="shared" si="0"/>
        <v>0.7</v>
      </c>
      <c r="E45" s="111">
        <f t="shared" si="2"/>
        <v>3500</v>
      </c>
      <c r="F45" s="111">
        <f t="shared" si="1"/>
        <v>700</v>
      </c>
      <c r="G45" s="114">
        <f t="shared" si="5"/>
        <v>209.64360587002395</v>
      </c>
      <c r="H45" s="68">
        <f>VS!I147</f>
        <v>1048.2180293501197</v>
      </c>
      <c r="I45" s="115">
        <f t="shared" si="3"/>
        <v>1886.7924528302153</v>
      </c>
      <c r="J45" s="115">
        <f t="shared" si="4"/>
        <v>2586.7924528302156</v>
      </c>
      <c r="K45" s="115">
        <f t="shared" si="6"/>
        <v>2096.4360587002393</v>
      </c>
      <c r="L45" s="116">
        <f t="shared" si="7"/>
        <v>1875.6301905423325</v>
      </c>
      <c r="M45" s="7">
        <f t="shared" si="8"/>
        <v>11045.734618123952</v>
      </c>
      <c r="N45" s="7">
        <f>gas!H177</f>
        <v>223.41398689747635</v>
      </c>
      <c r="O45" s="7">
        <f t="shared" si="9"/>
        <v>0.22341398689747635</v>
      </c>
      <c r="P45" s="7">
        <f t="shared" si="11"/>
        <v>5462.2055990172312</v>
      </c>
      <c r="Q45" s="7">
        <f t="shared" si="13"/>
        <v>494.50813258312309</v>
      </c>
      <c r="R45" s="7">
        <f t="shared" si="12"/>
        <v>7.9248098170372288</v>
      </c>
    </row>
    <row r="46" spans="1:142" ht="15" customHeight="1">
      <c r="A46" s="13">
        <v>38785</v>
      </c>
      <c r="B46" s="33" t="s">
        <v>31</v>
      </c>
      <c r="C46" s="7">
        <v>1</v>
      </c>
      <c r="D46" s="111">
        <f t="shared" si="0"/>
        <v>0.7</v>
      </c>
      <c r="E46" s="111">
        <f t="shared" si="2"/>
        <v>3500</v>
      </c>
      <c r="F46" s="111">
        <f t="shared" si="1"/>
        <v>700</v>
      </c>
      <c r="G46" s="114">
        <f t="shared" si="5"/>
        <v>409.41658137155133</v>
      </c>
      <c r="H46" s="68">
        <f>VS!I149</f>
        <v>2047.0829068577566</v>
      </c>
      <c r="I46" s="115">
        <f t="shared" si="3"/>
        <v>3684.7492323439619</v>
      </c>
      <c r="J46" s="115">
        <f t="shared" si="4"/>
        <v>4384.7492323439619</v>
      </c>
      <c r="K46" s="115">
        <f t="shared" si="6"/>
        <v>4094.1658137155132</v>
      </c>
      <c r="L46" s="116">
        <f t="shared" si="7"/>
        <v>-1507.3733608852976</v>
      </c>
      <c r="M46" s="7">
        <f t="shared" si="8"/>
        <v>9538.3612572386537</v>
      </c>
      <c r="N46" s="7">
        <f>gas!H179</f>
        <v>89.90539525089919</v>
      </c>
      <c r="O46" s="7">
        <f t="shared" si="9"/>
        <v>8.9905395250899189E-2</v>
      </c>
      <c r="P46" s="7">
        <f t="shared" si="11"/>
        <v>5552.1109942681305</v>
      </c>
      <c r="Q46" s="7">
        <f t="shared" si="13"/>
        <v>582.08227226187716</v>
      </c>
      <c r="R46" s="7">
        <f t="shared" si="12"/>
        <v>9.3282415426582883</v>
      </c>
    </row>
    <row r="47" spans="1:142" ht="15" customHeight="1">
      <c r="A47" s="13">
        <v>38787</v>
      </c>
      <c r="B47" s="33" t="s">
        <v>31</v>
      </c>
      <c r="C47" s="7">
        <v>1</v>
      </c>
      <c r="D47" s="111">
        <f t="shared" si="0"/>
        <v>0.7</v>
      </c>
      <c r="E47" s="111">
        <f t="shared" si="2"/>
        <v>3500</v>
      </c>
      <c r="F47" s="111">
        <f t="shared" si="1"/>
        <v>700</v>
      </c>
      <c r="G47" s="114">
        <f t="shared" si="5"/>
        <v>660.7929515418441</v>
      </c>
      <c r="H47" s="68">
        <f>VS!I151</f>
        <v>3303.9647577092205</v>
      </c>
      <c r="I47" s="115">
        <f t="shared" si="3"/>
        <v>5947.1365638765974</v>
      </c>
      <c r="J47" s="115">
        <f t="shared" si="4"/>
        <v>6647.1365638765974</v>
      </c>
      <c r="K47" s="115">
        <f t="shared" si="6"/>
        <v>6607.929515418441</v>
      </c>
      <c r="L47" s="116">
        <f t="shared" si="7"/>
        <v>-2223.1802830744791</v>
      </c>
      <c r="M47" s="7">
        <f t="shared" si="8"/>
        <v>7315.1809741641746</v>
      </c>
      <c r="N47" s="7">
        <f>gas!H181</f>
        <v>120.20986303245427</v>
      </c>
      <c r="O47" s="7">
        <f t="shared" si="9"/>
        <v>0.12020986303245426</v>
      </c>
      <c r="P47" s="7">
        <f t="shared" si="11"/>
        <v>5672.320857300585</v>
      </c>
      <c r="Q47" s="7">
        <f t="shared" si="13"/>
        <v>775.41770700330471</v>
      </c>
      <c r="R47" s="7">
        <f t="shared" si="12"/>
        <v>12.426565817360652</v>
      </c>
    </row>
    <row r="48" spans="1:142" ht="15" customHeight="1">
      <c r="A48" s="13">
        <v>38790</v>
      </c>
      <c r="B48" s="33" t="s">
        <v>31</v>
      </c>
      <c r="C48" s="7">
        <v>1</v>
      </c>
      <c r="D48" s="111">
        <f t="shared" si="0"/>
        <v>0.7</v>
      </c>
      <c r="E48" s="111">
        <f t="shared" si="2"/>
        <v>3500</v>
      </c>
      <c r="F48" s="111">
        <f t="shared" si="1"/>
        <v>700</v>
      </c>
      <c r="G48" s="114">
        <f t="shared" si="5"/>
        <v>412.37113402060982</v>
      </c>
      <c r="H48" s="68">
        <f>VS!I153</f>
        <v>2061.8556701030489</v>
      </c>
      <c r="I48" s="115">
        <f t="shared" si="3"/>
        <v>3711.3402061854881</v>
      </c>
      <c r="J48" s="115">
        <f t="shared" si="4"/>
        <v>4411.3402061854886</v>
      </c>
      <c r="K48" s="115">
        <f t="shared" si="6"/>
        <v>4123.7113402060977</v>
      </c>
      <c r="L48" s="116">
        <f t="shared" si="7"/>
        <v>2523.4252236704997</v>
      </c>
      <c r="M48" s="7">
        <f t="shared" si="8"/>
        <v>9838.6061978346734</v>
      </c>
      <c r="N48" s="7">
        <f>gas!H183</f>
        <v>151.71555807212107</v>
      </c>
      <c r="O48" s="7">
        <f t="shared" si="9"/>
        <v>0.15171555807212106</v>
      </c>
      <c r="P48" s="7">
        <f t="shared" si="11"/>
        <v>5824.036415372706</v>
      </c>
      <c r="Q48" s="7">
        <f t="shared" si="13"/>
        <v>591.95746818837893</v>
      </c>
      <c r="R48" s="7">
        <f t="shared" si="12"/>
        <v>9.4864978876342771</v>
      </c>
    </row>
    <row r="49" spans="1:142" ht="15" customHeight="1">
      <c r="A49" s="13">
        <v>38793</v>
      </c>
      <c r="B49" s="33" t="s">
        <v>31</v>
      </c>
      <c r="C49" s="7">
        <v>1</v>
      </c>
      <c r="D49" s="111">
        <f t="shared" si="0"/>
        <v>0.7</v>
      </c>
      <c r="E49" s="111">
        <f t="shared" si="2"/>
        <v>3500</v>
      </c>
      <c r="F49" s="111">
        <f t="shared" si="1"/>
        <v>700</v>
      </c>
      <c r="G49" s="114">
        <f t="shared" si="5"/>
        <v>408.58018386108864</v>
      </c>
      <c r="H49" s="68">
        <f>VS!I155</f>
        <v>2042.900919305443</v>
      </c>
      <c r="I49" s="115">
        <f t="shared" si="3"/>
        <v>3677.2216547497974</v>
      </c>
      <c r="J49" s="115">
        <f t="shared" si="4"/>
        <v>4377.2216547497974</v>
      </c>
      <c r="K49" s="115">
        <f t="shared" si="6"/>
        <v>4085.8018386108861</v>
      </c>
      <c r="L49" s="116">
        <f t="shared" si="7"/>
        <v>325.53836757460249</v>
      </c>
      <c r="M49" s="7">
        <f t="shared" si="8"/>
        <v>10164.144565409275</v>
      </c>
      <c r="N49" s="7">
        <f>gas!H185</f>
        <v>70.976697495999204</v>
      </c>
      <c r="O49" s="7">
        <f t="shared" si="9"/>
        <v>7.0976697495999205E-2</v>
      </c>
      <c r="P49" s="7">
        <f t="shared" si="11"/>
        <v>5895.0131128687053</v>
      </c>
      <c r="Q49" s="7">
        <f t="shared" si="13"/>
        <v>579.98123451831611</v>
      </c>
      <c r="R49" s="7">
        <f t="shared" si="12"/>
        <v>9.2945710659986567</v>
      </c>
    </row>
    <row r="50" spans="1:142" ht="15" customHeight="1">
      <c r="A50" s="13">
        <v>38797</v>
      </c>
      <c r="B50" s="33" t="s">
        <v>31</v>
      </c>
      <c r="C50" s="7">
        <v>1</v>
      </c>
      <c r="D50" s="111">
        <f t="shared" si="0"/>
        <v>0.7</v>
      </c>
      <c r="E50" s="111">
        <f t="shared" si="2"/>
        <v>3500</v>
      </c>
      <c r="F50" s="111">
        <f t="shared" si="1"/>
        <v>700</v>
      </c>
      <c r="G50" s="114">
        <f t="shared" si="5"/>
        <v>227.27272727273058</v>
      </c>
      <c r="H50" s="68">
        <f>VS!I157</f>
        <v>1136.3636363636529</v>
      </c>
      <c r="I50" s="115">
        <f t="shared" si="3"/>
        <v>2045.4545454545753</v>
      </c>
      <c r="J50" s="115">
        <f t="shared" si="4"/>
        <v>2745.4545454545751</v>
      </c>
      <c r="K50" s="115">
        <f t="shared" si="6"/>
        <v>2272.7272727273057</v>
      </c>
      <c r="L50" s="116">
        <f t="shared" si="7"/>
        <v>2104.4943820224917</v>
      </c>
      <c r="M50" s="7">
        <f t="shared" si="8"/>
        <v>12268.638947431766</v>
      </c>
      <c r="N50" s="7">
        <f>gas!H189</f>
        <v>94.531957072006222</v>
      </c>
      <c r="O50" s="7">
        <f t="shared" si="9"/>
        <v>9.453195707200622E-2</v>
      </c>
      <c r="P50" s="7">
        <f t="shared" si="11"/>
        <v>5989.545069940712</v>
      </c>
      <c r="Q50" s="7">
        <f t="shared" si="13"/>
        <v>488.1996361295254</v>
      </c>
      <c r="R50" s="7">
        <f t="shared" si="12"/>
        <v>7.8237121174603432</v>
      </c>
    </row>
    <row r="51" spans="1:142" ht="15" customHeight="1">
      <c r="A51" s="13">
        <v>38799</v>
      </c>
      <c r="B51" s="33" t="s">
        <v>31</v>
      </c>
      <c r="C51" s="7">
        <v>1</v>
      </c>
      <c r="D51" s="111">
        <f t="shared" si="0"/>
        <v>0.7</v>
      </c>
      <c r="E51" s="111">
        <f t="shared" si="2"/>
        <v>3500</v>
      </c>
      <c r="F51" s="111">
        <f t="shared" si="1"/>
        <v>700</v>
      </c>
      <c r="G51" s="114">
        <f t="shared" si="5"/>
        <v>424.17815482503261</v>
      </c>
      <c r="H51" s="68">
        <f>VS!I159</f>
        <v>2120.8907741251628</v>
      </c>
      <c r="I51" s="115">
        <f t="shared" si="3"/>
        <v>3817.6033934252932</v>
      </c>
      <c r="J51" s="115">
        <f t="shared" si="4"/>
        <v>4517.6033934252937</v>
      </c>
      <c r="K51" s="115">
        <f t="shared" si="6"/>
        <v>4241.7815482503256</v>
      </c>
      <c r="L51" s="116">
        <f t="shared" si="7"/>
        <v>-1496.3270027957506</v>
      </c>
      <c r="M51" s="7">
        <f t="shared" si="8"/>
        <v>10772.311944636014</v>
      </c>
      <c r="N51" s="7">
        <f>gas!H191</f>
        <v>93.514561561280971</v>
      </c>
      <c r="O51" s="7">
        <f t="shared" si="9"/>
        <v>9.3514561561280976E-2</v>
      </c>
      <c r="P51" s="7">
        <f t="shared" si="11"/>
        <v>6083.059631501993</v>
      </c>
      <c r="Q51" s="7">
        <f t="shared" si="13"/>
        <v>564.693973101197</v>
      </c>
      <c r="R51" s="7">
        <f t="shared" si="12"/>
        <v>9.0495829022627721</v>
      </c>
    </row>
    <row r="52" spans="1:142" s="24" customFormat="1" ht="15" customHeight="1">
      <c r="A52" s="117">
        <v>38801</v>
      </c>
      <c r="B52" s="33" t="s">
        <v>31</v>
      </c>
      <c r="C52" s="68">
        <v>1.5</v>
      </c>
      <c r="D52" s="118">
        <f t="shared" si="0"/>
        <v>1.0499999999999998</v>
      </c>
      <c r="E52" s="118">
        <f t="shared" si="2"/>
        <v>5249.9999999999982</v>
      </c>
      <c r="F52" s="118">
        <f t="shared" si="1"/>
        <v>1049.9999999999998</v>
      </c>
      <c r="G52" s="119">
        <f t="shared" si="5"/>
        <v>229.09507445590245</v>
      </c>
      <c r="H52" s="68">
        <f>VS!I161</f>
        <v>1145.4753722795122</v>
      </c>
      <c r="I52" s="120">
        <f t="shared" si="3"/>
        <v>2061.8556701031221</v>
      </c>
      <c r="J52" s="115">
        <f t="shared" si="4"/>
        <v>3111.8556701031221</v>
      </c>
      <c r="K52" s="115">
        <f t="shared" si="6"/>
        <v>2290.9507445590243</v>
      </c>
      <c r="L52" s="116">
        <f t="shared" si="7"/>
        <v>2226.6526488662694</v>
      </c>
      <c r="M52" s="7">
        <f t="shared" si="8"/>
        <v>12998.964593502284</v>
      </c>
      <c r="N52" s="68">
        <f>gas!H193</f>
        <v>183.62497632784005</v>
      </c>
      <c r="O52" s="7">
        <f t="shared" si="9"/>
        <v>0.18362497632784006</v>
      </c>
      <c r="P52" s="7">
        <f t="shared" si="11"/>
        <v>6266.6846078298331</v>
      </c>
      <c r="Q52" s="7">
        <f t="shared" si="13"/>
        <v>482.09105908037662</v>
      </c>
      <c r="R52" s="7">
        <f t="shared" si="12"/>
        <v>7.7258182544932152</v>
      </c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</row>
    <row r="53" spans="1:142" ht="15" customHeight="1">
      <c r="A53" s="13">
        <v>38804</v>
      </c>
      <c r="B53" s="33" t="s">
        <v>31</v>
      </c>
      <c r="C53" s="7">
        <v>1.5</v>
      </c>
      <c r="D53" s="111">
        <f t="shared" si="0"/>
        <v>1.0499999999999998</v>
      </c>
      <c r="E53" s="111">
        <f t="shared" si="2"/>
        <v>5249.9999999999982</v>
      </c>
      <c r="F53" s="111">
        <f t="shared" si="1"/>
        <v>1049.9999999999998</v>
      </c>
      <c r="G53" s="114">
        <f t="shared" si="5"/>
        <v>468.38407494145872</v>
      </c>
      <c r="H53" s="68">
        <f>VS!I163</f>
        <v>2341.9203747072934</v>
      </c>
      <c r="I53" s="115">
        <f t="shared" si="3"/>
        <v>4215.4566744731283</v>
      </c>
      <c r="J53" s="115">
        <f t="shared" si="4"/>
        <v>5265.4566744731283</v>
      </c>
      <c r="K53" s="115">
        <f t="shared" si="6"/>
        <v>4683.8407494145868</v>
      </c>
      <c r="L53" s="116">
        <f t="shared" si="7"/>
        <v>-1571.9850793114647</v>
      </c>
      <c r="M53" s="7">
        <f t="shared" si="8"/>
        <v>11426.979514190818</v>
      </c>
      <c r="N53" s="7">
        <f>gas!H195</f>
        <v>192.62131014604205</v>
      </c>
      <c r="O53" s="7">
        <f t="shared" si="9"/>
        <v>0.19262131014604206</v>
      </c>
      <c r="P53" s="7">
        <f t="shared" si="11"/>
        <v>6459.3059179758748</v>
      </c>
      <c r="Q53" s="7">
        <f t="shared" si="13"/>
        <v>565.26800542122783</v>
      </c>
      <c r="R53" s="7">
        <f t="shared" si="12"/>
        <v>9.0587821381607032</v>
      </c>
    </row>
    <row r="54" spans="1:142" ht="15" customHeight="1">
      <c r="A54" s="13">
        <v>38806</v>
      </c>
      <c r="B54" s="33" t="s">
        <v>31</v>
      </c>
      <c r="C54" s="7">
        <v>1.5</v>
      </c>
      <c r="D54" s="111">
        <f t="shared" si="0"/>
        <v>1.0499999999999998</v>
      </c>
      <c r="E54" s="111">
        <f t="shared" si="2"/>
        <v>5249.9999999999982</v>
      </c>
      <c r="F54" s="111">
        <f t="shared" si="1"/>
        <v>1049.9999999999998</v>
      </c>
      <c r="G54" s="114">
        <f t="shared" si="5"/>
        <v>452.48868778281195</v>
      </c>
      <c r="H54" s="68">
        <f>VS!I165</f>
        <v>2262.4434389140597</v>
      </c>
      <c r="I54" s="115">
        <f t="shared" si="3"/>
        <v>4072.3981900453077</v>
      </c>
      <c r="J54" s="115">
        <f t="shared" si="4"/>
        <v>5122.3981900453073</v>
      </c>
      <c r="K54" s="115">
        <f t="shared" si="6"/>
        <v>4524.8868778281194</v>
      </c>
      <c r="L54" s="116">
        <f t="shared" si="7"/>
        <v>740.56979664500886</v>
      </c>
      <c r="M54" s="7">
        <f t="shared" si="8"/>
        <v>12167.549310835828</v>
      </c>
      <c r="N54" s="7">
        <f>gas!H197</f>
        <v>98.341327017400914</v>
      </c>
      <c r="O54" s="7">
        <f t="shared" si="9"/>
        <v>9.834132701740092E-2</v>
      </c>
      <c r="P54" s="7">
        <f t="shared" si="11"/>
        <v>6557.6472449932753</v>
      </c>
      <c r="Q54" s="7">
        <f t="shared" si="13"/>
        <v>538.94560666816892</v>
      </c>
      <c r="R54" s="7">
        <f t="shared" si="12"/>
        <v>8.6369488248103998</v>
      </c>
    </row>
    <row r="55" spans="1:142" ht="15" customHeight="1">
      <c r="A55" s="13">
        <v>38808</v>
      </c>
      <c r="B55" s="33" t="s">
        <v>31</v>
      </c>
      <c r="C55" s="7">
        <v>1.5</v>
      </c>
      <c r="D55" s="111">
        <f t="shared" si="0"/>
        <v>1.0499999999999998</v>
      </c>
      <c r="E55" s="111">
        <f t="shared" si="2"/>
        <v>5249.9999999999982</v>
      </c>
      <c r="F55" s="111">
        <f t="shared" si="1"/>
        <v>1049.9999999999998</v>
      </c>
      <c r="G55" s="114">
        <f t="shared" si="5"/>
        <v>612.87027579161838</v>
      </c>
      <c r="H55" s="68">
        <f>VS!I167</f>
        <v>3064.3513789580916</v>
      </c>
      <c r="I55" s="115">
        <f t="shared" si="3"/>
        <v>5515.8324821245651</v>
      </c>
      <c r="J55" s="115">
        <f t="shared" si="4"/>
        <v>6565.8324821245651</v>
      </c>
      <c r="K55" s="115">
        <f t="shared" si="6"/>
        <v>6128.7027579161831</v>
      </c>
      <c r="L55" s="116">
        <f t="shared" si="7"/>
        <v>-1006.3045678708759</v>
      </c>
      <c r="M55" s="7">
        <f t="shared" si="8"/>
        <v>11161.244742964951</v>
      </c>
      <c r="N55" s="7">
        <f>gas!H199</f>
        <v>155.57888716441531</v>
      </c>
      <c r="O55" s="7">
        <f t="shared" si="9"/>
        <v>0.15557888716441531</v>
      </c>
      <c r="P55" s="7">
        <f t="shared" si="11"/>
        <v>6713.2261321576907</v>
      </c>
      <c r="Q55" s="7">
        <f t="shared" si="13"/>
        <v>601.47647388425082</v>
      </c>
      <c r="R55" s="7">
        <f t="shared" si="12"/>
        <v>9.639046055837353</v>
      </c>
    </row>
    <row r="56" spans="1:142" ht="15" customHeight="1">
      <c r="A56" s="13">
        <v>38811</v>
      </c>
      <c r="B56" s="33" t="s">
        <v>31</v>
      </c>
      <c r="C56" s="7">
        <v>1.5</v>
      </c>
      <c r="D56" s="111">
        <f t="shared" si="0"/>
        <v>1.0499999999999998</v>
      </c>
      <c r="E56" s="111">
        <f t="shared" si="2"/>
        <v>5249.9999999999982</v>
      </c>
      <c r="F56" s="111">
        <f t="shared" si="1"/>
        <v>1049.9999999999998</v>
      </c>
      <c r="G56" s="114">
        <f t="shared" si="5"/>
        <v>418.84816753927299</v>
      </c>
      <c r="H56" s="68">
        <f>VS!I169</f>
        <v>2094.2408376963649</v>
      </c>
      <c r="I56" s="115">
        <f t="shared" si="3"/>
        <v>3769.6335078534571</v>
      </c>
      <c r="J56" s="115">
        <f t="shared" si="4"/>
        <v>4819.6335078534566</v>
      </c>
      <c r="K56" s="115">
        <f t="shared" si="6"/>
        <v>4188.4816753927298</v>
      </c>
      <c r="L56" s="116">
        <f t="shared" si="7"/>
        <v>2377.3508067318353</v>
      </c>
      <c r="M56" s="7">
        <f t="shared" si="8"/>
        <v>13538.595549696787</v>
      </c>
      <c r="N56" s="7">
        <f>gas!H201</f>
        <v>166.40841603311003</v>
      </c>
      <c r="O56" s="7">
        <f t="shared" si="9"/>
        <v>0.16640841603311002</v>
      </c>
      <c r="P56" s="7">
        <f t="shared" si="11"/>
        <v>6879.6345481908011</v>
      </c>
      <c r="Q56" s="7">
        <f t="shared" si="13"/>
        <v>508.14979463249267</v>
      </c>
      <c r="R56" s="7">
        <f t="shared" si="12"/>
        <v>8.1434261960335359</v>
      </c>
    </row>
    <row r="57" spans="1:142" s="24" customFormat="1" ht="15" customHeight="1">
      <c r="A57" s="117">
        <v>38813</v>
      </c>
      <c r="B57" s="33" t="s">
        <v>31</v>
      </c>
      <c r="C57" s="68">
        <v>1.5</v>
      </c>
      <c r="D57" s="118">
        <f t="shared" si="0"/>
        <v>1.0499999999999998</v>
      </c>
      <c r="E57" s="118">
        <f t="shared" si="2"/>
        <v>5249.9999999999982</v>
      </c>
      <c r="F57" s="118">
        <f t="shared" si="1"/>
        <v>1049.9999999999998</v>
      </c>
      <c r="G57" s="119">
        <f t="shared" si="5"/>
        <v>954.6539379474907</v>
      </c>
      <c r="H57" s="68">
        <f>VS!I171</f>
        <v>4773.2696897374535</v>
      </c>
      <c r="I57" s="120">
        <f t="shared" si="3"/>
        <v>8591.8854415274163</v>
      </c>
      <c r="J57" s="115">
        <f t="shared" si="4"/>
        <v>9641.8854415274163</v>
      </c>
      <c r="K57" s="115">
        <f t="shared" si="6"/>
        <v>9546.539379474907</v>
      </c>
      <c r="L57" s="116">
        <f t="shared" si="7"/>
        <v>-4726.9058716214504</v>
      </c>
      <c r="M57" s="7">
        <f t="shared" si="8"/>
        <v>8811.6896780753377</v>
      </c>
      <c r="N57" s="68">
        <f>gas!H203</f>
        <v>41.45692588206164</v>
      </c>
      <c r="O57" s="7">
        <f t="shared" si="9"/>
        <v>4.1456925882061638E-2</v>
      </c>
      <c r="P57" s="7">
        <f t="shared" si="11"/>
        <v>6921.0914740728631</v>
      </c>
      <c r="Q57" s="7">
        <f t="shared" si="13"/>
        <v>785.44430488666262</v>
      </c>
      <c r="R57" s="7">
        <f t="shared" si="12"/>
        <v>12.587248475747799</v>
      </c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</row>
    <row r="58" spans="1:142" ht="15" customHeight="1">
      <c r="A58" s="13">
        <v>38815</v>
      </c>
      <c r="B58" s="33" t="s">
        <v>31</v>
      </c>
      <c r="C58" s="7">
        <v>1</v>
      </c>
      <c r="D58" s="111">
        <f t="shared" si="0"/>
        <v>0.7</v>
      </c>
      <c r="E58" s="111">
        <f t="shared" si="2"/>
        <v>3500</v>
      </c>
      <c r="F58" s="111">
        <f t="shared" si="1"/>
        <v>700</v>
      </c>
      <c r="G58" s="114">
        <f t="shared" si="5"/>
        <v>449.94375703037758</v>
      </c>
      <c r="H58" s="68">
        <f>VS!I173</f>
        <v>2249.7187851518879</v>
      </c>
      <c r="I58" s="115">
        <f t="shared" si="3"/>
        <v>4049.4938132733982</v>
      </c>
      <c r="J58" s="115">
        <f t="shared" si="4"/>
        <v>4749.4938132733987</v>
      </c>
      <c r="K58" s="115">
        <f t="shared" si="6"/>
        <v>4499.4375703037758</v>
      </c>
      <c r="L58" s="116">
        <f t="shared" si="7"/>
        <v>5142.4478712236405</v>
      </c>
      <c r="M58" s="7">
        <f t="shared" si="8"/>
        <v>13954.137549298979</v>
      </c>
      <c r="N58" s="7">
        <f>gas!H205</f>
        <v>46.332589442894431</v>
      </c>
      <c r="O58" s="7">
        <f t="shared" si="9"/>
        <v>4.633258944289443E-2</v>
      </c>
      <c r="P58" s="7">
        <f t="shared" si="11"/>
        <v>6967.4240635157576</v>
      </c>
      <c r="Q58" s="7">
        <f t="shared" si="13"/>
        <v>499.30882785842851</v>
      </c>
      <c r="R58" s="7">
        <f t="shared" si="12"/>
        <v>8.0017440361927648</v>
      </c>
    </row>
    <row r="59" spans="1:142" ht="15" customHeight="1">
      <c r="A59" s="117">
        <v>38820</v>
      </c>
      <c r="B59" s="33" t="s">
        <v>31</v>
      </c>
      <c r="C59" s="7">
        <v>1</v>
      </c>
      <c r="D59" s="111">
        <f t="shared" si="0"/>
        <v>0.7</v>
      </c>
      <c r="E59" s="111">
        <f t="shared" si="2"/>
        <v>3500</v>
      </c>
      <c r="F59" s="111">
        <f t="shared" si="1"/>
        <v>700</v>
      </c>
      <c r="G59" s="114">
        <f t="shared" si="5"/>
        <v>804.82897384306989</v>
      </c>
      <c r="H59" s="68">
        <f>VS!I175</f>
        <v>4024.144869215349</v>
      </c>
      <c r="I59" s="115">
        <f t="shared" si="3"/>
        <v>7243.4607645876285</v>
      </c>
      <c r="J59" s="115">
        <f t="shared" si="4"/>
        <v>7943.4607645876285</v>
      </c>
      <c r="K59" s="115">
        <f t="shared" si="6"/>
        <v>8048.289738430698</v>
      </c>
      <c r="L59" s="116">
        <f t="shared" si="7"/>
        <v>-3298.7959251572993</v>
      </c>
      <c r="M59" s="7">
        <f t="shared" si="8"/>
        <v>10655.34162414168</v>
      </c>
      <c r="N59" s="7">
        <f>gas!H207</f>
        <v>67.93456876139318</v>
      </c>
      <c r="O59" s="7">
        <f t="shared" si="9"/>
        <v>6.7934568761393185E-2</v>
      </c>
      <c r="P59" s="7">
        <f t="shared" si="11"/>
        <v>7035.3586322771507</v>
      </c>
      <c r="Q59" s="7">
        <f t="shared" si="13"/>
        <v>660.26589108482665</v>
      </c>
      <c r="R59" s="7">
        <f t="shared" si="12"/>
        <v>10.581184152000427</v>
      </c>
    </row>
    <row r="60" spans="1:142" ht="15" customHeight="1">
      <c r="A60" s="13">
        <v>38822</v>
      </c>
      <c r="B60" s="33" t="s">
        <v>31</v>
      </c>
      <c r="C60" s="7">
        <v>1</v>
      </c>
      <c r="D60" s="111">
        <f t="shared" si="0"/>
        <v>0.7</v>
      </c>
      <c r="E60" s="111">
        <f t="shared" si="2"/>
        <v>3500</v>
      </c>
      <c r="F60" s="111">
        <f t="shared" si="1"/>
        <v>700</v>
      </c>
      <c r="G60" s="114">
        <f t="shared" si="5"/>
        <v>251.88916876574669</v>
      </c>
      <c r="H60" s="68">
        <f>VS!I177</f>
        <v>1259.4458438287334</v>
      </c>
      <c r="I60" s="115">
        <f t="shared" si="3"/>
        <v>2267.0025188917202</v>
      </c>
      <c r="J60" s="115">
        <f t="shared" si="4"/>
        <v>2967.0025188917202</v>
      </c>
      <c r="K60" s="115">
        <f t="shared" si="6"/>
        <v>2518.8916876574667</v>
      </c>
      <c r="L60" s="116">
        <f t="shared" si="7"/>
        <v>5424.5690769301618</v>
      </c>
      <c r="M60" s="7">
        <f t="shared" si="8"/>
        <v>16079.910701071842</v>
      </c>
      <c r="N60" s="7">
        <f>gas!H209</f>
        <v>138.72860149704945</v>
      </c>
      <c r="O60" s="7">
        <f t="shared" si="9"/>
        <v>0.13872860149704946</v>
      </c>
      <c r="P60" s="7">
        <f t="shared" si="11"/>
        <v>7174.0872337742003</v>
      </c>
      <c r="Q60" s="7">
        <f t="shared" si="13"/>
        <v>446.15218126155361</v>
      </c>
      <c r="R60" s="7">
        <f t="shared" si="12"/>
        <v>7.1498746997043847</v>
      </c>
    </row>
    <row r="61" spans="1:142" ht="15" customHeight="1">
      <c r="A61" s="13">
        <v>38825</v>
      </c>
      <c r="B61" s="33" t="s">
        <v>31</v>
      </c>
      <c r="C61" s="7">
        <v>1</v>
      </c>
      <c r="D61" s="111">
        <f t="shared" si="0"/>
        <v>0.7</v>
      </c>
      <c r="E61" s="111">
        <f t="shared" si="2"/>
        <v>3500</v>
      </c>
      <c r="F61" s="111">
        <f t="shared" si="1"/>
        <v>700</v>
      </c>
      <c r="G61" s="114">
        <f t="shared" si="5"/>
        <v>457.66590389016676</v>
      </c>
      <c r="H61" s="68">
        <f>VS!I179</f>
        <v>2288.3295194508337</v>
      </c>
      <c r="I61" s="115">
        <f t="shared" si="3"/>
        <v>4118.9931350115012</v>
      </c>
      <c r="J61" s="115">
        <f t="shared" si="4"/>
        <v>4818.9931350115012</v>
      </c>
      <c r="K61" s="115">
        <f t="shared" si="6"/>
        <v>4576.6590389016674</v>
      </c>
      <c r="L61" s="116">
        <f t="shared" si="7"/>
        <v>-1609.6565200099471</v>
      </c>
      <c r="M61" s="7">
        <f t="shared" si="8"/>
        <v>14470.254181061895</v>
      </c>
      <c r="N61" s="7">
        <f>gas!H211</f>
        <v>280.34165691691499</v>
      </c>
      <c r="O61" s="7">
        <f t="shared" si="9"/>
        <v>0.28034165691691498</v>
      </c>
      <c r="P61" s="7">
        <f t="shared" si="11"/>
        <v>7454.4288906911152</v>
      </c>
      <c r="Q61" s="7">
        <f t="shared" si="13"/>
        <v>515.1553523121371</v>
      </c>
      <c r="R61" s="7">
        <f t="shared" si="12"/>
        <v>8.2556947485919405</v>
      </c>
    </row>
    <row r="62" spans="1:142" ht="15" customHeight="1">
      <c r="A62" s="13">
        <v>38827</v>
      </c>
      <c r="B62" s="33" t="s">
        <v>31</v>
      </c>
      <c r="C62" s="7">
        <v>1</v>
      </c>
      <c r="D62" s="111">
        <f t="shared" si="0"/>
        <v>0.7</v>
      </c>
      <c r="E62" s="111">
        <f t="shared" si="2"/>
        <v>3500</v>
      </c>
      <c r="F62" s="111">
        <f t="shared" si="1"/>
        <v>700</v>
      </c>
      <c r="G62" s="114">
        <f t="shared" si="5"/>
        <v>428.08219178081282</v>
      </c>
      <c r="H62" s="68">
        <f>VS!I181</f>
        <v>2140.410958904064</v>
      </c>
      <c r="I62" s="115">
        <f t="shared" si="3"/>
        <v>3852.7397260273156</v>
      </c>
      <c r="J62" s="115">
        <f t="shared" si="4"/>
        <v>4552.7397260273156</v>
      </c>
      <c r="K62" s="115">
        <f t="shared" si="6"/>
        <v>4280.8219178081281</v>
      </c>
      <c r="L62" s="116">
        <f t="shared" si="7"/>
        <v>538.17121720337309</v>
      </c>
      <c r="M62" s="7">
        <f t="shared" si="8"/>
        <v>15008.425398265268</v>
      </c>
      <c r="N62" s="7">
        <f>gas!H212</f>
        <v>62.399742034381759</v>
      </c>
      <c r="O62" s="7">
        <f t="shared" si="9"/>
        <v>6.2399742034381762E-2</v>
      </c>
      <c r="P62" s="7">
        <f t="shared" si="11"/>
        <v>7516.8286327254973</v>
      </c>
      <c r="Q62" s="7">
        <f t="shared" si="13"/>
        <v>500.84059008577418</v>
      </c>
      <c r="R62" s="7">
        <f t="shared" si="12"/>
        <v>8.0262915077848422</v>
      </c>
    </row>
    <row r="63" spans="1:142" ht="15" customHeight="1">
      <c r="A63" s="13">
        <v>38829</v>
      </c>
      <c r="B63" s="33" t="s">
        <v>31</v>
      </c>
      <c r="C63" s="7">
        <v>1</v>
      </c>
      <c r="D63" s="111">
        <f t="shared" ref="D63:D126" si="14">C63*0.7</f>
        <v>0.7</v>
      </c>
      <c r="E63" s="111">
        <f t="shared" ref="E63:E126" si="15">F63/0.2</f>
        <v>3500</v>
      </c>
      <c r="F63" s="111">
        <f t="shared" ref="F63:F126" si="16">D63*1000</f>
        <v>700</v>
      </c>
      <c r="G63" s="114">
        <f t="shared" si="5"/>
        <v>490.0459418070339</v>
      </c>
      <c r="H63" s="68">
        <f>VS!I183</f>
        <v>2450.2297090351694</v>
      </c>
      <c r="I63" s="115">
        <f t="shared" ref="I63:I126" si="17">H63*1.8</f>
        <v>4410.4134762633048</v>
      </c>
      <c r="J63" s="115">
        <f t="shared" ref="J63:J126" si="18">I63+F63</f>
        <v>5110.4134762633048</v>
      </c>
      <c r="K63" s="115">
        <f t="shared" si="6"/>
        <v>4900.4594180703389</v>
      </c>
      <c r="L63" s="116">
        <f t="shared" si="7"/>
        <v>-347.71969204302331</v>
      </c>
      <c r="M63" s="7">
        <f t="shared" si="8"/>
        <v>14660.705706222245</v>
      </c>
      <c r="N63" s="7">
        <f>gas!H214</f>
        <v>63.171766287778517</v>
      </c>
      <c r="O63" s="7">
        <f t="shared" si="9"/>
        <v>6.3171766287778514E-2</v>
      </c>
      <c r="P63" s="7">
        <f t="shared" si="11"/>
        <v>7580.0003990132755</v>
      </c>
      <c r="Q63" s="7">
        <f t="shared" si="13"/>
        <v>517.02834439928756</v>
      </c>
      <c r="R63" s="7">
        <f t="shared" si="12"/>
        <v>8.2857106474244802</v>
      </c>
    </row>
    <row r="64" spans="1:142" ht="15" customHeight="1">
      <c r="A64" s="13">
        <v>38832</v>
      </c>
      <c r="B64" s="33" t="s">
        <v>31</v>
      </c>
      <c r="C64" s="7">
        <v>1</v>
      </c>
      <c r="D64" s="111">
        <f t="shared" si="14"/>
        <v>0.7</v>
      </c>
      <c r="E64" s="111">
        <f t="shared" si="15"/>
        <v>3500</v>
      </c>
      <c r="F64" s="111">
        <f t="shared" si="16"/>
        <v>700</v>
      </c>
      <c r="G64" s="114">
        <f t="shared" ref="G64:G127" si="19">H64*0.2</f>
        <v>411.92411924118755</v>
      </c>
      <c r="H64" s="68">
        <f>VS!I185</f>
        <v>2059.6205962059375</v>
      </c>
      <c r="I64" s="115">
        <f t="shared" si="17"/>
        <v>3707.3170731706878</v>
      </c>
      <c r="J64" s="115">
        <f t="shared" si="18"/>
        <v>4407.3170731706878</v>
      </c>
      <c r="K64" s="115">
        <f t="shared" ref="K64:K127" si="20">H64*2</f>
        <v>4119.2411924118751</v>
      </c>
      <c r="L64" s="116">
        <f t="shared" si="7"/>
        <v>991.17228385142971</v>
      </c>
      <c r="M64" s="7">
        <f t="shared" si="8"/>
        <v>15651.877990073674</v>
      </c>
      <c r="N64" s="7">
        <f>gas!H216</f>
        <v>109.13783747235199</v>
      </c>
      <c r="O64" s="7">
        <f t="shared" si="9"/>
        <v>0.10913783747235199</v>
      </c>
      <c r="P64" s="7">
        <f t="shared" si="11"/>
        <v>7689.1382364856272</v>
      </c>
      <c r="Q64" s="7">
        <f t="shared" si="13"/>
        <v>491.25978629286737</v>
      </c>
      <c r="R64" s="7">
        <f t="shared" si="12"/>
        <v>7.8727529854626184</v>
      </c>
    </row>
    <row r="65" spans="1:18" ht="15" customHeight="1">
      <c r="A65" s="13">
        <v>38834</v>
      </c>
      <c r="B65" s="33" t="s">
        <v>31</v>
      </c>
      <c r="C65" s="7">
        <v>1</v>
      </c>
      <c r="D65" s="111">
        <f t="shared" si="14"/>
        <v>0.7</v>
      </c>
      <c r="E65" s="111">
        <f t="shared" si="15"/>
        <v>3500</v>
      </c>
      <c r="F65" s="111">
        <f t="shared" si="16"/>
        <v>700</v>
      </c>
      <c r="G65" s="114">
        <f t="shared" si="19"/>
        <v>351.37806083231931</v>
      </c>
      <c r="H65" s="68">
        <f>VS!I187</f>
        <v>1756.8903041615965</v>
      </c>
      <c r="I65" s="115">
        <f t="shared" si="17"/>
        <v>3162.402547490874</v>
      </c>
      <c r="J65" s="115">
        <f t="shared" si="18"/>
        <v>3862.402547490874</v>
      </c>
      <c r="K65" s="115">
        <f t="shared" si="20"/>
        <v>3513.7806083231931</v>
      </c>
      <c r="L65" s="116">
        <f t="shared" si="7"/>
        <v>893.5364648474947</v>
      </c>
      <c r="M65" s="7">
        <f t="shared" si="8"/>
        <v>16545.414454921167</v>
      </c>
      <c r="N65" s="7">
        <f>gas!H218</f>
        <v>131.46246206136792</v>
      </c>
      <c r="O65" s="7">
        <f t="shared" si="9"/>
        <v>0.13146246206136791</v>
      </c>
      <c r="P65" s="7">
        <f t="shared" si="11"/>
        <v>7820.6006985469949</v>
      </c>
      <c r="Q65" s="7">
        <f t="shared" si="13"/>
        <v>472.67481391019993</v>
      </c>
      <c r="R65" s="7">
        <f t="shared" si="12"/>
        <v>7.5749168895865377</v>
      </c>
    </row>
    <row r="66" spans="1:18" ht="15" customHeight="1">
      <c r="A66" s="13">
        <v>38836</v>
      </c>
      <c r="B66" s="33" t="s">
        <v>31</v>
      </c>
      <c r="C66" s="7">
        <v>1</v>
      </c>
      <c r="D66" s="111">
        <f t="shared" si="14"/>
        <v>0.7</v>
      </c>
      <c r="E66" s="111">
        <f t="shared" si="15"/>
        <v>3500</v>
      </c>
      <c r="F66" s="111">
        <f t="shared" si="16"/>
        <v>700</v>
      </c>
      <c r="G66" s="114">
        <f t="shared" si="19"/>
        <v>336.24041189449747</v>
      </c>
      <c r="H66" s="68">
        <f>VS!I189</f>
        <v>1681.2020594724872</v>
      </c>
      <c r="I66" s="115">
        <f t="shared" si="17"/>
        <v>3026.1637070504771</v>
      </c>
      <c r="J66" s="115">
        <f t="shared" si="18"/>
        <v>3726.1637070504771</v>
      </c>
      <c r="K66" s="115">
        <f t="shared" si="20"/>
        <v>3362.4041189449745</v>
      </c>
      <c r="L66" s="116">
        <f t="shared" si="7"/>
        <v>499.99842854589951</v>
      </c>
      <c r="M66" s="7">
        <f t="shared" si="8"/>
        <v>17045.412883467066</v>
      </c>
      <c r="N66" s="7">
        <f>gas!H220</f>
        <v>94.288850440233333</v>
      </c>
      <c r="O66" s="7">
        <f t="shared" si="9"/>
        <v>9.4288850440233329E-2</v>
      </c>
      <c r="P66" s="7">
        <f t="shared" si="11"/>
        <v>7914.8895489872284</v>
      </c>
      <c r="Q66" s="7">
        <f t="shared" si="13"/>
        <v>464.34132180301441</v>
      </c>
      <c r="R66" s="7">
        <f t="shared" si="12"/>
        <v>7.4413673365867696</v>
      </c>
    </row>
    <row r="67" spans="1:18" ht="15" customHeight="1">
      <c r="A67" s="13">
        <v>38839</v>
      </c>
      <c r="B67" s="33" t="s">
        <v>31</v>
      </c>
      <c r="C67" s="7">
        <v>1</v>
      </c>
      <c r="D67" s="111">
        <f t="shared" si="14"/>
        <v>0.7</v>
      </c>
      <c r="E67" s="111">
        <f t="shared" si="15"/>
        <v>3500</v>
      </c>
      <c r="F67" s="111">
        <f t="shared" si="16"/>
        <v>700</v>
      </c>
      <c r="G67" s="114">
        <f t="shared" si="19"/>
        <v>433.78995433789436</v>
      </c>
      <c r="H67" s="68">
        <f>VS!I191</f>
        <v>2168.9497716894716</v>
      </c>
      <c r="I67" s="115">
        <f t="shared" si="17"/>
        <v>3904.1095890410488</v>
      </c>
      <c r="J67" s="115">
        <f t="shared" si="18"/>
        <v>4604.1095890410488</v>
      </c>
      <c r="K67" s="115">
        <f t="shared" si="20"/>
        <v>4337.8995433789432</v>
      </c>
      <c r="L67" s="116">
        <f t="shared" si="7"/>
        <v>-611.73583632846612</v>
      </c>
      <c r="M67" s="7">
        <f t="shared" si="8"/>
        <v>16433.677047138601</v>
      </c>
      <c r="N67" s="7">
        <f>gas!H222</f>
        <v>185.40506749105444</v>
      </c>
      <c r="O67" s="7">
        <f t="shared" si="9"/>
        <v>0.18540506749105443</v>
      </c>
      <c r="P67" s="7">
        <f t="shared" si="11"/>
        <v>8100.2946164782825</v>
      </c>
      <c r="Q67" s="7">
        <f t="shared" si="13"/>
        <v>492.90822700502622</v>
      </c>
      <c r="R67" s="7">
        <f t="shared" ref="R67:R130" si="21">Q67/62.4</f>
        <v>7.8991703045677282</v>
      </c>
    </row>
    <row r="68" spans="1:18" ht="15" customHeight="1">
      <c r="A68" s="13">
        <v>38841</v>
      </c>
      <c r="B68" s="33" t="s">
        <v>31</v>
      </c>
      <c r="C68" s="7">
        <v>1</v>
      </c>
      <c r="D68" s="111">
        <f t="shared" si="14"/>
        <v>0.7</v>
      </c>
      <c r="E68" s="111">
        <f t="shared" si="15"/>
        <v>3500</v>
      </c>
      <c r="F68" s="111">
        <f t="shared" si="16"/>
        <v>700</v>
      </c>
      <c r="G68" s="114">
        <f t="shared" si="19"/>
        <v>461.94991490395762</v>
      </c>
      <c r="H68" s="68">
        <f>VS!I193</f>
        <v>2309.749574519788</v>
      </c>
      <c r="I68" s="115">
        <f t="shared" si="17"/>
        <v>4157.5492341356185</v>
      </c>
      <c r="J68" s="115">
        <f t="shared" si="18"/>
        <v>4857.5492341356185</v>
      </c>
      <c r="K68" s="115">
        <f t="shared" si="20"/>
        <v>4619.499149039576</v>
      </c>
      <c r="L68" s="116">
        <f t="shared" ref="L68:L131" si="22">J67-K68</f>
        <v>-15.389559998527147</v>
      </c>
      <c r="M68" s="7">
        <f t="shared" ref="M68:M131" si="23">M67+L68</f>
        <v>16418.287487140075</v>
      </c>
      <c r="N68" s="7">
        <f>gas!H224</f>
        <v>137.39805317640503</v>
      </c>
      <c r="O68" s="7">
        <f t="shared" ref="O68:O131" si="24">N68/1000</f>
        <v>0.13739805317640502</v>
      </c>
      <c r="P68" s="7">
        <f t="shared" si="11"/>
        <v>8237.6926696546871</v>
      </c>
      <c r="Q68" s="7">
        <f t="shared" ref="Q68:Q99" si="25">P68/(M68/1000)</f>
        <v>501.73884920135623</v>
      </c>
      <c r="R68" s="7">
        <f t="shared" si="21"/>
        <v>8.0406866859191712</v>
      </c>
    </row>
    <row r="69" spans="1:18" ht="15" customHeight="1">
      <c r="A69" s="13">
        <v>38846</v>
      </c>
      <c r="B69" s="33" t="s">
        <v>31</v>
      </c>
      <c r="C69" s="7">
        <v>1</v>
      </c>
      <c r="D69" s="111">
        <f t="shared" si="14"/>
        <v>0.7</v>
      </c>
      <c r="E69" s="111">
        <f t="shared" si="15"/>
        <v>3500</v>
      </c>
      <c r="F69" s="111">
        <f t="shared" si="16"/>
        <v>700</v>
      </c>
      <c r="G69" s="114">
        <f t="shared" si="19"/>
        <v>410.20382002306519</v>
      </c>
      <c r="H69" s="68">
        <f>VS!I195</f>
        <v>2051.0191001153257</v>
      </c>
      <c r="I69" s="115">
        <f t="shared" si="17"/>
        <v>3691.8343802075865</v>
      </c>
      <c r="J69" s="115">
        <f t="shared" si="18"/>
        <v>4391.8343802075869</v>
      </c>
      <c r="K69" s="115">
        <f t="shared" si="20"/>
        <v>4102.0382002306515</v>
      </c>
      <c r="L69" s="116">
        <f t="shared" si="22"/>
        <v>755.51103390496701</v>
      </c>
      <c r="M69" s="7">
        <f t="shared" si="23"/>
        <v>17173.798521045042</v>
      </c>
      <c r="N69" s="7">
        <f>gas!H226</f>
        <v>251.12782692250869</v>
      </c>
      <c r="O69" s="7">
        <f t="shared" si="24"/>
        <v>0.25112782692250868</v>
      </c>
      <c r="P69" s="7">
        <f t="shared" si="11"/>
        <v>8488.8204965771965</v>
      </c>
      <c r="Q69" s="7">
        <f t="shared" si="25"/>
        <v>494.28904654813914</v>
      </c>
      <c r="R69" s="7">
        <f t="shared" si="21"/>
        <v>7.9212988228868451</v>
      </c>
    </row>
    <row r="70" spans="1:18" ht="15" customHeight="1">
      <c r="A70" s="13">
        <v>38848</v>
      </c>
      <c r="B70" s="33" t="s">
        <v>31</v>
      </c>
      <c r="C70" s="7">
        <v>1</v>
      </c>
      <c r="D70" s="111">
        <f t="shared" si="14"/>
        <v>0.7</v>
      </c>
      <c r="E70" s="111">
        <f t="shared" si="15"/>
        <v>3500</v>
      </c>
      <c r="F70" s="111">
        <f t="shared" si="16"/>
        <v>700</v>
      </c>
      <c r="G70" s="114">
        <f t="shared" si="19"/>
        <v>574.94866529774367</v>
      </c>
      <c r="H70" s="68">
        <f>VS!I197</f>
        <v>2874.7433264887181</v>
      </c>
      <c r="I70" s="115">
        <f t="shared" si="17"/>
        <v>5174.5379876796924</v>
      </c>
      <c r="J70" s="115">
        <f t="shared" si="18"/>
        <v>5874.5379876796924</v>
      </c>
      <c r="K70" s="115">
        <f t="shared" si="20"/>
        <v>5749.4866529774363</v>
      </c>
      <c r="L70" s="116">
        <f t="shared" si="22"/>
        <v>-1357.6522727698493</v>
      </c>
      <c r="M70" s="7">
        <f t="shared" si="23"/>
        <v>15816.146248275192</v>
      </c>
      <c r="N70" s="7">
        <f>gas!H228</f>
        <v>184.20757613687798</v>
      </c>
      <c r="O70" s="7">
        <f t="shared" si="24"/>
        <v>0.18420757613687797</v>
      </c>
      <c r="P70" s="7">
        <f t="shared" ref="P70:P133" si="26">P69+N70</f>
        <v>8673.0280727140744</v>
      </c>
      <c r="Q70" s="7">
        <f t="shared" si="25"/>
        <v>548.36544481623639</v>
      </c>
      <c r="R70" s="7">
        <f t="shared" si="21"/>
        <v>8.7879077694909675</v>
      </c>
    </row>
    <row r="71" spans="1:18" s="29" customFormat="1" ht="15" customHeight="1">
      <c r="A71" s="117">
        <v>38850</v>
      </c>
      <c r="B71" s="33" t="s">
        <v>31</v>
      </c>
      <c r="C71" s="68">
        <v>1.25</v>
      </c>
      <c r="D71" s="118">
        <f t="shared" si="14"/>
        <v>0.875</v>
      </c>
      <c r="E71" s="118">
        <f t="shared" si="15"/>
        <v>4375</v>
      </c>
      <c r="F71" s="118">
        <f t="shared" si="16"/>
        <v>875</v>
      </c>
      <c r="G71" s="119">
        <f t="shared" si="19"/>
        <v>418.11846689895077</v>
      </c>
      <c r="H71" s="68">
        <f>VS!I199</f>
        <v>2090.5923344947537</v>
      </c>
      <c r="I71" s="120">
        <f t="shared" si="17"/>
        <v>3763.0662020905565</v>
      </c>
      <c r="J71" s="120">
        <f t="shared" si="18"/>
        <v>4638.0662020905565</v>
      </c>
      <c r="K71" s="120">
        <f t="shared" si="20"/>
        <v>4181.1846689895074</v>
      </c>
      <c r="L71" s="116">
        <f t="shared" si="22"/>
        <v>1693.353318690185</v>
      </c>
      <c r="M71" s="68">
        <f t="shared" si="23"/>
        <v>17509.499566965376</v>
      </c>
      <c r="N71" s="68">
        <f>gas!H230</f>
        <v>286.58070597888928</v>
      </c>
      <c r="O71" s="68">
        <f t="shared" si="24"/>
        <v>0.28658070597888929</v>
      </c>
      <c r="P71" s="68">
        <f t="shared" si="26"/>
        <v>8959.6087786929638</v>
      </c>
      <c r="Q71" s="68">
        <f t="shared" si="25"/>
        <v>511.6998772253192</v>
      </c>
      <c r="R71" s="68">
        <f t="shared" si="21"/>
        <v>8.2003185452775522</v>
      </c>
    </row>
    <row r="72" spans="1:18" ht="15" customHeight="1">
      <c r="A72" s="13">
        <v>38853</v>
      </c>
      <c r="B72" s="33" t="s">
        <v>31</v>
      </c>
      <c r="C72" s="7">
        <v>1.25</v>
      </c>
      <c r="D72" s="111">
        <f t="shared" si="14"/>
        <v>0.875</v>
      </c>
      <c r="E72" s="111">
        <f t="shared" si="15"/>
        <v>4375</v>
      </c>
      <c r="F72" s="111">
        <f t="shared" si="16"/>
        <v>875</v>
      </c>
      <c r="G72" s="114">
        <f t="shared" si="19"/>
        <v>325.55615843732733</v>
      </c>
      <c r="H72" s="68">
        <f>VS!I201</f>
        <v>1627.7807921866365</v>
      </c>
      <c r="I72" s="115">
        <f t="shared" si="17"/>
        <v>2930.0054259359458</v>
      </c>
      <c r="J72" s="115">
        <f t="shared" si="18"/>
        <v>3805.0054259359458</v>
      </c>
      <c r="K72" s="115">
        <f t="shared" si="20"/>
        <v>3255.561584373273</v>
      </c>
      <c r="L72" s="116">
        <f t="shared" si="22"/>
        <v>1382.5046177172835</v>
      </c>
      <c r="M72" s="7">
        <f t="shared" si="23"/>
        <v>18892.004184682661</v>
      </c>
      <c r="N72" s="7">
        <f>gas!H232</f>
        <v>394.84395294390549</v>
      </c>
      <c r="O72" s="7">
        <f t="shared" si="24"/>
        <v>0.39484395294390551</v>
      </c>
      <c r="P72" s="7">
        <f t="shared" si="26"/>
        <v>9354.4527316368694</v>
      </c>
      <c r="Q72" s="7">
        <f t="shared" si="25"/>
        <v>495.1540683661986</v>
      </c>
      <c r="R72" s="7">
        <f t="shared" si="21"/>
        <v>7.9351613520224138</v>
      </c>
    </row>
    <row r="73" spans="1:18" ht="15" customHeight="1">
      <c r="A73" s="13">
        <v>38855</v>
      </c>
      <c r="B73" s="33" t="s">
        <v>31</v>
      </c>
      <c r="C73" s="7">
        <v>1.25</v>
      </c>
      <c r="D73" s="111">
        <f t="shared" si="14"/>
        <v>0.875</v>
      </c>
      <c r="E73" s="111">
        <f t="shared" si="15"/>
        <v>4375</v>
      </c>
      <c r="F73" s="111">
        <f t="shared" si="16"/>
        <v>875</v>
      </c>
      <c r="G73" s="114">
        <f t="shared" si="19"/>
        <v>537.57419643857543</v>
      </c>
      <c r="H73" s="68">
        <f>VS!I203</f>
        <v>2687.8709821928769</v>
      </c>
      <c r="I73" s="115">
        <f t="shared" si="17"/>
        <v>4838.1677679471786</v>
      </c>
      <c r="J73" s="115">
        <f t="shared" si="18"/>
        <v>5713.1677679471786</v>
      </c>
      <c r="K73" s="115">
        <f t="shared" si="20"/>
        <v>5375.7419643857538</v>
      </c>
      <c r="L73" s="116">
        <f t="shared" si="22"/>
        <v>-1570.736538449808</v>
      </c>
      <c r="M73" s="7">
        <f t="shared" si="23"/>
        <v>17321.267646232853</v>
      </c>
      <c r="N73" s="7">
        <f>gas!H234</f>
        <v>276.18281922794779</v>
      </c>
      <c r="O73" s="7">
        <f t="shared" si="24"/>
        <v>0.2761828192279478</v>
      </c>
      <c r="P73" s="7">
        <f t="shared" si="26"/>
        <v>9630.6355508648176</v>
      </c>
      <c r="Q73" s="7">
        <f t="shared" si="25"/>
        <v>556.00062002155801</v>
      </c>
      <c r="R73" s="7">
        <f t="shared" si="21"/>
        <v>8.910266346499327</v>
      </c>
    </row>
    <row r="74" spans="1:18" ht="15" customHeight="1">
      <c r="A74" s="13">
        <v>38857</v>
      </c>
      <c r="B74" s="33" t="s">
        <v>31</v>
      </c>
      <c r="C74" s="7">
        <v>1.25</v>
      </c>
      <c r="D74" s="111">
        <f t="shared" si="14"/>
        <v>0.875</v>
      </c>
      <c r="E74" s="111">
        <f t="shared" si="15"/>
        <v>4375</v>
      </c>
      <c r="F74" s="111">
        <f t="shared" si="16"/>
        <v>875</v>
      </c>
      <c r="G74" s="114">
        <f t="shared" si="19"/>
        <v>199.44156362186163</v>
      </c>
      <c r="H74" s="68">
        <f>VS!I205</f>
        <v>997.20781810930805</v>
      </c>
      <c r="I74" s="115">
        <f t="shared" si="17"/>
        <v>1794.9740725967545</v>
      </c>
      <c r="J74" s="115">
        <f t="shared" si="18"/>
        <v>2669.9740725967545</v>
      </c>
      <c r="K74" s="115">
        <f t="shared" si="20"/>
        <v>1994.4156362186161</v>
      </c>
      <c r="L74" s="116">
        <f t="shared" si="22"/>
        <v>3718.7521317285627</v>
      </c>
      <c r="M74" s="7">
        <f t="shared" si="23"/>
        <v>21040.019777961417</v>
      </c>
      <c r="N74" s="7">
        <f>gas!H236</f>
        <v>238.34992906279703</v>
      </c>
      <c r="O74" s="7">
        <f t="shared" si="24"/>
        <v>0.23834992906279703</v>
      </c>
      <c r="P74" s="7">
        <f t="shared" si="26"/>
        <v>9868.9854799276145</v>
      </c>
      <c r="Q74" s="7">
        <f t="shared" si="25"/>
        <v>469.05780432131451</v>
      </c>
      <c r="R74" s="7">
        <f t="shared" si="21"/>
        <v>7.5169519923287584</v>
      </c>
    </row>
    <row r="75" spans="1:18" ht="15" customHeight="1">
      <c r="A75" s="117">
        <v>38860</v>
      </c>
      <c r="B75" s="33" t="s">
        <v>31</v>
      </c>
      <c r="C75" s="7">
        <v>1.25</v>
      </c>
      <c r="D75" s="111">
        <f t="shared" si="14"/>
        <v>0.875</v>
      </c>
      <c r="E75" s="111">
        <f t="shared" si="15"/>
        <v>4375</v>
      </c>
      <c r="F75" s="111">
        <f t="shared" si="16"/>
        <v>875</v>
      </c>
      <c r="G75" s="114">
        <f t="shared" si="19"/>
        <v>424.17815482503261</v>
      </c>
      <c r="H75" s="68">
        <f>VS!I159</f>
        <v>2120.8907741251628</v>
      </c>
      <c r="I75" s="115">
        <f t="shared" si="17"/>
        <v>3817.6033934252932</v>
      </c>
      <c r="J75" s="115">
        <f t="shared" si="18"/>
        <v>4692.6033934252937</v>
      </c>
      <c r="K75" s="115">
        <f t="shared" si="20"/>
        <v>4241.7815482503256</v>
      </c>
      <c r="L75" s="116">
        <f t="shared" si="22"/>
        <v>-1571.8074756535711</v>
      </c>
      <c r="M75" s="7">
        <f t="shared" si="23"/>
        <v>19468.212302307846</v>
      </c>
      <c r="N75" s="7">
        <f>gas!H238</f>
        <v>571.39194946754833</v>
      </c>
      <c r="O75" s="7">
        <f t="shared" si="24"/>
        <v>0.57139194946754834</v>
      </c>
      <c r="P75" s="7">
        <f t="shared" si="26"/>
        <v>10440.377429395163</v>
      </c>
      <c r="Q75" s="7">
        <f t="shared" si="25"/>
        <v>536.27817835937185</v>
      </c>
      <c r="R75" s="7">
        <f t="shared" si="21"/>
        <v>8.5942015762719848</v>
      </c>
    </row>
    <row r="76" spans="1:18" ht="15" customHeight="1">
      <c r="A76" s="117">
        <v>38862</v>
      </c>
      <c r="B76" s="33" t="s">
        <v>31</v>
      </c>
      <c r="C76" s="7">
        <v>1.25</v>
      </c>
      <c r="D76" s="111">
        <f t="shared" si="14"/>
        <v>0.875</v>
      </c>
      <c r="E76" s="111">
        <f t="shared" si="15"/>
        <v>4375</v>
      </c>
      <c r="F76" s="111">
        <f t="shared" si="16"/>
        <v>875</v>
      </c>
      <c r="G76" s="114">
        <f t="shared" si="19"/>
        <v>229.09507445590245</v>
      </c>
      <c r="H76" s="68">
        <f>VS!I161</f>
        <v>1145.4753722795122</v>
      </c>
      <c r="I76" s="115">
        <f t="shared" si="17"/>
        <v>2061.8556701031221</v>
      </c>
      <c r="J76" s="115">
        <f t="shared" si="18"/>
        <v>2936.8556701031221</v>
      </c>
      <c r="K76" s="115">
        <f t="shared" si="20"/>
        <v>2290.9507445590243</v>
      </c>
      <c r="L76" s="116">
        <f t="shared" si="22"/>
        <v>2401.6526488662694</v>
      </c>
      <c r="M76" s="7">
        <f t="shared" si="23"/>
        <v>21869.864951174117</v>
      </c>
      <c r="N76" s="7">
        <f>gas!H240</f>
        <v>474.25690134857217</v>
      </c>
      <c r="O76" s="7">
        <f t="shared" si="24"/>
        <v>0.47425690134857218</v>
      </c>
      <c r="P76" s="7">
        <f t="shared" si="26"/>
        <v>10914.634330743735</v>
      </c>
      <c r="Q76" s="7">
        <f t="shared" si="25"/>
        <v>499.07186693248269</v>
      </c>
      <c r="R76" s="7">
        <f t="shared" si="21"/>
        <v>7.9979465854564538</v>
      </c>
    </row>
    <row r="77" spans="1:18" s="29" customFormat="1" ht="15" customHeight="1">
      <c r="A77" s="117">
        <v>38864</v>
      </c>
      <c r="B77" s="33" t="s">
        <v>31</v>
      </c>
      <c r="C77" s="68">
        <v>1.25</v>
      </c>
      <c r="D77" s="118">
        <f t="shared" si="14"/>
        <v>0.875</v>
      </c>
      <c r="E77" s="118">
        <f t="shared" si="15"/>
        <v>4375</v>
      </c>
      <c r="F77" s="118">
        <f t="shared" si="16"/>
        <v>875</v>
      </c>
      <c r="G77" s="119">
        <f t="shared" si="19"/>
        <v>468.38407494145872</v>
      </c>
      <c r="H77" s="68">
        <f>VS!I163</f>
        <v>2341.9203747072934</v>
      </c>
      <c r="I77" s="120">
        <f t="shared" si="17"/>
        <v>4215.4566744731283</v>
      </c>
      <c r="J77" s="120">
        <f t="shared" si="18"/>
        <v>5090.4566744731283</v>
      </c>
      <c r="K77" s="120">
        <f t="shared" si="20"/>
        <v>4683.8407494145868</v>
      </c>
      <c r="L77" s="116">
        <f t="shared" si="22"/>
        <v>-1746.9850793114647</v>
      </c>
      <c r="M77" s="68">
        <f t="shared" si="23"/>
        <v>20122.879871862653</v>
      </c>
      <c r="N77" s="68">
        <f>gas!H242</f>
        <v>439.25019841404992</v>
      </c>
      <c r="O77" s="68">
        <f t="shared" si="24"/>
        <v>0.43925019841404994</v>
      </c>
      <c r="P77" s="68">
        <f t="shared" si="26"/>
        <v>11353.884529157785</v>
      </c>
      <c r="Q77" s="68">
        <f t="shared" si="25"/>
        <v>564.22761560255856</v>
      </c>
      <c r="R77" s="68">
        <f t="shared" si="21"/>
        <v>9.0421092243999777</v>
      </c>
    </row>
    <row r="78" spans="1:18" ht="15" customHeight="1">
      <c r="A78" s="13">
        <v>38867</v>
      </c>
      <c r="B78" s="33" t="s">
        <v>31</v>
      </c>
      <c r="C78" s="7">
        <v>1.5</v>
      </c>
      <c r="D78" s="111">
        <f t="shared" si="14"/>
        <v>1.0499999999999998</v>
      </c>
      <c r="E78" s="111">
        <f t="shared" si="15"/>
        <v>5249.9999999999982</v>
      </c>
      <c r="F78" s="111">
        <f t="shared" si="16"/>
        <v>1049.9999999999998</v>
      </c>
      <c r="G78" s="114">
        <f t="shared" si="19"/>
        <v>362.359868644556</v>
      </c>
      <c r="H78" s="68">
        <f>VS!I207</f>
        <v>1811.79934322278</v>
      </c>
      <c r="I78" s="115">
        <f t="shared" si="17"/>
        <v>3261.2388178010042</v>
      </c>
      <c r="J78" s="115">
        <f t="shared" si="18"/>
        <v>4311.2388178010042</v>
      </c>
      <c r="K78" s="115">
        <f t="shared" si="20"/>
        <v>3623.5986864455599</v>
      </c>
      <c r="L78" s="116">
        <f t="shared" si="22"/>
        <v>1466.8579880275684</v>
      </c>
      <c r="M78" s="7">
        <f t="shared" si="23"/>
        <v>21589.737859890221</v>
      </c>
      <c r="N78" s="7">
        <f>gas!H244</f>
        <v>299.24036276522884</v>
      </c>
      <c r="O78" s="7">
        <f t="shared" si="24"/>
        <v>0.29924036276522886</v>
      </c>
      <c r="P78" s="7">
        <f t="shared" si="26"/>
        <v>11653.124891923015</v>
      </c>
      <c r="Q78" s="7">
        <f t="shared" si="25"/>
        <v>539.75295890796281</v>
      </c>
      <c r="R78" s="7">
        <f t="shared" si="21"/>
        <v>8.6498871619865838</v>
      </c>
    </row>
    <row r="79" spans="1:18" ht="15" customHeight="1">
      <c r="A79" s="13">
        <v>38869</v>
      </c>
      <c r="B79" s="33" t="s">
        <v>31</v>
      </c>
      <c r="C79" s="7">
        <v>1.5</v>
      </c>
      <c r="D79" s="111">
        <f t="shared" si="14"/>
        <v>1.0499999999999998</v>
      </c>
      <c r="E79" s="111">
        <f t="shared" si="15"/>
        <v>5249.9999999999982</v>
      </c>
      <c r="F79" s="111">
        <f t="shared" si="16"/>
        <v>1049.9999999999998</v>
      </c>
      <c r="G79" s="114">
        <f t="shared" si="19"/>
        <v>426.30937880633547</v>
      </c>
      <c r="H79" s="68">
        <f>VS!I209</f>
        <v>2131.5468940316773</v>
      </c>
      <c r="I79" s="115">
        <f t="shared" si="17"/>
        <v>3836.7844092570194</v>
      </c>
      <c r="J79" s="115">
        <f t="shared" si="18"/>
        <v>4886.7844092570194</v>
      </c>
      <c r="K79" s="115">
        <f t="shared" si="20"/>
        <v>4263.0937880633546</v>
      </c>
      <c r="L79" s="116">
        <f t="shared" si="22"/>
        <v>48.145029737649566</v>
      </c>
      <c r="M79" s="7">
        <f t="shared" si="23"/>
        <v>21637.882889627872</v>
      </c>
      <c r="N79" s="7">
        <f>gas!H246</f>
        <v>221.67229707251252</v>
      </c>
      <c r="O79" s="7">
        <f t="shared" si="24"/>
        <v>0.22167229707251251</v>
      </c>
      <c r="P79" s="7">
        <f t="shared" si="26"/>
        <v>11874.797188995528</v>
      </c>
      <c r="Q79" s="7">
        <f t="shared" si="25"/>
        <v>548.79662902176619</v>
      </c>
      <c r="R79" s="7">
        <f t="shared" si="21"/>
        <v>8.7948177727847145</v>
      </c>
    </row>
    <row r="80" spans="1:18" ht="15" customHeight="1">
      <c r="A80" s="13">
        <v>38871</v>
      </c>
      <c r="B80" s="33" t="s">
        <v>31</v>
      </c>
      <c r="C80" s="7">
        <v>1.5</v>
      </c>
      <c r="D80" s="111">
        <f t="shared" si="14"/>
        <v>1.0499999999999998</v>
      </c>
      <c r="E80" s="111">
        <f t="shared" si="15"/>
        <v>5249.9999999999982</v>
      </c>
      <c r="F80" s="111">
        <f t="shared" si="16"/>
        <v>1049.9999999999998</v>
      </c>
      <c r="G80" s="114">
        <f t="shared" si="19"/>
        <v>453.22110715442068</v>
      </c>
      <c r="H80" s="68">
        <f>VS!I211</f>
        <v>2266.1055357721034</v>
      </c>
      <c r="I80" s="115">
        <f t="shared" si="17"/>
        <v>4078.9899643897861</v>
      </c>
      <c r="J80" s="115">
        <f t="shared" si="18"/>
        <v>5128.9899643897861</v>
      </c>
      <c r="K80" s="115">
        <f t="shared" si="20"/>
        <v>4532.2110715442068</v>
      </c>
      <c r="L80" s="116">
        <f t="shared" si="22"/>
        <v>354.57333771281264</v>
      </c>
      <c r="M80" s="7">
        <f t="shared" si="23"/>
        <v>21992.456227340685</v>
      </c>
      <c r="N80" s="7">
        <f>gas!H248</f>
        <v>26.089184761095499</v>
      </c>
      <c r="O80" s="7">
        <f t="shared" si="24"/>
        <v>2.60891847610955E-2</v>
      </c>
      <c r="P80" s="7">
        <f t="shared" si="26"/>
        <v>11900.886373756623</v>
      </c>
      <c r="Q80" s="7">
        <f t="shared" si="25"/>
        <v>541.13493512205434</v>
      </c>
      <c r="R80" s="7">
        <f t="shared" si="21"/>
        <v>8.6720342166995898</v>
      </c>
    </row>
    <row r="81" spans="1:18" ht="15" customHeight="1">
      <c r="A81" s="13">
        <v>38874</v>
      </c>
      <c r="B81" s="33" t="s">
        <v>31</v>
      </c>
      <c r="C81" s="7">
        <v>1.5</v>
      </c>
      <c r="D81" s="111">
        <f t="shared" si="14"/>
        <v>1.0499999999999998</v>
      </c>
      <c r="E81" s="111">
        <f t="shared" si="15"/>
        <v>5249.9999999999982</v>
      </c>
      <c r="F81" s="111">
        <f t="shared" si="16"/>
        <v>1049.9999999999998</v>
      </c>
      <c r="G81" s="114">
        <f t="shared" si="19"/>
        <v>550.45871559632224</v>
      </c>
      <c r="H81" s="68">
        <f>VS!I213</f>
        <v>2752.2935779816112</v>
      </c>
      <c r="I81" s="115">
        <f t="shared" si="17"/>
        <v>4954.1284403669006</v>
      </c>
      <c r="J81" s="115">
        <f t="shared" si="18"/>
        <v>6004.1284403669006</v>
      </c>
      <c r="K81" s="115">
        <f t="shared" si="20"/>
        <v>5504.5871559632224</v>
      </c>
      <c r="L81" s="116">
        <f t="shared" si="22"/>
        <v>-375.59719157343625</v>
      </c>
      <c r="M81" s="7">
        <f t="shared" si="23"/>
        <v>21616.859035767247</v>
      </c>
      <c r="N81" s="7">
        <f>gas!H250</f>
        <v>279.49485132825777</v>
      </c>
      <c r="O81" s="7">
        <f t="shared" si="24"/>
        <v>0.27949485132825774</v>
      </c>
      <c r="P81" s="7">
        <f t="shared" si="26"/>
        <v>12180.38122508488</v>
      </c>
      <c r="Q81" s="7">
        <f t="shared" si="25"/>
        <v>563.46674625259971</v>
      </c>
      <c r="R81" s="7">
        <f t="shared" si="21"/>
        <v>9.0299158053301234</v>
      </c>
    </row>
    <row r="82" spans="1:18" ht="15" customHeight="1">
      <c r="A82" s="13">
        <v>38876</v>
      </c>
      <c r="B82" s="33" t="s">
        <v>31</v>
      </c>
      <c r="C82" s="7">
        <v>1.5</v>
      </c>
      <c r="D82" s="111">
        <f t="shared" si="14"/>
        <v>1.0499999999999998</v>
      </c>
      <c r="E82" s="111">
        <f t="shared" si="15"/>
        <v>5249.9999999999982</v>
      </c>
      <c r="F82" s="111">
        <f t="shared" si="16"/>
        <v>1049.9999999999998</v>
      </c>
      <c r="G82" s="114">
        <f t="shared" si="19"/>
        <v>584.16270012982079</v>
      </c>
      <c r="H82" s="68">
        <f>VS!I215</f>
        <v>2920.8135006491038</v>
      </c>
      <c r="I82" s="115">
        <f t="shared" si="17"/>
        <v>5257.4643011683875</v>
      </c>
      <c r="J82" s="115">
        <f t="shared" si="18"/>
        <v>6307.4643011683875</v>
      </c>
      <c r="K82" s="115">
        <f t="shared" si="20"/>
        <v>5841.6270012982077</v>
      </c>
      <c r="L82" s="116">
        <f t="shared" si="22"/>
        <v>162.50143906869289</v>
      </c>
      <c r="M82" s="7">
        <f t="shared" si="23"/>
        <v>21779.360474835939</v>
      </c>
      <c r="N82" s="7">
        <f>gas!H252</f>
        <v>318.79152183175063</v>
      </c>
      <c r="O82" s="7">
        <f t="shared" si="24"/>
        <v>0.31879152183175063</v>
      </c>
      <c r="P82" s="7">
        <f t="shared" si="26"/>
        <v>12499.172746916631</v>
      </c>
      <c r="Q82" s="7">
        <f t="shared" si="25"/>
        <v>573.89989762822847</v>
      </c>
      <c r="R82" s="7">
        <f t="shared" si="21"/>
        <v>9.1971137440421238</v>
      </c>
    </row>
    <row r="83" spans="1:18" ht="15" customHeight="1">
      <c r="A83" s="13">
        <v>38878</v>
      </c>
      <c r="B83" s="33" t="s">
        <v>31</v>
      </c>
      <c r="C83" s="7">
        <v>1.5</v>
      </c>
      <c r="D83" s="111">
        <f t="shared" si="14"/>
        <v>1.0499999999999998</v>
      </c>
      <c r="E83" s="111">
        <f t="shared" si="15"/>
        <v>5249.9999999999982</v>
      </c>
      <c r="F83" s="111">
        <f t="shared" si="16"/>
        <v>1049.9999999999998</v>
      </c>
      <c r="G83" s="114">
        <f t="shared" si="19"/>
        <v>375.19541427826925</v>
      </c>
      <c r="H83" s="68">
        <f>VS!I217</f>
        <v>1875.9770713913463</v>
      </c>
      <c r="I83" s="115">
        <f t="shared" si="17"/>
        <v>3376.7587285044233</v>
      </c>
      <c r="J83" s="115">
        <f t="shared" si="18"/>
        <v>4426.7587285044228</v>
      </c>
      <c r="K83" s="115">
        <f t="shared" si="20"/>
        <v>3751.9541427826925</v>
      </c>
      <c r="L83" s="116">
        <f t="shared" si="22"/>
        <v>2555.5101583856949</v>
      </c>
      <c r="M83" s="7">
        <f t="shared" si="23"/>
        <v>24334.870633221635</v>
      </c>
      <c r="N83" s="7">
        <f>gas!H254</f>
        <v>223.61413774733771</v>
      </c>
      <c r="O83" s="7">
        <f t="shared" si="24"/>
        <v>0.22361413774733771</v>
      </c>
      <c r="P83" s="7">
        <f t="shared" si="26"/>
        <v>12722.786884663969</v>
      </c>
      <c r="Q83" s="7">
        <f t="shared" si="25"/>
        <v>522.82122541037847</v>
      </c>
      <c r="R83" s="7">
        <f t="shared" si="21"/>
        <v>8.3785452790124761</v>
      </c>
    </row>
    <row r="84" spans="1:18" ht="15" customHeight="1">
      <c r="A84" s="13">
        <v>38881</v>
      </c>
      <c r="B84" s="33" t="s">
        <v>31</v>
      </c>
      <c r="C84" s="7">
        <v>1.5</v>
      </c>
      <c r="D84" s="111">
        <f t="shared" si="14"/>
        <v>1.0499999999999998</v>
      </c>
      <c r="E84" s="111">
        <f t="shared" si="15"/>
        <v>5249.9999999999982</v>
      </c>
      <c r="F84" s="111">
        <f t="shared" si="16"/>
        <v>1049.9999999999998</v>
      </c>
      <c r="G84" s="114">
        <f t="shared" si="19"/>
        <v>588.76811594202456</v>
      </c>
      <c r="H84" s="68">
        <f>VS!I219</f>
        <v>2943.8405797101227</v>
      </c>
      <c r="I84" s="115">
        <f t="shared" si="17"/>
        <v>5298.913043478221</v>
      </c>
      <c r="J84" s="115">
        <f t="shared" si="18"/>
        <v>6348.913043478221</v>
      </c>
      <c r="K84" s="115">
        <f t="shared" si="20"/>
        <v>5887.6811594202454</v>
      </c>
      <c r="L84" s="116">
        <f t="shared" si="22"/>
        <v>-1460.9224309158226</v>
      </c>
      <c r="M84" s="7">
        <f t="shared" si="23"/>
        <v>22873.948202305812</v>
      </c>
      <c r="N84" s="7">
        <f>gas!H256</f>
        <v>227.19575580197403</v>
      </c>
      <c r="O84" s="7">
        <f t="shared" si="24"/>
        <v>0.22719575580197404</v>
      </c>
      <c r="P84" s="7">
        <f t="shared" si="26"/>
        <v>12949.982640465943</v>
      </c>
      <c r="Q84" s="7">
        <f t="shared" si="25"/>
        <v>566.14549119073888</v>
      </c>
      <c r="R84" s="7">
        <f t="shared" si="21"/>
        <v>9.0728444101079955</v>
      </c>
    </row>
    <row r="85" spans="1:18" ht="15" customHeight="1">
      <c r="A85" s="13">
        <v>38883</v>
      </c>
      <c r="B85" s="33" t="s">
        <v>31</v>
      </c>
      <c r="C85" s="7">
        <v>1.5</v>
      </c>
      <c r="D85" s="111">
        <f t="shared" si="14"/>
        <v>1.0499999999999998</v>
      </c>
      <c r="E85" s="111">
        <f t="shared" si="15"/>
        <v>5249.9999999999982</v>
      </c>
      <c r="F85" s="111">
        <f t="shared" si="16"/>
        <v>1049.9999999999998</v>
      </c>
      <c r="G85" s="114">
        <f t="shared" si="19"/>
        <v>374.82085767830358</v>
      </c>
      <c r="H85" s="68">
        <f>VS!I221</f>
        <v>1874.1042883915177</v>
      </c>
      <c r="I85" s="115">
        <f t="shared" si="17"/>
        <v>3373.3877191047318</v>
      </c>
      <c r="J85" s="115">
        <f t="shared" si="18"/>
        <v>4423.3877191047313</v>
      </c>
      <c r="K85" s="115">
        <f t="shared" si="20"/>
        <v>3748.2085767830354</v>
      </c>
      <c r="L85" s="116">
        <f t="shared" si="22"/>
        <v>2600.7044666951856</v>
      </c>
      <c r="M85" s="7">
        <f t="shared" si="23"/>
        <v>25474.652669000996</v>
      </c>
      <c r="N85" s="7">
        <f>gas!H258</f>
        <v>198.96652638862437</v>
      </c>
      <c r="O85" s="7">
        <f t="shared" si="24"/>
        <v>0.19896652638862439</v>
      </c>
      <c r="P85" s="7">
        <f t="shared" si="26"/>
        <v>13148.949166854567</v>
      </c>
      <c r="Q85" s="7">
        <f t="shared" si="25"/>
        <v>516.15813325121235</v>
      </c>
      <c r="R85" s="7">
        <f t="shared" si="21"/>
        <v>8.2717649559489157</v>
      </c>
    </row>
    <row r="86" spans="1:18" s="29" customFormat="1" ht="15" customHeight="1">
      <c r="A86" s="117">
        <v>38885</v>
      </c>
      <c r="B86" s="122" t="s">
        <v>31</v>
      </c>
      <c r="C86" s="68">
        <v>1.75</v>
      </c>
      <c r="D86" s="118">
        <f t="shared" si="14"/>
        <v>1.2249999999999999</v>
      </c>
      <c r="E86" s="118">
        <f t="shared" si="15"/>
        <v>6124.9999999999982</v>
      </c>
      <c r="F86" s="118">
        <f t="shared" si="16"/>
        <v>1224.9999999999998</v>
      </c>
      <c r="G86" s="119">
        <f t="shared" si="19"/>
        <v>236.21117278847629</v>
      </c>
      <c r="H86" s="68">
        <f>VS!I223</f>
        <v>1181.0558639423814</v>
      </c>
      <c r="I86" s="120">
        <f t="shared" si="17"/>
        <v>2125.9005550962866</v>
      </c>
      <c r="J86" s="120">
        <f t="shared" si="18"/>
        <v>3350.9005550962866</v>
      </c>
      <c r="K86" s="120">
        <f t="shared" si="20"/>
        <v>2362.1117278847628</v>
      </c>
      <c r="L86" s="116">
        <f t="shared" si="22"/>
        <v>2061.2759912199685</v>
      </c>
      <c r="M86" s="68">
        <f t="shared" si="23"/>
        <v>27535.928660220965</v>
      </c>
      <c r="N86" s="68">
        <f>gas!H260</f>
        <v>314.3948230132645</v>
      </c>
      <c r="O86" s="68">
        <f t="shared" si="24"/>
        <v>0.31439482301326449</v>
      </c>
      <c r="P86" s="68">
        <f t="shared" si="26"/>
        <v>13463.343989867832</v>
      </c>
      <c r="Q86" s="68">
        <f t="shared" si="25"/>
        <v>488.93735003451286</v>
      </c>
      <c r="R86" s="68">
        <f t="shared" si="21"/>
        <v>7.8355344556812963</v>
      </c>
    </row>
    <row r="87" spans="1:18" ht="15" customHeight="1">
      <c r="A87" s="13">
        <v>38888</v>
      </c>
      <c r="B87" s="33" t="s">
        <v>31</v>
      </c>
      <c r="C87" s="7">
        <v>1.75</v>
      </c>
      <c r="D87" s="111">
        <f t="shared" si="14"/>
        <v>1.2249999999999999</v>
      </c>
      <c r="E87" s="111">
        <f t="shared" si="15"/>
        <v>6124.9999999999982</v>
      </c>
      <c r="F87" s="111">
        <f t="shared" si="16"/>
        <v>1224.9999999999998</v>
      </c>
      <c r="G87" s="114">
        <f t="shared" si="19"/>
        <v>724.55564360919357</v>
      </c>
      <c r="H87" s="68">
        <f>VS!I225</f>
        <v>3622.7782180459676</v>
      </c>
      <c r="I87" s="115">
        <f t="shared" si="17"/>
        <v>6521.0007924827414</v>
      </c>
      <c r="J87" s="115">
        <f t="shared" si="18"/>
        <v>7746.0007924827414</v>
      </c>
      <c r="K87" s="115">
        <f t="shared" si="20"/>
        <v>7245.5564360919352</v>
      </c>
      <c r="L87" s="116">
        <f t="shared" si="22"/>
        <v>-3894.6558809956487</v>
      </c>
      <c r="M87" s="7">
        <f t="shared" si="23"/>
        <v>23641.272779225317</v>
      </c>
      <c r="N87" s="7">
        <f>gas!H262</f>
        <v>186.51308459509437</v>
      </c>
      <c r="O87" s="7">
        <f t="shared" si="24"/>
        <v>0.18651308459509436</v>
      </c>
      <c r="P87" s="7">
        <f t="shared" si="26"/>
        <v>13649.857074462925</v>
      </c>
      <c r="Q87" s="7">
        <f t="shared" si="25"/>
        <v>577.37403573540621</v>
      </c>
      <c r="R87" s="7">
        <f t="shared" si="21"/>
        <v>9.2527890342212533</v>
      </c>
    </row>
    <row r="88" spans="1:18" ht="15" customHeight="1">
      <c r="A88" s="13">
        <v>38890</v>
      </c>
      <c r="B88" s="33" t="s">
        <v>31</v>
      </c>
      <c r="C88" s="7">
        <v>1.75</v>
      </c>
      <c r="D88" s="111">
        <f t="shared" si="14"/>
        <v>1.2249999999999999</v>
      </c>
      <c r="E88" s="111">
        <f t="shared" si="15"/>
        <v>6124.9999999999982</v>
      </c>
      <c r="F88" s="111">
        <f t="shared" si="16"/>
        <v>1224.9999999999998</v>
      </c>
      <c r="G88" s="114">
        <f t="shared" si="19"/>
        <v>574.89619929735579</v>
      </c>
      <c r="H88" s="68">
        <f>VS!I227</f>
        <v>2874.4809964867791</v>
      </c>
      <c r="I88" s="115">
        <f t="shared" si="17"/>
        <v>5174.0657936762027</v>
      </c>
      <c r="J88" s="115">
        <f t="shared" si="18"/>
        <v>6399.0657936762027</v>
      </c>
      <c r="K88" s="115">
        <f t="shared" si="20"/>
        <v>5748.9619929735582</v>
      </c>
      <c r="L88" s="116">
        <f t="shared" si="22"/>
        <v>1997.0387995091833</v>
      </c>
      <c r="M88" s="7">
        <f t="shared" si="23"/>
        <v>25638.311578734501</v>
      </c>
      <c r="N88" s="7">
        <f>gas!H264</f>
        <v>164.37545188281354</v>
      </c>
      <c r="O88" s="7">
        <f t="shared" si="24"/>
        <v>0.16437545188281352</v>
      </c>
      <c r="P88" s="7">
        <f t="shared" si="26"/>
        <v>13814.232526345739</v>
      </c>
      <c r="Q88" s="7">
        <f t="shared" si="25"/>
        <v>538.81210094208564</v>
      </c>
      <c r="R88" s="7">
        <f t="shared" si="21"/>
        <v>8.6348093099693219</v>
      </c>
    </row>
    <row r="89" spans="1:18" ht="15" customHeight="1">
      <c r="A89" s="13">
        <v>38892</v>
      </c>
      <c r="B89" s="33" t="s">
        <v>31</v>
      </c>
      <c r="C89" s="7">
        <v>1.75</v>
      </c>
      <c r="D89" s="111">
        <f t="shared" si="14"/>
        <v>1.2249999999999999</v>
      </c>
      <c r="E89" s="111">
        <f t="shared" si="15"/>
        <v>6124.9999999999982</v>
      </c>
      <c r="F89" s="111">
        <f t="shared" si="16"/>
        <v>1224.9999999999998</v>
      </c>
      <c r="G89" s="114">
        <f t="shared" si="19"/>
        <v>256.7094515752612</v>
      </c>
      <c r="H89" s="68">
        <f>VS!I229</f>
        <v>1283.5472578763058</v>
      </c>
      <c r="I89" s="115">
        <f t="shared" si="17"/>
        <v>2310.3850641773506</v>
      </c>
      <c r="J89" s="115">
        <f t="shared" si="18"/>
        <v>3535.3850641773506</v>
      </c>
      <c r="K89" s="115">
        <f t="shared" si="20"/>
        <v>2567.0945157526116</v>
      </c>
      <c r="L89" s="116">
        <f t="shared" si="22"/>
        <v>3831.9712779235911</v>
      </c>
      <c r="M89" s="7">
        <f t="shared" si="23"/>
        <v>29470.282856658094</v>
      </c>
      <c r="N89" s="7">
        <f>gas!H266</f>
        <v>217.32957284949097</v>
      </c>
      <c r="O89" s="7">
        <f t="shared" si="24"/>
        <v>0.21732957284949098</v>
      </c>
      <c r="P89" s="7">
        <f t="shared" si="26"/>
        <v>14031.562099195229</v>
      </c>
      <c r="Q89" s="7">
        <f t="shared" si="25"/>
        <v>476.12580332004308</v>
      </c>
      <c r="R89" s="7">
        <f t="shared" si="21"/>
        <v>7.6302212070519726</v>
      </c>
    </row>
    <row r="90" spans="1:18" ht="15" customHeight="1">
      <c r="A90" s="13">
        <v>38895</v>
      </c>
      <c r="B90" s="33" t="s">
        <v>31</v>
      </c>
      <c r="C90" s="7">
        <v>1.75</v>
      </c>
      <c r="D90" s="111">
        <f t="shared" si="14"/>
        <v>1.2249999999999999</v>
      </c>
      <c r="E90" s="111">
        <f t="shared" si="15"/>
        <v>6124.9999999999982</v>
      </c>
      <c r="F90" s="111">
        <f t="shared" si="16"/>
        <v>1224.9999999999998</v>
      </c>
      <c r="G90" s="114">
        <f t="shared" si="19"/>
        <v>487.2389791183316</v>
      </c>
      <c r="H90" s="68">
        <f>VS!I231</f>
        <v>2436.1948955916578</v>
      </c>
      <c r="I90" s="115">
        <f t="shared" si="17"/>
        <v>4385.1508120649842</v>
      </c>
      <c r="J90" s="115">
        <f t="shared" si="18"/>
        <v>5610.1508120649842</v>
      </c>
      <c r="K90" s="115">
        <f t="shared" si="20"/>
        <v>4872.3897911833155</v>
      </c>
      <c r="L90" s="116">
        <f t="shared" si="22"/>
        <v>-1337.0047270059649</v>
      </c>
      <c r="M90" s="7">
        <f t="shared" si="23"/>
        <v>28133.278129652128</v>
      </c>
      <c r="N90" s="7">
        <f>gas!H268</f>
        <v>267.24026580712194</v>
      </c>
      <c r="O90" s="7">
        <f t="shared" si="24"/>
        <v>0.26724026580712196</v>
      </c>
      <c r="P90" s="7">
        <f t="shared" si="26"/>
        <v>14298.802365002352</v>
      </c>
      <c r="Q90" s="7">
        <f t="shared" si="25"/>
        <v>508.25226619899615</v>
      </c>
      <c r="R90" s="7">
        <f t="shared" si="21"/>
        <v>8.1450683685736571</v>
      </c>
    </row>
    <row r="91" spans="1:18" ht="15" customHeight="1">
      <c r="A91" s="13">
        <v>38897</v>
      </c>
      <c r="B91" s="33" t="s">
        <v>31</v>
      </c>
      <c r="C91" s="7">
        <v>1.75</v>
      </c>
      <c r="D91" s="111">
        <f t="shared" si="14"/>
        <v>1.2249999999999999</v>
      </c>
      <c r="E91" s="111">
        <f t="shared" si="15"/>
        <v>6124.9999999999982</v>
      </c>
      <c r="F91" s="111">
        <f t="shared" si="16"/>
        <v>1224.9999999999998</v>
      </c>
      <c r="G91" s="114">
        <f t="shared" si="19"/>
        <v>650.4429740944247</v>
      </c>
      <c r="H91" s="68">
        <f>VS!I233</f>
        <v>3252.214870472123</v>
      </c>
      <c r="I91" s="115">
        <f t="shared" si="17"/>
        <v>5853.9867668498218</v>
      </c>
      <c r="J91" s="115">
        <f t="shared" si="18"/>
        <v>7078.9867668498218</v>
      </c>
      <c r="K91" s="115">
        <f t="shared" si="20"/>
        <v>6504.4297409442461</v>
      </c>
      <c r="L91" s="116">
        <f t="shared" si="22"/>
        <v>-894.27892887926191</v>
      </c>
      <c r="M91" s="7">
        <f t="shared" si="23"/>
        <v>27238.999200772865</v>
      </c>
      <c r="N91" s="7">
        <f>gas!H270</f>
        <v>240.65129975334636</v>
      </c>
      <c r="O91" s="7">
        <f t="shared" si="24"/>
        <v>0.24065129975334637</v>
      </c>
      <c r="P91" s="7">
        <f t="shared" si="26"/>
        <v>14539.453664755698</v>
      </c>
      <c r="Q91" s="7">
        <f t="shared" si="25"/>
        <v>533.7734164749769</v>
      </c>
      <c r="R91" s="7">
        <f t="shared" si="21"/>
        <v>8.5540611614579625</v>
      </c>
    </row>
    <row r="92" spans="1:18" ht="15" customHeight="1">
      <c r="A92" s="13">
        <v>38900</v>
      </c>
      <c r="B92" s="33" t="s">
        <v>31</v>
      </c>
      <c r="C92" s="7">
        <v>1.75</v>
      </c>
      <c r="D92" s="111">
        <f t="shared" si="14"/>
        <v>1.2249999999999999</v>
      </c>
      <c r="E92" s="111">
        <f t="shared" si="15"/>
        <v>6124.9999999999982</v>
      </c>
      <c r="F92" s="111">
        <f t="shared" si="16"/>
        <v>1224.9999999999998</v>
      </c>
      <c r="G92" s="114">
        <f t="shared" si="19"/>
        <v>527.37053053475381</v>
      </c>
      <c r="H92" s="68">
        <f>VS!I235</f>
        <v>2636.8526526737687</v>
      </c>
      <c r="I92" s="115">
        <f t="shared" si="17"/>
        <v>4746.3347748127835</v>
      </c>
      <c r="J92" s="115">
        <f t="shared" si="18"/>
        <v>5971.3347748127835</v>
      </c>
      <c r="K92" s="115">
        <f t="shared" si="20"/>
        <v>5273.7053053475374</v>
      </c>
      <c r="L92" s="116">
        <f t="shared" si="22"/>
        <v>1805.2814615022844</v>
      </c>
      <c r="M92" s="7">
        <f t="shared" si="23"/>
        <v>29044.280662275149</v>
      </c>
      <c r="N92" s="7">
        <f>gas!H272</f>
        <v>338.65643533248993</v>
      </c>
      <c r="O92" s="7">
        <f t="shared" si="24"/>
        <v>0.33865643533248996</v>
      </c>
      <c r="P92" s="7">
        <f t="shared" si="26"/>
        <v>14878.110100088188</v>
      </c>
      <c r="Q92" s="7">
        <f t="shared" si="25"/>
        <v>512.25610553381591</v>
      </c>
      <c r="R92" s="7">
        <f t="shared" si="21"/>
        <v>8.2092324604778195</v>
      </c>
    </row>
    <row r="93" spans="1:18" ht="15" customHeight="1">
      <c r="A93" s="13">
        <v>38902</v>
      </c>
      <c r="B93" s="33" t="s">
        <v>31</v>
      </c>
      <c r="C93" s="7">
        <v>1.75</v>
      </c>
      <c r="D93" s="111">
        <f t="shared" si="14"/>
        <v>1.2249999999999999</v>
      </c>
      <c r="E93" s="111">
        <f t="shared" si="15"/>
        <v>6124.9999999999982</v>
      </c>
      <c r="F93" s="111">
        <f t="shared" si="16"/>
        <v>1224.9999999999998</v>
      </c>
      <c r="G93" s="114">
        <f t="shared" si="19"/>
        <v>492.83154121863549</v>
      </c>
      <c r="H93" s="68">
        <f>VS!I237</f>
        <v>2464.1577060931772</v>
      </c>
      <c r="I93" s="115">
        <f t="shared" si="17"/>
        <v>4435.4838709677188</v>
      </c>
      <c r="J93" s="115">
        <f t="shared" si="18"/>
        <v>5660.4838709677188</v>
      </c>
      <c r="K93" s="115">
        <f t="shared" si="20"/>
        <v>4928.3154121863545</v>
      </c>
      <c r="L93" s="116">
        <f t="shared" si="22"/>
        <v>1043.019362626429</v>
      </c>
      <c r="M93" s="7">
        <f t="shared" si="23"/>
        <v>30087.300024901579</v>
      </c>
      <c r="N93" s="7">
        <f>gas!H274</f>
        <v>284.07118986453816</v>
      </c>
      <c r="O93" s="7">
        <f t="shared" si="24"/>
        <v>0.28407118986453817</v>
      </c>
      <c r="P93" s="7">
        <f t="shared" si="26"/>
        <v>15162.181289952727</v>
      </c>
      <c r="Q93" s="7">
        <f t="shared" si="25"/>
        <v>503.93957840696356</v>
      </c>
      <c r="R93" s="7">
        <f t="shared" si="21"/>
        <v>8.0759547821628779</v>
      </c>
    </row>
    <row r="94" spans="1:18" ht="15" customHeight="1">
      <c r="A94" s="13">
        <v>38904</v>
      </c>
      <c r="B94" s="33" t="s">
        <v>31</v>
      </c>
      <c r="C94" s="7">
        <v>1.75</v>
      </c>
      <c r="D94" s="111">
        <f t="shared" si="14"/>
        <v>1.2249999999999999</v>
      </c>
      <c r="E94" s="111">
        <f t="shared" si="15"/>
        <v>6124.9999999999982</v>
      </c>
      <c r="F94" s="111">
        <f t="shared" si="16"/>
        <v>1224.9999999999998</v>
      </c>
      <c r="G94" s="114">
        <f t="shared" si="19"/>
        <v>623.89518560881197</v>
      </c>
      <c r="H94" s="68">
        <f>VS!I239</f>
        <v>3119.4759280440594</v>
      </c>
      <c r="I94" s="115">
        <f t="shared" si="17"/>
        <v>5615.0566704793073</v>
      </c>
      <c r="J94" s="115">
        <f t="shared" si="18"/>
        <v>6840.0566704793073</v>
      </c>
      <c r="K94" s="115">
        <f t="shared" si="20"/>
        <v>6238.9518560881188</v>
      </c>
      <c r="L94" s="116">
        <f t="shared" si="22"/>
        <v>-578.46798512040004</v>
      </c>
      <c r="M94" s="7">
        <f t="shared" si="23"/>
        <v>29508.832039781177</v>
      </c>
      <c r="N94" s="7">
        <f>gas!H276</f>
        <v>233.26835475600686</v>
      </c>
      <c r="O94" s="7">
        <f t="shared" si="24"/>
        <v>0.23326835475600685</v>
      </c>
      <c r="P94" s="7">
        <f t="shared" si="26"/>
        <v>15395.449644708733</v>
      </c>
      <c r="Q94" s="7">
        <f t="shared" si="25"/>
        <v>521.72344957448536</v>
      </c>
      <c r="R94" s="7">
        <f t="shared" si="21"/>
        <v>8.3609527175398295</v>
      </c>
    </row>
    <row r="95" spans="1:18" ht="15" customHeight="1">
      <c r="A95" s="13">
        <v>38906</v>
      </c>
      <c r="B95" s="33" t="s">
        <v>31</v>
      </c>
      <c r="C95" s="7">
        <v>1.75</v>
      </c>
      <c r="D95" s="111">
        <f t="shared" si="14"/>
        <v>1.2249999999999999</v>
      </c>
      <c r="E95" s="111">
        <f t="shared" si="15"/>
        <v>6124.9999999999982</v>
      </c>
      <c r="F95" s="111">
        <f t="shared" si="16"/>
        <v>1224.9999999999998</v>
      </c>
      <c r="G95" s="114">
        <f t="shared" si="19"/>
        <v>628.14070351759699</v>
      </c>
      <c r="H95" s="68">
        <f>VS!I241</f>
        <v>3140.7035175879846</v>
      </c>
      <c r="I95" s="115">
        <f t="shared" si="17"/>
        <v>5653.2663316583721</v>
      </c>
      <c r="J95" s="115">
        <f t="shared" si="18"/>
        <v>6878.2663316583721</v>
      </c>
      <c r="K95" s="115">
        <f t="shared" si="20"/>
        <v>6281.4070351759692</v>
      </c>
      <c r="L95" s="116">
        <f t="shared" si="22"/>
        <v>558.64963530333807</v>
      </c>
      <c r="M95" s="7">
        <f t="shared" si="23"/>
        <v>30067.481675084513</v>
      </c>
      <c r="N95" s="7">
        <f>gas!H278</f>
        <v>276.69353972539386</v>
      </c>
      <c r="O95" s="7">
        <f t="shared" si="24"/>
        <v>0.27669353972539384</v>
      </c>
      <c r="P95" s="7">
        <f t="shared" si="26"/>
        <v>15672.143184434128</v>
      </c>
      <c r="Q95" s="7">
        <f t="shared" si="25"/>
        <v>521.23231848249156</v>
      </c>
      <c r="R95" s="7">
        <f t="shared" si="21"/>
        <v>8.3530820269630066</v>
      </c>
    </row>
    <row r="96" spans="1:18" ht="15" customHeight="1">
      <c r="A96" s="13">
        <v>38909</v>
      </c>
      <c r="B96" s="33" t="s">
        <v>31</v>
      </c>
      <c r="C96" s="7">
        <v>1.75</v>
      </c>
      <c r="D96" s="111">
        <f t="shared" si="14"/>
        <v>1.2249999999999999</v>
      </c>
      <c r="E96" s="111">
        <f t="shared" si="15"/>
        <v>6124.9999999999982</v>
      </c>
      <c r="F96" s="111">
        <f t="shared" si="16"/>
        <v>1224.9999999999998</v>
      </c>
      <c r="G96" s="114">
        <f t="shared" si="19"/>
        <v>556.65081758089298</v>
      </c>
      <c r="H96" s="7">
        <f>VS!I243</f>
        <v>2783.254087904465</v>
      </c>
      <c r="I96" s="115">
        <f t="shared" si="17"/>
        <v>5009.8573582280369</v>
      </c>
      <c r="J96" s="115">
        <f t="shared" si="18"/>
        <v>6234.8573582280369</v>
      </c>
      <c r="K96" s="115">
        <f t="shared" si="20"/>
        <v>5566.50817580893</v>
      </c>
      <c r="L96" s="116">
        <f t="shared" si="22"/>
        <v>1311.7581558494421</v>
      </c>
      <c r="M96" s="7">
        <f t="shared" si="23"/>
        <v>31379.239830933955</v>
      </c>
      <c r="N96" s="7">
        <f>gas!H280</f>
        <v>315.17863085817737</v>
      </c>
      <c r="O96" s="7">
        <f t="shared" si="24"/>
        <v>0.31517863085817738</v>
      </c>
      <c r="P96" s="7">
        <f t="shared" si="26"/>
        <v>15987.321815292305</v>
      </c>
      <c r="Q96" s="7">
        <f t="shared" si="25"/>
        <v>509.4872247202066</v>
      </c>
      <c r="R96" s="7">
        <f t="shared" si="21"/>
        <v>8.1648593705161314</v>
      </c>
    </row>
    <row r="97" spans="1:18" ht="15" customHeight="1">
      <c r="A97" s="13">
        <v>38911</v>
      </c>
      <c r="B97" s="33" t="s">
        <v>31</v>
      </c>
      <c r="C97" s="7">
        <v>1.75</v>
      </c>
      <c r="D97" s="111">
        <f t="shared" si="14"/>
        <v>1.2249999999999999</v>
      </c>
      <c r="E97" s="111">
        <f t="shared" si="15"/>
        <v>6124.9999999999982</v>
      </c>
      <c r="F97" s="111">
        <f t="shared" si="16"/>
        <v>1224.9999999999998</v>
      </c>
      <c r="G97" s="114">
        <f t="shared" si="19"/>
        <v>603.80863910823291</v>
      </c>
      <c r="H97" s="7">
        <f>VS!I245</f>
        <v>3019.0431955411646</v>
      </c>
      <c r="I97" s="115">
        <f t="shared" si="17"/>
        <v>5434.2777519740966</v>
      </c>
      <c r="J97" s="115">
        <f t="shared" si="18"/>
        <v>6659.2777519740966</v>
      </c>
      <c r="K97" s="115">
        <f t="shared" si="20"/>
        <v>6038.0863910823291</v>
      </c>
      <c r="L97" s="116">
        <f t="shared" si="22"/>
        <v>196.7709671457078</v>
      </c>
      <c r="M97" s="7">
        <f t="shared" si="23"/>
        <v>31576.010798079664</v>
      </c>
      <c r="N97" s="7">
        <f>gas!H283</f>
        <v>195.96530303936058</v>
      </c>
      <c r="O97" s="7">
        <f t="shared" si="24"/>
        <v>0.19596530303936058</v>
      </c>
      <c r="P97" s="7">
        <f t="shared" si="26"/>
        <v>16183.287118331666</v>
      </c>
      <c r="Q97" s="7">
        <f t="shared" si="25"/>
        <v>512.51841854943473</v>
      </c>
      <c r="R97" s="7">
        <f t="shared" si="21"/>
        <v>8.2134361947024797</v>
      </c>
    </row>
    <row r="98" spans="1:18" ht="15" customHeight="1">
      <c r="A98" s="13">
        <v>38913</v>
      </c>
      <c r="B98" s="33" t="s">
        <v>31</v>
      </c>
      <c r="C98" s="7">
        <v>1.75</v>
      </c>
      <c r="D98" s="111">
        <f t="shared" si="14"/>
        <v>1.2249999999999999</v>
      </c>
      <c r="E98" s="111">
        <f t="shared" si="15"/>
        <v>6124.9999999999982</v>
      </c>
      <c r="F98" s="111">
        <f t="shared" si="16"/>
        <v>1224.9999999999998</v>
      </c>
      <c r="G98" s="114">
        <f t="shared" si="19"/>
        <v>629.75027144408079</v>
      </c>
      <c r="H98" s="7">
        <f>VS!I247</f>
        <v>3148.7513572204039</v>
      </c>
      <c r="I98" s="115">
        <f t="shared" si="17"/>
        <v>5667.752442996727</v>
      </c>
      <c r="J98" s="115">
        <f t="shared" si="18"/>
        <v>6892.752442996727</v>
      </c>
      <c r="K98" s="115">
        <f t="shared" si="20"/>
        <v>6297.5027144408077</v>
      </c>
      <c r="L98" s="116">
        <f t="shared" si="22"/>
        <v>361.77503753328892</v>
      </c>
      <c r="M98" s="7">
        <f t="shared" si="23"/>
        <v>31937.785835612951</v>
      </c>
      <c r="N98" s="7">
        <f>gas!H285</f>
        <v>147.38618451995541</v>
      </c>
      <c r="O98" s="7">
        <f t="shared" si="24"/>
        <v>0.14738618451995542</v>
      </c>
      <c r="P98" s="7">
        <f t="shared" si="26"/>
        <v>16330.673302851621</v>
      </c>
      <c r="Q98" s="7">
        <f t="shared" si="25"/>
        <v>511.32766018619031</v>
      </c>
      <c r="R98" s="7">
        <f t="shared" si="21"/>
        <v>8.1943535286248448</v>
      </c>
    </row>
    <row r="99" spans="1:18" ht="15" customHeight="1">
      <c r="A99" s="13">
        <v>38916</v>
      </c>
      <c r="B99" s="33" t="s">
        <v>31</v>
      </c>
      <c r="C99" s="7">
        <v>1.75</v>
      </c>
      <c r="D99" s="111">
        <f t="shared" si="14"/>
        <v>1.2249999999999999</v>
      </c>
      <c r="E99" s="111">
        <f t="shared" si="15"/>
        <v>6124.9999999999982</v>
      </c>
      <c r="F99" s="111">
        <f t="shared" si="16"/>
        <v>1224.9999999999998</v>
      </c>
      <c r="G99" s="114">
        <f t="shared" si="19"/>
        <v>632.71762424737699</v>
      </c>
      <c r="H99" s="7">
        <f>VS!I249</f>
        <v>3163.5881212368845</v>
      </c>
      <c r="I99" s="115">
        <f t="shared" si="17"/>
        <v>5694.458618226392</v>
      </c>
      <c r="J99" s="115">
        <f t="shared" si="18"/>
        <v>6919.458618226392</v>
      </c>
      <c r="K99" s="115">
        <f t="shared" si="20"/>
        <v>6327.176242473769</v>
      </c>
      <c r="L99" s="116">
        <f t="shared" si="22"/>
        <v>565.57620052295806</v>
      </c>
      <c r="M99" s="7">
        <f t="shared" si="23"/>
        <v>32503.36203613591</v>
      </c>
      <c r="N99" s="7">
        <f>gas!H287</f>
        <v>171.70935255474191</v>
      </c>
      <c r="O99" s="7">
        <f t="shared" si="24"/>
        <v>0.1717093525547419</v>
      </c>
      <c r="P99" s="7">
        <f t="shared" si="26"/>
        <v>16502.382655406363</v>
      </c>
      <c r="Q99" s="7">
        <f t="shared" si="25"/>
        <v>507.71309863452552</v>
      </c>
      <c r="R99" s="7">
        <f t="shared" si="21"/>
        <v>8.1364278627327806</v>
      </c>
    </row>
    <row r="100" spans="1:18" ht="15" customHeight="1">
      <c r="A100" s="13">
        <v>38918</v>
      </c>
      <c r="B100" s="33" t="s">
        <v>31</v>
      </c>
      <c r="C100" s="7">
        <v>1.75</v>
      </c>
      <c r="D100" s="111">
        <f t="shared" si="14"/>
        <v>1.2249999999999999</v>
      </c>
      <c r="E100" s="111">
        <f t="shared" si="15"/>
        <v>6124.9999999999982</v>
      </c>
      <c r="F100" s="111">
        <f t="shared" si="16"/>
        <v>1224.9999999999998</v>
      </c>
      <c r="G100" s="114">
        <f t="shared" si="19"/>
        <v>667.81559672555431</v>
      </c>
      <c r="H100" s="7">
        <f>VS!I251</f>
        <v>3339.0779836277711</v>
      </c>
      <c r="I100" s="115">
        <f t="shared" si="17"/>
        <v>6010.3403705299879</v>
      </c>
      <c r="J100" s="115">
        <f t="shared" si="18"/>
        <v>7235.3403705299879</v>
      </c>
      <c r="K100" s="115">
        <f t="shared" si="20"/>
        <v>6678.1559672555422</v>
      </c>
      <c r="L100" s="116">
        <f t="shared" si="22"/>
        <v>241.30265097084975</v>
      </c>
      <c r="M100" s="7">
        <f t="shared" si="23"/>
        <v>32744.664687106761</v>
      </c>
      <c r="N100" s="7">
        <f>gas!H289</f>
        <v>202.76834864550005</v>
      </c>
      <c r="O100" s="7">
        <f t="shared" si="24"/>
        <v>0.20276834864550006</v>
      </c>
      <c r="P100" s="7">
        <f t="shared" si="26"/>
        <v>16705.151004051862</v>
      </c>
      <c r="Q100" s="7">
        <f t="shared" ref="Q100:Q131" si="27">P100/(M100/1000)</f>
        <v>510.1640576771436</v>
      </c>
      <c r="R100" s="7">
        <f t="shared" si="21"/>
        <v>8.1757060525183274</v>
      </c>
    </row>
    <row r="101" spans="1:18" ht="15" customHeight="1">
      <c r="A101" s="13">
        <v>38920</v>
      </c>
      <c r="B101" s="33" t="s">
        <v>31</v>
      </c>
      <c r="C101" s="7">
        <v>1.75</v>
      </c>
      <c r="D101" s="111">
        <f t="shared" si="14"/>
        <v>1.2249999999999999</v>
      </c>
      <c r="E101" s="111">
        <f t="shared" si="15"/>
        <v>6124.9999999999982</v>
      </c>
      <c r="F101" s="111">
        <f t="shared" si="16"/>
        <v>1224.9999999999998</v>
      </c>
      <c r="G101" s="114">
        <f t="shared" si="19"/>
        <v>681.71133051247364</v>
      </c>
      <c r="H101" s="7">
        <f>VS!I253</f>
        <v>3408.5566525623681</v>
      </c>
      <c r="I101" s="115">
        <f t="shared" si="17"/>
        <v>6135.4019746122631</v>
      </c>
      <c r="J101" s="115">
        <f t="shared" si="18"/>
        <v>7360.4019746122631</v>
      </c>
      <c r="K101" s="115">
        <f t="shared" si="20"/>
        <v>6817.1133051247361</v>
      </c>
      <c r="L101" s="116">
        <f t="shared" si="22"/>
        <v>418.22706540525178</v>
      </c>
      <c r="M101" s="7">
        <f t="shared" si="23"/>
        <v>33162.891752512012</v>
      </c>
      <c r="N101" s="7">
        <f>gas!H291</f>
        <v>249.11822148208583</v>
      </c>
      <c r="O101" s="7">
        <f t="shared" si="24"/>
        <v>0.24911822148208582</v>
      </c>
      <c r="P101" s="7">
        <f t="shared" si="26"/>
        <v>16954.26922553395</v>
      </c>
      <c r="Q101" s="7">
        <f t="shared" si="27"/>
        <v>511.24218454953359</v>
      </c>
      <c r="R101" s="7">
        <f t="shared" si="21"/>
        <v>8.1929837267553456</v>
      </c>
    </row>
    <row r="102" spans="1:18" ht="15" customHeight="1">
      <c r="A102" s="13">
        <v>38923</v>
      </c>
      <c r="B102" s="33" t="s">
        <v>31</v>
      </c>
      <c r="C102" s="7">
        <v>1.75</v>
      </c>
      <c r="D102" s="111">
        <f t="shared" si="14"/>
        <v>1.2249999999999999</v>
      </c>
      <c r="E102" s="111">
        <f t="shared" si="15"/>
        <v>6124.9999999999982</v>
      </c>
      <c r="F102" s="111">
        <f t="shared" si="16"/>
        <v>1224.9999999999998</v>
      </c>
      <c r="G102" s="114">
        <f t="shared" si="19"/>
        <v>667.28025770823547</v>
      </c>
      <c r="H102" s="7">
        <f>VS!I255</f>
        <v>3336.4012885411771</v>
      </c>
      <c r="I102" s="115">
        <f t="shared" si="17"/>
        <v>6005.5223193741185</v>
      </c>
      <c r="J102" s="115">
        <f t="shared" si="18"/>
        <v>7230.5223193741185</v>
      </c>
      <c r="K102" s="115">
        <f t="shared" si="20"/>
        <v>6672.8025770823542</v>
      </c>
      <c r="L102" s="116">
        <f t="shared" si="22"/>
        <v>687.59939752990886</v>
      </c>
      <c r="M102" s="7">
        <f t="shared" si="23"/>
        <v>33850.491150041918</v>
      </c>
      <c r="N102" s="7">
        <f>gas!H293</f>
        <v>193.99930214315475</v>
      </c>
      <c r="O102" s="7">
        <f t="shared" si="24"/>
        <v>0.19399930214315475</v>
      </c>
      <c r="P102" s="7">
        <f t="shared" si="26"/>
        <v>17148.268527677104</v>
      </c>
      <c r="Q102" s="7">
        <f t="shared" si="27"/>
        <v>506.58847021355166</v>
      </c>
      <c r="R102" s="7">
        <f t="shared" si="21"/>
        <v>8.1184049713710209</v>
      </c>
    </row>
    <row r="103" spans="1:18" ht="15" customHeight="1">
      <c r="A103" s="13">
        <v>38927</v>
      </c>
      <c r="B103" s="33" t="s">
        <v>31</v>
      </c>
      <c r="C103" s="7">
        <v>1.75</v>
      </c>
      <c r="D103" s="111">
        <f t="shared" si="14"/>
        <v>1.2249999999999999</v>
      </c>
      <c r="E103" s="111">
        <f t="shared" si="15"/>
        <v>6124.9999999999982</v>
      </c>
      <c r="F103" s="111">
        <f t="shared" si="16"/>
        <v>1224.9999999999998</v>
      </c>
      <c r="G103" s="114">
        <f t="shared" si="19"/>
        <v>528.02112084483122</v>
      </c>
      <c r="H103" s="7">
        <f>VS!I257</f>
        <v>2640.1056042241557</v>
      </c>
      <c r="I103" s="115">
        <f t="shared" si="17"/>
        <v>4752.1900876034806</v>
      </c>
      <c r="J103" s="115">
        <f t="shared" si="18"/>
        <v>5977.1900876034806</v>
      </c>
      <c r="K103" s="115">
        <f t="shared" si="20"/>
        <v>5280.2112084483115</v>
      </c>
      <c r="L103" s="116">
        <f t="shared" si="22"/>
        <v>1950.311110925807</v>
      </c>
      <c r="M103" s="7">
        <f t="shared" si="23"/>
        <v>35800.802260967728</v>
      </c>
      <c r="N103" s="7">
        <f>gas!H295</f>
        <v>247.9491052645329</v>
      </c>
      <c r="O103" s="7">
        <f t="shared" si="24"/>
        <v>0.2479491052645329</v>
      </c>
      <c r="P103" s="7">
        <f t="shared" si="26"/>
        <v>17396.217632941636</v>
      </c>
      <c r="Q103" s="7">
        <f t="shared" si="27"/>
        <v>485.91697767365622</v>
      </c>
      <c r="R103" s="7">
        <f t="shared" si="21"/>
        <v>7.7871310524624393</v>
      </c>
    </row>
    <row r="104" spans="1:18" ht="15" customHeight="1">
      <c r="A104" s="13">
        <v>38930</v>
      </c>
      <c r="B104" s="33" t="s">
        <v>31</v>
      </c>
      <c r="C104" s="7">
        <v>1.75</v>
      </c>
      <c r="D104" s="111">
        <f t="shared" si="14"/>
        <v>1.2249999999999999</v>
      </c>
      <c r="E104" s="111">
        <f t="shared" si="15"/>
        <v>6124.9999999999982</v>
      </c>
      <c r="F104" s="111">
        <f t="shared" si="16"/>
        <v>1224.9999999999998</v>
      </c>
      <c r="G104" s="114">
        <f t="shared" si="19"/>
        <v>647.81362900213071</v>
      </c>
      <c r="H104" s="7">
        <f>VS!I259</f>
        <v>3239.0681450106531</v>
      </c>
      <c r="I104" s="115">
        <f t="shared" si="17"/>
        <v>5830.3226610191759</v>
      </c>
      <c r="J104" s="115">
        <f t="shared" si="18"/>
        <v>7055.3226610191759</v>
      </c>
      <c r="K104" s="115">
        <f t="shared" si="20"/>
        <v>6478.1362900213062</v>
      </c>
      <c r="L104" s="116">
        <f t="shared" si="22"/>
        <v>-500.94620241782559</v>
      </c>
      <c r="M104" s="7">
        <f t="shared" si="23"/>
        <v>35299.8560585499</v>
      </c>
      <c r="N104" s="7">
        <f>gas!H297</f>
        <v>240.9842075901025</v>
      </c>
      <c r="O104" s="7">
        <f t="shared" si="24"/>
        <v>0.2409842075901025</v>
      </c>
      <c r="P104" s="7">
        <f t="shared" si="26"/>
        <v>17637.201840531739</v>
      </c>
      <c r="Q104" s="7">
        <f t="shared" si="27"/>
        <v>499.63948326808747</v>
      </c>
      <c r="R104" s="7">
        <f t="shared" si="21"/>
        <v>8.0070430010911462</v>
      </c>
    </row>
    <row r="105" spans="1:18" ht="15" customHeight="1">
      <c r="A105" s="13">
        <v>38932</v>
      </c>
      <c r="B105" s="33" t="s">
        <v>31</v>
      </c>
      <c r="C105" s="7">
        <v>1.75</v>
      </c>
      <c r="D105" s="111">
        <f t="shared" si="14"/>
        <v>1.2249999999999999</v>
      </c>
      <c r="E105" s="111">
        <f t="shared" si="15"/>
        <v>6124.9999999999982</v>
      </c>
      <c r="F105" s="111">
        <f t="shared" si="16"/>
        <v>1224.9999999999998</v>
      </c>
      <c r="G105" s="114">
        <f t="shared" si="19"/>
        <v>726.42062097247174</v>
      </c>
      <c r="H105" s="7">
        <f>VS!I261</f>
        <v>3632.1031048623586</v>
      </c>
      <c r="I105" s="115">
        <f t="shared" si="17"/>
        <v>6537.7855887522455</v>
      </c>
      <c r="J105" s="115">
        <f t="shared" si="18"/>
        <v>7762.7855887522455</v>
      </c>
      <c r="K105" s="115">
        <f t="shared" si="20"/>
        <v>7264.2062097247172</v>
      </c>
      <c r="L105" s="116">
        <f t="shared" si="22"/>
        <v>-208.88354870554122</v>
      </c>
      <c r="M105" s="7">
        <f t="shared" si="23"/>
        <v>35090.97250984436</v>
      </c>
      <c r="N105" s="7">
        <f>gas!H299</f>
        <v>295.00581968963724</v>
      </c>
      <c r="O105" s="7">
        <f t="shared" si="24"/>
        <v>0.29500581968963724</v>
      </c>
      <c r="P105" s="7">
        <f t="shared" si="26"/>
        <v>17932.207660221378</v>
      </c>
      <c r="Q105" s="7">
        <f t="shared" si="27"/>
        <v>511.02053826495421</v>
      </c>
      <c r="R105" s="7">
        <f t="shared" si="21"/>
        <v>8.1894317029640096</v>
      </c>
    </row>
    <row r="106" spans="1:18" s="29" customFormat="1" ht="15" customHeight="1">
      <c r="A106" s="117">
        <v>38934</v>
      </c>
      <c r="B106" s="122" t="s">
        <v>31</v>
      </c>
      <c r="C106" s="68">
        <v>1.75</v>
      </c>
      <c r="D106" s="118">
        <f t="shared" si="14"/>
        <v>1.2249999999999999</v>
      </c>
      <c r="E106" s="118">
        <f t="shared" si="15"/>
        <v>6124.9999999999982</v>
      </c>
      <c r="F106" s="118">
        <f t="shared" si="16"/>
        <v>1224.9999999999998</v>
      </c>
      <c r="G106" s="119">
        <f t="shared" si="19"/>
        <v>681.81818181818971</v>
      </c>
      <c r="H106" s="68">
        <f>VS!I263</f>
        <v>3409.0909090909481</v>
      </c>
      <c r="I106" s="120">
        <f t="shared" si="17"/>
        <v>6136.363636363707</v>
      </c>
      <c r="J106" s="120">
        <f t="shared" si="18"/>
        <v>7361.363636363707</v>
      </c>
      <c r="K106" s="120">
        <f t="shared" si="20"/>
        <v>6818.1818181818962</v>
      </c>
      <c r="L106" s="116">
        <f t="shared" si="22"/>
        <v>944.6037705703493</v>
      </c>
      <c r="M106" s="68">
        <f t="shared" si="23"/>
        <v>36035.576280414709</v>
      </c>
      <c r="N106" s="68">
        <f>gas!H301</f>
        <v>340.28632403573278</v>
      </c>
      <c r="O106" s="68">
        <f t="shared" si="24"/>
        <v>0.34028632403573278</v>
      </c>
      <c r="P106" s="68">
        <f t="shared" si="26"/>
        <v>18272.493984257111</v>
      </c>
      <c r="Q106" s="68">
        <f t="shared" si="27"/>
        <v>507.06817734973174</v>
      </c>
      <c r="R106" s="68">
        <f t="shared" si="21"/>
        <v>8.1260925857328807</v>
      </c>
    </row>
    <row r="107" spans="1:18" ht="15" customHeight="1">
      <c r="A107" s="13">
        <v>38937</v>
      </c>
      <c r="B107" s="33" t="s">
        <v>31</v>
      </c>
      <c r="C107" s="68">
        <v>2</v>
      </c>
      <c r="D107" s="118">
        <f t="shared" si="14"/>
        <v>1.4</v>
      </c>
      <c r="E107" s="111">
        <f t="shared" si="15"/>
        <v>7000</v>
      </c>
      <c r="F107" s="118">
        <f t="shared" si="16"/>
        <v>1400</v>
      </c>
      <c r="G107" s="114">
        <f t="shared" si="19"/>
        <v>606.94851402260178</v>
      </c>
      <c r="H107" s="7">
        <f>VS!I265</f>
        <v>3034.7425701130087</v>
      </c>
      <c r="I107" s="115">
        <f t="shared" si="17"/>
        <v>5462.5366262034158</v>
      </c>
      <c r="J107" s="115">
        <f t="shared" si="18"/>
        <v>6862.5366262034158</v>
      </c>
      <c r="K107" s="115">
        <f t="shared" si="20"/>
        <v>6069.4851402260174</v>
      </c>
      <c r="L107" s="116">
        <f t="shared" si="22"/>
        <v>1291.8784961376896</v>
      </c>
      <c r="M107" s="7">
        <f t="shared" si="23"/>
        <v>37327.454776552397</v>
      </c>
      <c r="N107" s="7">
        <f>gas!H303</f>
        <v>315.44583859738628</v>
      </c>
      <c r="O107" s="7">
        <f t="shared" si="24"/>
        <v>0.31544583859738629</v>
      </c>
      <c r="P107" s="7">
        <f t="shared" si="26"/>
        <v>18587.939822854496</v>
      </c>
      <c r="Q107" s="7">
        <f t="shared" si="27"/>
        <v>497.96965622554831</v>
      </c>
      <c r="R107" s="7">
        <f t="shared" si="21"/>
        <v>7.9802829523325052</v>
      </c>
    </row>
    <row r="108" spans="1:18" ht="15" customHeight="1">
      <c r="A108" s="13">
        <v>38939</v>
      </c>
      <c r="B108" s="33" t="s">
        <v>31</v>
      </c>
      <c r="C108" s="68">
        <v>2</v>
      </c>
      <c r="D108" s="118">
        <f t="shared" si="14"/>
        <v>1.4</v>
      </c>
      <c r="E108" s="111">
        <f t="shared" si="15"/>
        <v>7000</v>
      </c>
      <c r="F108" s="118">
        <f t="shared" si="16"/>
        <v>1400</v>
      </c>
      <c r="G108" s="114">
        <f t="shared" si="19"/>
        <v>645.08697154705953</v>
      </c>
      <c r="H108" s="7">
        <f>VS!I267</f>
        <v>3225.4348577352976</v>
      </c>
      <c r="I108" s="115">
        <f t="shared" si="17"/>
        <v>5805.7827439235361</v>
      </c>
      <c r="J108" s="115">
        <f t="shared" si="18"/>
        <v>7205.7827439235361</v>
      </c>
      <c r="K108" s="115">
        <f t="shared" si="20"/>
        <v>6450.8697154705951</v>
      </c>
      <c r="L108" s="116">
        <f t="shared" si="22"/>
        <v>411.66691073282072</v>
      </c>
      <c r="M108" s="7">
        <f t="shared" si="23"/>
        <v>37739.121687285216</v>
      </c>
      <c r="N108" s="7">
        <f>gas!H305</f>
        <v>201.57229743303736</v>
      </c>
      <c r="O108" s="7">
        <f t="shared" si="24"/>
        <v>0.20157229743303737</v>
      </c>
      <c r="P108" s="7">
        <f t="shared" si="26"/>
        <v>18789.512120287534</v>
      </c>
      <c r="Q108" s="7">
        <f t="shared" si="27"/>
        <v>497.87889278350519</v>
      </c>
      <c r="R108" s="7">
        <f t="shared" si="21"/>
        <v>7.9788284099920705</v>
      </c>
    </row>
    <row r="109" spans="1:18" ht="15" customHeight="1">
      <c r="A109" s="13">
        <v>38941</v>
      </c>
      <c r="B109" s="33" t="s">
        <v>31</v>
      </c>
      <c r="C109" s="68">
        <v>2</v>
      </c>
      <c r="D109" s="118">
        <f t="shared" si="14"/>
        <v>1.4</v>
      </c>
      <c r="E109" s="111">
        <f t="shared" si="15"/>
        <v>7000</v>
      </c>
      <c r="F109" s="118">
        <f t="shared" si="16"/>
        <v>1400</v>
      </c>
      <c r="G109" s="114">
        <f t="shared" si="19"/>
        <v>529.80132450330859</v>
      </c>
      <c r="H109" s="7">
        <f>VS!I269</f>
        <v>2649.0066225165428</v>
      </c>
      <c r="I109" s="115">
        <f t="shared" si="17"/>
        <v>4768.2119205297777</v>
      </c>
      <c r="J109" s="115">
        <f t="shared" si="18"/>
        <v>6168.2119205297777</v>
      </c>
      <c r="K109" s="115">
        <f t="shared" si="20"/>
        <v>5298.0132450330857</v>
      </c>
      <c r="L109" s="116">
        <f t="shared" si="22"/>
        <v>1907.7694988904504</v>
      </c>
      <c r="M109" s="7">
        <f t="shared" si="23"/>
        <v>39646.891186175664</v>
      </c>
      <c r="N109" s="7">
        <f>gas!H307</f>
        <v>250.40294807294933</v>
      </c>
      <c r="O109" s="7">
        <f t="shared" si="24"/>
        <v>0.25040294807294933</v>
      </c>
      <c r="P109" s="7">
        <f t="shared" si="26"/>
        <v>19039.915068360482</v>
      </c>
      <c r="Q109" s="7">
        <f t="shared" si="27"/>
        <v>480.23727709070522</v>
      </c>
      <c r="R109" s="7">
        <f t="shared" si="21"/>
        <v>7.6961102097869425</v>
      </c>
    </row>
    <row r="110" spans="1:18">
      <c r="A110" s="13">
        <v>38944</v>
      </c>
      <c r="B110" s="33" t="s">
        <v>31</v>
      </c>
      <c r="C110" s="68">
        <v>2</v>
      </c>
      <c r="D110" s="118">
        <f t="shared" si="14"/>
        <v>1.4</v>
      </c>
      <c r="E110" s="111">
        <f t="shared" si="15"/>
        <v>7000</v>
      </c>
      <c r="F110" s="118">
        <f t="shared" si="16"/>
        <v>1400</v>
      </c>
      <c r="G110" s="114">
        <f t="shared" si="19"/>
        <v>691.24423963134632</v>
      </c>
      <c r="H110" s="7">
        <f>VS!I271</f>
        <v>3456.2211981567311</v>
      </c>
      <c r="I110" s="115">
        <f t="shared" si="17"/>
        <v>6221.198156682116</v>
      </c>
      <c r="J110" s="115">
        <f t="shared" si="18"/>
        <v>7621.198156682116</v>
      </c>
      <c r="K110" s="115">
        <f t="shared" si="20"/>
        <v>6912.4423963134623</v>
      </c>
      <c r="L110" s="116">
        <f t="shared" si="22"/>
        <v>-744.2304757836846</v>
      </c>
      <c r="M110" s="7">
        <f t="shared" si="23"/>
        <v>38902.660710391981</v>
      </c>
      <c r="N110" s="7">
        <f>gas!H309</f>
        <v>274.03691785090916</v>
      </c>
      <c r="O110" s="7">
        <f t="shared" si="24"/>
        <v>0.27403691785090917</v>
      </c>
      <c r="P110" s="7">
        <f t="shared" si="26"/>
        <v>19313.951986211392</v>
      </c>
      <c r="Q110" s="7">
        <f t="shared" si="27"/>
        <v>496.46866393002517</v>
      </c>
      <c r="R110" s="7">
        <f t="shared" si="21"/>
        <v>7.9562285886221984</v>
      </c>
    </row>
    <row r="111" spans="1:18">
      <c r="A111" s="13">
        <v>38946</v>
      </c>
      <c r="B111" s="33" t="s">
        <v>31</v>
      </c>
      <c r="C111" s="68">
        <v>2</v>
      </c>
      <c r="D111" s="118">
        <f t="shared" si="14"/>
        <v>1.4</v>
      </c>
      <c r="E111" s="111">
        <f t="shared" si="15"/>
        <v>7000</v>
      </c>
      <c r="F111" s="118">
        <f t="shared" si="16"/>
        <v>1400</v>
      </c>
      <c r="G111" s="114">
        <f t="shared" si="19"/>
        <v>623.92426850259517</v>
      </c>
      <c r="H111" s="7">
        <f>VS!I273</f>
        <v>3119.6213425129754</v>
      </c>
      <c r="I111" s="115">
        <f t="shared" si="17"/>
        <v>5615.3184165233561</v>
      </c>
      <c r="J111" s="115">
        <f t="shared" si="18"/>
        <v>7015.3184165233561</v>
      </c>
      <c r="K111" s="115">
        <f t="shared" si="20"/>
        <v>6239.2426850259508</v>
      </c>
      <c r="L111" s="116">
        <f t="shared" si="22"/>
        <v>1381.9554716561652</v>
      </c>
      <c r="M111" s="7">
        <f t="shared" si="23"/>
        <v>40284.61618204815</v>
      </c>
      <c r="N111" s="7">
        <f>gas!H311</f>
        <v>317.1874218834559</v>
      </c>
      <c r="O111" s="7">
        <f t="shared" si="24"/>
        <v>0.31718742188345589</v>
      </c>
      <c r="P111" s="7">
        <f t="shared" si="26"/>
        <v>19631.139408094848</v>
      </c>
      <c r="Q111" s="7">
        <f t="shared" si="27"/>
        <v>487.31106979847522</v>
      </c>
      <c r="R111" s="7">
        <f t="shared" si="21"/>
        <v>7.8094722724114618</v>
      </c>
    </row>
    <row r="112" spans="1:18">
      <c r="A112" s="13">
        <v>38948</v>
      </c>
      <c r="B112" s="33" t="s">
        <v>31</v>
      </c>
      <c r="C112" s="68">
        <v>2</v>
      </c>
      <c r="D112" s="118">
        <f t="shared" si="14"/>
        <v>1.4</v>
      </c>
      <c r="E112" s="111">
        <f t="shared" si="15"/>
        <v>7000</v>
      </c>
      <c r="F112" s="118">
        <f t="shared" si="16"/>
        <v>1400</v>
      </c>
      <c r="G112" s="114">
        <f t="shared" si="19"/>
        <v>689.65517241379814</v>
      </c>
      <c r="H112" s="7">
        <f>VS!I275</f>
        <v>3448.2758620689906</v>
      </c>
      <c r="I112" s="115">
        <f t="shared" si="17"/>
        <v>6206.8965517241832</v>
      </c>
      <c r="J112" s="115">
        <f t="shared" si="18"/>
        <v>7606.8965517241832</v>
      </c>
      <c r="K112" s="115">
        <f t="shared" si="20"/>
        <v>6896.5517241379812</v>
      </c>
      <c r="L112" s="116">
        <f t="shared" si="22"/>
        <v>118.76669238537488</v>
      </c>
      <c r="M112" s="7">
        <f t="shared" si="23"/>
        <v>40403.382874433526</v>
      </c>
      <c r="N112" s="7">
        <f>gas!H313</f>
        <v>306.92655746435474</v>
      </c>
      <c r="O112" s="7">
        <f t="shared" si="24"/>
        <v>0.30692655746435477</v>
      </c>
      <c r="P112" s="7">
        <f t="shared" si="26"/>
        <v>19938.065965559203</v>
      </c>
      <c r="Q112" s="7">
        <f t="shared" si="27"/>
        <v>493.47516339221244</v>
      </c>
      <c r="R112" s="7">
        <f t="shared" si="21"/>
        <v>7.9082558235931479</v>
      </c>
    </row>
    <row r="113" spans="1:18">
      <c r="A113" s="13">
        <v>38953</v>
      </c>
      <c r="B113" s="33" t="s">
        <v>31</v>
      </c>
      <c r="C113" s="68">
        <v>2</v>
      </c>
      <c r="D113" s="118">
        <f t="shared" si="14"/>
        <v>1.4</v>
      </c>
      <c r="E113" s="111">
        <f t="shared" si="15"/>
        <v>7000</v>
      </c>
      <c r="F113" s="118">
        <f t="shared" si="16"/>
        <v>1400</v>
      </c>
      <c r="G113" s="114">
        <f t="shared" si="19"/>
        <v>696.37883008357539</v>
      </c>
      <c r="H113" s="7">
        <f>VS!I277</f>
        <v>3481.894150417877</v>
      </c>
      <c r="I113" s="115">
        <f t="shared" si="17"/>
        <v>6267.409470752179</v>
      </c>
      <c r="J113" s="115">
        <f t="shared" si="18"/>
        <v>7667.409470752179</v>
      </c>
      <c r="K113" s="115">
        <f t="shared" si="20"/>
        <v>6963.7883008357539</v>
      </c>
      <c r="L113" s="116">
        <f t="shared" si="22"/>
        <v>643.10825088842921</v>
      </c>
      <c r="M113" s="7">
        <f t="shared" si="23"/>
        <v>41046.491125321954</v>
      </c>
      <c r="N113" s="7">
        <f>gas!H315</f>
        <v>320.89676728262936</v>
      </c>
      <c r="O113" s="7">
        <f t="shared" si="24"/>
        <v>0.32089676728262934</v>
      </c>
      <c r="P113" s="7">
        <f t="shared" si="26"/>
        <v>20258.962732841832</v>
      </c>
      <c r="Q113" s="7">
        <f t="shared" si="27"/>
        <v>493.56137826709119</v>
      </c>
      <c r="R113" s="7">
        <f t="shared" si="21"/>
        <v>7.9096374722290257</v>
      </c>
    </row>
    <row r="114" spans="1:18">
      <c r="A114" s="13">
        <v>38955</v>
      </c>
      <c r="B114" s="33" t="s">
        <v>31</v>
      </c>
      <c r="C114" s="68">
        <v>2</v>
      </c>
      <c r="D114" s="118">
        <f t="shared" si="14"/>
        <v>1.4</v>
      </c>
      <c r="E114" s="111">
        <f t="shared" si="15"/>
        <v>7000</v>
      </c>
      <c r="F114" s="118">
        <f t="shared" si="16"/>
        <v>1400</v>
      </c>
      <c r="G114" s="114">
        <f t="shared" si="19"/>
        <v>671.43166558370194</v>
      </c>
      <c r="H114" s="7">
        <f>VS!I279</f>
        <v>3357.1583279185093</v>
      </c>
      <c r="I114" s="115">
        <f t="shared" si="17"/>
        <v>6042.8849902533166</v>
      </c>
      <c r="J114" s="115">
        <f t="shared" si="18"/>
        <v>7442.8849902533166</v>
      </c>
      <c r="K114" s="115">
        <f t="shared" si="20"/>
        <v>6714.3166558370185</v>
      </c>
      <c r="L114" s="116">
        <f t="shared" si="22"/>
        <v>953.09281491516049</v>
      </c>
      <c r="M114" s="7">
        <f t="shared" si="23"/>
        <v>41999.583940237113</v>
      </c>
      <c r="N114" s="7">
        <f>gas!H317</f>
        <v>250.02204407533711</v>
      </c>
      <c r="O114" s="7">
        <f t="shared" si="24"/>
        <v>0.25002204407533712</v>
      </c>
      <c r="P114" s="7">
        <f t="shared" si="26"/>
        <v>20508.984776917168</v>
      </c>
      <c r="Q114" s="7">
        <f t="shared" si="27"/>
        <v>488.31399868389701</v>
      </c>
      <c r="R114" s="7">
        <f t="shared" si="21"/>
        <v>7.8255448507034782</v>
      </c>
    </row>
    <row r="115" spans="1:18">
      <c r="A115" s="13">
        <v>38958</v>
      </c>
      <c r="B115" s="33" t="s">
        <v>31</v>
      </c>
      <c r="C115" s="68">
        <v>2</v>
      </c>
      <c r="D115" s="118">
        <f t="shared" si="14"/>
        <v>1.4</v>
      </c>
      <c r="E115" s="111">
        <f t="shared" si="15"/>
        <v>7000</v>
      </c>
      <c r="F115" s="118">
        <f t="shared" si="16"/>
        <v>1400</v>
      </c>
      <c r="G115" s="114">
        <f t="shared" si="19"/>
        <v>695.27691201150583</v>
      </c>
      <c r="H115" s="7">
        <f>VS!I281</f>
        <v>3476.3845600575291</v>
      </c>
      <c r="I115" s="115">
        <f t="shared" si="17"/>
        <v>6257.4922081035529</v>
      </c>
      <c r="J115" s="115">
        <f t="shared" si="18"/>
        <v>7657.4922081035529</v>
      </c>
      <c r="K115" s="115">
        <f t="shared" si="20"/>
        <v>6952.7691201150583</v>
      </c>
      <c r="L115" s="116">
        <f t="shared" si="22"/>
        <v>490.11587013825829</v>
      </c>
      <c r="M115" s="7">
        <f t="shared" si="23"/>
        <v>42489.699810375372</v>
      </c>
      <c r="N115" s="7">
        <f>gas!H319</f>
        <v>249.71905459428021</v>
      </c>
      <c r="O115" s="7">
        <f t="shared" si="24"/>
        <v>0.2497190545942802</v>
      </c>
      <c r="P115" s="7">
        <f t="shared" si="26"/>
        <v>20758.703831511448</v>
      </c>
      <c r="Q115" s="7">
        <f t="shared" si="27"/>
        <v>488.55849592146268</v>
      </c>
      <c r="R115" s="7">
        <f t="shared" si="21"/>
        <v>7.8294630756644663</v>
      </c>
    </row>
    <row r="116" spans="1:18">
      <c r="A116" s="13">
        <v>38960</v>
      </c>
      <c r="B116" s="33" t="s">
        <v>31</v>
      </c>
      <c r="C116" s="68">
        <v>2</v>
      </c>
      <c r="D116" s="118">
        <f t="shared" si="14"/>
        <v>1.4</v>
      </c>
      <c r="E116" s="111">
        <f t="shared" si="15"/>
        <v>7000</v>
      </c>
      <c r="F116" s="118">
        <f t="shared" si="16"/>
        <v>1400</v>
      </c>
      <c r="G116" s="114">
        <f t="shared" si="19"/>
        <v>699.94853319608092</v>
      </c>
      <c r="H116" s="7">
        <f>VS!I283</f>
        <v>3499.7426659804046</v>
      </c>
      <c r="I116" s="115">
        <f t="shared" si="17"/>
        <v>6299.5367987647287</v>
      </c>
      <c r="J116" s="115">
        <f t="shared" si="18"/>
        <v>7699.5367987647287</v>
      </c>
      <c r="K116" s="115">
        <f t="shared" si="20"/>
        <v>6999.4853319608092</v>
      </c>
      <c r="L116" s="116">
        <f t="shared" si="22"/>
        <v>658.00687614274375</v>
      </c>
      <c r="M116" s="7">
        <f t="shared" si="23"/>
        <v>43147.706686518119</v>
      </c>
      <c r="N116" s="7">
        <f>gas!H321</f>
        <v>263.65928618754731</v>
      </c>
      <c r="O116" s="7">
        <f t="shared" si="24"/>
        <v>0.2636592861875473</v>
      </c>
      <c r="P116" s="7">
        <f t="shared" si="26"/>
        <v>21022.363117698995</v>
      </c>
      <c r="Q116" s="7">
        <f t="shared" si="27"/>
        <v>487.21855069686973</v>
      </c>
      <c r="R116" s="7">
        <f t="shared" si="21"/>
        <v>7.8079895945011177</v>
      </c>
    </row>
    <row r="117" spans="1:18">
      <c r="A117" s="13">
        <v>38962</v>
      </c>
      <c r="B117" s="33" t="s">
        <v>31</v>
      </c>
      <c r="C117" s="68">
        <v>2</v>
      </c>
      <c r="D117" s="118">
        <f t="shared" si="14"/>
        <v>1.4</v>
      </c>
      <c r="E117" s="111">
        <f t="shared" si="15"/>
        <v>7000</v>
      </c>
      <c r="F117" s="118">
        <f t="shared" si="16"/>
        <v>1400</v>
      </c>
      <c r="G117" s="114">
        <f t="shared" si="19"/>
        <v>664.68842729970606</v>
      </c>
      <c r="H117" s="7">
        <f>VS!I285</f>
        <v>3323.4421364985301</v>
      </c>
      <c r="I117" s="115">
        <f t="shared" si="17"/>
        <v>5982.1958456973543</v>
      </c>
      <c r="J117" s="115">
        <f t="shared" si="18"/>
        <v>7382.1958456973543</v>
      </c>
      <c r="K117" s="115">
        <f t="shared" si="20"/>
        <v>6646.8842729970602</v>
      </c>
      <c r="L117" s="116">
        <f t="shared" si="22"/>
        <v>1052.6525257676685</v>
      </c>
      <c r="M117" s="7">
        <f t="shared" si="23"/>
        <v>44200.359212285788</v>
      </c>
      <c r="N117" s="7">
        <f>gas!H323</f>
        <v>96.578168153822318</v>
      </c>
      <c r="O117" s="7">
        <f t="shared" si="24"/>
        <v>9.6578168153822322E-2</v>
      </c>
      <c r="P117" s="7">
        <f t="shared" si="26"/>
        <v>21118.941285852816</v>
      </c>
      <c r="Q117" s="7">
        <f t="shared" si="27"/>
        <v>477.80021841955221</v>
      </c>
      <c r="R117" s="7">
        <f t="shared" si="21"/>
        <v>7.6570547823646189</v>
      </c>
    </row>
    <row r="118" spans="1:18">
      <c r="A118" s="13">
        <v>38966</v>
      </c>
      <c r="B118" s="33" t="s">
        <v>31</v>
      </c>
      <c r="C118" s="68">
        <v>2</v>
      </c>
      <c r="D118" s="118">
        <f t="shared" si="14"/>
        <v>1.4</v>
      </c>
      <c r="E118" s="111">
        <f t="shared" si="15"/>
        <v>7000</v>
      </c>
      <c r="F118" s="118">
        <f t="shared" si="16"/>
        <v>1400</v>
      </c>
      <c r="G118" s="114">
        <f t="shared" si="19"/>
        <v>650.73488163356706</v>
      </c>
      <c r="H118" s="7">
        <f>VS!I287</f>
        <v>3253.6744081678348</v>
      </c>
      <c r="I118" s="115">
        <f t="shared" si="17"/>
        <v>5856.6139347021026</v>
      </c>
      <c r="J118" s="115">
        <f t="shared" si="18"/>
        <v>7256.6139347021026</v>
      </c>
      <c r="K118" s="115">
        <f t="shared" si="20"/>
        <v>6507.3488163356697</v>
      </c>
      <c r="L118" s="116">
        <f t="shared" si="22"/>
        <v>874.84702936168469</v>
      </c>
      <c r="M118" s="7">
        <f t="shared" si="23"/>
        <v>45075.206241647473</v>
      </c>
      <c r="N118" s="7">
        <f>gas!H325</f>
        <v>315.23008467462722</v>
      </c>
      <c r="O118" s="7">
        <f t="shared" si="24"/>
        <v>0.31523008467462721</v>
      </c>
      <c r="P118" s="7">
        <f t="shared" si="26"/>
        <v>21434.171370527441</v>
      </c>
      <c r="Q118" s="7">
        <f t="shared" si="27"/>
        <v>475.52020628855666</v>
      </c>
      <c r="R118" s="7">
        <f t="shared" si="21"/>
        <v>7.6205161264191776</v>
      </c>
    </row>
    <row r="119" spans="1:18">
      <c r="A119" s="13">
        <v>38968</v>
      </c>
      <c r="B119" s="33" t="s">
        <v>31</v>
      </c>
      <c r="C119" s="7">
        <v>2.5</v>
      </c>
      <c r="D119" s="118">
        <f t="shared" si="14"/>
        <v>1.75</v>
      </c>
      <c r="E119" s="111">
        <f t="shared" si="15"/>
        <v>8750</v>
      </c>
      <c r="F119" s="118">
        <f t="shared" si="16"/>
        <v>1750</v>
      </c>
      <c r="G119" s="114">
        <f t="shared" si="19"/>
        <v>704.49113095987195</v>
      </c>
      <c r="H119" s="7">
        <f>VS!I289</f>
        <v>3522.4556547993598</v>
      </c>
      <c r="I119" s="115">
        <f t="shared" si="17"/>
        <v>6340.4201786388476</v>
      </c>
      <c r="J119" s="115">
        <f t="shared" si="18"/>
        <v>8090.4201786388476</v>
      </c>
      <c r="K119" s="115">
        <f t="shared" si="20"/>
        <v>7044.9113095987195</v>
      </c>
      <c r="L119" s="116">
        <f t="shared" si="22"/>
        <v>211.70262510338307</v>
      </c>
      <c r="M119" s="7">
        <f t="shared" si="23"/>
        <v>45286.908866750855</v>
      </c>
      <c r="N119" s="7">
        <f>gas!H327</f>
        <v>241.53418214153911</v>
      </c>
      <c r="O119" s="7">
        <f t="shared" si="24"/>
        <v>0.2415341821415391</v>
      </c>
      <c r="P119" s="7">
        <f t="shared" si="26"/>
        <v>21675.70555266898</v>
      </c>
      <c r="Q119" s="7">
        <f t="shared" si="27"/>
        <v>478.63071459450043</v>
      </c>
      <c r="R119" s="7">
        <f t="shared" si="21"/>
        <v>7.6703640159375075</v>
      </c>
    </row>
    <row r="120" spans="1:18">
      <c r="A120" s="13">
        <v>38970</v>
      </c>
      <c r="B120" s="33" t="s">
        <v>31</v>
      </c>
      <c r="C120" s="7">
        <v>2.5</v>
      </c>
      <c r="D120" s="118">
        <f t="shared" si="14"/>
        <v>1.75</v>
      </c>
      <c r="E120" s="111">
        <f t="shared" si="15"/>
        <v>8750</v>
      </c>
      <c r="F120" s="118">
        <f t="shared" si="16"/>
        <v>1750</v>
      </c>
      <c r="G120" s="114">
        <f t="shared" si="19"/>
        <v>1003.3444816053575</v>
      </c>
      <c r="H120" s="7">
        <f>VS!I291</f>
        <v>5016.722408026787</v>
      </c>
      <c r="I120" s="115">
        <f t="shared" si="17"/>
        <v>9030.100334448216</v>
      </c>
      <c r="J120" s="115">
        <f t="shared" si="18"/>
        <v>10780.100334448216</v>
      </c>
      <c r="K120" s="115">
        <f t="shared" si="20"/>
        <v>10033.444816053574</v>
      </c>
      <c r="L120" s="116">
        <f t="shared" si="22"/>
        <v>-1943.0246374147264</v>
      </c>
      <c r="M120" s="7">
        <f t="shared" si="23"/>
        <v>43343.88422933613</v>
      </c>
      <c r="N120" s="7">
        <f>gas!H329</f>
        <v>243.66515179203583</v>
      </c>
      <c r="O120" s="7">
        <f t="shared" si="24"/>
        <v>0.24366515179203582</v>
      </c>
      <c r="P120" s="7">
        <f t="shared" si="26"/>
        <v>21919.370704461016</v>
      </c>
      <c r="Q120" s="7">
        <f t="shared" si="27"/>
        <v>505.70850061530678</v>
      </c>
      <c r="R120" s="7">
        <f t="shared" si="21"/>
        <v>8.1043028944760707</v>
      </c>
    </row>
    <row r="121" spans="1:18">
      <c r="A121" s="13">
        <v>38972</v>
      </c>
      <c r="B121" s="33" t="s">
        <v>31</v>
      </c>
      <c r="C121" s="7">
        <v>2.5</v>
      </c>
      <c r="D121" s="118">
        <f t="shared" si="14"/>
        <v>1.75</v>
      </c>
      <c r="E121" s="111">
        <f t="shared" si="15"/>
        <v>8750</v>
      </c>
      <c r="F121" s="118">
        <f t="shared" si="16"/>
        <v>1750</v>
      </c>
      <c r="G121" s="114">
        <f t="shared" si="19"/>
        <v>758.39653304442345</v>
      </c>
      <c r="H121" s="7">
        <f>VS!I293</f>
        <v>3791.9826652221168</v>
      </c>
      <c r="I121" s="115">
        <f t="shared" si="17"/>
        <v>6825.5687973998101</v>
      </c>
      <c r="J121" s="115">
        <f t="shared" si="18"/>
        <v>8575.5687973998101</v>
      </c>
      <c r="K121" s="115">
        <f t="shared" si="20"/>
        <v>7583.9653304442336</v>
      </c>
      <c r="L121" s="116">
        <f t="shared" si="22"/>
        <v>3196.1350040039824</v>
      </c>
      <c r="M121" s="7">
        <f t="shared" si="23"/>
        <v>46540.019233340114</v>
      </c>
      <c r="N121" s="7">
        <f>gas!H331</f>
        <v>407.54447197385008</v>
      </c>
      <c r="O121" s="7">
        <f t="shared" si="24"/>
        <v>0.40754447197385008</v>
      </c>
      <c r="P121" s="7">
        <f t="shared" si="26"/>
        <v>22326.915176434868</v>
      </c>
      <c r="Q121" s="7">
        <f t="shared" si="27"/>
        <v>479.7358390526926</v>
      </c>
      <c r="R121" s="7">
        <f t="shared" si="21"/>
        <v>7.6880743437931507</v>
      </c>
    </row>
    <row r="122" spans="1:18">
      <c r="A122" s="13">
        <v>38974</v>
      </c>
      <c r="B122" s="33" t="s">
        <v>31</v>
      </c>
      <c r="C122" s="7">
        <v>2.5</v>
      </c>
      <c r="D122" s="118">
        <f t="shared" si="14"/>
        <v>1.75</v>
      </c>
      <c r="E122" s="111">
        <f t="shared" si="15"/>
        <v>8750</v>
      </c>
      <c r="F122" s="118">
        <f t="shared" si="16"/>
        <v>1750</v>
      </c>
      <c r="G122" s="114">
        <f t="shared" si="19"/>
        <v>747.66355140186988</v>
      </c>
      <c r="H122" s="7">
        <f>VS!I295</f>
        <v>3738.3177570093494</v>
      </c>
      <c r="I122" s="115">
        <f t="shared" si="17"/>
        <v>6728.9719626168289</v>
      </c>
      <c r="J122" s="115">
        <f t="shared" si="18"/>
        <v>8478.9719626168298</v>
      </c>
      <c r="K122" s="115">
        <f t="shared" si="20"/>
        <v>7476.6355140186988</v>
      </c>
      <c r="L122" s="116">
        <f t="shared" si="22"/>
        <v>1098.9332833811113</v>
      </c>
      <c r="M122" s="7">
        <f t="shared" si="23"/>
        <v>47638.952516721227</v>
      </c>
      <c r="N122" s="7">
        <f>gas!H333</f>
        <v>408.87953934520721</v>
      </c>
      <c r="O122" s="7">
        <f t="shared" si="24"/>
        <v>0.40887953934520721</v>
      </c>
      <c r="P122" s="7">
        <f t="shared" si="26"/>
        <v>22735.794715780074</v>
      </c>
      <c r="Q122" s="7">
        <f t="shared" si="27"/>
        <v>477.25219625263236</v>
      </c>
      <c r="R122" s="7">
        <f t="shared" si="21"/>
        <v>7.6482723758434679</v>
      </c>
    </row>
    <row r="123" spans="1:18">
      <c r="A123" s="13">
        <v>38976</v>
      </c>
      <c r="B123" s="33" t="s">
        <v>31</v>
      </c>
      <c r="C123" s="7">
        <v>2.5</v>
      </c>
      <c r="D123" s="118">
        <f t="shared" si="14"/>
        <v>1.75</v>
      </c>
      <c r="E123" s="111">
        <f t="shared" si="15"/>
        <v>8750</v>
      </c>
      <c r="F123" s="118">
        <f t="shared" si="16"/>
        <v>1750</v>
      </c>
      <c r="G123" s="114">
        <f t="shared" si="19"/>
        <v>733.12049190018945</v>
      </c>
      <c r="H123" s="7">
        <f>VS!I297</f>
        <v>3665.6024595009471</v>
      </c>
      <c r="I123" s="115">
        <f t="shared" si="17"/>
        <v>6598.0844271017049</v>
      </c>
      <c r="J123" s="115">
        <f t="shared" si="18"/>
        <v>8348.0844271017049</v>
      </c>
      <c r="K123" s="115">
        <f t="shared" si="20"/>
        <v>7331.2049190018943</v>
      </c>
      <c r="L123" s="116">
        <f t="shared" si="22"/>
        <v>1147.7670436149356</v>
      </c>
      <c r="M123" s="7">
        <f t="shared" si="23"/>
        <v>48786.719560336162</v>
      </c>
      <c r="N123" s="7">
        <f>gas!H335</f>
        <v>253.70357974776684</v>
      </c>
      <c r="O123" s="7">
        <f t="shared" si="24"/>
        <v>0.25370357974776686</v>
      </c>
      <c r="P123" s="7">
        <f t="shared" si="26"/>
        <v>22989.498295527839</v>
      </c>
      <c r="Q123" s="7">
        <f t="shared" si="27"/>
        <v>471.22451566139762</v>
      </c>
      <c r="R123" s="7">
        <f t="shared" si="21"/>
        <v>7.5516749304711155</v>
      </c>
    </row>
    <row r="124" spans="1:18">
      <c r="A124" s="13">
        <v>38980</v>
      </c>
      <c r="B124" s="33" t="s">
        <v>31</v>
      </c>
      <c r="C124" s="7">
        <v>2.5</v>
      </c>
      <c r="D124" s="118">
        <f t="shared" si="14"/>
        <v>1.75</v>
      </c>
      <c r="E124" s="111">
        <f t="shared" si="15"/>
        <v>8750</v>
      </c>
      <c r="F124" s="118">
        <f t="shared" si="16"/>
        <v>1750</v>
      </c>
      <c r="G124" s="114">
        <f t="shared" si="19"/>
        <v>762.267746545975</v>
      </c>
      <c r="H124" s="7">
        <f>VS!I299</f>
        <v>3811.3387327298747</v>
      </c>
      <c r="I124" s="115">
        <f t="shared" si="17"/>
        <v>6860.4097189137747</v>
      </c>
      <c r="J124" s="115">
        <f t="shared" si="18"/>
        <v>8610.4097189137756</v>
      </c>
      <c r="K124" s="115">
        <f t="shared" si="20"/>
        <v>7622.6774654597493</v>
      </c>
      <c r="L124" s="116">
        <f t="shared" si="22"/>
        <v>725.4069616419556</v>
      </c>
      <c r="M124" s="7">
        <f t="shared" si="23"/>
        <v>49512.12652197812</v>
      </c>
      <c r="N124" s="7">
        <f>gas!H337</f>
        <v>377.14532848974818</v>
      </c>
      <c r="O124" s="7">
        <f t="shared" si="24"/>
        <v>0.37714532848974819</v>
      </c>
      <c r="P124" s="7">
        <f t="shared" si="26"/>
        <v>23366.643624017586</v>
      </c>
      <c r="Q124" s="7">
        <f t="shared" si="27"/>
        <v>471.93779111154277</v>
      </c>
      <c r="R124" s="7">
        <f t="shared" si="21"/>
        <v>7.5631056267875447</v>
      </c>
    </row>
    <row r="125" spans="1:18">
      <c r="A125" s="13">
        <v>38982</v>
      </c>
      <c r="B125" s="33" t="s">
        <v>31</v>
      </c>
      <c r="C125" s="7">
        <v>2.5</v>
      </c>
      <c r="D125" s="118">
        <f t="shared" si="14"/>
        <v>1.75</v>
      </c>
      <c r="E125" s="111">
        <f t="shared" si="15"/>
        <v>8750</v>
      </c>
      <c r="F125" s="118">
        <f t="shared" si="16"/>
        <v>1750</v>
      </c>
      <c r="G125" s="114">
        <f t="shared" si="19"/>
        <v>819.85375581652431</v>
      </c>
      <c r="H125" s="7">
        <f>VS!I301</f>
        <v>4099.2687790826212</v>
      </c>
      <c r="I125" s="115">
        <f t="shared" si="17"/>
        <v>7378.683802348718</v>
      </c>
      <c r="J125" s="115">
        <f t="shared" si="18"/>
        <v>9128.683802348718</v>
      </c>
      <c r="K125" s="115">
        <f t="shared" si="20"/>
        <v>8198.5375581652424</v>
      </c>
      <c r="L125" s="116">
        <f t="shared" si="22"/>
        <v>411.87216074853313</v>
      </c>
      <c r="M125" s="7">
        <f t="shared" si="23"/>
        <v>49923.998682726655</v>
      </c>
      <c r="N125" s="7">
        <f>gas!H339</f>
        <v>21.627630043762476</v>
      </c>
      <c r="O125" s="7">
        <f t="shared" si="24"/>
        <v>2.1627630043762475E-2</v>
      </c>
      <c r="P125" s="7">
        <f t="shared" si="26"/>
        <v>23388.27125406135</v>
      </c>
      <c r="Q125" s="7">
        <f t="shared" si="27"/>
        <v>468.47752325883954</v>
      </c>
      <c r="R125" s="7">
        <f t="shared" si="21"/>
        <v>7.5076526163275572</v>
      </c>
    </row>
    <row r="126" spans="1:18">
      <c r="A126" s="13">
        <v>38984</v>
      </c>
      <c r="B126" s="33" t="s">
        <v>31</v>
      </c>
      <c r="C126" s="7">
        <v>2.5</v>
      </c>
      <c r="D126" s="118">
        <f t="shared" si="14"/>
        <v>1.75</v>
      </c>
      <c r="E126" s="111">
        <f t="shared" si="15"/>
        <v>8750</v>
      </c>
      <c r="F126" s="118">
        <f t="shared" si="16"/>
        <v>1750</v>
      </c>
      <c r="G126" s="114">
        <f t="shared" si="19"/>
        <v>821.71045518434994</v>
      </c>
      <c r="H126" s="7">
        <f>VS!I303</f>
        <v>4108.5522759217492</v>
      </c>
      <c r="I126" s="115">
        <f t="shared" si="17"/>
        <v>7395.394096659149</v>
      </c>
      <c r="J126" s="115">
        <f t="shared" si="18"/>
        <v>9145.394096659149</v>
      </c>
      <c r="K126" s="115">
        <f t="shared" si="20"/>
        <v>8217.1045518434985</v>
      </c>
      <c r="L126" s="116">
        <f t="shared" si="22"/>
        <v>911.57925050521953</v>
      </c>
      <c r="M126" s="7">
        <f t="shared" si="23"/>
        <v>50835.577933231878</v>
      </c>
      <c r="N126" s="7">
        <f>gas!H341</f>
        <v>262.05043234119182</v>
      </c>
      <c r="O126" s="7">
        <f t="shared" si="24"/>
        <v>0.2620504323411918</v>
      </c>
      <c r="P126" s="7">
        <f t="shared" si="26"/>
        <v>23650.321686402542</v>
      </c>
      <c r="Q126" s="7">
        <f t="shared" si="27"/>
        <v>465.23168709648957</v>
      </c>
      <c r="R126" s="7">
        <f t="shared" si="21"/>
        <v>7.4556360111616922</v>
      </c>
    </row>
    <row r="127" spans="1:18">
      <c r="A127" s="13">
        <v>38988</v>
      </c>
      <c r="B127" s="33" t="s">
        <v>31</v>
      </c>
      <c r="C127" s="7">
        <v>2.5</v>
      </c>
      <c r="D127" s="118">
        <f t="shared" ref="D127:D143" si="28">C127*0.7</f>
        <v>1.75</v>
      </c>
      <c r="E127" s="111">
        <f t="shared" ref="E127:E143" si="29">F127/0.2</f>
        <v>8750</v>
      </c>
      <c r="F127" s="118">
        <f t="shared" ref="F127:F143" si="30">D127*1000</f>
        <v>1750</v>
      </c>
      <c r="G127" s="114">
        <f t="shared" si="19"/>
        <v>1277.8782399035422</v>
      </c>
      <c r="H127" s="7">
        <f>VS!I307</f>
        <v>6389.3911995177104</v>
      </c>
      <c r="I127" s="115">
        <f t="shared" ref="I127:I143" si="31">H127*1.8</f>
        <v>11500.904159131878</v>
      </c>
      <c r="J127" s="115">
        <f t="shared" ref="J127:J143" si="32">I127+F127</f>
        <v>13250.904159131878</v>
      </c>
      <c r="K127" s="115">
        <f t="shared" si="20"/>
        <v>12778.782399035421</v>
      </c>
      <c r="L127" s="116">
        <f t="shared" si="22"/>
        <v>-3633.3883023762719</v>
      </c>
      <c r="M127" s="7">
        <f t="shared" si="23"/>
        <v>47202.189630855602</v>
      </c>
      <c r="N127" s="7">
        <f>gas!H345</f>
        <v>380.78872054965052</v>
      </c>
      <c r="O127" s="7">
        <f t="shared" si="24"/>
        <v>0.38078872054965052</v>
      </c>
      <c r="P127" s="7">
        <f t="shared" si="26"/>
        <v>24031.110406952193</v>
      </c>
      <c r="Q127" s="7">
        <f t="shared" si="27"/>
        <v>509.11007719953943</v>
      </c>
      <c r="R127" s="7">
        <f t="shared" si="21"/>
        <v>8.1588153397362095</v>
      </c>
    </row>
    <row r="128" spans="1:18">
      <c r="A128" s="13">
        <v>38990</v>
      </c>
      <c r="B128" s="33" t="s">
        <v>31</v>
      </c>
      <c r="C128" s="7">
        <v>2.5</v>
      </c>
      <c r="D128" s="118">
        <f t="shared" si="28"/>
        <v>1.75</v>
      </c>
      <c r="E128" s="111">
        <f t="shared" si="29"/>
        <v>8750</v>
      </c>
      <c r="F128" s="118">
        <f t="shared" si="30"/>
        <v>1750</v>
      </c>
      <c r="G128" s="114">
        <f t="shared" ref="G128:G143" si="33">H128*0.2</f>
        <v>807.28627613329218</v>
      </c>
      <c r="H128" s="7">
        <f>VS!I309</f>
        <v>4036.4313806664604</v>
      </c>
      <c r="I128" s="115">
        <f t="shared" si="31"/>
        <v>7265.5764851996291</v>
      </c>
      <c r="J128" s="115">
        <f t="shared" si="32"/>
        <v>9015.5764851996282</v>
      </c>
      <c r="K128" s="115">
        <f t="shared" ref="K128:K143" si="34">H128*2</f>
        <v>8072.8627613329209</v>
      </c>
      <c r="L128" s="116">
        <f t="shared" si="22"/>
        <v>5178.0413977989574</v>
      </c>
      <c r="M128" s="7">
        <f t="shared" si="23"/>
        <v>52380.231028654562</v>
      </c>
      <c r="N128" s="7">
        <f>gas!H347</f>
        <v>292.56239752957799</v>
      </c>
      <c r="O128" s="7">
        <f t="shared" si="24"/>
        <v>0.29256239752957797</v>
      </c>
      <c r="P128" s="7">
        <f t="shared" si="26"/>
        <v>24323.672804481772</v>
      </c>
      <c r="Q128" s="7">
        <f t="shared" si="27"/>
        <v>464.36742119704525</v>
      </c>
      <c r="R128" s="7">
        <f t="shared" si="21"/>
        <v>7.4417855961064943</v>
      </c>
    </row>
    <row r="129" spans="1:142">
      <c r="A129" s="13">
        <v>38993</v>
      </c>
      <c r="B129" s="33" t="s">
        <v>31</v>
      </c>
      <c r="C129" s="7">
        <v>2.5</v>
      </c>
      <c r="D129" s="118">
        <f t="shared" si="28"/>
        <v>1.75</v>
      </c>
      <c r="E129" s="111">
        <f t="shared" si="29"/>
        <v>8750</v>
      </c>
      <c r="F129" s="118">
        <f t="shared" si="30"/>
        <v>1750</v>
      </c>
      <c r="G129" s="114">
        <f t="shared" si="33"/>
        <v>941.17647058823172</v>
      </c>
      <c r="H129" s="7">
        <f>VS!I311</f>
        <v>4705.8823529411584</v>
      </c>
      <c r="I129" s="115">
        <f t="shared" si="31"/>
        <v>8470.5882352940862</v>
      </c>
      <c r="J129" s="115">
        <f t="shared" si="32"/>
        <v>10220.588235294086</v>
      </c>
      <c r="K129" s="115">
        <f t="shared" si="34"/>
        <v>9411.7647058823168</v>
      </c>
      <c r="L129" s="116">
        <f t="shared" si="22"/>
        <v>-396.18822068268855</v>
      </c>
      <c r="M129" s="7">
        <f t="shared" si="23"/>
        <v>51984.042807971869</v>
      </c>
      <c r="N129" s="7">
        <f>gas!H349</f>
        <v>205.66077645478404</v>
      </c>
      <c r="O129" s="7">
        <f t="shared" si="24"/>
        <v>0.20566077645478403</v>
      </c>
      <c r="P129" s="7">
        <f t="shared" si="26"/>
        <v>24529.333580936556</v>
      </c>
      <c r="Q129" s="7">
        <f t="shared" si="27"/>
        <v>471.86275356742607</v>
      </c>
      <c r="R129" s="7">
        <f t="shared" si="21"/>
        <v>7.561903102042085</v>
      </c>
    </row>
    <row r="130" spans="1:142">
      <c r="A130" s="13">
        <v>38995</v>
      </c>
      <c r="B130" s="33" t="s">
        <v>31</v>
      </c>
      <c r="C130" s="7">
        <v>2.5</v>
      </c>
      <c r="D130" s="118">
        <f t="shared" si="28"/>
        <v>1.75</v>
      </c>
      <c r="E130" s="111">
        <f t="shared" si="29"/>
        <v>8750</v>
      </c>
      <c r="F130" s="118">
        <f t="shared" si="30"/>
        <v>1750</v>
      </c>
      <c r="G130" s="114">
        <f t="shared" si="33"/>
        <v>722.02166064981282</v>
      </c>
      <c r="H130" s="7">
        <f>VS!I313</f>
        <v>3610.1083032490637</v>
      </c>
      <c r="I130" s="115">
        <f t="shared" si="31"/>
        <v>6498.194945848315</v>
      </c>
      <c r="J130" s="115">
        <f t="shared" si="32"/>
        <v>8248.1949458483141</v>
      </c>
      <c r="K130" s="115">
        <f t="shared" si="34"/>
        <v>7220.2166064981275</v>
      </c>
      <c r="L130" s="116">
        <f t="shared" si="22"/>
        <v>3000.3716287959587</v>
      </c>
      <c r="M130" s="7">
        <f t="shared" si="23"/>
        <v>54984.414436767831</v>
      </c>
      <c r="N130" s="7">
        <f>gas!H351</f>
        <v>196.50734991377459</v>
      </c>
      <c r="O130" s="7">
        <f t="shared" si="24"/>
        <v>0.19650734991377458</v>
      </c>
      <c r="P130" s="7">
        <f t="shared" si="26"/>
        <v>24725.840930850332</v>
      </c>
      <c r="Q130" s="7">
        <f t="shared" si="27"/>
        <v>449.68817407858535</v>
      </c>
      <c r="R130" s="7">
        <f t="shared" si="21"/>
        <v>7.2065412512593809</v>
      </c>
    </row>
    <row r="131" spans="1:142">
      <c r="A131" s="13">
        <v>38997</v>
      </c>
      <c r="B131" s="33" t="s">
        <v>31</v>
      </c>
      <c r="C131" s="7">
        <v>2.5</v>
      </c>
      <c r="D131" s="118">
        <f t="shared" si="28"/>
        <v>1.75</v>
      </c>
      <c r="E131" s="111">
        <f t="shared" si="29"/>
        <v>8750</v>
      </c>
      <c r="F131" s="118">
        <f t="shared" si="30"/>
        <v>1750</v>
      </c>
      <c r="G131" s="114">
        <f t="shared" si="33"/>
        <v>725.51390568318561</v>
      </c>
      <c r="H131" s="7">
        <f>VS!I315</f>
        <v>3627.5695284159278</v>
      </c>
      <c r="I131" s="115">
        <f t="shared" si="31"/>
        <v>6529.6251511486698</v>
      </c>
      <c r="J131" s="115">
        <f t="shared" si="32"/>
        <v>8279.6251511486698</v>
      </c>
      <c r="K131" s="115">
        <f t="shared" si="34"/>
        <v>7255.1390568318557</v>
      </c>
      <c r="L131" s="116">
        <f t="shared" si="22"/>
        <v>993.05588901645842</v>
      </c>
      <c r="M131" s="7">
        <f t="shared" si="23"/>
        <v>55977.470325784292</v>
      </c>
      <c r="N131" s="7">
        <f>gas!H353</f>
        <v>264.49244783960478</v>
      </c>
      <c r="O131" s="7">
        <f t="shared" si="24"/>
        <v>0.26449244783960479</v>
      </c>
      <c r="P131" s="7">
        <f t="shared" si="26"/>
        <v>24990.333378689938</v>
      </c>
      <c r="Q131" s="7">
        <f t="shared" si="27"/>
        <v>446.43556118646029</v>
      </c>
      <c r="R131" s="7">
        <f t="shared" ref="R131:R143" si="35">Q131/62.4</f>
        <v>7.1544160446548126</v>
      </c>
    </row>
    <row r="132" spans="1:142">
      <c r="A132" s="13">
        <v>38999</v>
      </c>
      <c r="B132" s="33" t="s">
        <v>31</v>
      </c>
      <c r="C132" s="7">
        <v>2.5</v>
      </c>
      <c r="D132" s="118">
        <f t="shared" si="28"/>
        <v>1.75</v>
      </c>
      <c r="E132" s="111">
        <f t="shared" si="29"/>
        <v>8750</v>
      </c>
      <c r="F132" s="118">
        <f t="shared" si="30"/>
        <v>1750</v>
      </c>
      <c r="G132" s="114">
        <f t="shared" si="33"/>
        <v>728.15533980581836</v>
      </c>
      <c r="H132" s="7">
        <f>VS!I317</f>
        <v>3640.7766990290916</v>
      </c>
      <c r="I132" s="115">
        <f t="shared" si="31"/>
        <v>6553.3980582523645</v>
      </c>
      <c r="J132" s="115">
        <f t="shared" si="32"/>
        <v>8303.3980582523654</v>
      </c>
      <c r="K132" s="115">
        <f t="shared" si="34"/>
        <v>7281.5533980581831</v>
      </c>
      <c r="L132" s="116">
        <f t="shared" ref="L132:L143" si="36">J131-K132</f>
        <v>998.07175309048671</v>
      </c>
      <c r="M132" s="7">
        <f t="shared" ref="M132:M143" si="37">M131+L132</f>
        <v>56975.54207887478</v>
      </c>
      <c r="N132" s="7">
        <f>gas!H355</f>
        <v>188.41387467732923</v>
      </c>
      <c r="O132" s="7">
        <f t="shared" ref="O132:O143" si="38">N132/1000</f>
        <v>0.18841387467732923</v>
      </c>
      <c r="P132" s="7">
        <f t="shared" si="26"/>
        <v>25178.747253367266</v>
      </c>
      <c r="Q132" s="7">
        <f t="shared" ref="Q132:Q143" si="39">P132/(M132/1000)</f>
        <v>441.92203065853698</v>
      </c>
      <c r="R132" s="7">
        <f t="shared" si="35"/>
        <v>7.0820838246560411</v>
      </c>
    </row>
    <row r="133" spans="1:142">
      <c r="A133" s="13">
        <v>39002</v>
      </c>
      <c r="B133" s="33" t="s">
        <v>31</v>
      </c>
      <c r="C133" s="7">
        <v>2.5</v>
      </c>
      <c r="D133" s="118">
        <f t="shared" si="28"/>
        <v>1.75</v>
      </c>
      <c r="E133" s="111">
        <f t="shared" si="29"/>
        <v>8750</v>
      </c>
      <c r="F133" s="118">
        <f t="shared" si="30"/>
        <v>1750</v>
      </c>
      <c r="G133" s="114">
        <f t="shared" si="33"/>
        <v>1054.0184453227891</v>
      </c>
      <c r="H133" s="7">
        <f>VS!I319</f>
        <v>5270.092226613946</v>
      </c>
      <c r="I133" s="115">
        <f t="shared" si="31"/>
        <v>9486.1660079051035</v>
      </c>
      <c r="J133" s="115">
        <f t="shared" si="32"/>
        <v>11236.166007905103</v>
      </c>
      <c r="K133" s="115">
        <f t="shared" si="34"/>
        <v>10540.184453227892</v>
      </c>
      <c r="L133" s="116">
        <f t="shared" si="36"/>
        <v>-2236.7863949755265</v>
      </c>
      <c r="M133" s="7">
        <f t="shared" si="37"/>
        <v>54738.755683899253</v>
      </c>
      <c r="N133" s="7">
        <f>gas!H357</f>
        <v>151.31026791062746</v>
      </c>
      <c r="O133" s="7">
        <f t="shared" si="38"/>
        <v>0.15131026791062746</v>
      </c>
      <c r="P133" s="7">
        <f t="shared" si="26"/>
        <v>25330.057521277893</v>
      </c>
      <c r="Q133" s="7">
        <f t="shared" si="39"/>
        <v>462.74448888739397</v>
      </c>
      <c r="R133" s="7">
        <f t="shared" si="35"/>
        <v>7.415777065503109</v>
      </c>
    </row>
    <row r="134" spans="1:142">
      <c r="A134" s="13">
        <v>39004</v>
      </c>
      <c r="B134" s="33" t="s">
        <v>31</v>
      </c>
      <c r="C134" s="7">
        <v>2.5</v>
      </c>
      <c r="D134" s="118">
        <f t="shared" si="28"/>
        <v>1.75</v>
      </c>
      <c r="E134" s="111">
        <f t="shared" si="29"/>
        <v>8750</v>
      </c>
      <c r="F134" s="118">
        <f t="shared" si="30"/>
        <v>1750</v>
      </c>
      <c r="G134" s="114">
        <f t="shared" si="33"/>
        <v>943.39622641509095</v>
      </c>
      <c r="H134" s="7">
        <f>VS!I321</f>
        <v>4716.9811320754543</v>
      </c>
      <c r="I134" s="115">
        <f t="shared" si="31"/>
        <v>8490.5660377358181</v>
      </c>
      <c r="J134" s="115">
        <f t="shared" si="32"/>
        <v>10240.566037735818</v>
      </c>
      <c r="K134" s="115">
        <f t="shared" si="34"/>
        <v>9433.9622641509086</v>
      </c>
      <c r="L134" s="116">
        <f t="shared" si="36"/>
        <v>1802.2037437541949</v>
      </c>
      <c r="M134" s="7">
        <f t="shared" si="37"/>
        <v>56540.959427653448</v>
      </c>
      <c r="N134" s="7">
        <f>gas!H359</f>
        <v>173.08608147052158</v>
      </c>
      <c r="O134" s="7">
        <f t="shared" si="38"/>
        <v>0.17308608147052157</v>
      </c>
      <c r="P134" s="7">
        <f t="shared" ref="P134:P143" si="40">P133+N134</f>
        <v>25503.143602748416</v>
      </c>
      <c r="Q134" s="7">
        <f t="shared" si="39"/>
        <v>451.05608148338496</v>
      </c>
      <c r="R134" s="7">
        <f t="shared" si="35"/>
        <v>7.2284628442850156</v>
      </c>
    </row>
    <row r="135" spans="1:142">
      <c r="A135" s="13">
        <v>39007</v>
      </c>
      <c r="B135" s="33" t="s">
        <v>31</v>
      </c>
      <c r="C135" s="7">
        <v>2.5</v>
      </c>
      <c r="D135" s="118">
        <f t="shared" si="28"/>
        <v>1.75</v>
      </c>
      <c r="E135" s="111">
        <f t="shared" si="29"/>
        <v>8750</v>
      </c>
      <c r="F135" s="118">
        <f t="shared" si="30"/>
        <v>1750</v>
      </c>
      <c r="G135" s="114">
        <f t="shared" si="33"/>
        <v>775.19379844960497</v>
      </c>
      <c r="H135" s="7">
        <f>VS!I323</f>
        <v>3875.9689922480247</v>
      </c>
      <c r="I135" s="115">
        <f t="shared" si="31"/>
        <v>6976.7441860464451</v>
      </c>
      <c r="J135" s="115">
        <f t="shared" si="32"/>
        <v>8726.744186046446</v>
      </c>
      <c r="K135" s="115">
        <f t="shared" si="34"/>
        <v>7751.9379844960495</v>
      </c>
      <c r="L135" s="116">
        <f t="shared" si="36"/>
        <v>2488.6280532397686</v>
      </c>
      <c r="M135" s="7">
        <f t="shared" si="37"/>
        <v>59029.587480893213</v>
      </c>
      <c r="N135" s="7">
        <f>gas!H361</f>
        <v>195.27958899555915</v>
      </c>
      <c r="O135" s="7">
        <f t="shared" si="38"/>
        <v>0.19527958899555914</v>
      </c>
      <c r="P135" s="7">
        <f t="shared" si="40"/>
        <v>25698.423191743976</v>
      </c>
      <c r="Q135" s="7">
        <f t="shared" si="39"/>
        <v>435.34817518523369</v>
      </c>
      <c r="R135" s="7">
        <f t="shared" si="35"/>
        <v>6.9767335766864376</v>
      </c>
    </row>
    <row r="136" spans="1:142">
      <c r="A136" s="13">
        <v>39009</v>
      </c>
      <c r="B136" s="33" t="s">
        <v>31</v>
      </c>
      <c r="C136" s="7">
        <v>2.5</v>
      </c>
      <c r="D136" s="118">
        <f t="shared" si="28"/>
        <v>1.75</v>
      </c>
      <c r="E136" s="111">
        <f t="shared" si="29"/>
        <v>8750</v>
      </c>
      <c r="F136" s="118">
        <f t="shared" si="30"/>
        <v>1750</v>
      </c>
      <c r="G136" s="114">
        <f t="shared" si="33"/>
        <v>707.54716981131423</v>
      </c>
      <c r="H136" s="7">
        <f>VS!I325</f>
        <v>3537.7358490565707</v>
      </c>
      <c r="I136" s="115">
        <f t="shared" si="31"/>
        <v>6367.9245283018272</v>
      </c>
      <c r="J136" s="115">
        <f t="shared" si="32"/>
        <v>8117.9245283018272</v>
      </c>
      <c r="K136" s="115">
        <f t="shared" si="34"/>
        <v>7075.4716981131414</v>
      </c>
      <c r="L136" s="116">
        <f t="shared" si="36"/>
        <v>1651.2724879333045</v>
      </c>
      <c r="M136" s="7">
        <f t="shared" si="37"/>
        <v>60680.859968826517</v>
      </c>
      <c r="N136" s="7">
        <f>gas!H363</f>
        <v>12.796618603575777</v>
      </c>
      <c r="O136" s="7">
        <f t="shared" si="38"/>
        <v>1.2796618603575777E-2</v>
      </c>
      <c r="P136" s="7">
        <f t="shared" si="40"/>
        <v>25711.219810347553</v>
      </c>
      <c r="Q136" s="7">
        <f t="shared" si="39"/>
        <v>423.71218574615023</v>
      </c>
      <c r="R136" s="7">
        <f t="shared" si="35"/>
        <v>6.7902593869575361</v>
      </c>
    </row>
    <row r="137" spans="1:142">
      <c r="A137" s="13">
        <v>39011</v>
      </c>
      <c r="B137" s="33" t="s">
        <v>31</v>
      </c>
      <c r="C137" s="7">
        <v>2.5</v>
      </c>
      <c r="D137" s="118">
        <f t="shared" si="28"/>
        <v>1.75</v>
      </c>
      <c r="E137" s="111">
        <f t="shared" si="29"/>
        <v>8750</v>
      </c>
      <c r="F137" s="118">
        <f t="shared" si="30"/>
        <v>1750</v>
      </c>
      <c r="G137" s="114">
        <f t="shared" si="33"/>
        <v>630.91482649841691</v>
      </c>
      <c r="H137" s="7">
        <f>VS!I327</f>
        <v>3154.5741324920841</v>
      </c>
      <c r="I137" s="115">
        <f t="shared" si="31"/>
        <v>5678.2334384857513</v>
      </c>
      <c r="J137" s="115">
        <f t="shared" si="32"/>
        <v>7428.2334384857513</v>
      </c>
      <c r="K137" s="115">
        <f t="shared" si="34"/>
        <v>6309.1482649841682</v>
      </c>
      <c r="L137" s="116">
        <f t="shared" si="36"/>
        <v>1808.776263317659</v>
      </c>
      <c r="M137" s="7">
        <f t="shared" si="37"/>
        <v>62489.636232144177</v>
      </c>
      <c r="N137" s="7">
        <f>gas!H365</f>
        <v>190.8041261417093</v>
      </c>
      <c r="O137" s="7">
        <f t="shared" si="38"/>
        <v>0.1908041261417093</v>
      </c>
      <c r="P137" s="7">
        <f t="shared" si="40"/>
        <v>25902.023936489262</v>
      </c>
      <c r="Q137" s="7">
        <f t="shared" si="39"/>
        <v>414.50111567724991</v>
      </c>
      <c r="R137" s="7">
        <f t="shared" si="35"/>
        <v>6.6426460845713127</v>
      </c>
    </row>
    <row r="138" spans="1:142">
      <c r="A138" s="13">
        <v>39014</v>
      </c>
      <c r="B138" s="33" t="s">
        <v>31</v>
      </c>
      <c r="C138" s="7">
        <v>2.5</v>
      </c>
      <c r="D138" s="118">
        <f t="shared" si="28"/>
        <v>1.75</v>
      </c>
      <c r="E138" s="111">
        <f t="shared" si="29"/>
        <v>8750</v>
      </c>
      <c r="F138" s="118">
        <f t="shared" si="30"/>
        <v>1750</v>
      </c>
      <c r="G138" s="114">
        <f t="shared" si="33"/>
        <v>996.26400996263646</v>
      </c>
      <c r="H138" s="7">
        <f>VS!I329</f>
        <v>4981.3200498131819</v>
      </c>
      <c r="I138" s="115">
        <f t="shared" si="31"/>
        <v>8966.3760896637268</v>
      </c>
      <c r="J138" s="115">
        <f t="shared" si="32"/>
        <v>10716.376089663727</v>
      </c>
      <c r="K138" s="115">
        <f t="shared" si="34"/>
        <v>9962.6400996263637</v>
      </c>
      <c r="L138" s="116">
        <f t="shared" si="36"/>
        <v>-2534.4066611406124</v>
      </c>
      <c r="M138" s="7">
        <f t="shared" si="37"/>
        <v>59955.229571003569</v>
      </c>
      <c r="N138" s="7">
        <f>gas!H367</f>
        <v>226.40425041443393</v>
      </c>
      <c r="O138" s="7">
        <f t="shared" si="38"/>
        <v>0.22640425041443393</v>
      </c>
      <c r="P138" s="7">
        <f t="shared" si="40"/>
        <v>26128.428186903697</v>
      </c>
      <c r="Q138" s="7">
        <f t="shared" si="39"/>
        <v>435.79898490690312</v>
      </c>
      <c r="R138" s="7">
        <f t="shared" si="35"/>
        <v>6.9839580914567811</v>
      </c>
    </row>
    <row r="139" spans="1:142">
      <c r="A139" s="13">
        <v>39016</v>
      </c>
      <c r="B139" s="33" t="s">
        <v>31</v>
      </c>
      <c r="C139" s="7">
        <v>2.5</v>
      </c>
      <c r="D139" s="118">
        <f t="shared" si="28"/>
        <v>1.75</v>
      </c>
      <c r="E139" s="111">
        <f t="shared" si="29"/>
        <v>8750</v>
      </c>
      <c r="F139" s="118">
        <f t="shared" si="30"/>
        <v>1750</v>
      </c>
      <c r="G139" s="114">
        <f t="shared" si="33"/>
        <v>715.99045346061382</v>
      </c>
      <c r="H139" s="7">
        <f>VS!I331</f>
        <v>3579.9522673030688</v>
      </c>
      <c r="I139" s="115">
        <f t="shared" si="31"/>
        <v>6443.9140811455236</v>
      </c>
      <c r="J139" s="115">
        <f t="shared" si="32"/>
        <v>8193.9140811455236</v>
      </c>
      <c r="K139" s="115">
        <f t="shared" si="34"/>
        <v>7159.9045346061375</v>
      </c>
      <c r="L139" s="116">
        <f t="shared" si="36"/>
        <v>3556.4715550575893</v>
      </c>
      <c r="M139" s="7">
        <f t="shared" si="37"/>
        <v>63511.701126061162</v>
      </c>
      <c r="N139" s="7">
        <f>gas!H369</f>
        <v>216.7272271473465</v>
      </c>
      <c r="O139" s="7">
        <f t="shared" si="38"/>
        <v>0.21672722714734649</v>
      </c>
      <c r="P139" s="7">
        <f t="shared" si="40"/>
        <v>26345.155414051042</v>
      </c>
      <c r="Q139" s="7">
        <f t="shared" si="39"/>
        <v>414.80790070100431</v>
      </c>
      <c r="R139" s="7">
        <f t="shared" si="35"/>
        <v>6.6475625112340433</v>
      </c>
    </row>
    <row r="140" spans="1:142">
      <c r="A140" s="13">
        <v>39018</v>
      </c>
      <c r="B140" s="33" t="s">
        <v>31</v>
      </c>
      <c r="C140" s="7">
        <v>2.5</v>
      </c>
      <c r="D140" s="118">
        <f t="shared" si="28"/>
        <v>1.75</v>
      </c>
      <c r="E140" s="111">
        <f t="shared" si="29"/>
        <v>8750</v>
      </c>
      <c r="F140" s="118">
        <f t="shared" si="30"/>
        <v>1750</v>
      </c>
      <c r="G140" s="114">
        <f t="shared" si="33"/>
        <v>968.52300242130423</v>
      </c>
      <c r="H140" s="7">
        <f>VS!I333</f>
        <v>4842.6150121065211</v>
      </c>
      <c r="I140" s="115">
        <f t="shared" si="31"/>
        <v>8716.707021791739</v>
      </c>
      <c r="J140" s="115">
        <f t="shared" si="32"/>
        <v>10466.707021791739</v>
      </c>
      <c r="K140" s="115">
        <f t="shared" si="34"/>
        <v>9685.2300242130423</v>
      </c>
      <c r="L140" s="116">
        <f t="shared" si="36"/>
        <v>-1491.3159430675187</v>
      </c>
      <c r="M140" s="7">
        <f t="shared" si="37"/>
        <v>62020.385182993647</v>
      </c>
      <c r="N140" s="7">
        <f>gas!H371</f>
        <v>227.81393407151165</v>
      </c>
      <c r="O140" s="7">
        <f t="shared" si="38"/>
        <v>0.22781393407151165</v>
      </c>
      <c r="P140" s="7">
        <f t="shared" si="40"/>
        <v>26572.969348122555</v>
      </c>
      <c r="Q140" s="7">
        <f t="shared" si="39"/>
        <v>428.45540655250585</v>
      </c>
      <c r="R140" s="7">
        <f t="shared" si="35"/>
        <v>6.866272540905543</v>
      </c>
    </row>
    <row r="141" spans="1:142">
      <c r="A141" s="13">
        <v>39021</v>
      </c>
      <c r="B141" s="33" t="s">
        <v>31</v>
      </c>
      <c r="C141" s="7">
        <v>2.5</v>
      </c>
      <c r="D141" s="118">
        <f t="shared" si="28"/>
        <v>1.75</v>
      </c>
      <c r="E141" s="111">
        <f t="shared" si="29"/>
        <v>8750</v>
      </c>
      <c r="F141" s="118">
        <f t="shared" si="30"/>
        <v>1750</v>
      </c>
      <c r="G141" s="114">
        <f t="shared" si="33"/>
        <v>955.79450418159786</v>
      </c>
      <c r="H141" s="7">
        <f>VS!I335</f>
        <v>4778.9725209079888</v>
      </c>
      <c r="I141" s="115">
        <f t="shared" si="31"/>
        <v>8602.1505376343794</v>
      </c>
      <c r="J141" s="115">
        <f t="shared" si="32"/>
        <v>10352.150537634379</v>
      </c>
      <c r="K141" s="115">
        <f t="shared" si="34"/>
        <v>9557.9450418159777</v>
      </c>
      <c r="L141" s="116">
        <f t="shared" si="36"/>
        <v>908.76197997576128</v>
      </c>
      <c r="M141" s="7">
        <f t="shared" si="37"/>
        <v>62929.147162969406</v>
      </c>
      <c r="N141" s="7">
        <f>gas!H373</f>
        <v>13.730091784816651</v>
      </c>
      <c r="O141" s="7">
        <f t="shared" si="38"/>
        <v>1.3730091784816651E-2</v>
      </c>
      <c r="P141" s="7">
        <f t="shared" si="40"/>
        <v>26586.69943990737</v>
      </c>
      <c r="Q141" s="7">
        <f t="shared" si="39"/>
        <v>422.4862506249296</v>
      </c>
      <c r="R141" s="7">
        <f t="shared" si="35"/>
        <v>6.7706129907841284</v>
      </c>
    </row>
    <row r="142" spans="1:142">
      <c r="A142" s="13">
        <v>39023</v>
      </c>
      <c r="B142" s="33" t="s">
        <v>31</v>
      </c>
      <c r="C142" s="7">
        <v>3.5</v>
      </c>
      <c r="D142" s="118">
        <f t="shared" si="28"/>
        <v>2.4499999999999997</v>
      </c>
      <c r="E142" s="111">
        <f t="shared" si="29"/>
        <v>12249.999999999996</v>
      </c>
      <c r="F142" s="118">
        <f t="shared" si="30"/>
        <v>2449.9999999999995</v>
      </c>
      <c r="G142" s="114">
        <f t="shared" si="33"/>
        <v>1359.0033975084966</v>
      </c>
      <c r="H142" s="7">
        <f>VS!I337</f>
        <v>6795.0169875424826</v>
      </c>
      <c r="I142" s="115">
        <f t="shared" si="31"/>
        <v>12231.030577576468</v>
      </c>
      <c r="J142" s="115">
        <f t="shared" si="32"/>
        <v>14681.030577576468</v>
      </c>
      <c r="K142" s="115">
        <f t="shared" si="34"/>
        <v>13590.033975084965</v>
      </c>
      <c r="L142" s="116">
        <f t="shared" si="36"/>
        <v>-3237.8834374505859</v>
      </c>
      <c r="M142" s="7">
        <f t="shared" si="37"/>
        <v>59691.263725518816</v>
      </c>
      <c r="N142" s="7">
        <f>gas!H375</f>
        <v>251.3345416615123</v>
      </c>
      <c r="O142" s="7">
        <f t="shared" si="38"/>
        <v>0.25133454166151231</v>
      </c>
      <c r="P142" s="7">
        <f t="shared" si="40"/>
        <v>26838.033981568882</v>
      </c>
      <c r="Q142" s="7">
        <f t="shared" si="39"/>
        <v>449.61410274340136</v>
      </c>
      <c r="R142" s="7">
        <f t="shared" si="35"/>
        <v>7.2053542106314321</v>
      </c>
    </row>
    <row r="143" spans="1:142" s="21" customFormat="1">
      <c r="A143" s="13">
        <v>39025</v>
      </c>
      <c r="B143" s="33" t="s">
        <v>31</v>
      </c>
      <c r="C143" s="7">
        <v>3.5</v>
      </c>
      <c r="D143" s="118">
        <f t="shared" si="28"/>
        <v>2.4499999999999997</v>
      </c>
      <c r="E143" s="118">
        <f t="shared" si="29"/>
        <v>12249.999999999996</v>
      </c>
      <c r="F143" s="118">
        <f t="shared" si="30"/>
        <v>2449.9999999999995</v>
      </c>
      <c r="G143" s="114">
        <f t="shared" si="33"/>
        <v>1972.386587771203</v>
      </c>
      <c r="H143" s="7">
        <f>VS!I339</f>
        <v>9861.9329388560145</v>
      </c>
      <c r="I143" s="115">
        <f t="shared" si="31"/>
        <v>17751.479289940828</v>
      </c>
      <c r="J143" s="115">
        <f t="shared" si="32"/>
        <v>20201.479289940828</v>
      </c>
      <c r="K143" s="115">
        <f t="shared" si="34"/>
        <v>19723.865877712029</v>
      </c>
      <c r="L143" s="116">
        <f t="shared" si="36"/>
        <v>-5042.8353001355608</v>
      </c>
      <c r="M143" s="7">
        <f t="shared" si="37"/>
        <v>54648.428425383259</v>
      </c>
      <c r="N143" s="7">
        <f>gas!H377</f>
        <v>218.56827836788582</v>
      </c>
      <c r="O143" s="7">
        <f t="shared" si="38"/>
        <v>0.21856827836788584</v>
      </c>
      <c r="P143" s="7">
        <f t="shared" si="40"/>
        <v>27056.602259936768</v>
      </c>
      <c r="Q143" s="7">
        <f t="shared" si="39"/>
        <v>495.10302564107116</v>
      </c>
      <c r="R143" s="7">
        <f t="shared" si="35"/>
        <v>7.9343433596325506</v>
      </c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/>
      <c r="CO143" s="75"/>
      <c r="CP143" s="75"/>
      <c r="CQ143" s="75"/>
      <c r="CR143" s="75"/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  <c r="DE143" s="75"/>
      <c r="DF143" s="75"/>
      <c r="DG143" s="75"/>
      <c r="DH143" s="75"/>
      <c r="DI143" s="75"/>
      <c r="DJ143" s="75"/>
      <c r="DK143" s="75"/>
      <c r="DL143" s="75"/>
      <c r="DM143" s="75"/>
      <c r="DN143" s="75"/>
      <c r="DO143" s="75"/>
      <c r="DP143" s="75"/>
      <c r="DQ143" s="75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75"/>
      <c r="EC143" s="75"/>
      <c r="ED143" s="75"/>
      <c r="EE143" s="75"/>
      <c r="EF143" s="75"/>
      <c r="EG143" s="75"/>
      <c r="EH143" s="75"/>
      <c r="EI143" s="75"/>
      <c r="EJ143" s="75"/>
      <c r="EK143" s="75"/>
      <c r="EL143" s="75"/>
    </row>
    <row r="145" spans="6:17">
      <c r="F145" s="6"/>
    </row>
    <row r="146" spans="6:17">
      <c r="Q146" s="32" t="s">
        <v>54</v>
      </c>
    </row>
    <row r="148" spans="6:17">
      <c r="Q148" s="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workbookViewId="0">
      <selection activeCell="D1" sqref="D1"/>
    </sheetView>
  </sheetViews>
  <sheetFormatPr baseColWidth="10" defaultColWidth="8.83203125" defaultRowHeight="14" x14ac:dyDescent="0"/>
  <cols>
    <col min="1" max="1" width="20.33203125" style="127" customWidth="1"/>
    <col min="2" max="2" width="14.6640625" style="140" customWidth="1"/>
    <col min="3" max="3" width="13.33203125" style="134" customWidth="1"/>
    <col min="4" max="4" width="8.83203125" style="141"/>
    <col min="5" max="7" width="8.83203125" style="127"/>
    <col min="8" max="8" width="8.83203125" style="142"/>
    <col min="9" max="9" width="13.5" style="142" customWidth="1"/>
    <col min="10" max="10" width="12.33203125" style="142" customWidth="1"/>
    <col min="11" max="16384" width="8.83203125" style="127"/>
  </cols>
  <sheetData>
    <row r="1" spans="1:12">
      <c r="A1" s="123" t="s">
        <v>67</v>
      </c>
      <c r="B1" s="124"/>
      <c r="C1" s="125"/>
      <c r="D1" s="125"/>
      <c r="E1" s="123"/>
      <c r="F1" s="125"/>
      <c r="G1" s="125"/>
      <c r="H1" s="125"/>
      <c r="I1" s="126"/>
      <c r="J1" s="126"/>
    </row>
    <row r="2" spans="1:12">
      <c r="A2" s="123"/>
      <c r="B2" s="128" t="s">
        <v>68</v>
      </c>
      <c r="C2" s="129" t="s">
        <v>69</v>
      </c>
      <c r="D2" s="129" t="s">
        <v>70</v>
      </c>
      <c r="E2" s="123"/>
      <c r="F2" s="129" t="s">
        <v>71</v>
      </c>
      <c r="G2" s="129" t="s">
        <v>72</v>
      </c>
      <c r="H2" s="129" t="s">
        <v>73</v>
      </c>
      <c r="I2" s="130" t="s">
        <v>74</v>
      </c>
      <c r="J2" s="130" t="s">
        <v>75</v>
      </c>
    </row>
    <row r="3" spans="1:12">
      <c r="A3" s="123" t="s">
        <v>76</v>
      </c>
      <c r="B3" s="124">
        <f>49.9+25</f>
        <v>74.900000000000006</v>
      </c>
      <c r="C3" s="125">
        <v>51</v>
      </c>
      <c r="D3" s="125">
        <v>49.9</v>
      </c>
      <c r="E3" s="123"/>
      <c r="F3" s="125">
        <f t="shared" ref="F3:F9" si="0">C3-D3</f>
        <v>1.1000000000000014</v>
      </c>
      <c r="G3" s="125">
        <f t="shared" ref="G3:G9" si="1">B3-D3</f>
        <v>25.000000000000007</v>
      </c>
      <c r="H3" s="125">
        <f t="shared" ref="H3:H9" si="2">F3/G3</f>
        <v>4.4000000000000046E-2</v>
      </c>
      <c r="I3" s="126">
        <f t="shared" ref="I3:I9" si="3">H3</f>
        <v>4.4000000000000046E-2</v>
      </c>
      <c r="J3" s="126">
        <f t="shared" ref="J3:J9" si="4">1-I3</f>
        <v>0.95599999999999996</v>
      </c>
    </row>
    <row r="4" spans="1:12">
      <c r="A4" s="123" t="s">
        <v>76</v>
      </c>
      <c r="B4" s="124">
        <f>50.1+25</f>
        <v>75.099999999999994</v>
      </c>
      <c r="C4" s="125">
        <v>51.2</v>
      </c>
      <c r="D4" s="125">
        <v>50.1</v>
      </c>
      <c r="E4" s="123"/>
      <c r="F4" s="125">
        <f t="shared" si="0"/>
        <v>1.1000000000000014</v>
      </c>
      <c r="G4" s="125">
        <f t="shared" si="1"/>
        <v>24.999999999999993</v>
      </c>
      <c r="H4" s="125">
        <f t="shared" si="2"/>
        <v>4.4000000000000067E-2</v>
      </c>
      <c r="I4" s="126">
        <f t="shared" si="3"/>
        <v>4.4000000000000067E-2</v>
      </c>
      <c r="J4" s="126">
        <f t="shared" si="4"/>
        <v>0.95599999999999996</v>
      </c>
    </row>
    <row r="5" spans="1:12">
      <c r="A5" s="123" t="s">
        <v>77</v>
      </c>
      <c r="B5" s="124">
        <f>24+49.9</f>
        <v>73.900000000000006</v>
      </c>
      <c r="C5" s="125">
        <v>51.1</v>
      </c>
      <c r="D5" s="125">
        <v>49.9</v>
      </c>
      <c r="E5" s="123"/>
      <c r="F5" s="125">
        <f t="shared" si="0"/>
        <v>1.2000000000000028</v>
      </c>
      <c r="G5" s="125">
        <f t="shared" si="1"/>
        <v>24.000000000000007</v>
      </c>
      <c r="H5" s="125">
        <f t="shared" si="2"/>
        <v>5.0000000000000107E-2</v>
      </c>
      <c r="I5" s="126">
        <f t="shared" si="3"/>
        <v>5.0000000000000107E-2</v>
      </c>
      <c r="J5" s="126">
        <f t="shared" si="4"/>
        <v>0.94999999999999984</v>
      </c>
    </row>
    <row r="6" spans="1:12">
      <c r="A6" s="123" t="s">
        <v>77</v>
      </c>
      <c r="B6" s="124">
        <f>24+49.9</f>
        <v>73.900000000000006</v>
      </c>
      <c r="C6" s="125">
        <v>51.1</v>
      </c>
      <c r="D6" s="125">
        <v>49.9</v>
      </c>
      <c r="E6" s="123"/>
      <c r="F6" s="125">
        <f t="shared" si="0"/>
        <v>1.2000000000000028</v>
      </c>
      <c r="G6" s="125">
        <f t="shared" si="1"/>
        <v>24.000000000000007</v>
      </c>
      <c r="H6" s="125">
        <f t="shared" si="2"/>
        <v>5.0000000000000107E-2</v>
      </c>
      <c r="I6" s="126">
        <f t="shared" si="3"/>
        <v>5.0000000000000107E-2</v>
      </c>
      <c r="J6" s="126">
        <f t="shared" si="4"/>
        <v>0.94999999999999984</v>
      </c>
    </row>
    <row r="7" spans="1:12">
      <c r="A7" s="123" t="s">
        <v>78</v>
      </c>
      <c r="B7" s="124">
        <f>23+49.9</f>
        <v>72.900000000000006</v>
      </c>
      <c r="C7" s="125">
        <v>51.2</v>
      </c>
      <c r="D7" s="125">
        <v>49.9</v>
      </c>
      <c r="E7" s="123"/>
      <c r="F7" s="125">
        <f t="shared" si="0"/>
        <v>1.3000000000000043</v>
      </c>
      <c r="G7" s="125">
        <f t="shared" si="1"/>
        <v>23.000000000000007</v>
      </c>
      <c r="H7" s="125">
        <f t="shared" si="2"/>
        <v>5.6521739130434949E-2</v>
      </c>
      <c r="I7" s="126">
        <f t="shared" si="3"/>
        <v>5.6521739130434949E-2</v>
      </c>
      <c r="J7" s="126">
        <f t="shared" si="4"/>
        <v>0.9434782608695651</v>
      </c>
      <c r="K7" s="131">
        <f>AVERAGE(J3:J18)</f>
        <v>0.94898300657924806</v>
      </c>
    </row>
    <row r="8" spans="1:12">
      <c r="A8" s="123" t="s">
        <v>79</v>
      </c>
      <c r="B8" s="124">
        <v>73.900000000000006</v>
      </c>
      <c r="C8" s="125">
        <v>48.8</v>
      </c>
      <c r="D8" s="125">
        <v>47.7</v>
      </c>
      <c r="E8" s="123"/>
      <c r="F8" s="125">
        <f t="shared" si="0"/>
        <v>1.0999999999999943</v>
      </c>
      <c r="G8" s="125">
        <f t="shared" si="1"/>
        <v>26.200000000000003</v>
      </c>
      <c r="H8" s="125">
        <f t="shared" si="2"/>
        <v>4.1984732824427259E-2</v>
      </c>
      <c r="I8" s="126">
        <f t="shared" si="3"/>
        <v>4.1984732824427259E-2</v>
      </c>
      <c r="J8" s="126">
        <f t="shared" si="4"/>
        <v>0.95801526717557273</v>
      </c>
    </row>
    <row r="9" spans="1:12">
      <c r="A9" s="123" t="s">
        <v>80</v>
      </c>
      <c r="B9" s="124">
        <f>47.7+23</f>
        <v>70.7</v>
      </c>
      <c r="C9" s="125">
        <v>49.1</v>
      </c>
      <c r="D9" s="125">
        <v>47.7</v>
      </c>
      <c r="E9" s="123"/>
      <c r="F9" s="125">
        <f t="shared" si="0"/>
        <v>1.3999999999999986</v>
      </c>
      <c r="G9" s="125">
        <f t="shared" si="1"/>
        <v>23</v>
      </c>
      <c r="H9" s="125">
        <f t="shared" si="2"/>
        <v>6.0869565217391244E-2</v>
      </c>
      <c r="I9" s="126">
        <f t="shared" si="3"/>
        <v>6.0869565217391244E-2</v>
      </c>
      <c r="J9" s="126">
        <f t="shared" si="4"/>
        <v>0.93913043478260871</v>
      </c>
    </row>
    <row r="10" spans="1:12">
      <c r="A10" s="132">
        <v>40340</v>
      </c>
      <c r="B10" s="124"/>
      <c r="C10" s="125"/>
      <c r="D10" s="125"/>
      <c r="E10" s="123"/>
      <c r="F10" s="125"/>
      <c r="G10" s="125"/>
      <c r="H10" s="125"/>
      <c r="I10" s="126"/>
      <c r="J10" s="126"/>
    </row>
    <row r="11" spans="1:12">
      <c r="A11" s="123" t="s">
        <v>81</v>
      </c>
      <c r="B11" s="124">
        <f>40.01+50.82</f>
        <v>90.83</v>
      </c>
      <c r="C11" s="125">
        <v>52.561900000000001</v>
      </c>
      <c r="D11" s="125">
        <v>50.82</v>
      </c>
      <c r="E11" s="123"/>
      <c r="F11" s="125">
        <f>C11-D11</f>
        <v>1.7419000000000011</v>
      </c>
      <c r="G11" s="125">
        <f>B11-D11</f>
        <v>40.01</v>
      </c>
      <c r="H11" s="125">
        <f>F11/G11</f>
        <v>4.3536615846038518E-2</v>
      </c>
      <c r="I11" s="126">
        <f>H11</f>
        <v>4.3536615846038518E-2</v>
      </c>
      <c r="J11" s="126">
        <f>1-I11</f>
        <v>0.95646338415396148</v>
      </c>
    </row>
    <row r="12" spans="1:12">
      <c r="B12" s="133"/>
      <c r="D12" s="134"/>
      <c r="F12" s="134"/>
      <c r="G12" s="134"/>
      <c r="H12" s="134"/>
      <c r="I12" s="135"/>
      <c r="J12" s="135"/>
    </row>
    <row r="13" spans="1:12">
      <c r="B13" s="133"/>
      <c r="D13" s="134"/>
      <c r="F13" s="134"/>
      <c r="G13" s="134"/>
      <c r="H13" s="134"/>
      <c r="I13" s="135"/>
      <c r="J13" s="135"/>
    </row>
    <row r="14" spans="1:12">
      <c r="B14" s="133"/>
      <c r="D14" s="134"/>
      <c r="F14" s="134"/>
      <c r="G14" s="134"/>
      <c r="H14" s="134"/>
      <c r="I14" s="135"/>
      <c r="J14" s="135"/>
    </row>
    <row r="15" spans="1:12">
      <c r="A15" s="127" t="s">
        <v>82</v>
      </c>
      <c r="B15" s="133"/>
      <c r="D15" s="134"/>
      <c r="F15" s="134">
        <v>0.6</v>
      </c>
      <c r="G15" s="134">
        <v>10</v>
      </c>
      <c r="H15" s="134">
        <f>F15/G15</f>
        <v>0.06</v>
      </c>
      <c r="I15" s="135">
        <f>H15</f>
        <v>0.06</v>
      </c>
      <c r="J15" s="135">
        <f>1-I15</f>
        <v>0.94</v>
      </c>
      <c r="L15" s="127" t="s">
        <v>83</v>
      </c>
    </row>
    <row r="16" spans="1:12">
      <c r="B16" s="133">
        <v>59.4</v>
      </c>
      <c r="C16" s="134">
        <v>43</v>
      </c>
      <c r="D16" s="134">
        <v>42</v>
      </c>
      <c r="F16" s="134">
        <f>C16-D16</f>
        <v>1</v>
      </c>
      <c r="G16" s="134">
        <f>B16-D16</f>
        <v>17.399999999999999</v>
      </c>
      <c r="H16" s="134">
        <f>F16/G16</f>
        <v>5.7471264367816098E-2</v>
      </c>
      <c r="I16" s="135">
        <f>H16</f>
        <v>5.7471264367816098E-2</v>
      </c>
      <c r="J16" s="135">
        <f>1-I16</f>
        <v>0.94252873563218387</v>
      </c>
      <c r="L16" s="127" t="s">
        <v>84</v>
      </c>
    </row>
    <row r="17" spans="1:11">
      <c r="B17" s="133">
        <v>73.900000000000006</v>
      </c>
      <c r="C17" s="134">
        <v>48.8</v>
      </c>
      <c r="D17" s="134">
        <v>47.7</v>
      </c>
      <c r="F17" s="134">
        <f>C17-D17</f>
        <v>1.0999999999999943</v>
      </c>
      <c r="G17" s="134">
        <f>B17-D17</f>
        <v>26.200000000000003</v>
      </c>
      <c r="H17" s="134">
        <f>F17/G17</f>
        <v>4.1984732824427259E-2</v>
      </c>
      <c r="I17" s="135">
        <f>H17</f>
        <v>4.1984732824427259E-2</v>
      </c>
      <c r="J17" s="135">
        <f>1-I17</f>
        <v>0.95801526717557273</v>
      </c>
    </row>
    <row r="18" spans="1:11">
      <c r="B18" s="133">
        <f>4.8516+1.3</f>
        <v>6.1516000000000002</v>
      </c>
      <c r="C18" s="134">
        <v>1.6</v>
      </c>
      <c r="D18" s="134">
        <v>1.3</v>
      </c>
      <c r="F18" s="134">
        <f>C18-D18</f>
        <v>0.30000000000000004</v>
      </c>
      <c r="G18" s="134">
        <f>B18-D18</f>
        <v>4.8516000000000004</v>
      </c>
      <c r="H18" s="134">
        <f>F18/G18</f>
        <v>6.1835270838486278E-2</v>
      </c>
      <c r="I18" s="135">
        <f>H18</f>
        <v>6.1835270838486278E-2</v>
      </c>
      <c r="J18" s="135">
        <f>1-I18</f>
        <v>0.93816472916151372</v>
      </c>
    </row>
    <row r="19" spans="1:11">
      <c r="B19" s="133"/>
      <c r="D19" s="134"/>
      <c r="F19" s="134"/>
      <c r="G19" s="134"/>
      <c r="H19" s="134"/>
      <c r="I19" s="135"/>
      <c r="J19" s="135"/>
    </row>
    <row r="20" spans="1:11">
      <c r="B20" s="133"/>
      <c r="D20" s="134"/>
      <c r="F20" s="134"/>
      <c r="G20" s="134"/>
      <c r="H20" s="134"/>
      <c r="I20" s="135"/>
      <c r="J20" s="135"/>
    </row>
    <row r="21" spans="1:11">
      <c r="B21" s="133"/>
      <c r="D21" s="134"/>
      <c r="F21" s="134"/>
      <c r="G21" s="134"/>
      <c r="H21" s="134"/>
      <c r="I21" s="135"/>
      <c r="J21" s="135"/>
    </row>
    <row r="22" spans="1:11">
      <c r="B22" s="133"/>
      <c r="D22" s="134"/>
      <c r="F22" s="134"/>
      <c r="G22" s="134"/>
      <c r="H22" s="134"/>
      <c r="I22" s="135"/>
      <c r="J22" s="135"/>
    </row>
    <row r="23" spans="1:11">
      <c r="A23" s="214" t="s">
        <v>85</v>
      </c>
      <c r="B23" s="214"/>
      <c r="C23" s="214"/>
      <c r="D23" s="134"/>
      <c r="F23" s="134"/>
      <c r="G23" s="134"/>
      <c r="H23" s="134"/>
      <c r="I23" s="135"/>
      <c r="J23" s="135"/>
    </row>
    <row r="24" spans="1:11">
      <c r="A24" s="136" t="s">
        <v>86</v>
      </c>
      <c r="B24" s="133"/>
      <c r="D24" s="134"/>
      <c r="F24" s="134"/>
      <c r="G24" s="134"/>
      <c r="H24" s="134"/>
      <c r="I24" s="135"/>
      <c r="J24" s="135"/>
    </row>
    <row r="25" spans="1:11">
      <c r="A25" s="136" t="s">
        <v>87</v>
      </c>
      <c r="B25" s="133"/>
      <c r="D25" s="134"/>
      <c r="F25" s="134"/>
      <c r="G25" s="134"/>
      <c r="H25" s="134"/>
      <c r="I25" s="135"/>
      <c r="J25" s="135"/>
    </row>
    <row r="26" spans="1:11">
      <c r="B26" s="133">
        <f>1.29+0.2</f>
        <v>1.49</v>
      </c>
      <c r="C26" s="134">
        <v>1.31</v>
      </c>
      <c r="D26" s="134">
        <v>1.29</v>
      </c>
      <c r="F26" s="134">
        <f>C26-D26</f>
        <v>2.0000000000000018E-2</v>
      </c>
      <c r="G26" s="134">
        <f>B26-D26</f>
        <v>0.19999999999999996</v>
      </c>
      <c r="H26" s="134">
        <f>F26/G26</f>
        <v>0.10000000000000012</v>
      </c>
      <c r="I26" s="135">
        <f>H26</f>
        <v>0.10000000000000012</v>
      </c>
      <c r="J26" s="135">
        <f>1-I26</f>
        <v>0.89999999999999991</v>
      </c>
    </row>
    <row r="27" spans="1:11">
      <c r="B27" s="133">
        <f>1.29+0.2</f>
        <v>1.49</v>
      </c>
      <c r="C27" s="134">
        <v>1.32</v>
      </c>
      <c r="D27" s="134">
        <v>1.29</v>
      </c>
      <c r="F27" s="134">
        <f>C27-D27</f>
        <v>3.0000000000000027E-2</v>
      </c>
      <c r="G27" s="134">
        <f>B27-D27</f>
        <v>0.19999999999999996</v>
      </c>
      <c r="H27" s="134">
        <f>F27/G27</f>
        <v>0.15000000000000016</v>
      </c>
      <c r="I27" s="135">
        <f>H27</f>
        <v>0.15000000000000016</v>
      </c>
      <c r="J27" s="135">
        <f>1-I27</f>
        <v>0.84999999999999987</v>
      </c>
      <c r="K27" s="131">
        <f>AVERAGE(J26:J28)</f>
        <v>0.85</v>
      </c>
    </row>
    <row r="28" spans="1:11">
      <c r="B28" s="133">
        <f>1.29+0.2</f>
        <v>1.49</v>
      </c>
      <c r="C28" s="134">
        <v>1.33</v>
      </c>
      <c r="D28" s="134">
        <v>1.29</v>
      </c>
      <c r="F28" s="134">
        <f>C28-D28</f>
        <v>4.0000000000000036E-2</v>
      </c>
      <c r="G28" s="134">
        <f>B28-D28</f>
        <v>0.19999999999999996</v>
      </c>
      <c r="H28" s="134">
        <f>F28/G28</f>
        <v>0.20000000000000023</v>
      </c>
      <c r="I28" s="135">
        <f>H28</f>
        <v>0.20000000000000023</v>
      </c>
      <c r="J28" s="135">
        <f>1-I28</f>
        <v>0.79999999999999982</v>
      </c>
    </row>
    <row r="29" spans="1:11">
      <c r="A29" s="136" t="s">
        <v>88</v>
      </c>
      <c r="B29" s="133"/>
      <c r="D29" s="134"/>
      <c r="F29" s="134"/>
      <c r="G29" s="134"/>
      <c r="H29" s="134"/>
      <c r="I29" s="135"/>
      <c r="J29" s="135"/>
    </row>
    <row r="30" spans="1:11">
      <c r="B30" s="133">
        <f>1.29+0.2</f>
        <v>1.49</v>
      </c>
      <c r="C30" s="134">
        <v>1.48</v>
      </c>
      <c r="D30" s="134">
        <v>1.29</v>
      </c>
      <c r="F30" s="134">
        <f>C30-D30</f>
        <v>0.18999999999999995</v>
      </c>
      <c r="G30" s="134">
        <f>B30-D30</f>
        <v>0.19999999999999996</v>
      </c>
      <c r="H30" s="134">
        <f>F30/G30</f>
        <v>0.95</v>
      </c>
      <c r="I30" s="135">
        <f>H30</f>
        <v>0.95</v>
      </c>
      <c r="J30" s="135">
        <f>1-I30</f>
        <v>5.0000000000000044E-2</v>
      </c>
    </row>
    <row r="31" spans="1:11">
      <c r="B31" s="133">
        <f>1.29+0.2</f>
        <v>1.49</v>
      </c>
      <c r="C31" s="134">
        <v>1.48</v>
      </c>
      <c r="D31" s="134">
        <v>1.29</v>
      </c>
      <c r="F31" s="134">
        <f>C31-D31</f>
        <v>0.18999999999999995</v>
      </c>
      <c r="G31" s="134">
        <f>B31-D31</f>
        <v>0.19999999999999996</v>
      </c>
      <c r="H31" s="134">
        <f>F31/G31</f>
        <v>0.95</v>
      </c>
      <c r="I31" s="135">
        <f>H31</f>
        <v>0.95</v>
      </c>
      <c r="J31" s="135">
        <f>1-I31</f>
        <v>5.0000000000000044E-2</v>
      </c>
      <c r="K31" s="131">
        <f>AVERAGE(J30:J32)</f>
        <v>6.6666666666666721E-2</v>
      </c>
    </row>
    <row r="32" spans="1:11">
      <c r="B32" s="133">
        <f>1.29+0.2</f>
        <v>1.49</v>
      </c>
      <c r="C32" s="134">
        <v>1.47</v>
      </c>
      <c r="D32" s="134">
        <v>1.29</v>
      </c>
      <c r="F32" s="134">
        <f>C32-D32</f>
        <v>0.17999999999999994</v>
      </c>
      <c r="G32" s="134">
        <f>B32-D32</f>
        <v>0.19999999999999996</v>
      </c>
      <c r="H32" s="134">
        <f>F32/G32</f>
        <v>0.89999999999999991</v>
      </c>
      <c r="I32" s="135">
        <f>H32</f>
        <v>0.89999999999999991</v>
      </c>
      <c r="J32" s="135">
        <f>1-I32</f>
        <v>0.10000000000000009</v>
      </c>
    </row>
    <row r="33" spans="1:11">
      <c r="B33" s="133"/>
      <c r="D33" s="134"/>
      <c r="F33" s="134"/>
      <c r="G33" s="134"/>
      <c r="H33" s="134"/>
      <c r="I33" s="135"/>
      <c r="J33" s="135"/>
    </row>
    <row r="34" spans="1:11">
      <c r="A34" s="127" t="s">
        <v>89</v>
      </c>
      <c r="B34" s="133">
        <v>2.4</v>
      </c>
      <c r="C34" s="134">
        <v>2.2999999999999998</v>
      </c>
      <c r="D34" s="134">
        <v>1.3</v>
      </c>
      <c r="F34" s="134">
        <f>C34-D34</f>
        <v>0.99999999999999978</v>
      </c>
      <c r="G34" s="134">
        <f>B34-D34</f>
        <v>1.0999999999999999</v>
      </c>
      <c r="H34" s="134">
        <f>F34/G34</f>
        <v>0.90909090909090895</v>
      </c>
      <c r="I34" s="135">
        <f>H34</f>
        <v>0.90909090909090895</v>
      </c>
      <c r="J34" s="135">
        <f>1-I34</f>
        <v>9.090909090909105E-2</v>
      </c>
    </row>
    <row r="35" spans="1:11">
      <c r="B35" s="133"/>
      <c r="D35" s="134"/>
      <c r="F35" s="134"/>
      <c r="G35" s="134"/>
      <c r="H35" s="134"/>
      <c r="I35" s="135"/>
      <c r="J35" s="135"/>
    </row>
    <row r="36" spans="1:11">
      <c r="A36" s="136" t="s">
        <v>90</v>
      </c>
      <c r="B36" s="133"/>
      <c r="D36" s="134"/>
      <c r="F36" s="134"/>
      <c r="G36" s="134"/>
      <c r="H36" s="134"/>
      <c r="I36" s="135"/>
      <c r="J36" s="135"/>
    </row>
    <row r="37" spans="1:11">
      <c r="B37" s="133"/>
      <c r="C37" s="134">
        <v>1.3896999999999999</v>
      </c>
      <c r="D37" s="134">
        <v>1.2878000000000001</v>
      </c>
      <c r="F37" s="134">
        <f>C37-D37</f>
        <v>0.10189999999999988</v>
      </c>
      <c r="G37" s="134">
        <v>0.2</v>
      </c>
      <c r="H37" s="134">
        <f>F37/G37</f>
        <v>0.5094999999999994</v>
      </c>
      <c r="I37" s="135">
        <f>H37</f>
        <v>0.5094999999999994</v>
      </c>
      <c r="J37" s="135">
        <f>1-I37</f>
        <v>0.4905000000000006</v>
      </c>
    </row>
    <row r="38" spans="1:11">
      <c r="B38" s="133"/>
      <c r="C38" s="134">
        <v>1.3898999999999999</v>
      </c>
      <c r="D38" s="134">
        <v>1.2878000000000001</v>
      </c>
      <c r="F38" s="134">
        <f>C38-D38</f>
        <v>0.10209999999999986</v>
      </c>
      <c r="G38" s="134">
        <v>0.2</v>
      </c>
      <c r="H38" s="134">
        <f>F38/G38</f>
        <v>0.51049999999999929</v>
      </c>
      <c r="I38" s="135">
        <f>H38</f>
        <v>0.51049999999999929</v>
      </c>
      <c r="J38" s="135">
        <f>1-I38</f>
        <v>0.48950000000000071</v>
      </c>
      <c r="K38" s="131">
        <f>AVERAGE(J37:J39)</f>
        <v>0.4911666666666672</v>
      </c>
    </row>
    <row r="39" spans="1:11">
      <c r="B39" s="133"/>
      <c r="C39" s="134">
        <v>1.3891</v>
      </c>
      <c r="D39" s="134">
        <v>1.2878000000000001</v>
      </c>
      <c r="F39" s="134">
        <f>C39-D39</f>
        <v>0.10129999999999995</v>
      </c>
      <c r="G39" s="134">
        <v>0.2</v>
      </c>
      <c r="H39" s="134">
        <f>F39/G39</f>
        <v>0.50649999999999973</v>
      </c>
      <c r="I39" s="135">
        <f>H39</f>
        <v>0.50649999999999973</v>
      </c>
      <c r="J39" s="135">
        <f>1-I39</f>
        <v>0.49350000000000027</v>
      </c>
    </row>
    <row r="40" spans="1:11">
      <c r="B40" s="133"/>
      <c r="D40" s="134"/>
      <c r="F40" s="134"/>
      <c r="G40" s="134"/>
      <c r="H40" s="134"/>
      <c r="I40" s="135"/>
      <c r="J40" s="135"/>
    </row>
    <row r="41" spans="1:11">
      <c r="A41" s="136" t="s">
        <v>91</v>
      </c>
      <c r="B41" s="133"/>
      <c r="D41" s="134"/>
      <c r="F41" s="134"/>
      <c r="G41" s="134"/>
      <c r="H41" s="134"/>
      <c r="I41" s="135"/>
      <c r="J41" s="135"/>
    </row>
    <row r="42" spans="1:11">
      <c r="B42" s="133">
        <v>1.4041999999999999</v>
      </c>
      <c r="C42" s="134">
        <v>1.3062</v>
      </c>
      <c r="D42" s="134">
        <v>1.2878000000000001</v>
      </c>
      <c r="F42" s="134">
        <f>C42-D42</f>
        <v>1.8399999999999972E-2</v>
      </c>
      <c r="G42" s="134">
        <f>B42-D42</f>
        <v>0.11639999999999984</v>
      </c>
      <c r="H42" s="134">
        <f>F42/G42</f>
        <v>0.15807560137457044</v>
      </c>
      <c r="I42" s="135">
        <f>H42</f>
        <v>0.15807560137457044</v>
      </c>
      <c r="J42" s="135">
        <f>1-I42</f>
        <v>0.84192439862542956</v>
      </c>
    </row>
    <row r="43" spans="1:11">
      <c r="B43" s="133">
        <v>1.3856999999999999</v>
      </c>
      <c r="C43" s="134">
        <v>1.3315999999999999</v>
      </c>
      <c r="D43" s="134">
        <v>1.2878000000000001</v>
      </c>
      <c r="F43" s="134">
        <f>C43-D43</f>
        <v>4.3799999999999839E-2</v>
      </c>
      <c r="G43" s="134">
        <f>B43-D43</f>
        <v>9.7899999999999876E-2</v>
      </c>
      <c r="H43" s="134">
        <f>F43/G43</f>
        <v>0.44739530132788452</v>
      </c>
      <c r="I43" s="135">
        <f>H43</f>
        <v>0.44739530132788452</v>
      </c>
      <c r="J43" s="135">
        <f>1-I43</f>
        <v>0.55260469867211548</v>
      </c>
      <c r="K43" s="131">
        <f>AVERAGE(J42,J44)</f>
        <v>0.85280516550682617</v>
      </c>
    </row>
    <row r="44" spans="1:11">
      <c r="B44" s="133">
        <v>1.3794999999999999</v>
      </c>
      <c r="C44" s="134">
        <v>1.3003</v>
      </c>
      <c r="D44" s="134">
        <v>1.2878000000000001</v>
      </c>
      <c r="F44" s="134">
        <f>C44-D44</f>
        <v>1.2499999999999956E-2</v>
      </c>
      <c r="G44" s="134">
        <f>B44-D44</f>
        <v>9.1699999999999893E-2</v>
      </c>
      <c r="H44" s="134">
        <f>F44/G44</f>
        <v>0.13631406761177722</v>
      </c>
      <c r="I44" s="135">
        <f>H44</f>
        <v>0.13631406761177722</v>
      </c>
      <c r="J44" s="135">
        <f>1-I44</f>
        <v>0.86368593238822278</v>
      </c>
    </row>
    <row r="45" spans="1:11">
      <c r="B45" s="133"/>
      <c r="D45" s="134"/>
      <c r="F45" s="134"/>
      <c r="G45" s="134"/>
      <c r="H45" s="134"/>
      <c r="I45" s="135"/>
      <c r="J45" s="135"/>
    </row>
    <row r="46" spans="1:11">
      <c r="A46" s="137">
        <v>40308</v>
      </c>
      <c r="B46" s="133"/>
      <c r="D46" s="134"/>
      <c r="F46" s="134"/>
      <c r="G46" s="134"/>
      <c r="H46" s="134"/>
      <c r="I46" s="135"/>
      <c r="J46" s="135"/>
    </row>
    <row r="47" spans="1:11">
      <c r="A47" s="127" t="s">
        <v>92</v>
      </c>
      <c r="B47" s="133">
        <v>1.7589999999999999</v>
      </c>
      <c r="C47" s="134">
        <v>1.4036</v>
      </c>
      <c r="D47" s="134">
        <v>1.28315</v>
      </c>
      <c r="F47" s="134">
        <f>C47-D47</f>
        <v>0.12044999999999995</v>
      </c>
      <c r="G47" s="134">
        <f>B47-D47</f>
        <v>0.47584999999999988</v>
      </c>
      <c r="H47" s="134">
        <f>F47/G47</f>
        <v>0.25312598507933165</v>
      </c>
      <c r="I47" s="135">
        <f>H47</f>
        <v>0.25312598507933165</v>
      </c>
      <c r="J47" s="135">
        <f>1-I47</f>
        <v>0.74687401492066829</v>
      </c>
      <c r="K47" s="131">
        <f>AVERAGE(J47:J48)</f>
        <v>0.80779253436581955</v>
      </c>
    </row>
    <row r="48" spans="1:11">
      <c r="B48" s="133">
        <v>2.9119999999999999</v>
      </c>
      <c r="C48" s="134">
        <v>1.4970000000000001</v>
      </c>
      <c r="D48" s="134">
        <v>1.28315</v>
      </c>
      <c r="F48" s="134">
        <f>C48-D48</f>
        <v>0.2138500000000001</v>
      </c>
      <c r="G48" s="134">
        <f>B48-D48</f>
        <v>1.6288499999999999</v>
      </c>
      <c r="H48" s="134">
        <f>F48/G48</f>
        <v>0.13128894618902914</v>
      </c>
      <c r="I48" s="135">
        <f>H48</f>
        <v>0.13128894618902914</v>
      </c>
      <c r="J48" s="135">
        <f>1-I48</f>
        <v>0.8687110538109708</v>
      </c>
    </row>
    <row r="49" spans="1:11">
      <c r="B49" s="133"/>
      <c r="D49" s="134"/>
      <c r="F49" s="134"/>
      <c r="G49" s="134"/>
      <c r="H49" s="134"/>
      <c r="I49" s="135"/>
      <c r="J49" s="135"/>
    </row>
    <row r="50" spans="1:11">
      <c r="A50" s="127" t="s">
        <v>93</v>
      </c>
      <c r="B50" s="133"/>
      <c r="D50" s="134"/>
      <c r="F50" s="134"/>
      <c r="G50" s="134"/>
      <c r="H50" s="134"/>
      <c r="I50" s="135"/>
      <c r="J50" s="135"/>
    </row>
    <row r="51" spans="1:11">
      <c r="A51" s="127">
        <v>1</v>
      </c>
      <c r="B51" s="133">
        <f>0.107+1.2812</f>
        <v>1.3881999999999999</v>
      </c>
      <c r="C51" s="134">
        <v>1.377</v>
      </c>
      <c r="D51" s="134">
        <v>1.2811999999999999</v>
      </c>
      <c r="F51" s="134">
        <f>C51-D51</f>
        <v>9.5800000000000107E-2</v>
      </c>
      <c r="G51" s="134">
        <f>B51-D51</f>
        <v>0.10699999999999998</v>
      </c>
      <c r="H51" s="134">
        <f>F51/G51</f>
        <v>0.89532710280373951</v>
      </c>
      <c r="I51" s="135">
        <f>H51</f>
        <v>0.89532710280373951</v>
      </c>
      <c r="J51" s="135">
        <f>1-I51</f>
        <v>0.10467289719626049</v>
      </c>
      <c r="K51" s="131">
        <f>AVERAGE(J51:J52)</f>
        <v>0.11051826677994803</v>
      </c>
    </row>
    <row r="52" spans="1:11">
      <c r="A52" s="127">
        <v>2</v>
      </c>
      <c r="B52" s="133">
        <f>0.11+1.2851</f>
        <v>1.3951</v>
      </c>
      <c r="C52" s="134">
        <v>1.3823000000000001</v>
      </c>
      <c r="D52" s="134">
        <v>1.2850999999999999</v>
      </c>
      <c r="F52" s="134">
        <f>C52-D52</f>
        <v>9.7200000000000175E-2</v>
      </c>
      <c r="G52" s="134">
        <f>B52-D52</f>
        <v>0.1100000000000001</v>
      </c>
      <c r="H52" s="134">
        <f>F52/G52</f>
        <v>0.88363636363636444</v>
      </c>
      <c r="I52" s="135">
        <f>H52</f>
        <v>0.88363636363636444</v>
      </c>
      <c r="J52" s="135">
        <f>1-I52</f>
        <v>0.11636363636363556</v>
      </c>
    </row>
    <row r="53" spans="1:11">
      <c r="B53" s="133"/>
      <c r="D53" s="134"/>
      <c r="F53" s="134"/>
      <c r="G53" s="134"/>
      <c r="H53" s="134"/>
      <c r="I53" s="135"/>
      <c r="J53" s="135"/>
    </row>
    <row r="54" spans="1:11">
      <c r="B54" s="133"/>
      <c r="D54" s="134"/>
      <c r="F54" s="134"/>
      <c r="G54" s="134"/>
      <c r="H54" s="134"/>
      <c r="I54" s="135"/>
      <c r="J54" s="135"/>
    </row>
    <row r="55" spans="1:11">
      <c r="A55" s="137">
        <v>40312</v>
      </c>
      <c r="B55" s="133"/>
      <c r="D55" s="134"/>
      <c r="F55" s="134"/>
      <c r="G55" s="134"/>
      <c r="H55" s="134"/>
      <c r="I55" s="135"/>
      <c r="J55" s="135"/>
    </row>
    <row r="56" spans="1:11">
      <c r="A56" s="127" t="s">
        <v>93</v>
      </c>
      <c r="B56" s="133"/>
      <c r="D56" s="134"/>
      <c r="F56" s="134"/>
      <c r="G56" s="134"/>
      <c r="H56" s="134"/>
      <c r="I56" s="135"/>
      <c r="J56" s="135"/>
    </row>
    <row r="57" spans="1:11">
      <c r="A57" s="127">
        <v>1</v>
      </c>
      <c r="B57" s="133">
        <v>1.4196</v>
      </c>
      <c r="C57" s="134">
        <v>1.3454999999999999</v>
      </c>
      <c r="D57" s="134">
        <v>1.3186</v>
      </c>
      <c r="F57" s="134">
        <f>C57-D57</f>
        <v>2.6899999999999924E-2</v>
      </c>
      <c r="G57" s="134">
        <f>B57-D57</f>
        <v>0.10099999999999998</v>
      </c>
      <c r="H57" s="134">
        <f>F57/G57</f>
        <v>0.26633663366336563</v>
      </c>
      <c r="I57" s="135">
        <f>H57</f>
        <v>0.26633663366336563</v>
      </c>
      <c r="J57" s="135">
        <f>1-I57</f>
        <v>0.73366336633663431</v>
      </c>
      <c r="K57" s="131">
        <f>AVERAGE(J57:J58)</f>
        <v>0.74767632871884482</v>
      </c>
    </row>
    <row r="58" spans="1:11">
      <c r="A58" s="127">
        <v>2</v>
      </c>
      <c r="B58" s="133">
        <v>1.4492</v>
      </c>
      <c r="C58" s="134">
        <v>1.3482000000000001</v>
      </c>
      <c r="D58" s="134">
        <v>1.3166</v>
      </c>
      <c r="F58" s="134">
        <f>C58-D58</f>
        <v>3.1600000000000072E-2</v>
      </c>
      <c r="G58" s="134">
        <f>B58-D58</f>
        <v>0.13260000000000005</v>
      </c>
      <c r="H58" s="134">
        <f>F58/G58</f>
        <v>0.23831070889894465</v>
      </c>
      <c r="I58" s="135">
        <f>H58</f>
        <v>0.23831070889894465</v>
      </c>
      <c r="J58" s="135">
        <f>1-I58</f>
        <v>0.76168929110105532</v>
      </c>
    </row>
    <row r="59" spans="1:11">
      <c r="B59" s="133"/>
      <c r="D59" s="134"/>
      <c r="F59" s="134"/>
      <c r="G59" s="134"/>
      <c r="H59" s="134"/>
      <c r="I59" s="135"/>
      <c r="J59" s="135"/>
    </row>
    <row r="60" spans="1:11">
      <c r="A60" s="127" t="s">
        <v>94</v>
      </c>
      <c r="B60" s="133"/>
      <c r="D60" s="134"/>
      <c r="F60" s="134"/>
      <c r="G60" s="134"/>
      <c r="H60" s="134"/>
      <c r="I60" s="135"/>
      <c r="J60" s="135"/>
    </row>
    <row r="61" spans="1:11">
      <c r="A61" s="127">
        <v>1</v>
      </c>
      <c r="B61" s="133">
        <v>31.2349</v>
      </c>
      <c r="C61" s="134">
        <v>20.979399999999998</v>
      </c>
      <c r="D61" s="134">
        <v>20.396100000000001</v>
      </c>
      <c r="F61" s="134">
        <f>C61-D61</f>
        <v>0.58329999999999771</v>
      </c>
      <c r="G61" s="134">
        <f>B61-D61</f>
        <v>10.838799999999999</v>
      </c>
      <c r="H61" s="134">
        <f>F61/G61</f>
        <v>5.3815920581613996E-2</v>
      </c>
      <c r="I61" s="135">
        <f>H61</f>
        <v>5.3815920581613996E-2</v>
      </c>
      <c r="J61" s="135">
        <f>1-I61</f>
        <v>0.946184079418386</v>
      </c>
      <c r="K61" s="131">
        <f>AVERAGE(J61:J62)</f>
        <v>0.9459454990989653</v>
      </c>
    </row>
    <row r="62" spans="1:11">
      <c r="A62" s="127">
        <v>2</v>
      </c>
      <c r="B62" s="133">
        <v>41.822299999999998</v>
      </c>
      <c r="C62" s="134">
        <v>30.818999999999999</v>
      </c>
      <c r="D62" s="134">
        <v>30.1873</v>
      </c>
      <c r="F62" s="134">
        <f>C62-D62</f>
        <v>0.6316999999999986</v>
      </c>
      <c r="G62" s="134">
        <f>B62-D62</f>
        <v>11.634999999999998</v>
      </c>
      <c r="H62" s="134">
        <f>F62/G62</f>
        <v>5.4293081220455411E-2</v>
      </c>
      <c r="I62" s="135">
        <f>H62</f>
        <v>5.4293081220455411E-2</v>
      </c>
      <c r="J62" s="135">
        <f>1-I62</f>
        <v>0.9457069187795446</v>
      </c>
      <c r="K62" s="131"/>
    </row>
    <row r="63" spans="1:11">
      <c r="B63" s="133"/>
      <c r="D63" s="134"/>
      <c r="F63" s="134"/>
      <c r="G63" s="134"/>
      <c r="H63" s="134"/>
      <c r="I63" s="135"/>
      <c r="J63" s="135"/>
    </row>
    <row r="64" spans="1:11">
      <c r="A64" s="137">
        <v>40347</v>
      </c>
      <c r="B64" s="133"/>
      <c r="D64" s="134"/>
      <c r="F64" s="134"/>
      <c r="G64" s="134"/>
      <c r="H64" s="134"/>
      <c r="I64" s="135"/>
      <c r="J64" s="135"/>
    </row>
    <row r="65" spans="1:14">
      <c r="A65" s="127" t="s">
        <v>95</v>
      </c>
      <c r="B65" s="133">
        <v>402.17</v>
      </c>
      <c r="C65" s="134">
        <v>220.43</v>
      </c>
      <c r="D65" s="134">
        <v>212.34</v>
      </c>
      <c r="F65" s="134">
        <f>C65-D65</f>
        <v>8.0900000000000034</v>
      </c>
      <c r="G65" s="134">
        <f>B65-D65</f>
        <v>189.83</v>
      </c>
      <c r="H65" s="134">
        <f>F65/G65</f>
        <v>4.2617078438602976E-2</v>
      </c>
      <c r="I65" s="135">
        <f>H65</f>
        <v>4.2617078438602976E-2</v>
      </c>
      <c r="J65" s="135">
        <f>1-I65</f>
        <v>0.95738292156139704</v>
      </c>
    </row>
    <row r="66" spans="1:14">
      <c r="A66" s="127" t="s">
        <v>96</v>
      </c>
      <c r="B66" s="133">
        <v>326.57</v>
      </c>
      <c r="C66" s="134">
        <v>262.89</v>
      </c>
      <c r="D66" s="134">
        <v>260.25</v>
      </c>
      <c r="F66" s="134">
        <f>C66-D66</f>
        <v>2.6399999999999864</v>
      </c>
      <c r="G66" s="134">
        <f>B66-D66</f>
        <v>66.319999999999993</v>
      </c>
      <c r="H66" s="134">
        <f>F66/G66</f>
        <v>3.9806996381181944E-2</v>
      </c>
      <c r="I66" s="135">
        <f>H66</f>
        <v>3.9806996381181944E-2</v>
      </c>
      <c r="J66" s="135">
        <f>1-I66</f>
        <v>0.9601930036188181</v>
      </c>
    </row>
    <row r="67" spans="1:14">
      <c r="A67" s="137">
        <v>40352</v>
      </c>
      <c r="B67" s="133"/>
      <c r="D67" s="134"/>
      <c r="F67" s="134"/>
      <c r="G67" s="134"/>
      <c r="H67" s="134"/>
      <c r="I67" s="135"/>
      <c r="J67" s="135"/>
    </row>
    <row r="68" spans="1:14">
      <c r="A68" s="127" t="s">
        <v>95</v>
      </c>
      <c r="B68" s="133">
        <v>534.29</v>
      </c>
      <c r="C68" s="134">
        <v>268.54000000000002</v>
      </c>
      <c r="D68" s="134">
        <v>257.92</v>
      </c>
      <c r="F68" s="134">
        <f>C68-D68</f>
        <v>10.620000000000005</v>
      </c>
      <c r="G68" s="134">
        <f>B68-D68</f>
        <v>276.36999999999995</v>
      </c>
      <c r="H68" s="134">
        <f>F68/G68</f>
        <v>3.8426746752541908E-2</v>
      </c>
      <c r="I68" s="135">
        <f>H68</f>
        <v>3.8426746752541908E-2</v>
      </c>
      <c r="J68" s="135">
        <f>1-I68</f>
        <v>0.96157325324745813</v>
      </c>
      <c r="M68" s="127">
        <f>1.333+1.3246+1.3299</f>
        <v>3.9874999999999998</v>
      </c>
      <c r="N68" s="127">
        <f>M68/3</f>
        <v>1.3291666666666666</v>
      </c>
    </row>
    <row r="69" spans="1:14">
      <c r="A69" s="127" t="s">
        <v>97</v>
      </c>
      <c r="B69" s="133">
        <v>290.77999999999997</v>
      </c>
      <c r="C69" s="134">
        <v>214.98</v>
      </c>
      <c r="D69" s="134">
        <v>212.45</v>
      </c>
      <c r="F69" s="134">
        <f>C69-D69</f>
        <v>2.5300000000000011</v>
      </c>
      <c r="G69" s="134">
        <f>B69-D69</f>
        <v>78.329999999999984</v>
      </c>
      <c r="H69" s="134">
        <f>F69/G69</f>
        <v>3.2299246776458596E-2</v>
      </c>
      <c r="I69" s="135">
        <f>H69</f>
        <v>3.2299246776458596E-2</v>
      </c>
      <c r="J69" s="135">
        <f>1-I69</f>
        <v>0.96770075322354143</v>
      </c>
    </row>
    <row r="70" spans="1:14">
      <c r="A70" s="127" t="s">
        <v>98</v>
      </c>
      <c r="B70" s="133">
        <v>16.8</v>
      </c>
      <c r="C70" s="134">
        <v>1.9162999999999999</v>
      </c>
      <c r="D70" s="134">
        <v>1.3291999999999999</v>
      </c>
      <c r="F70" s="134">
        <f>C70-D70</f>
        <v>0.58709999999999996</v>
      </c>
      <c r="G70" s="134">
        <f>B70-D70</f>
        <v>15.470800000000001</v>
      </c>
      <c r="H70" s="134">
        <f>F70/G70</f>
        <v>3.7948910205031411E-2</v>
      </c>
      <c r="I70" s="135">
        <f>H70</f>
        <v>3.7948910205031411E-2</v>
      </c>
      <c r="J70" s="135">
        <f>1-I70</f>
        <v>0.96205108979496856</v>
      </c>
    </row>
    <row r="71" spans="1:14">
      <c r="A71" s="138">
        <v>40355</v>
      </c>
      <c r="B71" s="133"/>
      <c r="D71" s="134"/>
      <c r="F71" s="134"/>
      <c r="G71" s="134"/>
      <c r="H71" s="134"/>
      <c r="I71" s="135"/>
      <c r="J71" s="135"/>
    </row>
    <row r="72" spans="1:14">
      <c r="A72" s="127" t="s">
        <v>95</v>
      </c>
      <c r="B72" s="133">
        <v>440.1</v>
      </c>
      <c r="C72" s="134">
        <v>264.18</v>
      </c>
      <c r="D72" s="134">
        <v>258.23</v>
      </c>
      <c r="F72" s="134">
        <f>C72-D72</f>
        <v>5.9499999999999886</v>
      </c>
      <c r="G72" s="134">
        <f>B72-D72</f>
        <v>181.87</v>
      </c>
      <c r="H72" s="134">
        <f>F72/G72</f>
        <v>3.2715676032330721E-2</v>
      </c>
      <c r="I72" s="135">
        <f>H72</f>
        <v>3.2715676032330721E-2</v>
      </c>
      <c r="J72" s="135">
        <f>1-I72</f>
        <v>0.96728432396766928</v>
      </c>
    </row>
    <row r="73" spans="1:14">
      <c r="A73" s="127" t="s">
        <v>93</v>
      </c>
      <c r="B73" s="133"/>
      <c r="D73" s="134"/>
      <c r="F73" s="134"/>
      <c r="G73" s="134"/>
      <c r="H73" s="134"/>
      <c r="I73" s="135"/>
      <c r="J73" s="135"/>
    </row>
    <row r="74" spans="1:14">
      <c r="A74" s="127">
        <v>1</v>
      </c>
      <c r="B74" s="133">
        <v>1.4427000000000001</v>
      </c>
      <c r="C74" s="134">
        <v>1.3620000000000001</v>
      </c>
      <c r="D74" s="134">
        <v>1.3332999999999999</v>
      </c>
      <c r="F74" s="134">
        <f>C74-D74</f>
        <v>2.870000000000017E-2</v>
      </c>
      <c r="G74" s="134">
        <f>B74-D74</f>
        <v>0.10940000000000016</v>
      </c>
      <c r="H74" s="134">
        <f>F74/G74</f>
        <v>0.26234003656307248</v>
      </c>
      <c r="I74" s="135">
        <f>H74</f>
        <v>0.26234003656307248</v>
      </c>
      <c r="J74" s="135">
        <f>1-I74</f>
        <v>0.73765996343692752</v>
      </c>
    </row>
    <row r="75" spans="1:14">
      <c r="A75" s="127">
        <v>2</v>
      </c>
      <c r="B75" s="133">
        <v>1.4338</v>
      </c>
      <c r="C75" s="134">
        <v>1.3553999999999999</v>
      </c>
      <c r="D75" s="134">
        <v>1.3246</v>
      </c>
      <c r="F75" s="134">
        <f>C75-D75</f>
        <v>3.0799999999999939E-2</v>
      </c>
      <c r="G75" s="134">
        <f>B75-D75</f>
        <v>0.10919999999999996</v>
      </c>
      <c r="H75" s="134">
        <f>F75/G75</f>
        <v>0.2820512820512816</v>
      </c>
      <c r="I75" s="135">
        <f>H75</f>
        <v>0.2820512820512816</v>
      </c>
      <c r="J75" s="135">
        <f>1-I75</f>
        <v>0.7179487179487184</v>
      </c>
      <c r="K75" s="131">
        <f>AVERAGE(J74:J76)</f>
        <v>0.74033935500343417</v>
      </c>
    </row>
    <row r="76" spans="1:14">
      <c r="A76" s="127">
        <v>3</v>
      </c>
      <c r="B76" s="133">
        <v>1.4386000000000001</v>
      </c>
      <c r="C76" s="134">
        <v>1.3553999999999999</v>
      </c>
      <c r="D76" s="134">
        <v>1.3299000000000001</v>
      </c>
      <c r="F76" s="134">
        <f>C76-D76</f>
        <v>2.5499999999999856E-2</v>
      </c>
      <c r="G76" s="134">
        <f>B76-D76</f>
        <v>0.10870000000000002</v>
      </c>
      <c r="H76" s="134">
        <f>F76/G76</f>
        <v>0.23459061637534362</v>
      </c>
      <c r="I76" s="135">
        <f>H76</f>
        <v>0.23459061637534362</v>
      </c>
      <c r="J76" s="135">
        <f>1-I76</f>
        <v>0.76540938362465638</v>
      </c>
    </row>
    <row r="77" spans="1:14">
      <c r="B77" s="133"/>
      <c r="D77" s="134"/>
      <c r="F77" s="134"/>
      <c r="G77" s="134"/>
      <c r="H77" s="134"/>
      <c r="I77" s="135"/>
      <c r="J77" s="135"/>
    </row>
    <row r="78" spans="1:14">
      <c r="A78" s="127" t="s">
        <v>99</v>
      </c>
      <c r="B78" s="133"/>
      <c r="D78" s="134"/>
      <c r="F78" s="134"/>
      <c r="G78" s="134"/>
      <c r="H78" s="134"/>
      <c r="I78" s="135"/>
      <c r="J78" s="135"/>
    </row>
    <row r="79" spans="1:14">
      <c r="A79" s="127">
        <v>1</v>
      </c>
      <c r="B79" s="133">
        <v>1.7851999999999999</v>
      </c>
      <c r="C79" s="134">
        <v>1.3253999999999999</v>
      </c>
      <c r="D79" s="134">
        <v>1.3173999999999999</v>
      </c>
      <c r="F79" s="134">
        <f>C79-D79</f>
        <v>8.0000000000000071E-3</v>
      </c>
      <c r="G79" s="134">
        <f>B79-D79</f>
        <v>0.46779999999999999</v>
      </c>
      <c r="H79" s="134">
        <f>F79/G79</f>
        <v>1.7101325352714851E-2</v>
      </c>
      <c r="I79" s="135">
        <f>H79</f>
        <v>1.7101325352714851E-2</v>
      </c>
      <c r="J79" s="135">
        <f>1-I79</f>
        <v>0.9828986746472852</v>
      </c>
    </row>
    <row r="80" spans="1:14">
      <c r="B80" s="133"/>
      <c r="D80" s="134"/>
      <c r="F80" s="134"/>
      <c r="G80" s="134"/>
      <c r="H80" s="134"/>
      <c r="I80" s="135"/>
      <c r="J80" s="135"/>
    </row>
    <row r="81" spans="1:12">
      <c r="A81" s="138">
        <v>40382</v>
      </c>
      <c r="B81" s="133"/>
      <c r="D81" s="134"/>
      <c r="F81" s="134"/>
      <c r="G81" s="134"/>
      <c r="H81" s="134"/>
      <c r="I81" s="135"/>
      <c r="J81" s="135"/>
    </row>
    <row r="82" spans="1:12">
      <c r="B82" s="133" t="s">
        <v>68</v>
      </c>
      <c r="C82" s="134" t="s">
        <v>69</v>
      </c>
      <c r="D82" s="134" t="s">
        <v>70</v>
      </c>
      <c r="F82" s="134" t="s">
        <v>71</v>
      </c>
      <c r="G82" s="134" t="s">
        <v>72</v>
      </c>
      <c r="H82" s="134" t="s">
        <v>73</v>
      </c>
      <c r="I82" s="135" t="s">
        <v>74</v>
      </c>
      <c r="J82" s="135" t="s">
        <v>75</v>
      </c>
    </row>
    <row r="83" spans="1:12">
      <c r="A83" s="127" t="s">
        <v>100</v>
      </c>
      <c r="B83" s="133">
        <v>1.5831</v>
      </c>
      <c r="C83" s="134">
        <v>1.3263</v>
      </c>
      <c r="D83" s="134">
        <v>1.3168</v>
      </c>
      <c r="F83" s="134">
        <f>C83-D83</f>
        <v>9.5000000000000639E-3</v>
      </c>
      <c r="G83" s="134">
        <f>B83-D83</f>
        <v>0.26629999999999998</v>
      </c>
      <c r="H83" s="134">
        <f>F83/G83</f>
        <v>3.5674051821254465E-2</v>
      </c>
      <c r="I83" s="135">
        <f>H83</f>
        <v>3.5674051821254465E-2</v>
      </c>
      <c r="J83" s="135">
        <f>1-I83</f>
        <v>0.96432594817874551</v>
      </c>
      <c r="K83" s="131">
        <f>AVERAGE(J83:J84)</f>
        <v>0.96435360954087779</v>
      </c>
    </row>
    <row r="84" spans="1:12">
      <c r="A84" s="127" t="s">
        <v>101</v>
      </c>
      <c r="B84" s="133">
        <v>1.9258</v>
      </c>
      <c r="C84" s="134">
        <v>1.3491</v>
      </c>
      <c r="D84" s="134">
        <v>1.3278000000000001</v>
      </c>
      <c r="F84" s="134">
        <f>C84-D84</f>
        <v>2.1299999999999875E-2</v>
      </c>
      <c r="G84" s="134">
        <f>B84-D84</f>
        <v>0.59799999999999986</v>
      </c>
      <c r="H84" s="134">
        <f>F84/G84</f>
        <v>3.5618729096989765E-2</v>
      </c>
      <c r="I84" s="135">
        <f>H84</f>
        <v>3.5618729096989765E-2</v>
      </c>
      <c r="J84" s="135">
        <f>1-I84</f>
        <v>0.96438127090301018</v>
      </c>
    </row>
    <row r="85" spans="1:12">
      <c r="A85" s="127" t="s">
        <v>102</v>
      </c>
      <c r="B85" s="133">
        <v>5.1384999999999996</v>
      </c>
      <c r="C85" s="134">
        <v>1.4759</v>
      </c>
      <c r="D85" s="134">
        <v>1.3176000000000001</v>
      </c>
      <c r="F85" s="134">
        <f t="shared" ref="F85:F135" si="5">C85-D85</f>
        <v>0.15829999999999989</v>
      </c>
      <c r="G85" s="134">
        <f t="shared" ref="G85:G135" si="6">B85-D85</f>
        <v>3.8208999999999995</v>
      </c>
      <c r="H85" s="134">
        <f t="shared" ref="H85:H135" si="7">F85/G85</f>
        <v>4.1430029574184069E-2</v>
      </c>
      <c r="I85" s="135">
        <f t="shared" ref="I85:I135" si="8">H85</f>
        <v>4.1430029574184069E-2</v>
      </c>
      <c r="J85" s="135">
        <f t="shared" ref="J85:J135" si="9">1-I85</f>
        <v>0.95856997042581593</v>
      </c>
      <c r="K85" s="131">
        <f>AVERAGE(J85:J86)</f>
        <v>0.95939442029128719</v>
      </c>
    </row>
    <row r="86" spans="1:12">
      <c r="A86" s="127" t="s">
        <v>103</v>
      </c>
      <c r="B86" s="133">
        <v>6.06</v>
      </c>
      <c r="C86" s="134">
        <v>1.5148999999999999</v>
      </c>
      <c r="D86" s="134">
        <v>1.3266</v>
      </c>
      <c r="F86" s="134">
        <f t="shared" si="5"/>
        <v>0.18829999999999991</v>
      </c>
      <c r="G86" s="134">
        <f t="shared" si="6"/>
        <v>4.7333999999999996</v>
      </c>
      <c r="H86" s="134">
        <f t="shared" si="7"/>
        <v>3.9781129843241628E-2</v>
      </c>
      <c r="I86" s="135">
        <f t="shared" si="8"/>
        <v>3.9781129843241628E-2</v>
      </c>
      <c r="J86" s="135">
        <f t="shared" si="9"/>
        <v>0.96021887015675833</v>
      </c>
    </row>
    <row r="87" spans="1:12">
      <c r="B87" s="133"/>
      <c r="D87" s="134"/>
      <c r="F87" s="134"/>
      <c r="G87" s="134"/>
      <c r="H87" s="134"/>
      <c r="I87" s="135"/>
      <c r="J87" s="135"/>
    </row>
    <row r="88" spans="1:12">
      <c r="A88" s="138">
        <v>40390</v>
      </c>
      <c r="B88" s="133"/>
      <c r="D88" s="134"/>
      <c r="F88" s="134"/>
      <c r="G88" s="134"/>
      <c r="H88" s="134"/>
      <c r="I88" s="135"/>
      <c r="J88" s="135"/>
    </row>
    <row r="89" spans="1:12">
      <c r="A89" s="127" t="s">
        <v>93</v>
      </c>
      <c r="B89" s="133">
        <v>1.4351</v>
      </c>
      <c r="C89" s="134">
        <v>1.3512</v>
      </c>
      <c r="D89" s="134">
        <v>1.3227</v>
      </c>
      <c r="F89" s="134">
        <f t="shared" si="5"/>
        <v>2.849999999999997E-2</v>
      </c>
      <c r="G89" s="134">
        <f t="shared" si="6"/>
        <v>0.11240000000000006</v>
      </c>
      <c r="H89" s="134">
        <f t="shared" si="7"/>
        <v>0.25355871886120956</v>
      </c>
      <c r="I89" s="135">
        <f t="shared" si="8"/>
        <v>0.25355871886120956</v>
      </c>
      <c r="J89" s="135">
        <f t="shared" si="9"/>
        <v>0.74644128113879038</v>
      </c>
    </row>
    <row r="90" spans="1:12">
      <c r="A90" s="127">
        <v>2</v>
      </c>
      <c r="B90" s="133">
        <v>1.4380999999999999</v>
      </c>
      <c r="C90" s="134">
        <v>1.3522000000000001</v>
      </c>
      <c r="D90" s="134">
        <v>1.3218000000000001</v>
      </c>
      <c r="F90" s="134">
        <f t="shared" si="5"/>
        <v>3.0399999999999983E-2</v>
      </c>
      <c r="G90" s="134">
        <f t="shared" si="6"/>
        <v>0.11629999999999985</v>
      </c>
      <c r="H90" s="134">
        <f t="shared" si="7"/>
        <v>0.26139294926913176</v>
      </c>
      <c r="I90" s="135">
        <f t="shared" si="8"/>
        <v>0.26139294926913176</v>
      </c>
      <c r="J90" s="135">
        <f t="shared" si="9"/>
        <v>0.73860705073086819</v>
      </c>
      <c r="K90" s="131">
        <f>AVERAGE(J89:J91)</f>
        <v>0.75547011301270572</v>
      </c>
    </row>
    <row r="91" spans="1:12">
      <c r="A91" s="127" t="s">
        <v>104</v>
      </c>
      <c r="B91" s="133">
        <v>1.4359</v>
      </c>
      <c r="C91" s="134">
        <v>1.3487</v>
      </c>
      <c r="D91" s="134">
        <v>1.3243</v>
      </c>
      <c r="F91" s="134">
        <f t="shared" si="5"/>
        <v>2.4399999999999977E-2</v>
      </c>
      <c r="G91" s="134">
        <f t="shared" si="6"/>
        <v>0.11159999999999992</v>
      </c>
      <c r="H91" s="134">
        <f t="shared" si="7"/>
        <v>0.21863799283154117</v>
      </c>
      <c r="I91" s="135">
        <f t="shared" si="8"/>
        <v>0.21863799283154117</v>
      </c>
      <c r="J91" s="135">
        <f t="shared" si="9"/>
        <v>0.78136200716845883</v>
      </c>
    </row>
    <row r="92" spans="1:12">
      <c r="B92" s="133"/>
      <c r="D92" s="134"/>
      <c r="F92" s="134"/>
      <c r="G92" s="134"/>
      <c r="H92" s="134"/>
      <c r="I92" s="135"/>
      <c r="J92" s="135"/>
    </row>
    <row r="93" spans="1:12">
      <c r="A93" s="127" t="s">
        <v>105</v>
      </c>
      <c r="B93" s="133">
        <v>6.1718999999999999</v>
      </c>
      <c r="C93" s="134">
        <v>1.5178</v>
      </c>
      <c r="D93" s="134">
        <v>1.3213999999999999</v>
      </c>
      <c r="F93" s="134">
        <f t="shared" si="5"/>
        <v>0.19640000000000013</v>
      </c>
      <c r="G93" s="134">
        <f t="shared" si="6"/>
        <v>4.8505000000000003</v>
      </c>
      <c r="H93" s="134">
        <f t="shared" si="7"/>
        <v>4.0490671064838703E-2</v>
      </c>
      <c r="I93" s="135">
        <f t="shared" si="8"/>
        <v>4.0490671064838703E-2</v>
      </c>
      <c r="J93" s="135">
        <f t="shared" si="9"/>
        <v>0.95950932893516128</v>
      </c>
    </row>
    <row r="94" spans="1:12">
      <c r="A94" s="127">
        <v>2</v>
      </c>
      <c r="B94" s="133">
        <v>5.7535999999999996</v>
      </c>
      <c r="C94" s="134">
        <v>1.5049999999999999</v>
      </c>
      <c r="D94" s="134">
        <v>1.3253999999999999</v>
      </c>
      <c r="F94" s="134">
        <f t="shared" si="5"/>
        <v>0.17959999999999998</v>
      </c>
      <c r="G94" s="134">
        <f t="shared" si="6"/>
        <v>4.4281999999999995</v>
      </c>
      <c r="H94" s="134">
        <f t="shared" si="7"/>
        <v>4.0558240368547042E-2</v>
      </c>
      <c r="I94" s="135">
        <f t="shared" si="8"/>
        <v>4.0558240368547042E-2</v>
      </c>
      <c r="J94" s="135">
        <f t="shared" si="9"/>
        <v>0.95944175963145295</v>
      </c>
      <c r="K94" s="131">
        <f>AVERAGE(J93:J95)</f>
        <v>0.95953342367071304</v>
      </c>
      <c r="L94" s="131">
        <f>AVERAGE(I93:I95)</f>
        <v>4.0466576329287018E-2</v>
      </c>
    </row>
    <row r="95" spans="1:12">
      <c r="A95" s="127">
        <v>3</v>
      </c>
      <c r="B95" s="133">
        <v>4.2648000000000001</v>
      </c>
      <c r="C95" s="134">
        <v>1.4418</v>
      </c>
      <c r="D95" s="134">
        <v>1.3230999999999999</v>
      </c>
      <c r="F95" s="134">
        <f t="shared" si="5"/>
        <v>0.11870000000000003</v>
      </c>
      <c r="G95" s="134">
        <f t="shared" si="6"/>
        <v>2.9417</v>
      </c>
      <c r="H95" s="134">
        <f t="shared" si="7"/>
        <v>4.035081755447531E-2</v>
      </c>
      <c r="I95" s="135">
        <f t="shared" si="8"/>
        <v>4.035081755447531E-2</v>
      </c>
      <c r="J95" s="135">
        <f t="shared" si="9"/>
        <v>0.95964918244552466</v>
      </c>
    </row>
    <row r="96" spans="1:12">
      <c r="B96" s="133"/>
      <c r="D96" s="134"/>
      <c r="F96" s="134"/>
      <c r="G96" s="134"/>
      <c r="H96" s="134"/>
      <c r="I96" s="135"/>
      <c r="J96" s="135"/>
    </row>
    <row r="97" spans="1:14">
      <c r="A97" s="138">
        <v>40397</v>
      </c>
      <c r="B97" s="133"/>
      <c r="D97" s="134"/>
      <c r="F97" s="134"/>
      <c r="G97" s="134"/>
      <c r="H97" s="134"/>
      <c r="I97" s="135"/>
      <c r="J97" s="135"/>
    </row>
    <row r="98" spans="1:14">
      <c r="A98" s="127" t="s">
        <v>106</v>
      </c>
      <c r="B98" s="133">
        <v>1.7251000000000001</v>
      </c>
      <c r="C98" s="134">
        <v>1.6893</v>
      </c>
      <c r="D98" s="134">
        <v>1.3212999999999999</v>
      </c>
      <c r="F98" s="134">
        <f t="shared" si="5"/>
        <v>0.3680000000000001</v>
      </c>
      <c r="G98" s="134">
        <f t="shared" si="6"/>
        <v>0.40380000000000016</v>
      </c>
      <c r="H98" s="134">
        <f t="shared" si="7"/>
        <v>0.91134224863793944</v>
      </c>
      <c r="I98" s="135">
        <f t="shared" si="8"/>
        <v>0.91134224863793944</v>
      </c>
      <c r="J98" s="135">
        <f t="shared" si="9"/>
        <v>8.8657751362060555E-2</v>
      </c>
    </row>
    <row r="99" spans="1:14">
      <c r="A99" s="127">
        <v>2</v>
      </c>
      <c r="B99" s="133">
        <v>1.8021</v>
      </c>
      <c r="C99" s="134">
        <v>1.7619</v>
      </c>
      <c r="D99" s="134">
        <v>1.3263</v>
      </c>
      <c r="F99" s="134">
        <f t="shared" si="5"/>
        <v>0.43559999999999999</v>
      </c>
      <c r="G99" s="134">
        <f t="shared" si="6"/>
        <v>0.4758</v>
      </c>
      <c r="H99" s="134">
        <f t="shared" si="7"/>
        <v>0.91551071878940726</v>
      </c>
      <c r="I99" s="135">
        <f t="shared" si="8"/>
        <v>0.91551071878940726</v>
      </c>
      <c r="J99" s="135">
        <f t="shared" si="9"/>
        <v>8.4489281210592737E-2</v>
      </c>
      <c r="K99" s="131">
        <f>AVERAGE(J98:J100)</f>
        <v>8.8938723927529842E-2</v>
      </c>
    </row>
    <row r="100" spans="1:14">
      <c r="A100" s="127">
        <v>3</v>
      </c>
      <c r="B100" s="133">
        <v>1.9016</v>
      </c>
      <c r="C100" s="134">
        <v>1.8472999999999999</v>
      </c>
      <c r="D100" s="134">
        <v>1.3219000000000001</v>
      </c>
      <c r="F100" s="134">
        <f t="shared" si="5"/>
        <v>0.52539999999999987</v>
      </c>
      <c r="G100" s="134">
        <f t="shared" si="6"/>
        <v>0.57969999999999988</v>
      </c>
      <c r="H100" s="134">
        <f t="shared" si="7"/>
        <v>0.90633086079006375</v>
      </c>
      <c r="I100" s="135">
        <f t="shared" si="8"/>
        <v>0.90633086079006375</v>
      </c>
      <c r="J100" s="135">
        <f t="shared" si="9"/>
        <v>9.3669139209936247E-2</v>
      </c>
      <c r="N100" s="139"/>
    </row>
    <row r="101" spans="1:14">
      <c r="B101" s="133"/>
      <c r="D101" s="134"/>
      <c r="F101" s="134"/>
      <c r="G101" s="134"/>
      <c r="H101" s="134"/>
      <c r="I101" s="135"/>
      <c r="J101" s="135"/>
    </row>
    <row r="102" spans="1:14">
      <c r="A102" s="127" t="s">
        <v>107</v>
      </c>
      <c r="B102" s="133">
        <v>1.4315</v>
      </c>
      <c r="C102" s="134">
        <v>1.4191</v>
      </c>
      <c r="D102" s="134">
        <v>1.3220000000000001</v>
      </c>
      <c r="F102" s="134">
        <f t="shared" si="5"/>
        <v>9.7099999999999964E-2</v>
      </c>
      <c r="G102" s="134">
        <f t="shared" si="6"/>
        <v>0.10949999999999993</v>
      </c>
      <c r="H102" s="134">
        <f t="shared" si="7"/>
        <v>0.88675799086758011</v>
      </c>
      <c r="I102" s="135">
        <f t="shared" si="8"/>
        <v>0.88675799086758011</v>
      </c>
      <c r="J102" s="135">
        <f t="shared" si="9"/>
        <v>0.11324200913241989</v>
      </c>
    </row>
    <row r="103" spans="1:14">
      <c r="B103" s="133">
        <v>1.3942000000000001</v>
      </c>
      <c r="C103" s="134">
        <v>1.3866000000000001</v>
      </c>
      <c r="D103" s="134">
        <v>1.32</v>
      </c>
      <c r="F103" s="134">
        <f t="shared" si="5"/>
        <v>6.6599999999999993E-2</v>
      </c>
      <c r="G103" s="134">
        <f t="shared" si="6"/>
        <v>7.4200000000000044E-2</v>
      </c>
      <c r="H103" s="134">
        <f t="shared" si="7"/>
        <v>0.89757412398921765</v>
      </c>
      <c r="I103" s="135">
        <f t="shared" si="8"/>
        <v>0.89757412398921765</v>
      </c>
      <c r="J103" s="135">
        <f t="shared" si="9"/>
        <v>0.10242587601078235</v>
      </c>
      <c r="K103" s="131">
        <f>AVERAGE(J102:J103)</f>
        <v>0.10783394257160112</v>
      </c>
    </row>
    <row r="104" spans="1:14">
      <c r="A104" s="138">
        <v>40422</v>
      </c>
      <c r="B104" s="133"/>
      <c r="D104" s="134"/>
      <c r="F104" s="134"/>
      <c r="G104" s="134"/>
      <c r="H104" s="134"/>
      <c r="I104" s="135"/>
      <c r="J104" s="135"/>
    </row>
    <row r="105" spans="1:14">
      <c r="A105" s="127" t="s">
        <v>108</v>
      </c>
      <c r="B105" s="133">
        <v>1.5888</v>
      </c>
      <c r="C105" s="134">
        <v>1.5693999999999999</v>
      </c>
      <c r="D105" s="134">
        <v>1.3289</v>
      </c>
      <c r="F105" s="134">
        <f t="shared" si="5"/>
        <v>0.24049999999999994</v>
      </c>
      <c r="G105" s="134">
        <f t="shared" si="6"/>
        <v>0.25990000000000002</v>
      </c>
      <c r="H105" s="134">
        <f t="shared" si="7"/>
        <v>0.92535590611773733</v>
      </c>
      <c r="I105" s="135">
        <f t="shared" si="8"/>
        <v>0.92535590611773733</v>
      </c>
      <c r="J105" s="135">
        <f t="shared" si="9"/>
        <v>7.4644093882262674E-2</v>
      </c>
    </row>
    <row r="106" spans="1:14">
      <c r="B106" s="133">
        <v>1.5886</v>
      </c>
      <c r="C106" s="134">
        <v>1.5680000000000001</v>
      </c>
      <c r="D106" s="134">
        <v>1.3303</v>
      </c>
      <c r="F106" s="134">
        <f t="shared" si="5"/>
        <v>0.23770000000000002</v>
      </c>
      <c r="G106" s="134">
        <f t="shared" si="6"/>
        <v>0.25829999999999997</v>
      </c>
      <c r="H106" s="134">
        <f t="shared" si="7"/>
        <v>0.92024777390631063</v>
      </c>
      <c r="I106" s="135">
        <f t="shared" si="8"/>
        <v>0.92024777390631063</v>
      </c>
      <c r="J106" s="135">
        <f t="shared" si="9"/>
        <v>7.9752226093689371E-2</v>
      </c>
      <c r="K106" s="131">
        <f>AVERAGE(J105:J106)</f>
        <v>7.7198159987976023E-2</v>
      </c>
      <c r="M106" s="131"/>
    </row>
    <row r="107" spans="1:14">
      <c r="A107" s="127" t="s">
        <v>109</v>
      </c>
      <c r="B107" s="133"/>
      <c r="D107" s="134"/>
      <c r="F107" s="134"/>
      <c r="G107" s="134"/>
      <c r="H107" s="134"/>
      <c r="I107" s="135"/>
      <c r="J107" s="135"/>
    </row>
    <row r="108" spans="1:14">
      <c r="B108" s="133">
        <v>1.4803999999999999</v>
      </c>
      <c r="C108" s="134">
        <v>1.4664999999999999</v>
      </c>
      <c r="D108" s="134">
        <v>1.3216000000000001</v>
      </c>
      <c r="F108" s="134">
        <f t="shared" si="5"/>
        <v>0.14489999999999981</v>
      </c>
      <c r="G108" s="134">
        <f t="shared" si="6"/>
        <v>0.15879999999999983</v>
      </c>
      <c r="H108" s="134">
        <f t="shared" si="7"/>
        <v>0.91246851385390404</v>
      </c>
      <c r="I108" s="135">
        <f t="shared" si="8"/>
        <v>0.91246851385390404</v>
      </c>
      <c r="J108" s="135">
        <f t="shared" si="9"/>
        <v>8.753148614609596E-2</v>
      </c>
      <c r="K108" s="131">
        <f>AVERAGE(J108:J109)</f>
        <v>8.7370394235838755E-2</v>
      </c>
    </row>
    <row r="109" spans="1:14">
      <c r="B109" s="133">
        <v>1.3895</v>
      </c>
      <c r="C109" s="134">
        <v>1.3835</v>
      </c>
      <c r="D109" s="134">
        <v>1.3207</v>
      </c>
      <c r="F109" s="134">
        <f t="shared" si="5"/>
        <v>6.2799999999999967E-2</v>
      </c>
      <c r="G109" s="134">
        <f t="shared" si="6"/>
        <v>6.8799999999999972E-2</v>
      </c>
      <c r="H109" s="134">
        <f t="shared" si="7"/>
        <v>0.91279069767441845</v>
      </c>
      <c r="I109" s="135">
        <f t="shared" si="8"/>
        <v>0.91279069767441845</v>
      </c>
      <c r="J109" s="135">
        <f t="shared" si="9"/>
        <v>8.720930232558155E-2</v>
      </c>
    </row>
    <row r="110" spans="1:14">
      <c r="A110" s="127" t="s">
        <v>93</v>
      </c>
      <c r="B110" s="133"/>
      <c r="D110" s="134"/>
      <c r="F110" s="134"/>
      <c r="G110" s="134"/>
      <c r="H110" s="134"/>
      <c r="I110" s="135"/>
      <c r="J110" s="135"/>
    </row>
    <row r="111" spans="1:14">
      <c r="B111" s="133">
        <v>1.3839999999999999</v>
      </c>
      <c r="C111" s="134">
        <v>1.3756999999999999</v>
      </c>
      <c r="D111" s="134">
        <v>1.3194999999999999</v>
      </c>
      <c r="F111" s="134">
        <f t="shared" si="5"/>
        <v>5.6200000000000028E-2</v>
      </c>
      <c r="G111" s="134">
        <f t="shared" si="6"/>
        <v>6.4500000000000002E-2</v>
      </c>
      <c r="H111" s="134">
        <f t="shared" si="7"/>
        <v>0.8713178294573648</v>
      </c>
      <c r="I111" s="135">
        <f t="shared" si="8"/>
        <v>0.8713178294573648</v>
      </c>
      <c r="J111" s="135">
        <f t="shared" si="9"/>
        <v>0.1286821705426352</v>
      </c>
      <c r="K111" s="131">
        <f>AVERAGE(J111:J112)</f>
        <v>0.12698410586628334</v>
      </c>
    </row>
    <row r="112" spans="1:14">
      <c r="B112" s="133">
        <v>1.5064</v>
      </c>
      <c r="C112" s="134">
        <v>1.4844999999999999</v>
      </c>
      <c r="D112" s="134">
        <v>1.3315999999999999</v>
      </c>
      <c r="F112" s="134">
        <f t="shared" si="5"/>
        <v>0.15290000000000004</v>
      </c>
      <c r="G112" s="134">
        <f t="shared" si="6"/>
        <v>0.17480000000000007</v>
      </c>
      <c r="H112" s="134">
        <f t="shared" si="7"/>
        <v>0.87471395881006853</v>
      </c>
      <c r="I112" s="135">
        <f t="shared" si="8"/>
        <v>0.87471395881006853</v>
      </c>
      <c r="J112" s="135">
        <f t="shared" si="9"/>
        <v>0.12528604118993147</v>
      </c>
    </row>
    <row r="113" spans="1:13">
      <c r="A113" s="127" t="s">
        <v>110</v>
      </c>
      <c r="F113" s="134"/>
      <c r="G113" s="134"/>
      <c r="H113" s="134"/>
      <c r="I113" s="135"/>
      <c r="J113" s="135"/>
    </row>
    <row r="114" spans="1:13">
      <c r="B114" s="133">
        <v>129.51</v>
      </c>
      <c r="C114" s="134">
        <v>53.16</v>
      </c>
      <c r="D114" s="134">
        <v>49.71</v>
      </c>
      <c r="F114" s="134">
        <f t="shared" si="5"/>
        <v>3.4499999999999957</v>
      </c>
      <c r="G114" s="134">
        <f t="shared" si="6"/>
        <v>79.799999999999983</v>
      </c>
      <c r="H114" s="134">
        <f t="shared" si="7"/>
        <v>4.3233082706766873E-2</v>
      </c>
      <c r="I114" s="135">
        <f t="shared" si="8"/>
        <v>4.3233082706766873E-2</v>
      </c>
      <c r="J114" s="135">
        <f t="shared" si="9"/>
        <v>0.95676691729323315</v>
      </c>
      <c r="K114" s="127">
        <v>95.68</v>
      </c>
    </row>
    <row r="115" spans="1:13">
      <c r="A115" s="138">
        <v>40434</v>
      </c>
      <c r="F115" s="134"/>
      <c r="G115" s="134"/>
      <c r="H115" s="134"/>
      <c r="I115" s="135"/>
      <c r="J115" s="135"/>
    </row>
    <row r="116" spans="1:13">
      <c r="A116" s="127" t="s">
        <v>111</v>
      </c>
      <c r="B116" s="133">
        <v>11.701599999999999</v>
      </c>
      <c r="C116" s="134">
        <v>2.5916999999999999</v>
      </c>
      <c r="D116" s="134">
        <v>2.1646000000000001</v>
      </c>
      <c r="F116" s="134">
        <f t="shared" si="5"/>
        <v>0.42709999999999981</v>
      </c>
      <c r="G116" s="134">
        <f t="shared" si="6"/>
        <v>9.536999999999999</v>
      </c>
      <c r="H116" s="134">
        <f t="shared" si="7"/>
        <v>4.4783474887281099E-2</v>
      </c>
      <c r="I116" s="135">
        <f t="shared" si="8"/>
        <v>4.4783474887281099E-2</v>
      </c>
      <c r="J116" s="135">
        <f t="shared" si="9"/>
        <v>0.95521652511271893</v>
      </c>
      <c r="K116" s="131">
        <f>AVERAGE(J116:J117)</f>
        <v>0.95607680358694747</v>
      </c>
      <c r="M116" s="131"/>
    </row>
    <row r="117" spans="1:13">
      <c r="A117" s="127" t="s">
        <v>112</v>
      </c>
      <c r="B117" s="140">
        <v>7.5579999999999998</v>
      </c>
      <c r="C117" s="134">
        <v>2.4491999999999998</v>
      </c>
      <c r="D117" s="141">
        <v>2.2193000000000001</v>
      </c>
      <c r="F117" s="134">
        <f t="shared" si="5"/>
        <v>0.22989999999999977</v>
      </c>
      <c r="G117" s="134">
        <f t="shared" si="6"/>
        <v>5.3386999999999993</v>
      </c>
      <c r="H117" s="134">
        <f t="shared" si="7"/>
        <v>4.3062917938824018E-2</v>
      </c>
      <c r="I117" s="135">
        <f t="shared" si="8"/>
        <v>4.3062917938824018E-2</v>
      </c>
      <c r="J117" s="135">
        <f t="shared" si="9"/>
        <v>0.956937082061176</v>
      </c>
    </row>
    <row r="118" spans="1:13">
      <c r="F118" s="134"/>
      <c r="G118" s="134"/>
      <c r="H118" s="134"/>
      <c r="I118" s="135"/>
      <c r="J118" s="135"/>
    </row>
    <row r="119" spans="1:13">
      <c r="A119" s="138">
        <v>40467</v>
      </c>
      <c r="F119" s="134"/>
      <c r="G119" s="134"/>
      <c r="H119" s="134"/>
      <c r="I119" s="135"/>
      <c r="J119" s="135"/>
      <c r="M119" s="131">
        <f>AVERAGE(K106,K134,K31)</f>
        <v>6.6797084984310709E-2</v>
      </c>
    </row>
    <row r="120" spans="1:13">
      <c r="A120" s="127" t="s">
        <v>93</v>
      </c>
      <c r="F120" s="134"/>
      <c r="G120" s="134"/>
      <c r="H120" s="134"/>
      <c r="I120" s="135"/>
      <c r="J120" s="135"/>
    </row>
    <row r="121" spans="1:13">
      <c r="A121" s="127">
        <v>1</v>
      </c>
      <c r="B121" s="140">
        <v>2.1907000000000001</v>
      </c>
      <c r="C121" s="134">
        <v>2.1855000000000002</v>
      </c>
      <c r="D121" s="141">
        <v>2.1398000000000001</v>
      </c>
      <c r="F121" s="134">
        <f t="shared" si="5"/>
        <v>4.5700000000000074E-2</v>
      </c>
      <c r="G121" s="134">
        <f t="shared" si="6"/>
        <v>5.0899999999999945E-2</v>
      </c>
      <c r="H121" s="134">
        <f t="shared" si="7"/>
        <v>0.89783889980353881</v>
      </c>
      <c r="I121" s="135">
        <f t="shared" si="8"/>
        <v>0.89783889980353881</v>
      </c>
      <c r="J121" s="135">
        <f t="shared" si="9"/>
        <v>0.10216110019646119</v>
      </c>
    </row>
    <row r="122" spans="1:13">
      <c r="A122" s="127">
        <v>2</v>
      </c>
      <c r="B122" s="140">
        <v>2.2789999999999999</v>
      </c>
      <c r="C122" s="134">
        <v>2.2734000000000001</v>
      </c>
      <c r="D122" s="141">
        <v>2.2290999999999999</v>
      </c>
      <c r="F122" s="134">
        <f t="shared" si="5"/>
        <v>4.4300000000000228E-2</v>
      </c>
      <c r="G122" s="134">
        <f t="shared" si="6"/>
        <v>4.9900000000000055E-2</v>
      </c>
      <c r="H122" s="134">
        <f t="shared" si="7"/>
        <v>0.88777555110220796</v>
      </c>
      <c r="I122" s="135">
        <f t="shared" si="8"/>
        <v>0.88777555110220796</v>
      </c>
      <c r="J122" s="135">
        <f t="shared" si="9"/>
        <v>0.11222444889779204</v>
      </c>
      <c r="K122" s="131">
        <f>AVERAGE(J121:J123)</f>
        <v>0.10621088444712101</v>
      </c>
      <c r="M122" s="131"/>
    </row>
    <row r="123" spans="1:13">
      <c r="A123" s="127">
        <v>3</v>
      </c>
      <c r="B123" s="140">
        <v>2.2324000000000002</v>
      </c>
      <c r="C123" s="134">
        <v>2.2269999999999999</v>
      </c>
      <c r="D123" s="141">
        <v>2.1806000000000001</v>
      </c>
      <c r="F123" s="134">
        <f t="shared" si="5"/>
        <v>4.6399999999999775E-2</v>
      </c>
      <c r="G123" s="134">
        <f t="shared" si="6"/>
        <v>5.1800000000000068E-2</v>
      </c>
      <c r="H123" s="134">
        <f t="shared" si="7"/>
        <v>0.89575289575289019</v>
      </c>
      <c r="I123" s="135">
        <f t="shared" si="8"/>
        <v>0.89575289575289019</v>
      </c>
      <c r="J123" s="135">
        <f t="shared" si="9"/>
        <v>0.10424710424710981</v>
      </c>
    </row>
    <row r="124" spans="1:13">
      <c r="A124" s="127" t="s">
        <v>113</v>
      </c>
      <c r="F124" s="134"/>
      <c r="G124" s="134"/>
      <c r="H124" s="134"/>
      <c r="I124" s="135"/>
      <c r="J124" s="135"/>
    </row>
    <row r="125" spans="1:13">
      <c r="A125" s="127">
        <v>1</v>
      </c>
      <c r="B125" s="140">
        <v>3.7505000000000002</v>
      </c>
      <c r="C125" s="134">
        <v>2.2441</v>
      </c>
      <c r="D125" s="141">
        <v>2.177</v>
      </c>
      <c r="F125" s="134">
        <f t="shared" si="5"/>
        <v>6.7099999999999937E-2</v>
      </c>
      <c r="G125" s="134">
        <f t="shared" si="6"/>
        <v>1.5735000000000001</v>
      </c>
      <c r="H125" s="134">
        <f t="shared" si="7"/>
        <v>4.2643787734350132E-2</v>
      </c>
      <c r="I125" s="135">
        <f t="shared" si="8"/>
        <v>4.2643787734350132E-2</v>
      </c>
      <c r="J125" s="135">
        <f t="shared" si="9"/>
        <v>0.95735621226564982</v>
      </c>
    </row>
    <row r="126" spans="1:13">
      <c r="A126" s="127">
        <v>2</v>
      </c>
      <c r="B126" s="140">
        <v>3.9619</v>
      </c>
      <c r="C126" s="134">
        <v>2.2808000000000002</v>
      </c>
      <c r="D126" s="141">
        <v>2.2012999999999998</v>
      </c>
      <c r="F126" s="134">
        <f t="shared" si="5"/>
        <v>7.9500000000000348E-2</v>
      </c>
      <c r="G126" s="134">
        <f t="shared" si="6"/>
        <v>1.7606000000000002</v>
      </c>
      <c r="H126" s="134">
        <f t="shared" si="7"/>
        <v>4.5155060774736078E-2</v>
      </c>
      <c r="I126" s="135">
        <f t="shared" si="8"/>
        <v>4.5155060774736078E-2</v>
      </c>
      <c r="J126" s="135">
        <f t="shared" si="9"/>
        <v>0.95484493922526392</v>
      </c>
      <c r="K126" s="131">
        <f>AVERAGE(J125:J127)</f>
        <v>0.95668441962851469</v>
      </c>
      <c r="M126" s="131">
        <f>AVERAGE(I125:I127)</f>
        <v>4.3315580371485217E-2</v>
      </c>
    </row>
    <row r="127" spans="1:13">
      <c r="A127" s="127">
        <v>3</v>
      </c>
      <c r="B127" s="140">
        <v>3.5148999999999999</v>
      </c>
      <c r="C127" s="134">
        <v>2.2376999999999998</v>
      </c>
      <c r="D127" s="141">
        <v>2.1815000000000002</v>
      </c>
      <c r="F127" s="134">
        <f t="shared" si="5"/>
        <v>5.6199999999999584E-2</v>
      </c>
      <c r="G127" s="134">
        <f t="shared" si="6"/>
        <v>1.3333999999999997</v>
      </c>
      <c r="H127" s="134">
        <f t="shared" si="7"/>
        <v>4.2147892605369427E-2</v>
      </c>
      <c r="I127" s="135">
        <f t="shared" si="8"/>
        <v>4.2147892605369427E-2</v>
      </c>
      <c r="J127" s="135">
        <f t="shared" si="9"/>
        <v>0.95785210739463056</v>
      </c>
    </row>
    <row r="128" spans="1:13">
      <c r="A128" s="127" t="s">
        <v>114</v>
      </c>
      <c r="F128" s="134"/>
      <c r="G128" s="134"/>
      <c r="H128" s="134"/>
      <c r="I128" s="135"/>
      <c r="J128" s="135"/>
    </row>
    <row r="129" spans="1:13">
      <c r="A129" s="127">
        <v>1</v>
      </c>
      <c r="B129" s="140">
        <v>2.1871</v>
      </c>
      <c r="C129" s="134">
        <v>2.1777000000000002</v>
      </c>
      <c r="D129" s="141">
        <v>2.1116999999999999</v>
      </c>
      <c r="F129" s="134">
        <f t="shared" si="5"/>
        <v>6.6000000000000281E-2</v>
      </c>
      <c r="G129" s="134">
        <f t="shared" si="6"/>
        <v>7.5400000000000134E-2</v>
      </c>
      <c r="H129" s="134">
        <f t="shared" si="7"/>
        <v>0.87533156498673959</v>
      </c>
      <c r="I129" s="135">
        <f t="shared" si="8"/>
        <v>0.87533156498673959</v>
      </c>
      <c r="J129" s="135">
        <f t="shared" si="9"/>
        <v>0.12466843501326041</v>
      </c>
    </row>
    <row r="130" spans="1:13">
      <c r="A130" s="127">
        <v>2</v>
      </c>
      <c r="B130" s="140">
        <v>2.2633999999999999</v>
      </c>
      <c r="C130" s="134">
        <v>2.2549000000000001</v>
      </c>
      <c r="D130" s="141">
        <v>2.1907999999999999</v>
      </c>
      <c r="F130" s="134">
        <f t="shared" si="5"/>
        <v>6.4100000000000268E-2</v>
      </c>
      <c r="G130" s="134">
        <f t="shared" si="6"/>
        <v>7.2599999999999998E-2</v>
      </c>
      <c r="H130" s="134">
        <f t="shared" si="7"/>
        <v>0.88292011019284122</v>
      </c>
      <c r="I130" s="135">
        <f t="shared" si="8"/>
        <v>0.88292011019284122</v>
      </c>
      <c r="J130" s="135">
        <f t="shared" si="9"/>
        <v>0.11707988980715878</v>
      </c>
      <c r="K130" s="131">
        <f>AVERAGE(J129:J131)</f>
        <v>0.11369037463916139</v>
      </c>
      <c r="M130" s="131">
        <f>AVERAGE(I129:I131)</f>
        <v>0.88630962536083857</v>
      </c>
    </row>
    <row r="131" spans="1:13">
      <c r="A131" s="127">
        <v>3</v>
      </c>
      <c r="B131" s="140">
        <v>2.2029999999999998</v>
      </c>
      <c r="C131" s="134">
        <v>2.1985999999999999</v>
      </c>
      <c r="D131" s="141">
        <v>2.1587000000000001</v>
      </c>
      <c r="F131" s="134">
        <f t="shared" si="5"/>
        <v>3.9899999999999824E-2</v>
      </c>
      <c r="G131" s="134">
        <f t="shared" si="6"/>
        <v>4.4299999999999784E-2</v>
      </c>
      <c r="H131" s="134">
        <f t="shared" si="7"/>
        <v>0.90067720090293502</v>
      </c>
      <c r="I131" s="135">
        <f t="shared" si="8"/>
        <v>0.90067720090293502</v>
      </c>
      <c r="J131" s="135">
        <f t="shared" si="9"/>
        <v>9.9322799097064984E-2</v>
      </c>
    </row>
    <row r="132" spans="1:13">
      <c r="A132" s="127" t="s">
        <v>115</v>
      </c>
      <c r="F132" s="134"/>
      <c r="G132" s="134"/>
      <c r="H132" s="134"/>
      <c r="I132" s="135"/>
      <c r="J132" s="135"/>
    </row>
    <row r="133" spans="1:13">
      <c r="A133" s="127">
        <v>1</v>
      </c>
      <c r="B133" s="140">
        <v>2.3071999999999999</v>
      </c>
      <c r="C133" s="134">
        <v>2.2991999999999999</v>
      </c>
      <c r="D133" s="141">
        <v>2.1581000000000001</v>
      </c>
      <c r="F133" s="134">
        <f t="shared" si="5"/>
        <v>0.14109999999999978</v>
      </c>
      <c r="G133" s="134">
        <f t="shared" si="6"/>
        <v>0.14909999999999979</v>
      </c>
      <c r="H133" s="134">
        <f t="shared" si="7"/>
        <v>0.94634473507712935</v>
      </c>
      <c r="I133" s="135">
        <f t="shared" si="8"/>
        <v>0.94634473507712935</v>
      </c>
      <c r="J133" s="135">
        <f t="shared" si="9"/>
        <v>5.3655264922870649E-2</v>
      </c>
    </row>
    <row r="134" spans="1:13">
      <c r="A134" s="127">
        <v>2</v>
      </c>
      <c r="B134" s="140">
        <v>2.2326999999999999</v>
      </c>
      <c r="C134" s="134">
        <v>2.2269999999999999</v>
      </c>
      <c r="D134" s="141">
        <v>2.1254</v>
      </c>
      <c r="F134" s="134">
        <f t="shared" si="5"/>
        <v>0.10159999999999991</v>
      </c>
      <c r="G134" s="134">
        <f t="shared" si="6"/>
        <v>0.10729999999999995</v>
      </c>
      <c r="H134" s="134">
        <f t="shared" si="7"/>
        <v>0.9468779123951534</v>
      </c>
      <c r="I134" s="135">
        <f t="shared" si="8"/>
        <v>0.9468779123951534</v>
      </c>
      <c r="J134" s="135">
        <f t="shared" si="9"/>
        <v>5.3122087604846602E-2</v>
      </c>
      <c r="K134" s="131">
        <f>AVERAGE(J133:J135)</f>
        <v>5.652642829828939E-2</v>
      </c>
      <c r="M134" s="131">
        <f>AVERAGE(I133:I135)</f>
        <v>0.94347357170171053</v>
      </c>
    </row>
    <row r="135" spans="1:13">
      <c r="A135" s="127">
        <v>3</v>
      </c>
      <c r="B135" s="140">
        <v>2.2881</v>
      </c>
      <c r="C135" s="134">
        <v>2.2776999999999998</v>
      </c>
      <c r="D135" s="141">
        <v>2.1225000000000001</v>
      </c>
      <c r="F135" s="134">
        <f t="shared" si="5"/>
        <v>0.15519999999999978</v>
      </c>
      <c r="G135" s="134">
        <f t="shared" si="6"/>
        <v>0.16559999999999997</v>
      </c>
      <c r="H135" s="134">
        <f t="shared" si="7"/>
        <v>0.93719806763284907</v>
      </c>
      <c r="I135" s="135">
        <f t="shared" si="8"/>
        <v>0.93719806763284907</v>
      </c>
      <c r="J135" s="135">
        <f t="shared" si="9"/>
        <v>6.2801932367150926E-2</v>
      </c>
    </row>
  </sheetData>
  <mergeCells count="1">
    <mergeCell ref="A23:C2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G67" sqref="G67"/>
    </sheetView>
  </sheetViews>
  <sheetFormatPr baseColWidth="10" defaultColWidth="8.83203125" defaultRowHeight="14" x14ac:dyDescent="0"/>
  <cols>
    <col min="1" max="1" width="11" style="127" customWidth="1"/>
    <col min="2" max="16384" width="8.83203125" style="127"/>
  </cols>
  <sheetData>
    <row r="1" spans="1:15">
      <c r="A1" s="127" t="s">
        <v>116</v>
      </c>
      <c r="B1" s="143" t="s">
        <v>117</v>
      </c>
      <c r="C1" s="127" t="s">
        <v>118</v>
      </c>
      <c r="D1" s="127" t="s">
        <v>119</v>
      </c>
      <c r="E1" s="127" t="s">
        <v>120</v>
      </c>
      <c r="F1" s="127" t="s">
        <v>121</v>
      </c>
      <c r="H1" s="127" t="s">
        <v>87</v>
      </c>
      <c r="I1" s="144" t="s">
        <v>122</v>
      </c>
      <c r="J1" s="144" t="s">
        <v>123</v>
      </c>
      <c r="L1" s="127" t="s">
        <v>124</v>
      </c>
    </row>
    <row r="2" spans="1:15">
      <c r="A2" s="127" t="s">
        <v>125</v>
      </c>
      <c r="B2" s="127">
        <v>73.400000000000006</v>
      </c>
      <c r="C2" s="127">
        <v>72.7</v>
      </c>
      <c r="D2" s="127">
        <f>B2-C2</f>
        <v>0.70000000000000284</v>
      </c>
      <c r="E2" s="127">
        <v>72.400000000000006</v>
      </c>
      <c r="F2" s="145">
        <f>D2/(B2-E2)</f>
        <v>0.70000000000000284</v>
      </c>
      <c r="I2" s="142">
        <v>51.4</v>
      </c>
      <c r="J2" s="142">
        <v>50.6</v>
      </c>
      <c r="K2" s="142">
        <f>I2-J2</f>
        <v>0.79999999999999716</v>
      </c>
      <c r="L2" s="127">
        <v>50.3</v>
      </c>
      <c r="M2" s="145">
        <f>K2/(I2-L2)</f>
        <v>0.72727272727272374</v>
      </c>
    </row>
    <row r="3" spans="1:15">
      <c r="A3" s="127" t="s">
        <v>126</v>
      </c>
      <c r="B3" s="127">
        <v>51.1</v>
      </c>
      <c r="C3" s="127">
        <v>50.3</v>
      </c>
      <c r="D3" s="127">
        <f>B3-C3</f>
        <v>0.80000000000000426</v>
      </c>
      <c r="E3" s="127">
        <v>50.1</v>
      </c>
      <c r="F3" s="145">
        <f>D3/(B3-E3)</f>
        <v>0.80000000000000426</v>
      </c>
      <c r="M3" s="145"/>
    </row>
    <row r="4" spans="1:15">
      <c r="A4" s="127" t="s">
        <v>125</v>
      </c>
      <c r="B4" s="127">
        <v>51.8</v>
      </c>
      <c r="C4" s="127">
        <v>51.1</v>
      </c>
      <c r="D4" s="127">
        <f>B4-C4</f>
        <v>0.69999999999999574</v>
      </c>
      <c r="E4" s="127">
        <v>50.8</v>
      </c>
      <c r="F4" s="145">
        <f>D4/(B4-E4)</f>
        <v>0.69999999999999574</v>
      </c>
      <c r="I4" s="142">
        <v>49.8</v>
      </c>
      <c r="J4" s="142">
        <v>49</v>
      </c>
      <c r="K4" s="142">
        <f>I4-J4</f>
        <v>0.79999999999999716</v>
      </c>
      <c r="L4" s="127">
        <v>48.6</v>
      </c>
      <c r="M4" s="145">
        <f>K4/(I4-L4)</f>
        <v>0.66666666666666663</v>
      </c>
    </row>
    <row r="5" spans="1:15">
      <c r="A5" s="127" t="s">
        <v>127</v>
      </c>
      <c r="B5" s="127">
        <v>58.1</v>
      </c>
      <c r="C5" s="127">
        <v>57.3</v>
      </c>
      <c r="D5" s="127">
        <f>B5-C5</f>
        <v>0.80000000000000426</v>
      </c>
      <c r="E5" s="127">
        <v>57.2</v>
      </c>
      <c r="F5" s="145">
        <f>D5/(B5-E5)</f>
        <v>0.88888888888889506</v>
      </c>
      <c r="G5" s="146"/>
      <c r="M5" s="145"/>
      <c r="O5" s="147">
        <f>AVERAGE(M2,M4,M7,M9)</f>
        <v>0.71122994652406246</v>
      </c>
    </row>
    <row r="6" spans="1:15">
      <c r="F6" s="145"/>
      <c r="G6" s="147">
        <f>AVERAGE(F2,F3,F4,F5,F7,F9,F10,F11,)</f>
        <v>0.66405299491762659</v>
      </c>
      <c r="M6" s="145"/>
    </row>
    <row r="7" spans="1:15">
      <c r="A7" s="127" t="s">
        <v>127</v>
      </c>
      <c r="B7" s="127">
        <v>48.7</v>
      </c>
      <c r="C7" s="127">
        <v>47.9</v>
      </c>
      <c r="D7" s="127">
        <f>B7-C7</f>
        <v>0.80000000000000426</v>
      </c>
      <c r="E7" s="127">
        <v>47.7</v>
      </c>
      <c r="F7" s="145">
        <f>D7/(B7-E7)</f>
        <v>0.80000000000000426</v>
      </c>
      <c r="G7" s="146"/>
      <c r="I7" s="142">
        <v>51.9</v>
      </c>
      <c r="J7" s="142">
        <v>51.1</v>
      </c>
      <c r="K7" s="142">
        <f>I7-J7</f>
        <v>0.79999999999999716</v>
      </c>
      <c r="L7" s="127">
        <v>50.8</v>
      </c>
      <c r="M7" s="145">
        <f>K7/(I7-L7)</f>
        <v>0.72727272727272374</v>
      </c>
    </row>
    <row r="8" spans="1:15">
      <c r="F8" s="145"/>
      <c r="G8" s="146"/>
      <c r="M8" s="145"/>
    </row>
    <row r="9" spans="1:15">
      <c r="A9" s="127" t="s">
        <v>127</v>
      </c>
      <c r="B9" s="127">
        <v>1.4778</v>
      </c>
      <c r="C9" s="127">
        <v>1.3484</v>
      </c>
      <c r="D9" s="127">
        <f>B9-C9</f>
        <v>0.12939999999999996</v>
      </c>
      <c r="E9" s="127">
        <v>1.2878000000000001</v>
      </c>
      <c r="F9" s="145">
        <f>D9/(B9-E9)</f>
        <v>0.68105263157894735</v>
      </c>
      <c r="G9" s="146"/>
      <c r="I9" s="142">
        <v>1.4</v>
      </c>
      <c r="J9" s="142">
        <v>1.3188</v>
      </c>
      <c r="K9" s="142">
        <f>I9-J9</f>
        <v>8.1199999999999939E-2</v>
      </c>
      <c r="L9" s="127">
        <v>1.2878000000000001</v>
      </c>
      <c r="M9" s="145">
        <f>K9/(I9-L9)</f>
        <v>0.72370766488413585</v>
      </c>
    </row>
    <row r="10" spans="1:15">
      <c r="B10" s="127">
        <v>1.4952000000000001</v>
      </c>
      <c r="C10" s="127">
        <v>1.349</v>
      </c>
      <c r="D10" s="127">
        <f>B10-C10</f>
        <v>0.14620000000000011</v>
      </c>
      <c r="E10" s="127">
        <v>1.2878000000000001</v>
      </c>
      <c r="F10" s="145">
        <f>D10/(B10-E10)</f>
        <v>0.7049180327868857</v>
      </c>
      <c r="G10" s="146"/>
      <c r="K10" s="142"/>
      <c r="M10" s="145"/>
    </row>
    <row r="11" spans="1:15">
      <c r="B11" s="127">
        <v>1.4671000000000001</v>
      </c>
      <c r="C11" s="127">
        <v>1.3412999999999999</v>
      </c>
      <c r="D11" s="127">
        <f>B11-C11</f>
        <v>0.12580000000000013</v>
      </c>
      <c r="E11" s="127">
        <v>1.2878000000000001</v>
      </c>
      <c r="F11" s="145">
        <f>D11/(B11-E11)</f>
        <v>0.70161740100390479</v>
      </c>
      <c r="G11" s="146"/>
    </row>
    <row r="12" spans="1:15">
      <c r="A12" s="138">
        <v>40357</v>
      </c>
      <c r="F12" s="145"/>
      <c r="G12" s="146"/>
    </row>
    <row r="13" spans="1:15">
      <c r="A13" s="127" t="s">
        <v>128</v>
      </c>
      <c r="B13" s="127">
        <v>51.78</v>
      </c>
      <c r="C13" s="127">
        <v>50.07</v>
      </c>
      <c r="D13" s="127">
        <f>B13-C13</f>
        <v>1.7100000000000009</v>
      </c>
      <c r="E13" s="127">
        <v>49.8</v>
      </c>
      <c r="F13" s="145">
        <f>D13/(B13-E13)</f>
        <v>0.86363636363636231</v>
      </c>
      <c r="G13" s="146"/>
    </row>
    <row r="14" spans="1:15">
      <c r="A14" s="138">
        <v>40362</v>
      </c>
      <c r="F14" s="145"/>
      <c r="G14" s="146"/>
    </row>
    <row r="15" spans="1:15">
      <c r="A15" s="127" t="s">
        <v>129</v>
      </c>
      <c r="B15" s="127">
        <v>52.29</v>
      </c>
      <c r="C15" s="127">
        <v>50.49</v>
      </c>
      <c r="D15" s="127">
        <f t="shared" ref="D15:D35" si="0">B15-C15</f>
        <v>1.7999999999999972</v>
      </c>
      <c r="E15" s="127">
        <v>49.96</v>
      </c>
      <c r="F15" s="145">
        <f t="shared" ref="F15:F35" si="1">D15/(B15-E15)</f>
        <v>0.77253218884120112</v>
      </c>
      <c r="G15" s="146"/>
    </row>
    <row r="16" spans="1:15">
      <c r="A16" s="138">
        <v>40371</v>
      </c>
      <c r="F16" s="145"/>
      <c r="G16" s="146"/>
    </row>
    <row r="17" spans="1:7">
      <c r="A17" s="127" t="s">
        <v>130</v>
      </c>
      <c r="B17" s="127">
        <v>52.89</v>
      </c>
      <c r="C17" s="127">
        <v>51.29</v>
      </c>
      <c r="D17" s="127">
        <f t="shared" si="0"/>
        <v>1.6000000000000014</v>
      </c>
      <c r="E17" s="127">
        <v>50.82</v>
      </c>
      <c r="F17" s="145">
        <f t="shared" si="1"/>
        <v>0.77294685990338219</v>
      </c>
      <c r="G17" s="146"/>
    </row>
    <row r="18" spans="1:7">
      <c r="A18" s="138">
        <v>40373</v>
      </c>
      <c r="F18" s="145"/>
      <c r="G18" s="146"/>
    </row>
    <row r="19" spans="1:7">
      <c r="A19" s="127" t="s">
        <v>131</v>
      </c>
      <c r="B19" s="127">
        <v>2.96</v>
      </c>
      <c r="C19" s="127">
        <v>1.71</v>
      </c>
      <c r="D19" s="127">
        <f t="shared" si="0"/>
        <v>1.25</v>
      </c>
      <c r="E19" s="127">
        <v>1.3</v>
      </c>
      <c r="F19" s="145">
        <f t="shared" si="1"/>
        <v>0.75301204819277112</v>
      </c>
      <c r="G19" s="146"/>
    </row>
    <row r="20" spans="1:7">
      <c r="A20" s="138">
        <v>40378</v>
      </c>
      <c r="F20" s="145"/>
      <c r="G20" s="146"/>
    </row>
    <row r="21" spans="1:7">
      <c r="A21" s="127" t="s">
        <v>132</v>
      </c>
      <c r="B21" s="127">
        <v>51.93</v>
      </c>
      <c r="C21" s="127">
        <v>50.45</v>
      </c>
      <c r="D21" s="127">
        <f t="shared" si="0"/>
        <v>1.4799999999999969</v>
      </c>
      <c r="E21" s="127">
        <v>49.9</v>
      </c>
      <c r="F21" s="145">
        <f t="shared" si="1"/>
        <v>0.72906403940886499</v>
      </c>
      <c r="G21" s="146"/>
    </row>
    <row r="22" spans="1:7">
      <c r="A22" s="138">
        <v>40401</v>
      </c>
      <c r="F22" s="145"/>
      <c r="G22" s="146"/>
    </row>
    <row r="23" spans="1:7">
      <c r="A23" s="127" t="s">
        <v>133</v>
      </c>
      <c r="B23" s="127">
        <v>51.72</v>
      </c>
      <c r="C23" s="127">
        <v>50.18</v>
      </c>
      <c r="D23" s="127">
        <f t="shared" si="0"/>
        <v>1.5399999999999991</v>
      </c>
      <c r="E23" s="127">
        <v>49.53</v>
      </c>
      <c r="F23" s="145">
        <f t="shared" si="1"/>
        <v>0.70319634703196376</v>
      </c>
      <c r="G23" s="146"/>
    </row>
    <row r="24" spans="1:7">
      <c r="A24" s="138">
        <v>40403</v>
      </c>
      <c r="F24" s="145"/>
      <c r="G24" s="146"/>
    </row>
    <row r="25" spans="1:7">
      <c r="A25" s="127" t="s">
        <v>131</v>
      </c>
      <c r="B25" s="127">
        <v>4.0876000000000001</v>
      </c>
      <c r="C25" s="127">
        <v>2.82</v>
      </c>
      <c r="D25" s="127">
        <f t="shared" si="0"/>
        <v>1.2676000000000003</v>
      </c>
      <c r="E25" s="127">
        <v>2.1600999999999999</v>
      </c>
      <c r="F25" s="145">
        <f t="shared" si="1"/>
        <v>0.65763942931258113</v>
      </c>
      <c r="G25" s="146"/>
    </row>
    <row r="26" spans="1:7">
      <c r="A26" s="138">
        <v>40408</v>
      </c>
      <c r="F26" s="145"/>
      <c r="G26" s="146"/>
    </row>
    <row r="27" spans="1:7">
      <c r="A27" s="127" t="s">
        <v>134</v>
      </c>
      <c r="B27" s="127">
        <v>51.02</v>
      </c>
      <c r="C27" s="127">
        <v>50.1</v>
      </c>
      <c r="D27" s="127">
        <f t="shared" si="0"/>
        <v>0.92000000000000171</v>
      </c>
      <c r="E27" s="127">
        <v>49.7</v>
      </c>
      <c r="F27" s="145">
        <f t="shared" si="1"/>
        <v>0.69696969696969813</v>
      </c>
      <c r="G27" s="146"/>
    </row>
    <row r="28" spans="1:7">
      <c r="A28" s="138">
        <v>40410</v>
      </c>
      <c r="F28" s="145"/>
      <c r="G28" s="146"/>
    </row>
    <row r="29" spans="1:7">
      <c r="A29" s="127" t="s">
        <v>135</v>
      </c>
      <c r="B29" s="127">
        <v>53.18</v>
      </c>
      <c r="C29" s="127">
        <v>50.95</v>
      </c>
      <c r="D29" s="127">
        <f t="shared" si="0"/>
        <v>2.2299999999999969</v>
      </c>
      <c r="E29" s="127">
        <v>49.99</v>
      </c>
      <c r="F29" s="145">
        <f t="shared" si="1"/>
        <v>0.69905956112852619</v>
      </c>
      <c r="G29" s="146"/>
    </row>
    <row r="30" spans="1:7">
      <c r="A30" s="138">
        <v>40420</v>
      </c>
      <c r="F30" s="145"/>
      <c r="G30" s="146"/>
    </row>
    <row r="31" spans="1:7">
      <c r="A31" s="127" t="s">
        <v>135</v>
      </c>
      <c r="B31" s="127">
        <v>52.19</v>
      </c>
      <c r="C31" s="127">
        <v>50.15</v>
      </c>
      <c r="D31" s="127">
        <f t="shared" si="0"/>
        <v>2.0399999999999991</v>
      </c>
      <c r="E31" s="127">
        <v>49.31</v>
      </c>
      <c r="F31" s="145">
        <f t="shared" si="1"/>
        <v>0.70833333333333415</v>
      </c>
      <c r="G31" s="146"/>
    </row>
    <row r="32" spans="1:7">
      <c r="A32" s="138">
        <v>40422</v>
      </c>
      <c r="F32" s="145"/>
      <c r="G32" s="146"/>
    </row>
    <row r="33" spans="1:12">
      <c r="A33" s="127" t="s">
        <v>136</v>
      </c>
      <c r="B33" s="127">
        <v>53.16</v>
      </c>
      <c r="C33" s="127">
        <v>50.77</v>
      </c>
      <c r="D33" s="127">
        <f t="shared" si="0"/>
        <v>2.3899999999999935</v>
      </c>
      <c r="E33" s="127">
        <v>49.71</v>
      </c>
      <c r="F33" s="145">
        <f t="shared" si="1"/>
        <v>0.69275362318840472</v>
      </c>
      <c r="G33" s="146"/>
    </row>
    <row r="34" spans="1:12">
      <c r="A34" s="138">
        <v>40428</v>
      </c>
      <c r="F34" s="145"/>
      <c r="G34" s="146"/>
      <c r="I34" s="145">
        <f>AVERAGE(F41,F42,F43,F35,F33,F31,F29,F27,F23,F21,F17,F15,F13,)</f>
        <v>0.68106877697193668</v>
      </c>
    </row>
    <row r="35" spans="1:12">
      <c r="A35" s="127" t="s">
        <v>137</v>
      </c>
      <c r="B35" s="127">
        <v>52.36</v>
      </c>
      <c r="C35" s="127">
        <v>50.25</v>
      </c>
      <c r="D35" s="127">
        <f t="shared" si="0"/>
        <v>2.1099999999999994</v>
      </c>
      <c r="E35" s="127">
        <v>49.3</v>
      </c>
      <c r="F35" s="145">
        <f t="shared" si="1"/>
        <v>0.68954248366013005</v>
      </c>
      <c r="G35" s="146"/>
    </row>
    <row r="36" spans="1:12">
      <c r="A36" s="138">
        <v>40422</v>
      </c>
      <c r="F36" s="145"/>
    </row>
    <row r="37" spans="1:12">
      <c r="A37" s="127" t="s">
        <v>109</v>
      </c>
      <c r="B37" s="127">
        <v>1.4664999999999999</v>
      </c>
      <c r="C37" s="127">
        <v>1.3626</v>
      </c>
      <c r="D37" s="127">
        <f t="shared" ref="D37:D46" si="2">B37-C37</f>
        <v>0.10389999999999988</v>
      </c>
      <c r="E37" s="127">
        <v>1.3216000000000001</v>
      </c>
      <c r="F37" s="145">
        <f t="shared" ref="F37:F50" si="3">D37/(B37-E37)</f>
        <v>0.71704623878536933</v>
      </c>
    </row>
    <row r="38" spans="1:12">
      <c r="B38" s="127">
        <v>1.3895</v>
      </c>
      <c r="C38" s="127">
        <v>1.339</v>
      </c>
      <c r="D38" s="127">
        <f t="shared" si="2"/>
        <v>5.0499999999999989E-2</v>
      </c>
      <c r="E38" s="127">
        <v>1.3207</v>
      </c>
      <c r="F38" s="145">
        <f t="shared" si="3"/>
        <v>0.73401162790697694</v>
      </c>
    </row>
    <row r="39" spans="1:12">
      <c r="A39" s="127" t="s">
        <v>108</v>
      </c>
      <c r="B39" s="127">
        <v>1.5680000000000001</v>
      </c>
      <c r="C39" s="127">
        <v>1.4081999999999999</v>
      </c>
      <c r="D39" s="127">
        <f t="shared" si="2"/>
        <v>0.15980000000000016</v>
      </c>
      <c r="E39" s="127">
        <v>1.3303</v>
      </c>
      <c r="F39" s="145">
        <f t="shared" si="3"/>
        <v>0.67227597812368589</v>
      </c>
    </row>
    <row r="40" spans="1:12">
      <c r="A40" s="138">
        <v>40442</v>
      </c>
      <c r="F40" s="145"/>
    </row>
    <row r="41" spans="1:12">
      <c r="A41" s="127" t="s">
        <v>138</v>
      </c>
      <c r="B41" s="127">
        <v>2.6112000000000002</v>
      </c>
      <c r="C41" s="127">
        <v>2.3090000000000002</v>
      </c>
      <c r="D41" s="127">
        <f t="shared" si="2"/>
        <v>0.30220000000000002</v>
      </c>
      <c r="E41" s="127">
        <v>2.1875</v>
      </c>
      <c r="F41" s="145">
        <f t="shared" si="3"/>
        <v>0.71324050035402387</v>
      </c>
    </row>
    <row r="42" spans="1:12">
      <c r="A42" s="127" t="s">
        <v>139</v>
      </c>
      <c r="B42" s="127">
        <v>2.5962000000000001</v>
      </c>
      <c r="C42" s="127">
        <v>2.2765</v>
      </c>
      <c r="D42" s="127">
        <f t="shared" si="2"/>
        <v>0.3197000000000001</v>
      </c>
      <c r="E42" s="127">
        <v>2.1579000000000002</v>
      </c>
      <c r="F42" s="145">
        <f t="shared" si="3"/>
        <v>0.72940908053844433</v>
      </c>
    </row>
    <row r="43" spans="1:12">
      <c r="A43" s="127" t="s">
        <v>140</v>
      </c>
      <c r="B43" s="127">
        <v>2.4047000000000001</v>
      </c>
      <c r="C43" s="127">
        <v>2.2467999999999999</v>
      </c>
      <c r="D43" s="127">
        <f t="shared" si="2"/>
        <v>0.15790000000000015</v>
      </c>
      <c r="E43" s="127">
        <v>2.1981000000000002</v>
      </c>
      <c r="F43" s="145">
        <f t="shared" si="3"/>
        <v>0.76427879961277945</v>
      </c>
    </row>
    <row r="44" spans="1:12">
      <c r="A44" s="138">
        <v>40446</v>
      </c>
      <c r="F44" s="145"/>
    </row>
    <row r="45" spans="1:12">
      <c r="A45" s="127" t="s">
        <v>141</v>
      </c>
      <c r="B45" s="127">
        <v>2.5043000000000002</v>
      </c>
      <c r="C45" s="127">
        <v>2.2847</v>
      </c>
      <c r="D45" s="127">
        <f t="shared" si="2"/>
        <v>0.21960000000000024</v>
      </c>
      <c r="E45" s="127">
        <v>2.2000000000000002</v>
      </c>
      <c r="F45" s="145">
        <f t="shared" si="3"/>
        <v>0.72165626026947172</v>
      </c>
      <c r="L45" s="127">
        <f>22.4/64</f>
        <v>0.35</v>
      </c>
    </row>
    <row r="46" spans="1:12">
      <c r="A46" s="127" t="s">
        <v>89</v>
      </c>
      <c r="B46" s="127">
        <v>2.4533</v>
      </c>
      <c r="C46" s="127">
        <v>2.2907999999999999</v>
      </c>
      <c r="D46" s="127">
        <f t="shared" si="2"/>
        <v>0.16250000000000009</v>
      </c>
      <c r="E46" s="127">
        <v>2.2000000000000002</v>
      </c>
      <c r="F46" s="145">
        <f t="shared" si="3"/>
        <v>0.64153178049743453</v>
      </c>
    </row>
    <row r="47" spans="1:12">
      <c r="A47" s="127" t="s">
        <v>89</v>
      </c>
      <c r="B47" s="127">
        <v>2.4298999999999999</v>
      </c>
      <c r="C47" s="127">
        <v>2.2717999999999998</v>
      </c>
      <c r="D47" s="127">
        <f>B47-C47</f>
        <v>0.15810000000000013</v>
      </c>
      <c r="E47" s="127">
        <v>2.2000000000000002</v>
      </c>
      <c r="F47" s="145">
        <f t="shared" si="3"/>
        <v>0.68769030013049282</v>
      </c>
    </row>
    <row r="48" spans="1:12">
      <c r="A48" s="138">
        <v>40455</v>
      </c>
      <c r="F48" s="145"/>
    </row>
    <row r="49" spans="1:6">
      <c r="A49" s="127" t="s">
        <v>141</v>
      </c>
      <c r="B49" s="127">
        <v>3</v>
      </c>
      <c r="C49" s="127">
        <v>2.5</v>
      </c>
      <c r="D49" s="127">
        <f t="shared" ref="D49:D50" si="4">B49-C49</f>
        <v>0.5</v>
      </c>
      <c r="E49" s="127">
        <v>2.2000000000000002</v>
      </c>
      <c r="F49" s="145">
        <f t="shared" si="3"/>
        <v>0.62500000000000011</v>
      </c>
    </row>
    <row r="50" spans="1:6">
      <c r="B50" s="127">
        <v>2.8</v>
      </c>
      <c r="C50" s="127">
        <v>2.2999999999999998</v>
      </c>
      <c r="D50" s="127">
        <f t="shared" si="4"/>
        <v>0.5</v>
      </c>
      <c r="E50" s="127">
        <v>2.1</v>
      </c>
      <c r="F50" s="145">
        <f t="shared" si="3"/>
        <v>0.71428571428571452</v>
      </c>
    </row>
  </sheetData>
  <hyperlinks>
    <hyperlink ref="B1" r:id="rId1"/>
    <hyperlink ref="I1" r:id="rId2"/>
    <hyperlink ref="J1" r:id="rId3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A1:U170"/>
  <sheetViews>
    <sheetView topLeftCell="C135" zoomScale="80" zoomScaleNormal="80" zoomScalePageLayoutView="80" workbookViewId="0">
      <selection activeCell="I1" sqref="I1"/>
    </sheetView>
  </sheetViews>
  <sheetFormatPr baseColWidth="10" defaultColWidth="8.83203125" defaultRowHeight="13" x14ac:dyDescent="0"/>
  <cols>
    <col min="1" max="1" width="23.5" style="148" customWidth="1"/>
    <col min="2" max="2" width="8.83203125" style="148"/>
    <col min="3" max="5" width="11.33203125" style="154" customWidth="1"/>
    <col min="6" max="6" width="11.5" style="154" customWidth="1"/>
    <col min="7" max="7" width="13.1640625" style="154" customWidth="1"/>
    <col min="8" max="8" width="8.83203125" style="148"/>
    <col min="9" max="9" width="12.6640625" style="151" customWidth="1"/>
    <col min="10" max="10" width="12" style="151" customWidth="1"/>
    <col min="11" max="18" width="8.83203125" style="151"/>
    <col min="19" max="20" width="17" style="148" customWidth="1"/>
    <col min="21" max="16384" width="8.83203125" style="148"/>
  </cols>
  <sheetData>
    <row r="1" spans="1:21" ht="39">
      <c r="C1" s="149" t="s">
        <v>142</v>
      </c>
      <c r="D1" s="149"/>
      <c r="E1" s="149"/>
      <c r="F1" s="149" t="s">
        <v>143</v>
      </c>
      <c r="G1" s="149" t="s">
        <v>144</v>
      </c>
      <c r="I1" s="150" t="s">
        <v>145</v>
      </c>
      <c r="J1" s="150" t="s">
        <v>146</v>
      </c>
      <c r="K1" s="150" t="s">
        <v>147</v>
      </c>
      <c r="M1" s="149" t="s">
        <v>148</v>
      </c>
      <c r="N1" s="152" t="s">
        <v>149</v>
      </c>
      <c r="O1" s="152" t="s">
        <v>150</v>
      </c>
      <c r="P1" s="152" t="s">
        <v>151</v>
      </c>
    </row>
    <row r="2" spans="1:21">
      <c r="C2" s="153">
        <v>9.5999999999999992E-3</v>
      </c>
      <c r="D2" s="153"/>
      <c r="E2" s="153"/>
      <c r="F2" s="154">
        <v>1.75</v>
      </c>
      <c r="G2" s="154">
        <f>F2*C2</f>
        <v>1.6799999999999999E-2</v>
      </c>
      <c r="I2" s="151">
        <v>38.06</v>
      </c>
      <c r="J2" s="151">
        <v>0.1</v>
      </c>
      <c r="K2" s="151">
        <f>J2*I2/1000</f>
        <v>3.8060000000000004E-3</v>
      </c>
      <c r="M2" s="151">
        <v>7.6E-3</v>
      </c>
      <c r="N2" s="154">
        <v>9685.2300242130841</v>
      </c>
      <c r="O2" s="151">
        <v>0.1</v>
      </c>
      <c r="P2" s="151">
        <f>O2*N2/1000*M2</f>
        <v>7.3607748184019439E-3</v>
      </c>
      <c r="R2" s="151">
        <f>P2+K2</f>
        <v>1.1166774818401944E-2</v>
      </c>
    </row>
    <row r="4" spans="1:21">
      <c r="B4" s="155" t="s">
        <v>152</v>
      </c>
    </row>
    <row r="5" spans="1:21">
      <c r="J5" s="151">
        <f>2.33/2</f>
        <v>1.165</v>
      </c>
      <c r="P5" s="151">
        <f>G2-R2</f>
        <v>5.6332251815980547E-3</v>
      </c>
      <c r="R5" s="151">
        <v>2</v>
      </c>
    </row>
    <row r="6" spans="1:21">
      <c r="T6" s="156"/>
    </row>
    <row r="7" spans="1:21">
      <c r="A7" s="148" t="s">
        <v>153</v>
      </c>
      <c r="B7" s="148">
        <f>6.5/7</f>
        <v>0.9285714285714286</v>
      </c>
      <c r="G7" s="154">
        <f>(G2-R2)/G2</f>
        <v>0.33531102271416996</v>
      </c>
      <c r="H7" s="155" t="s">
        <v>154</v>
      </c>
      <c r="P7" s="151">
        <f>P5/0.0076</f>
        <v>0.7412138396839546</v>
      </c>
      <c r="S7" s="148">
        <f>3/2</f>
        <v>1.5</v>
      </c>
    </row>
    <row r="8" spans="1:21">
      <c r="B8" s="148">
        <f>B7/100</f>
        <v>9.285714285714286E-3</v>
      </c>
      <c r="G8" s="154">
        <f>96-96</f>
        <v>0</v>
      </c>
      <c r="H8" s="148">
        <f>G8/100</f>
        <v>0</v>
      </c>
    </row>
    <row r="9" spans="1:21">
      <c r="G9" s="154">
        <f>G8/15</f>
        <v>0</v>
      </c>
      <c r="H9" s="148">
        <f>H8/41</f>
        <v>0</v>
      </c>
      <c r="I9" s="151">
        <f>H8/6</f>
        <v>0</v>
      </c>
      <c r="J9" s="151">
        <f>H8/10</f>
        <v>0</v>
      </c>
      <c r="K9" s="151">
        <f>H8/6</f>
        <v>0</v>
      </c>
      <c r="L9" s="151">
        <f>H8/17</f>
        <v>0</v>
      </c>
      <c r="M9" s="151">
        <f>H8/82</f>
        <v>0</v>
      </c>
      <c r="R9" s="157" t="s">
        <v>155</v>
      </c>
      <c r="S9" s="155" t="s">
        <v>156</v>
      </c>
      <c r="T9" s="155" t="s">
        <v>157</v>
      </c>
      <c r="U9" s="155" t="s">
        <v>158</v>
      </c>
    </row>
    <row r="10" spans="1:21">
      <c r="D10" s="154" t="s">
        <v>159</v>
      </c>
      <c r="E10" s="154" t="s">
        <v>160</v>
      </c>
      <c r="F10" s="154" t="s">
        <v>161</v>
      </c>
      <c r="M10" s="158"/>
    </row>
    <row r="11" spans="1:21" s="159" customFormat="1">
      <c r="A11" s="159" t="s">
        <v>162</v>
      </c>
      <c r="B11" s="159">
        <v>1</v>
      </c>
      <c r="C11" s="160">
        <v>0</v>
      </c>
      <c r="D11" s="160">
        <v>0.96</v>
      </c>
      <c r="E11" s="160">
        <f>1/(1-$D$11)</f>
        <v>24.999999999999979</v>
      </c>
      <c r="F11" s="161">
        <v>1</v>
      </c>
      <c r="G11" s="162">
        <f t="shared" ref="G11:G74" si="0">F11*C11</f>
        <v>0</v>
      </c>
      <c r="I11" s="163">
        <v>50.5</v>
      </c>
      <c r="J11" s="163">
        <v>0.1</v>
      </c>
      <c r="K11" s="164">
        <v>0</v>
      </c>
      <c r="L11" s="163"/>
      <c r="M11" s="165">
        <v>8.3825115396700452E-3</v>
      </c>
      <c r="N11" s="166">
        <v>4607.8000534033099</v>
      </c>
      <c r="O11" s="163">
        <v>0.1</v>
      </c>
      <c r="P11" s="163">
        <v>0</v>
      </c>
      <c r="Q11" s="163"/>
      <c r="R11" s="163">
        <f t="shared" ref="R11:R74" si="1">G11-(K11+P11)</f>
        <v>0</v>
      </c>
      <c r="S11" s="167" t="e">
        <f t="shared" ref="S11:S74" si="2">R11/G11*100</f>
        <v>#DIV/0!</v>
      </c>
      <c r="T11" s="167">
        <v>0</v>
      </c>
      <c r="U11" s="159">
        <f>R11*T11</f>
        <v>0</v>
      </c>
    </row>
    <row r="12" spans="1:21" s="168" customFormat="1">
      <c r="A12" s="168">
        <v>14</v>
      </c>
      <c r="C12" s="169">
        <v>9.285714285714286E-3</v>
      </c>
      <c r="D12" s="169">
        <f>D11-($M$9*T12)</f>
        <v>0.96</v>
      </c>
      <c r="E12" s="169">
        <f t="shared" ref="E12:E26" si="3">1/(1-$D$11)</f>
        <v>24.999999999999979</v>
      </c>
      <c r="F12" s="170">
        <f>(1-D12)*E12</f>
        <v>1</v>
      </c>
      <c r="G12" s="171">
        <f t="shared" si="0"/>
        <v>9.285714285714286E-3</v>
      </c>
      <c r="I12" s="172">
        <v>50.5</v>
      </c>
      <c r="J12" s="172">
        <v>0.1</v>
      </c>
      <c r="K12" s="173">
        <f t="shared" ref="K12:K75" si="4">J12*I12/1000</f>
        <v>5.0500000000000007E-3</v>
      </c>
      <c r="L12" s="172"/>
      <c r="M12" s="174">
        <v>8.3825115396700452E-3</v>
      </c>
      <c r="N12" s="175">
        <v>5113.5201472693798</v>
      </c>
      <c r="O12" s="172">
        <v>0.1</v>
      </c>
      <c r="P12" s="172">
        <f t="shared" ref="P12:P75" si="5">O12*N12/1000*M12</f>
        <v>4.286414164282085E-3</v>
      </c>
      <c r="Q12" s="172"/>
      <c r="R12" s="172">
        <f t="shared" si="1"/>
        <v>-5.0699878567799644E-5</v>
      </c>
      <c r="S12" s="176">
        <f t="shared" si="2"/>
        <v>-0.54599869226861153</v>
      </c>
      <c r="T12" s="176">
        <v>1</v>
      </c>
      <c r="U12" s="168">
        <f t="shared" ref="U12:U26" si="6">R12*T12</f>
        <v>-5.0699878567799644E-5</v>
      </c>
    </row>
    <row r="13" spans="1:21" s="168" customFormat="1">
      <c r="A13" s="168">
        <v>17</v>
      </c>
      <c r="C13" s="169">
        <v>9.285714285714286E-3</v>
      </c>
      <c r="D13" s="169">
        <f t="shared" ref="D13:D26" si="7">D12-($M$9*T13)</f>
        <v>0.96</v>
      </c>
      <c r="E13" s="169">
        <f t="shared" si="3"/>
        <v>24.999999999999979</v>
      </c>
      <c r="F13" s="170">
        <f t="shared" ref="F13:F26" si="8">(1-D13)*E13</f>
        <v>1</v>
      </c>
      <c r="G13" s="171">
        <f t="shared" si="0"/>
        <v>9.285714285714286E-3</v>
      </c>
      <c r="I13" s="172">
        <v>50.5</v>
      </c>
      <c r="J13" s="172">
        <v>0.1</v>
      </c>
      <c r="K13" s="173">
        <f t="shared" si="4"/>
        <v>5.0500000000000007E-3</v>
      </c>
      <c r="L13" s="172"/>
      <c r="M13" s="174">
        <v>8.3825115396700452E-3</v>
      </c>
      <c r="N13" s="175">
        <v>5228.0881599179702</v>
      </c>
      <c r="O13" s="172">
        <v>0.1</v>
      </c>
      <c r="P13" s="172">
        <f t="shared" si="5"/>
        <v>4.3824509330924726E-3</v>
      </c>
      <c r="Q13" s="172"/>
      <c r="R13" s="172">
        <f t="shared" si="1"/>
        <v>-1.4673664737818726E-4</v>
      </c>
      <c r="S13" s="176">
        <f t="shared" si="2"/>
        <v>-1.5802408179189396</v>
      </c>
      <c r="T13" s="176">
        <f>A13-A12</f>
        <v>3</v>
      </c>
      <c r="U13" s="168">
        <f t="shared" si="6"/>
        <v>-4.4020994213456177E-4</v>
      </c>
    </row>
    <row r="14" spans="1:21" s="168" customFormat="1">
      <c r="A14" s="168">
        <v>19</v>
      </c>
      <c r="C14" s="169">
        <v>9.285714285714286E-3</v>
      </c>
      <c r="D14" s="169">
        <f t="shared" si="7"/>
        <v>0.96</v>
      </c>
      <c r="E14" s="169">
        <f t="shared" si="3"/>
        <v>24.999999999999979</v>
      </c>
      <c r="F14" s="170">
        <f t="shared" si="8"/>
        <v>1</v>
      </c>
      <c r="G14" s="171">
        <f t="shared" si="0"/>
        <v>9.285714285714286E-3</v>
      </c>
      <c r="I14" s="172">
        <v>50.5</v>
      </c>
      <c r="J14" s="172">
        <v>0.1</v>
      </c>
      <c r="K14" s="173">
        <f t="shared" si="4"/>
        <v>5.0500000000000007E-3</v>
      </c>
      <c r="L14" s="172"/>
      <c r="M14" s="174">
        <v>8.3825115396700452E-3</v>
      </c>
      <c r="N14" s="175">
        <v>4851.8633219779704</v>
      </c>
      <c r="O14" s="172">
        <v>0.1</v>
      </c>
      <c r="P14" s="172">
        <f t="shared" si="5"/>
        <v>4.0670800285382176E-3</v>
      </c>
      <c r="Q14" s="172"/>
      <c r="R14" s="172">
        <f t="shared" si="1"/>
        <v>1.6863425717606774E-4</v>
      </c>
      <c r="S14" s="176">
        <f t="shared" si="2"/>
        <v>1.8160612311268833</v>
      </c>
      <c r="T14" s="176">
        <f>A14-A13</f>
        <v>2</v>
      </c>
      <c r="U14" s="168">
        <f t="shared" si="6"/>
        <v>3.3726851435213548E-4</v>
      </c>
    </row>
    <row r="15" spans="1:21" s="168" customFormat="1">
      <c r="A15" s="168">
        <v>21</v>
      </c>
      <c r="C15" s="169">
        <v>9.285714285714286E-3</v>
      </c>
      <c r="D15" s="169">
        <f t="shared" si="7"/>
        <v>0.96</v>
      </c>
      <c r="E15" s="169">
        <f t="shared" si="3"/>
        <v>24.999999999999979</v>
      </c>
      <c r="F15" s="170">
        <f t="shared" si="8"/>
        <v>1</v>
      </c>
      <c r="G15" s="171">
        <f t="shared" si="0"/>
        <v>9.285714285714286E-3</v>
      </c>
      <c r="I15" s="172">
        <v>50.5</v>
      </c>
      <c r="J15" s="172">
        <v>0.1</v>
      </c>
      <c r="K15" s="173">
        <f t="shared" si="4"/>
        <v>5.0500000000000007E-3</v>
      </c>
      <c r="L15" s="172"/>
      <c r="M15" s="174">
        <v>8.3825115396700452E-3</v>
      </c>
      <c r="N15" s="175">
        <v>5235.6020942408704</v>
      </c>
      <c r="O15" s="172">
        <v>0.1</v>
      </c>
      <c r="P15" s="172">
        <f t="shared" si="5"/>
        <v>4.3887494972094749E-3</v>
      </c>
      <c r="Q15" s="172"/>
      <c r="R15" s="172">
        <f t="shared" si="1"/>
        <v>-1.530352114951887E-4</v>
      </c>
      <c r="S15" s="176">
        <f t="shared" si="2"/>
        <v>-1.6480715084097244</v>
      </c>
      <c r="T15" s="176">
        <f t="shared" ref="T15:T26" si="9">A15-A14</f>
        <v>2</v>
      </c>
      <c r="U15" s="168">
        <f t="shared" si="6"/>
        <v>-3.060704229903774E-4</v>
      </c>
    </row>
    <row r="16" spans="1:21" s="168" customFormat="1">
      <c r="A16" s="168">
        <v>31</v>
      </c>
      <c r="C16" s="169">
        <v>9.2857142857142895E-3</v>
      </c>
      <c r="D16" s="169">
        <f t="shared" si="7"/>
        <v>0.96</v>
      </c>
      <c r="E16" s="169">
        <f t="shared" si="3"/>
        <v>24.999999999999979</v>
      </c>
      <c r="F16" s="170">
        <f t="shared" si="8"/>
        <v>1</v>
      </c>
      <c r="G16" s="171">
        <f t="shared" si="0"/>
        <v>9.2857142857142895E-3</v>
      </c>
      <c r="I16" s="172">
        <v>50.5</v>
      </c>
      <c r="J16" s="172">
        <v>0.1</v>
      </c>
      <c r="K16" s="173">
        <f t="shared" si="4"/>
        <v>5.0500000000000007E-3</v>
      </c>
      <c r="L16" s="172"/>
      <c r="M16" s="174">
        <v>8.3825115396700452E-3</v>
      </c>
      <c r="N16" s="175">
        <v>4436.3783020770798</v>
      </c>
      <c r="O16" s="172">
        <v>0.1</v>
      </c>
      <c r="P16" s="172">
        <f t="shared" si="5"/>
        <v>3.7187992311502925E-3</v>
      </c>
      <c r="Q16" s="172"/>
      <c r="R16" s="172">
        <f t="shared" si="1"/>
        <v>5.1691505456399542E-4</v>
      </c>
      <c r="S16" s="176">
        <f t="shared" si="2"/>
        <v>5.566777510689179</v>
      </c>
      <c r="T16" s="176">
        <f t="shared" si="9"/>
        <v>10</v>
      </c>
      <c r="U16" s="168">
        <f t="shared" si="6"/>
        <v>5.1691505456399542E-3</v>
      </c>
    </row>
    <row r="17" spans="1:21" s="168" customFormat="1">
      <c r="A17" s="168">
        <v>2</v>
      </c>
      <c r="C17" s="169">
        <v>9.2857142857142895E-3</v>
      </c>
      <c r="D17" s="169">
        <f t="shared" si="7"/>
        <v>0.96</v>
      </c>
      <c r="E17" s="169">
        <f t="shared" si="3"/>
        <v>24.999999999999979</v>
      </c>
      <c r="F17" s="170">
        <f t="shared" si="8"/>
        <v>1</v>
      </c>
      <c r="G17" s="171">
        <f t="shared" si="0"/>
        <v>9.2857142857142895E-3</v>
      </c>
      <c r="I17" s="172">
        <v>50.5</v>
      </c>
      <c r="J17" s="172">
        <v>0.1</v>
      </c>
      <c r="K17" s="173">
        <f t="shared" si="4"/>
        <v>5.0500000000000007E-3</v>
      </c>
      <c r="L17" s="172"/>
      <c r="M17" s="174">
        <v>8.3825115396700452E-3</v>
      </c>
      <c r="N17" s="175">
        <v>4771.7842323651539</v>
      </c>
      <c r="O17" s="172">
        <v>0.1</v>
      </c>
      <c r="P17" s="172">
        <f t="shared" si="5"/>
        <v>3.9999536392616476E-3</v>
      </c>
      <c r="Q17" s="172"/>
      <c r="R17" s="172">
        <f t="shared" si="1"/>
        <v>2.3576064645264121E-4</v>
      </c>
      <c r="S17" s="176">
        <f t="shared" si="2"/>
        <v>2.5389608079515198</v>
      </c>
      <c r="T17" s="176">
        <v>2</v>
      </c>
      <c r="U17" s="168">
        <f t="shared" si="6"/>
        <v>4.7152129290528241E-4</v>
      </c>
    </row>
    <row r="18" spans="1:21" s="168" customFormat="1">
      <c r="A18" s="168">
        <v>4</v>
      </c>
      <c r="C18" s="169">
        <v>9.2857142857142895E-3</v>
      </c>
      <c r="D18" s="169">
        <f t="shared" si="7"/>
        <v>0.96</v>
      </c>
      <c r="E18" s="169">
        <f t="shared" si="3"/>
        <v>24.999999999999979</v>
      </c>
      <c r="F18" s="170">
        <f t="shared" si="8"/>
        <v>1</v>
      </c>
      <c r="G18" s="171">
        <f t="shared" si="0"/>
        <v>9.2857142857142895E-3</v>
      </c>
      <c r="I18" s="172">
        <v>50.5</v>
      </c>
      <c r="J18" s="172">
        <v>0.1</v>
      </c>
      <c r="K18" s="173">
        <f t="shared" si="4"/>
        <v>5.0500000000000007E-3</v>
      </c>
      <c r="L18" s="172"/>
      <c r="M18" s="174">
        <v>8.3825115396700452E-3</v>
      </c>
      <c r="N18" s="175">
        <v>4984.4926894107539</v>
      </c>
      <c r="O18" s="172">
        <v>0.1</v>
      </c>
      <c r="P18" s="172">
        <f t="shared" si="5"/>
        <v>4.1782567488386621E-3</v>
      </c>
      <c r="Q18" s="172"/>
      <c r="R18" s="172">
        <f t="shared" si="1"/>
        <v>5.7457536875627629E-5</v>
      </c>
      <c r="S18" s="176">
        <f t="shared" si="2"/>
        <v>0.61877347404522032</v>
      </c>
      <c r="T18" s="176">
        <f t="shared" si="9"/>
        <v>2</v>
      </c>
      <c r="U18" s="168">
        <f t="shared" si="6"/>
        <v>1.1491507375125526E-4</v>
      </c>
    </row>
    <row r="19" spans="1:21" s="168" customFormat="1">
      <c r="A19" s="168">
        <v>7</v>
      </c>
      <c r="C19" s="169">
        <v>9.2857142857142895E-3</v>
      </c>
      <c r="D19" s="169">
        <f t="shared" si="7"/>
        <v>0.96</v>
      </c>
      <c r="E19" s="169">
        <f t="shared" si="3"/>
        <v>24.999999999999979</v>
      </c>
      <c r="F19" s="170">
        <f t="shared" si="8"/>
        <v>1</v>
      </c>
      <c r="G19" s="171">
        <f t="shared" si="0"/>
        <v>9.2857142857142895E-3</v>
      </c>
      <c r="I19" s="172">
        <v>50.5</v>
      </c>
      <c r="J19" s="172">
        <v>0.1</v>
      </c>
      <c r="K19" s="173">
        <f t="shared" si="4"/>
        <v>5.0500000000000007E-3</v>
      </c>
      <c r="L19" s="172"/>
      <c r="M19" s="174">
        <v>8.3825115396700452E-3</v>
      </c>
      <c r="N19" s="175">
        <v>4940.8131755018421</v>
      </c>
      <c r="O19" s="172">
        <v>0.1</v>
      </c>
      <c r="P19" s="172">
        <f t="shared" si="5"/>
        <v>4.1416423458997993E-3</v>
      </c>
      <c r="Q19" s="172"/>
      <c r="R19" s="172">
        <f t="shared" si="1"/>
        <v>9.4071939814489511E-5</v>
      </c>
      <c r="S19" s="176">
        <f t="shared" si="2"/>
        <v>1.0130824287714251</v>
      </c>
      <c r="T19" s="176">
        <f t="shared" si="9"/>
        <v>3</v>
      </c>
      <c r="U19" s="168">
        <f t="shared" si="6"/>
        <v>2.8221581944346853E-4</v>
      </c>
    </row>
    <row r="20" spans="1:21" s="168" customFormat="1">
      <c r="A20" s="168">
        <v>9</v>
      </c>
      <c r="C20" s="169">
        <v>9.2857142857142895E-3</v>
      </c>
      <c r="D20" s="169">
        <f t="shared" si="7"/>
        <v>0.96</v>
      </c>
      <c r="E20" s="169">
        <f t="shared" si="3"/>
        <v>24.999999999999979</v>
      </c>
      <c r="F20" s="170">
        <f t="shared" si="8"/>
        <v>1</v>
      </c>
      <c r="G20" s="171">
        <f t="shared" si="0"/>
        <v>9.2857142857142895E-3</v>
      </c>
      <c r="I20" s="172">
        <v>50.5</v>
      </c>
      <c r="J20" s="172">
        <v>0.1</v>
      </c>
      <c r="K20" s="173">
        <f t="shared" si="4"/>
        <v>5.0500000000000007E-3</v>
      </c>
      <c r="L20" s="172"/>
      <c r="M20" s="174">
        <v>8.3825115396700452E-3</v>
      </c>
      <c r="N20" s="175">
        <v>5065.1230101301926</v>
      </c>
      <c r="O20" s="172">
        <v>0.1</v>
      </c>
      <c r="P20" s="172">
        <f t="shared" si="5"/>
        <v>4.2458452082264611E-3</v>
      </c>
      <c r="Q20" s="172"/>
      <c r="R20" s="172">
        <f t="shared" si="1"/>
        <v>-1.0130922512171375E-5</v>
      </c>
      <c r="S20" s="176">
        <f t="shared" si="2"/>
        <v>-0.10910224243876861</v>
      </c>
      <c r="T20" s="176">
        <f t="shared" si="9"/>
        <v>2</v>
      </c>
      <c r="U20" s="168">
        <f t="shared" si="6"/>
        <v>-2.0261845024342751E-5</v>
      </c>
    </row>
    <row r="21" spans="1:21" s="168" customFormat="1">
      <c r="A21" s="168">
        <v>11</v>
      </c>
      <c r="C21" s="169">
        <v>9.2857142857142895E-3</v>
      </c>
      <c r="D21" s="169">
        <f t="shared" si="7"/>
        <v>0.96</v>
      </c>
      <c r="E21" s="169">
        <f t="shared" si="3"/>
        <v>24.999999999999979</v>
      </c>
      <c r="F21" s="170">
        <f t="shared" si="8"/>
        <v>1</v>
      </c>
      <c r="G21" s="171">
        <f t="shared" si="0"/>
        <v>9.2857142857142895E-3</v>
      </c>
      <c r="I21" s="172">
        <v>50.5</v>
      </c>
      <c r="J21" s="172">
        <v>0.1</v>
      </c>
      <c r="K21" s="173">
        <f t="shared" si="4"/>
        <v>5.0500000000000007E-3</v>
      </c>
      <c r="L21" s="172"/>
      <c r="M21" s="174">
        <v>8.3825115396700452E-3</v>
      </c>
      <c r="N21" s="175">
        <v>4319.6544276457735</v>
      </c>
      <c r="O21" s="172">
        <v>0.1</v>
      </c>
      <c r="P21" s="172">
        <f t="shared" si="5"/>
        <v>3.6209553087127497E-3</v>
      </c>
      <c r="Q21" s="172"/>
      <c r="R21" s="172">
        <f t="shared" si="1"/>
        <v>6.1475897700153867E-4</v>
      </c>
      <c r="S21" s="176">
        <f t="shared" si="2"/>
        <v>6.6204812907857988</v>
      </c>
      <c r="T21" s="176">
        <f t="shared" si="9"/>
        <v>2</v>
      </c>
      <c r="U21" s="168">
        <f t="shared" si="6"/>
        <v>1.2295179540030773E-3</v>
      </c>
    </row>
    <row r="22" spans="1:21" s="168" customFormat="1">
      <c r="A22" s="168">
        <v>14</v>
      </c>
      <c r="C22" s="169">
        <v>9.2857142857142895E-3</v>
      </c>
      <c r="D22" s="169">
        <f t="shared" si="7"/>
        <v>0.96</v>
      </c>
      <c r="E22" s="169">
        <f t="shared" si="3"/>
        <v>24.999999999999979</v>
      </c>
      <c r="F22" s="170">
        <f t="shared" si="8"/>
        <v>1</v>
      </c>
      <c r="G22" s="171">
        <f t="shared" si="0"/>
        <v>9.2857142857142895E-3</v>
      </c>
      <c r="I22" s="172">
        <v>50.5</v>
      </c>
      <c r="J22" s="172">
        <v>0.1</v>
      </c>
      <c r="K22" s="173">
        <f t="shared" si="4"/>
        <v>5.0500000000000007E-3</v>
      </c>
      <c r="L22" s="172"/>
      <c r="M22" s="174">
        <v>8.3825115396700452E-3</v>
      </c>
      <c r="N22" s="175">
        <v>5211.1028395193234</v>
      </c>
      <c r="O22" s="172">
        <v>0.1</v>
      </c>
      <c r="P22" s="172">
        <f t="shared" si="5"/>
        <v>4.3682129686678072E-3</v>
      </c>
      <c r="Q22" s="172"/>
      <c r="R22" s="172">
        <f t="shared" si="1"/>
        <v>-1.3249868295351838E-4</v>
      </c>
      <c r="S22" s="176">
        <f t="shared" si="2"/>
        <v>-1.426908893345582</v>
      </c>
      <c r="T22" s="176">
        <f t="shared" si="9"/>
        <v>3</v>
      </c>
      <c r="U22" s="168">
        <f t="shared" si="6"/>
        <v>-3.9749604886055515E-4</v>
      </c>
    </row>
    <row r="23" spans="1:21" s="168" customFormat="1">
      <c r="A23" s="168">
        <v>16</v>
      </c>
      <c r="C23" s="169">
        <v>9.2857142857142895E-3</v>
      </c>
      <c r="D23" s="169">
        <f t="shared" si="7"/>
        <v>0.96</v>
      </c>
      <c r="E23" s="169">
        <f t="shared" si="3"/>
        <v>24.999999999999979</v>
      </c>
      <c r="F23" s="170">
        <f t="shared" si="8"/>
        <v>1</v>
      </c>
      <c r="G23" s="171">
        <f t="shared" si="0"/>
        <v>9.2857142857142895E-3</v>
      </c>
      <c r="I23" s="172">
        <v>50.5</v>
      </c>
      <c r="J23" s="172">
        <v>0.1</v>
      </c>
      <c r="K23" s="173">
        <f t="shared" si="4"/>
        <v>5.0500000000000007E-3</v>
      </c>
      <c r="L23" s="172"/>
      <c r="M23" s="174">
        <v>8.3825115396700452E-3</v>
      </c>
      <c r="N23" s="175">
        <v>4407.1804794152058</v>
      </c>
      <c r="O23" s="172">
        <v>0.1</v>
      </c>
      <c r="P23" s="172">
        <f t="shared" si="5"/>
        <v>3.6943241226106527E-3</v>
      </c>
      <c r="Q23" s="172"/>
      <c r="R23" s="172">
        <f t="shared" si="1"/>
        <v>5.4139016310363573E-4</v>
      </c>
      <c r="S23" s="176">
        <f t="shared" si="2"/>
        <v>5.830355602654536</v>
      </c>
      <c r="T23" s="176">
        <f t="shared" si="9"/>
        <v>2</v>
      </c>
      <c r="U23" s="168">
        <f t="shared" si="6"/>
        <v>1.0827803262072715E-3</v>
      </c>
    </row>
    <row r="24" spans="1:21" s="168" customFormat="1">
      <c r="A24" s="168">
        <v>18</v>
      </c>
      <c r="C24" s="169">
        <v>9.2857142857142895E-3</v>
      </c>
      <c r="D24" s="169">
        <f t="shared" si="7"/>
        <v>0.96</v>
      </c>
      <c r="E24" s="169">
        <f t="shared" si="3"/>
        <v>24.999999999999979</v>
      </c>
      <c r="F24" s="170">
        <f t="shared" si="8"/>
        <v>1</v>
      </c>
      <c r="G24" s="171">
        <f t="shared" si="0"/>
        <v>9.2857142857142895E-3</v>
      </c>
      <c r="I24" s="172">
        <v>50.5</v>
      </c>
      <c r="J24" s="172">
        <v>0.1</v>
      </c>
      <c r="K24" s="173">
        <f t="shared" si="4"/>
        <v>5.0500000000000007E-3</v>
      </c>
      <c r="L24" s="172"/>
      <c r="M24" s="174">
        <v>8.3825115396700452E-3</v>
      </c>
      <c r="N24" s="175">
        <v>3249.5667244367878</v>
      </c>
      <c r="O24" s="172">
        <v>0.1</v>
      </c>
      <c r="P24" s="172">
        <f t="shared" si="5"/>
        <v>2.7239530566519165E-3</v>
      </c>
      <c r="Q24" s="172"/>
      <c r="R24" s="172">
        <f t="shared" si="1"/>
        <v>1.5117612290623719E-3</v>
      </c>
      <c r="S24" s="176">
        <f t="shared" si="2"/>
        <v>16.280505543748614</v>
      </c>
      <c r="T24" s="176">
        <f t="shared" si="9"/>
        <v>2</v>
      </c>
      <c r="U24" s="168">
        <f t="shared" si="6"/>
        <v>3.0235224581247437E-3</v>
      </c>
    </row>
    <row r="25" spans="1:21" s="168" customFormat="1">
      <c r="A25" s="168">
        <v>21</v>
      </c>
      <c r="C25" s="169">
        <v>9.2857142857142895E-3</v>
      </c>
      <c r="D25" s="169">
        <f t="shared" si="7"/>
        <v>0.96</v>
      </c>
      <c r="E25" s="169">
        <f t="shared" si="3"/>
        <v>24.999999999999979</v>
      </c>
      <c r="F25" s="170">
        <f t="shared" si="8"/>
        <v>1</v>
      </c>
      <c r="G25" s="171">
        <f t="shared" si="0"/>
        <v>9.2857142857142895E-3</v>
      </c>
      <c r="I25" s="172">
        <v>50.5</v>
      </c>
      <c r="J25" s="172">
        <v>0.1</v>
      </c>
      <c r="K25" s="173">
        <f t="shared" si="4"/>
        <v>5.0500000000000007E-3</v>
      </c>
      <c r="L25" s="172"/>
      <c r="M25" s="174">
        <v>8.3825115396700452E-3</v>
      </c>
      <c r="N25" s="175">
        <v>3353.1638723634637</v>
      </c>
      <c r="O25" s="172">
        <v>0.1</v>
      </c>
      <c r="P25" s="172">
        <f t="shared" si="5"/>
        <v>2.8107934854491429E-3</v>
      </c>
      <c r="Q25" s="172"/>
      <c r="R25" s="172">
        <f t="shared" si="1"/>
        <v>1.4249208002651455E-3</v>
      </c>
      <c r="S25" s="176">
        <f t="shared" si="2"/>
        <v>15.345300925932328</v>
      </c>
      <c r="T25" s="176">
        <f t="shared" si="9"/>
        <v>3</v>
      </c>
      <c r="U25" s="168">
        <f t="shared" si="6"/>
        <v>4.2747624007954364E-3</v>
      </c>
    </row>
    <row r="26" spans="1:21" s="168" customFormat="1">
      <c r="A26" s="168">
        <v>23</v>
      </c>
      <c r="C26" s="169">
        <v>9.2857142857142895E-3</v>
      </c>
      <c r="D26" s="169">
        <f t="shared" si="7"/>
        <v>0.96</v>
      </c>
      <c r="E26" s="169">
        <f t="shared" si="3"/>
        <v>24.999999999999979</v>
      </c>
      <c r="F26" s="170">
        <f t="shared" si="8"/>
        <v>1</v>
      </c>
      <c r="G26" s="171">
        <f t="shared" si="0"/>
        <v>9.2857142857142895E-3</v>
      </c>
      <c r="I26" s="172">
        <v>50.5</v>
      </c>
      <c r="J26" s="172">
        <v>0.1</v>
      </c>
      <c r="K26" s="173">
        <f t="shared" si="4"/>
        <v>5.0500000000000007E-3</v>
      </c>
      <c r="L26" s="172"/>
      <c r="M26" s="174">
        <v>8.3825115396700452E-3</v>
      </c>
      <c r="N26" s="175">
        <v>3948.6673247778817</v>
      </c>
      <c r="O26" s="172">
        <v>0.1</v>
      </c>
      <c r="P26" s="172">
        <f t="shared" si="5"/>
        <v>3.3099749416268644E-3</v>
      </c>
      <c r="Q26" s="172"/>
      <c r="R26" s="172">
        <f t="shared" si="1"/>
        <v>9.2573934408742356E-4</v>
      </c>
      <c r="S26" s="176">
        <f t="shared" si="2"/>
        <v>9.9695006286337886</v>
      </c>
      <c r="T26" s="176">
        <f t="shared" si="9"/>
        <v>2</v>
      </c>
      <c r="U26" s="168">
        <f t="shared" si="6"/>
        <v>1.8514786881748471E-3</v>
      </c>
    </row>
    <row r="27" spans="1:21" s="159" customFormat="1">
      <c r="A27" s="159" t="s">
        <v>163</v>
      </c>
      <c r="B27" s="159">
        <v>2</v>
      </c>
      <c r="C27" s="160">
        <v>9.285714285714286E-3</v>
      </c>
      <c r="D27" s="160">
        <v>0.96</v>
      </c>
      <c r="E27" s="160"/>
      <c r="F27" s="161">
        <v>1.25</v>
      </c>
      <c r="G27" s="162">
        <v>0</v>
      </c>
      <c r="I27" s="161">
        <v>53.231666666666669</v>
      </c>
      <c r="J27" s="163">
        <v>0.1</v>
      </c>
      <c r="K27" s="164">
        <v>0</v>
      </c>
      <c r="L27" s="163"/>
      <c r="M27" s="165">
        <v>8.3825115396700452E-3</v>
      </c>
      <c r="N27" s="177">
        <v>3333.6609486238708</v>
      </c>
      <c r="O27" s="163">
        <v>0.1</v>
      </c>
      <c r="P27" s="163">
        <v>0</v>
      </c>
      <c r="Q27" s="163"/>
      <c r="R27" s="163">
        <f t="shared" si="1"/>
        <v>0</v>
      </c>
      <c r="S27" s="167" t="e">
        <f t="shared" si="2"/>
        <v>#DIV/0!</v>
      </c>
      <c r="T27" s="167">
        <v>0</v>
      </c>
      <c r="U27" s="159">
        <f>T27*R27</f>
        <v>0</v>
      </c>
    </row>
    <row r="28" spans="1:21" s="168" customFormat="1">
      <c r="A28" s="168">
        <v>25</v>
      </c>
      <c r="C28" s="169">
        <v>9.285714285714286E-3</v>
      </c>
      <c r="D28" s="169">
        <f>D27-($M$9*T28)</f>
        <v>0.96</v>
      </c>
      <c r="E28" s="169">
        <f>$F$27/(1-$D$11)</f>
        <v>31.249999999999972</v>
      </c>
      <c r="F28" s="170">
        <f>(1-D28)*E28</f>
        <v>1.25</v>
      </c>
      <c r="G28" s="171">
        <f t="shared" si="0"/>
        <v>1.1607142857142858E-2</v>
      </c>
      <c r="I28" s="170">
        <v>53.231666666666669</v>
      </c>
      <c r="J28" s="172">
        <v>0.1</v>
      </c>
      <c r="K28" s="173">
        <f t="shared" si="4"/>
        <v>5.323166666666667E-3</v>
      </c>
      <c r="L28" s="172"/>
      <c r="M28" s="174">
        <v>8.3825115396700452E-3</v>
      </c>
      <c r="N28" s="178">
        <v>2051.7496865382386</v>
      </c>
      <c r="O28" s="172">
        <v>0.1</v>
      </c>
      <c r="P28" s="172">
        <f t="shared" si="5"/>
        <v>1.7198815423921183E-3</v>
      </c>
      <c r="Q28" s="172"/>
      <c r="R28" s="172">
        <f t="shared" si="1"/>
        <v>4.564094648084072E-3</v>
      </c>
      <c r="S28" s="176">
        <f t="shared" si="2"/>
        <v>39.321430814262769</v>
      </c>
      <c r="T28" s="176">
        <v>1</v>
      </c>
      <c r="U28" s="168">
        <f t="shared" ref="U28:U30" si="10">T28*R28</f>
        <v>4.564094648084072E-3</v>
      </c>
    </row>
    <row r="29" spans="1:21" s="168" customFormat="1">
      <c r="A29" s="168">
        <v>28</v>
      </c>
      <c r="C29" s="169">
        <v>9.285714285714286E-3</v>
      </c>
      <c r="D29" s="169">
        <f t="shared" ref="D29:D30" si="11">D28-($M$9*T29)</f>
        <v>0.96</v>
      </c>
      <c r="E29" s="169">
        <f t="shared" ref="E29:E30" si="12">$F$27/(1-$D$11)</f>
        <v>31.249999999999972</v>
      </c>
      <c r="F29" s="170">
        <f t="shared" ref="F29:F84" si="13">(1-D29)*E29</f>
        <v>1.25</v>
      </c>
      <c r="G29" s="171">
        <f t="shared" si="0"/>
        <v>1.1607142857142858E-2</v>
      </c>
      <c r="I29" s="170">
        <v>53.231666666666669</v>
      </c>
      <c r="J29" s="172">
        <v>0.1</v>
      </c>
      <c r="K29" s="173">
        <f t="shared" si="4"/>
        <v>5.323166666666667E-3</v>
      </c>
      <c r="L29" s="172"/>
      <c r="M29" s="174">
        <v>8.3825115396700452E-3</v>
      </c>
      <c r="N29" s="178">
        <v>2930.8323563892141</v>
      </c>
      <c r="O29" s="172">
        <v>0.1</v>
      </c>
      <c r="P29" s="172">
        <f t="shared" si="5"/>
        <v>2.456773604827094E-3</v>
      </c>
      <c r="Q29" s="172"/>
      <c r="R29" s="172">
        <f t="shared" si="1"/>
        <v>3.827202585649097E-3</v>
      </c>
      <c r="S29" s="176">
        <f t="shared" si="2"/>
        <v>32.972822276361455</v>
      </c>
      <c r="T29" s="176">
        <f>A29-A28</f>
        <v>3</v>
      </c>
      <c r="U29" s="168">
        <f t="shared" si="10"/>
        <v>1.1481607756947291E-2</v>
      </c>
    </row>
    <row r="30" spans="1:21" s="168" customFormat="1">
      <c r="A30" s="168">
        <v>30</v>
      </c>
      <c r="C30" s="169">
        <v>9.285714285714286E-3</v>
      </c>
      <c r="D30" s="169">
        <f t="shared" si="11"/>
        <v>0.96</v>
      </c>
      <c r="E30" s="169">
        <f t="shared" si="12"/>
        <v>31.249999999999972</v>
      </c>
      <c r="F30" s="170">
        <f t="shared" si="13"/>
        <v>1.25</v>
      </c>
      <c r="G30" s="171">
        <f t="shared" si="0"/>
        <v>1.1607142857142858E-2</v>
      </c>
      <c r="I30" s="170">
        <v>55.486666666666672</v>
      </c>
      <c r="J30" s="172">
        <v>0.1</v>
      </c>
      <c r="K30" s="173">
        <f t="shared" si="4"/>
        <v>5.5486666666666679E-3</v>
      </c>
      <c r="L30" s="172"/>
      <c r="M30" s="174">
        <v>8.3825115396700452E-3</v>
      </c>
      <c r="N30" s="178">
        <v>5018.4008029441611</v>
      </c>
      <c r="O30" s="172">
        <v>0.1</v>
      </c>
      <c r="P30" s="172">
        <f t="shared" si="5"/>
        <v>4.2066802641368851E-3</v>
      </c>
      <c r="Q30" s="172"/>
      <c r="R30" s="172">
        <f t="shared" si="1"/>
        <v>1.8517959263393037E-3</v>
      </c>
      <c r="S30" s="176">
        <f t="shared" si="2"/>
        <v>15.953934134615539</v>
      </c>
      <c r="T30" s="176">
        <f>A30-A29</f>
        <v>2</v>
      </c>
      <c r="U30" s="168">
        <f t="shared" si="10"/>
        <v>3.7035918526786074E-3</v>
      </c>
    </row>
    <row r="31" spans="1:21" s="159" customFormat="1">
      <c r="A31" s="159" t="s">
        <v>164</v>
      </c>
      <c r="B31" s="159">
        <v>3</v>
      </c>
      <c r="C31" s="160">
        <v>9.285714285714286E-3</v>
      </c>
      <c r="D31" s="160">
        <v>0.96</v>
      </c>
      <c r="E31" s="160"/>
      <c r="F31" s="161">
        <v>1.165</v>
      </c>
      <c r="G31" s="162">
        <v>0</v>
      </c>
      <c r="I31" s="161">
        <v>52.491333333333344</v>
      </c>
      <c r="J31" s="163">
        <v>0.1</v>
      </c>
      <c r="K31" s="164">
        <v>0</v>
      </c>
      <c r="L31" s="163"/>
      <c r="M31" s="165">
        <v>8.3825115396700452E-3</v>
      </c>
      <c r="N31" s="163">
        <v>5273.5966336002402</v>
      </c>
      <c r="O31" s="163">
        <v>0.1</v>
      </c>
      <c r="P31" s="163">
        <v>0</v>
      </c>
      <c r="Q31" s="163"/>
      <c r="R31" s="163">
        <f t="shared" si="1"/>
        <v>0</v>
      </c>
      <c r="S31" s="167" t="e">
        <f t="shared" si="2"/>
        <v>#DIV/0!</v>
      </c>
      <c r="T31" s="167">
        <v>0</v>
      </c>
      <c r="U31" s="159">
        <f>T31*R31</f>
        <v>0</v>
      </c>
    </row>
    <row r="32" spans="1:21" s="168" customFormat="1">
      <c r="A32" s="168">
        <v>3</v>
      </c>
      <c r="C32" s="169">
        <v>9.285714285714286E-3</v>
      </c>
      <c r="D32" s="169">
        <f>D31-($M$9*T32)</f>
        <v>0.96</v>
      </c>
      <c r="E32" s="169">
        <f>$F$31/(1-$D$11)</f>
        <v>29.124999999999975</v>
      </c>
      <c r="F32" s="170">
        <f t="shared" si="13"/>
        <v>1.165</v>
      </c>
      <c r="G32" s="171">
        <f t="shared" si="0"/>
        <v>1.0817857142857143E-2</v>
      </c>
      <c r="I32" s="170">
        <v>53.443333333333335</v>
      </c>
      <c r="J32" s="172">
        <v>0.1</v>
      </c>
      <c r="K32" s="173">
        <f t="shared" si="4"/>
        <v>5.3443333333333337E-3</v>
      </c>
      <c r="L32" s="172"/>
      <c r="M32" s="174">
        <v>8.3825115396700452E-3</v>
      </c>
      <c r="N32" s="172">
        <v>5229.2839903458962</v>
      </c>
      <c r="O32" s="172">
        <v>0.1</v>
      </c>
      <c r="P32" s="172">
        <f t="shared" si="5"/>
        <v>4.3834533393286301E-3</v>
      </c>
      <c r="Q32" s="172"/>
      <c r="R32" s="172">
        <f t="shared" si="1"/>
        <v>1.0900704701951799E-3</v>
      </c>
      <c r="S32" s="176">
        <f t="shared" si="2"/>
        <v>10.076584075756037</v>
      </c>
      <c r="T32" s="176">
        <v>1</v>
      </c>
      <c r="U32" s="168">
        <f t="shared" ref="U32:U36" si="14">T32*R32</f>
        <v>1.0900704701951799E-3</v>
      </c>
    </row>
    <row r="33" spans="1:21" s="168" customFormat="1">
      <c r="A33" s="168">
        <v>5</v>
      </c>
      <c r="C33" s="169">
        <v>9.285714285714286E-3</v>
      </c>
      <c r="D33" s="169">
        <f t="shared" ref="D33:D84" si="15">D32-($M$9*T33)</f>
        <v>0.96</v>
      </c>
      <c r="E33" s="169">
        <f t="shared" ref="E33:E36" si="16">$F$31/(1-$D$11)</f>
        <v>29.124999999999975</v>
      </c>
      <c r="F33" s="170">
        <f t="shared" si="13"/>
        <v>1.165</v>
      </c>
      <c r="G33" s="171">
        <f t="shared" si="0"/>
        <v>1.0817857142857143E-2</v>
      </c>
      <c r="I33" s="170">
        <v>44.93</v>
      </c>
      <c r="J33" s="172">
        <v>0.1</v>
      </c>
      <c r="K33" s="173">
        <f t="shared" si="4"/>
        <v>4.4930000000000005E-3</v>
      </c>
      <c r="L33" s="172"/>
      <c r="M33" s="174">
        <v>8.3825115396700452E-3</v>
      </c>
      <c r="N33" s="172">
        <v>4888.6474741987595</v>
      </c>
      <c r="O33" s="172">
        <v>0.1</v>
      </c>
      <c r="P33" s="172">
        <f t="shared" si="5"/>
        <v>4.0979143865849926E-3</v>
      </c>
      <c r="Q33" s="172"/>
      <c r="R33" s="172">
        <f t="shared" si="1"/>
        <v>2.2269427562721499E-3</v>
      </c>
      <c r="S33" s="176">
        <f t="shared" si="2"/>
        <v>20.585802963228854</v>
      </c>
      <c r="T33" s="176">
        <f>A33-A32</f>
        <v>2</v>
      </c>
      <c r="U33" s="168">
        <f t="shared" si="14"/>
        <v>4.4538855125442998E-3</v>
      </c>
    </row>
    <row r="34" spans="1:21" s="168" customFormat="1">
      <c r="A34" s="168">
        <v>7</v>
      </c>
      <c r="C34" s="169">
        <v>9.285714285714286E-3</v>
      </c>
      <c r="D34" s="169">
        <f t="shared" si="15"/>
        <v>0.96</v>
      </c>
      <c r="E34" s="169">
        <f t="shared" si="16"/>
        <v>29.124999999999975</v>
      </c>
      <c r="F34" s="170">
        <f t="shared" si="13"/>
        <v>1.165</v>
      </c>
      <c r="G34" s="171">
        <f t="shared" si="0"/>
        <v>1.0817857142857143E-2</v>
      </c>
      <c r="I34" s="170">
        <v>55.66</v>
      </c>
      <c r="J34" s="172">
        <v>0.1</v>
      </c>
      <c r="K34" s="173">
        <f t="shared" si="4"/>
        <v>5.5659999999999998E-3</v>
      </c>
      <c r="L34" s="172"/>
      <c r="M34" s="174">
        <v>8.3825115396700452E-3</v>
      </c>
      <c r="N34" s="172">
        <v>4685.8104049020849</v>
      </c>
      <c r="O34" s="172">
        <v>0.1</v>
      </c>
      <c r="P34" s="172">
        <f t="shared" si="5"/>
        <v>3.9278859791797701E-3</v>
      </c>
      <c r="Q34" s="172"/>
      <c r="R34" s="172">
        <f t="shared" si="1"/>
        <v>1.3239711636773739E-3</v>
      </c>
      <c r="S34" s="176">
        <f t="shared" si="2"/>
        <v>12.238756217552481</v>
      </c>
      <c r="T34" s="176">
        <f>A34-A33</f>
        <v>2</v>
      </c>
      <c r="U34" s="168">
        <f t="shared" si="14"/>
        <v>2.6479423273547478E-3</v>
      </c>
    </row>
    <row r="35" spans="1:21" s="168" customFormat="1">
      <c r="A35" s="168">
        <v>9</v>
      </c>
      <c r="C35" s="169">
        <v>9.285714285714286E-3</v>
      </c>
      <c r="D35" s="169">
        <f t="shared" si="15"/>
        <v>0.96</v>
      </c>
      <c r="E35" s="169">
        <f t="shared" si="16"/>
        <v>29.124999999999975</v>
      </c>
      <c r="F35" s="170">
        <f t="shared" si="13"/>
        <v>1.165</v>
      </c>
      <c r="G35" s="171">
        <f t="shared" si="0"/>
        <v>1.0817857142857143E-2</v>
      </c>
      <c r="I35" s="170">
        <v>54.333333333333336</v>
      </c>
      <c r="J35" s="172">
        <v>0.1</v>
      </c>
      <c r="K35" s="173">
        <f t="shared" si="4"/>
        <v>5.4333333333333334E-3</v>
      </c>
      <c r="L35" s="172"/>
      <c r="M35" s="174">
        <v>8.3825115396700452E-3</v>
      </c>
      <c r="N35" s="172">
        <v>5911.3300492610733</v>
      </c>
      <c r="O35" s="172">
        <v>0.1</v>
      </c>
      <c r="P35" s="172">
        <f t="shared" si="5"/>
        <v>4.9551792352729241E-3</v>
      </c>
      <c r="Q35" s="172"/>
      <c r="R35" s="172">
        <f t="shared" si="1"/>
        <v>4.293445742508846E-4</v>
      </c>
      <c r="S35" s="176">
        <f t="shared" si="2"/>
        <v>3.9688504717810393</v>
      </c>
      <c r="T35" s="176">
        <f>A35-A34</f>
        <v>2</v>
      </c>
      <c r="U35" s="168">
        <f t="shared" si="14"/>
        <v>8.5868914850176919E-4</v>
      </c>
    </row>
    <row r="36" spans="1:21" s="168" customFormat="1">
      <c r="A36" s="168">
        <v>12</v>
      </c>
      <c r="C36" s="169">
        <v>9.285714285714286E-3</v>
      </c>
      <c r="D36" s="169">
        <f t="shared" si="15"/>
        <v>0.96</v>
      </c>
      <c r="E36" s="169">
        <f t="shared" si="16"/>
        <v>29.124999999999975</v>
      </c>
      <c r="F36" s="170">
        <f t="shared" si="13"/>
        <v>1.165</v>
      </c>
      <c r="G36" s="171">
        <f t="shared" si="0"/>
        <v>1.0817857142857143E-2</v>
      </c>
      <c r="I36" s="170">
        <v>54.09</v>
      </c>
      <c r="J36" s="172">
        <v>0.1</v>
      </c>
      <c r="K36" s="173">
        <f t="shared" si="4"/>
        <v>5.4090000000000006E-3</v>
      </c>
      <c r="L36" s="172"/>
      <c r="M36" s="174">
        <v>8.3825115396700452E-3</v>
      </c>
      <c r="N36" s="172">
        <v>5652.9112492933855</v>
      </c>
      <c r="O36" s="172">
        <v>0.1</v>
      </c>
      <c r="P36" s="172">
        <f t="shared" si="5"/>
        <v>4.7385593779932424E-3</v>
      </c>
      <c r="Q36" s="172"/>
      <c r="R36" s="172">
        <f t="shared" si="1"/>
        <v>6.702977648638999E-4</v>
      </c>
      <c r="S36" s="176">
        <f t="shared" si="2"/>
        <v>6.1962157201020789</v>
      </c>
      <c r="T36" s="176">
        <f>A36-A35</f>
        <v>3</v>
      </c>
      <c r="U36" s="168">
        <f t="shared" si="14"/>
        <v>2.0108932945916997E-3</v>
      </c>
    </row>
    <row r="37" spans="1:21" s="159" customFormat="1">
      <c r="A37" s="159" t="s">
        <v>165</v>
      </c>
      <c r="B37" s="159">
        <v>4</v>
      </c>
      <c r="C37" s="160">
        <v>9.285714285714286E-3</v>
      </c>
      <c r="D37" s="160">
        <v>0.96</v>
      </c>
      <c r="E37" s="160"/>
      <c r="F37" s="161">
        <v>1.0349999999999999</v>
      </c>
      <c r="G37" s="162">
        <v>0</v>
      </c>
      <c r="I37" s="161">
        <v>53.49666666666667</v>
      </c>
      <c r="J37" s="163">
        <v>0.1</v>
      </c>
      <c r="K37" s="164">
        <v>0</v>
      </c>
      <c r="L37" s="163"/>
      <c r="M37" s="165">
        <v>8.3825115396700452E-3</v>
      </c>
      <c r="N37" s="163">
        <v>5690.8854557962004</v>
      </c>
      <c r="O37" s="163">
        <v>0.1</v>
      </c>
      <c r="P37" s="163">
        <v>0</v>
      </c>
      <c r="Q37" s="163"/>
      <c r="R37" s="163">
        <f t="shared" si="1"/>
        <v>0</v>
      </c>
      <c r="S37" s="167" t="e">
        <f t="shared" si="2"/>
        <v>#DIV/0!</v>
      </c>
      <c r="T37" s="167">
        <v>0</v>
      </c>
      <c r="U37" s="159">
        <f>-T37*R37</f>
        <v>0</v>
      </c>
    </row>
    <row r="38" spans="1:21" s="168" customFormat="1">
      <c r="A38" s="168">
        <v>14</v>
      </c>
      <c r="C38" s="169">
        <v>9.285714285714286E-3</v>
      </c>
      <c r="D38" s="169">
        <f t="shared" si="15"/>
        <v>0.96</v>
      </c>
      <c r="E38" s="169">
        <f>$F$37/(1-$D$11)</f>
        <v>25.874999999999975</v>
      </c>
      <c r="F38" s="170">
        <f t="shared" si="13"/>
        <v>1.0349999999999999</v>
      </c>
      <c r="G38" s="171">
        <f t="shared" si="0"/>
        <v>9.6107142857142849E-3</v>
      </c>
      <c r="I38" s="170">
        <v>49.830000000000005</v>
      </c>
      <c r="J38" s="172">
        <v>0.1</v>
      </c>
      <c r="K38" s="173">
        <f t="shared" si="4"/>
        <v>4.9830000000000004E-3</v>
      </c>
      <c r="L38" s="172"/>
      <c r="M38" s="174">
        <v>8.3825115396700452E-3</v>
      </c>
      <c r="N38" s="172">
        <v>5783.561339116849</v>
      </c>
      <c r="O38" s="172">
        <v>0.1</v>
      </c>
      <c r="P38" s="172">
        <f t="shared" si="5"/>
        <v>4.848076966553652E-3</v>
      </c>
      <c r="Q38" s="172"/>
      <c r="R38" s="172">
        <f t="shared" si="1"/>
        <v>-2.2036268083936751E-4</v>
      </c>
      <c r="S38" s="176">
        <f t="shared" si="2"/>
        <v>-2.2928855680053104</v>
      </c>
      <c r="T38" s="176">
        <v>1</v>
      </c>
      <c r="U38" s="168">
        <f t="shared" ref="U38:U40" si="17">-T38*R38</f>
        <v>2.2036268083936751E-4</v>
      </c>
    </row>
    <row r="39" spans="1:21" s="168" customFormat="1">
      <c r="A39" s="168">
        <v>16</v>
      </c>
      <c r="C39" s="169">
        <v>9.285714285714286E-3</v>
      </c>
      <c r="D39" s="169">
        <f t="shared" si="15"/>
        <v>0.96</v>
      </c>
      <c r="E39" s="169">
        <f t="shared" ref="E39:E40" si="18">$F$37/(1-$D$11)</f>
        <v>25.874999999999975</v>
      </c>
      <c r="F39" s="170">
        <f t="shared" si="13"/>
        <v>1.0349999999999999</v>
      </c>
      <c r="G39" s="171">
        <f t="shared" si="0"/>
        <v>9.6107142857142849E-3</v>
      </c>
      <c r="I39" s="170">
        <v>54.403333333333336</v>
      </c>
      <c r="J39" s="172">
        <v>0.1</v>
      </c>
      <c r="K39" s="173">
        <f t="shared" si="4"/>
        <v>5.4403333333333343E-3</v>
      </c>
      <c r="L39" s="172"/>
      <c r="M39" s="174">
        <v>8.3825115396700452E-3</v>
      </c>
      <c r="N39" s="172">
        <v>5712.4722310377556</v>
      </c>
      <c r="O39" s="172">
        <v>0.1</v>
      </c>
      <c r="P39" s="172">
        <f t="shared" si="5"/>
        <v>4.7884864396718681E-3</v>
      </c>
      <c r="Q39" s="172"/>
      <c r="R39" s="172">
        <f t="shared" si="1"/>
        <v>-6.1810548729091669E-4</v>
      </c>
      <c r="S39" s="176">
        <f t="shared" si="2"/>
        <v>-6.4314209008345111</v>
      </c>
      <c r="T39" s="176">
        <f>A39-A38</f>
        <v>2</v>
      </c>
      <c r="U39" s="168">
        <f t="shared" si="17"/>
        <v>1.2362109745818334E-3</v>
      </c>
    </row>
    <row r="40" spans="1:21" s="168" customFormat="1">
      <c r="A40" s="168">
        <v>19</v>
      </c>
      <c r="C40" s="169">
        <v>9.285714285714286E-3</v>
      </c>
      <c r="D40" s="169">
        <f t="shared" si="15"/>
        <v>0.96</v>
      </c>
      <c r="E40" s="169">
        <f t="shared" si="18"/>
        <v>25.874999999999975</v>
      </c>
      <c r="F40" s="170">
        <f t="shared" si="13"/>
        <v>1.0349999999999999</v>
      </c>
      <c r="G40" s="171">
        <f t="shared" si="0"/>
        <v>9.6107142857142849E-3</v>
      </c>
      <c r="I40" s="170">
        <v>56.256666666666668</v>
      </c>
      <c r="J40" s="172">
        <v>0.1</v>
      </c>
      <c r="K40" s="173">
        <f t="shared" si="4"/>
        <v>5.6256666666666677E-3</v>
      </c>
      <c r="L40" s="172"/>
      <c r="M40" s="174">
        <v>8.3825115396700452E-3</v>
      </c>
      <c r="N40" s="172">
        <v>5576.6227972339957</v>
      </c>
      <c r="O40" s="172">
        <v>0.1</v>
      </c>
      <c r="P40" s="172">
        <f t="shared" si="5"/>
        <v>4.6746104950201013E-3</v>
      </c>
      <c r="Q40" s="172"/>
      <c r="R40" s="172">
        <f t="shared" si="1"/>
        <v>-6.8956287597248325E-4</v>
      </c>
      <c r="S40" s="176">
        <f t="shared" si="2"/>
        <v>-7.1749388804271774</v>
      </c>
      <c r="T40" s="176">
        <f>A40-A39</f>
        <v>3</v>
      </c>
      <c r="U40" s="168">
        <f t="shared" si="17"/>
        <v>2.0686886279174498E-3</v>
      </c>
    </row>
    <row r="41" spans="1:21" s="159" customFormat="1">
      <c r="A41" s="159" t="s">
        <v>166</v>
      </c>
      <c r="B41" s="159">
        <v>5</v>
      </c>
      <c r="C41" s="160">
        <v>9.285714285714286E-3</v>
      </c>
      <c r="D41" s="160">
        <v>0.96</v>
      </c>
      <c r="E41" s="160"/>
      <c r="F41" s="161">
        <v>1.0149999999999999</v>
      </c>
      <c r="G41" s="162">
        <v>0</v>
      </c>
      <c r="I41" s="161">
        <v>40.924761904761901</v>
      </c>
      <c r="J41" s="163">
        <v>0.1</v>
      </c>
      <c r="K41" s="164">
        <v>0</v>
      </c>
      <c r="L41" s="163"/>
      <c r="M41" s="165">
        <v>8.3825115396700452E-3</v>
      </c>
      <c r="N41" s="163">
        <v>5891.6241663512828</v>
      </c>
      <c r="O41" s="163">
        <v>0.1</v>
      </c>
      <c r="P41" s="163">
        <v>0</v>
      </c>
      <c r="Q41" s="163"/>
      <c r="R41" s="163">
        <f t="shared" si="1"/>
        <v>0</v>
      </c>
      <c r="S41" s="167" t="e">
        <f t="shared" si="2"/>
        <v>#DIV/0!</v>
      </c>
      <c r="T41" s="167">
        <v>0</v>
      </c>
      <c r="U41" s="159">
        <f>T41*R41</f>
        <v>0</v>
      </c>
    </row>
    <row r="42" spans="1:21" s="168" customFormat="1">
      <c r="A42" s="168">
        <v>21</v>
      </c>
      <c r="C42" s="169">
        <v>9.285714285714286E-3</v>
      </c>
      <c r="D42" s="169">
        <f t="shared" si="15"/>
        <v>0.96</v>
      </c>
      <c r="E42" s="169">
        <f>$F$41/(1-$D$11)</f>
        <v>25.374999999999975</v>
      </c>
      <c r="F42" s="170">
        <f t="shared" si="13"/>
        <v>1.0149999999999999</v>
      </c>
      <c r="G42" s="171">
        <f t="shared" si="0"/>
        <v>9.4249999999999994E-3</v>
      </c>
      <c r="I42" s="170">
        <v>55.16</v>
      </c>
      <c r="J42" s="172">
        <v>0.1</v>
      </c>
      <c r="K42" s="173">
        <f t="shared" si="4"/>
        <v>5.5160000000000001E-3</v>
      </c>
      <c r="L42" s="172"/>
      <c r="M42" s="174">
        <v>8.3825115396700452E-3</v>
      </c>
      <c r="N42" s="172">
        <v>5852.2311631309931</v>
      </c>
      <c r="O42" s="172">
        <v>0.1</v>
      </c>
      <c r="P42" s="172">
        <f t="shared" si="5"/>
        <v>4.9056395257762201E-3</v>
      </c>
      <c r="Q42" s="172"/>
      <c r="R42" s="172">
        <f t="shared" si="1"/>
        <v>-9.9663952577622172E-4</v>
      </c>
      <c r="S42" s="176">
        <f t="shared" si="2"/>
        <v>-10.574424676670787</v>
      </c>
      <c r="T42" s="176">
        <v>1</v>
      </c>
      <c r="U42" s="168">
        <f t="shared" ref="U42:U48" si="19">T42*R42</f>
        <v>-9.9663952577622172E-4</v>
      </c>
    </row>
    <row r="43" spans="1:21" s="168" customFormat="1">
      <c r="A43" s="168">
        <v>23</v>
      </c>
      <c r="C43" s="169">
        <v>9.285714285714286E-3</v>
      </c>
      <c r="D43" s="169">
        <f t="shared" si="15"/>
        <v>0.96</v>
      </c>
      <c r="E43" s="169">
        <f t="shared" ref="E43:E48" si="20">$F$41/(1-$D$11)</f>
        <v>25.374999999999975</v>
      </c>
      <c r="F43" s="170">
        <f t="shared" si="13"/>
        <v>1.0149999999999999</v>
      </c>
      <c r="G43" s="171">
        <f t="shared" si="0"/>
        <v>9.4249999999999994E-3</v>
      </c>
      <c r="I43" s="170">
        <v>47.493333333333332</v>
      </c>
      <c r="J43" s="172">
        <v>0.1</v>
      </c>
      <c r="K43" s="173">
        <f t="shared" si="4"/>
        <v>4.7493333333333337E-3</v>
      </c>
      <c r="L43" s="172"/>
      <c r="M43" s="174">
        <v>8.3825115396700452E-3</v>
      </c>
      <c r="N43" s="172">
        <v>5916.4595905809956</v>
      </c>
      <c r="O43" s="172">
        <v>0.1</v>
      </c>
      <c r="P43" s="172">
        <f t="shared" si="5"/>
        <v>4.9594790792036707E-3</v>
      </c>
      <c r="Q43" s="172"/>
      <c r="R43" s="172">
        <f t="shared" si="1"/>
        <v>-2.838124125370059E-4</v>
      </c>
      <c r="S43" s="176">
        <f t="shared" si="2"/>
        <v>-3.0112722815597444</v>
      </c>
      <c r="T43" s="176">
        <f>A43-A42</f>
        <v>2</v>
      </c>
      <c r="U43" s="168">
        <f t="shared" si="19"/>
        <v>-5.676248250740118E-4</v>
      </c>
    </row>
    <row r="44" spans="1:21" s="168" customFormat="1">
      <c r="A44" s="168">
        <v>26</v>
      </c>
      <c r="C44" s="169">
        <v>9.285714285714286E-3</v>
      </c>
      <c r="D44" s="169">
        <f t="shared" si="15"/>
        <v>0.96</v>
      </c>
      <c r="E44" s="169">
        <f t="shared" si="20"/>
        <v>25.374999999999975</v>
      </c>
      <c r="F44" s="170">
        <f t="shared" si="13"/>
        <v>1.0149999999999999</v>
      </c>
      <c r="G44" s="171">
        <f t="shared" si="0"/>
        <v>9.4249999999999994E-3</v>
      </c>
      <c r="I44" s="170">
        <v>36.549999999999997</v>
      </c>
      <c r="J44" s="172">
        <v>0.1</v>
      </c>
      <c r="K44" s="173">
        <f t="shared" si="4"/>
        <v>3.6549999999999998E-3</v>
      </c>
      <c r="L44" s="172"/>
      <c r="M44" s="174">
        <v>8.3825115396700452E-3</v>
      </c>
      <c r="N44" s="172">
        <v>5117.2707889125477</v>
      </c>
      <c r="O44" s="172">
        <v>0.1</v>
      </c>
      <c r="P44" s="172">
        <f t="shared" si="5"/>
        <v>4.2895581439675867E-3</v>
      </c>
      <c r="Q44" s="172"/>
      <c r="R44" s="172">
        <f t="shared" si="1"/>
        <v>1.4804418560324124E-3</v>
      </c>
      <c r="S44" s="176">
        <f t="shared" si="2"/>
        <v>15.707605899548144</v>
      </c>
      <c r="T44" s="176">
        <f t="shared" ref="T44:T48" si="21">A44-A43</f>
        <v>3</v>
      </c>
      <c r="U44" s="168">
        <f t="shared" si="19"/>
        <v>4.4413255680972371E-3</v>
      </c>
    </row>
    <row r="45" spans="1:21" s="168" customFormat="1">
      <c r="A45" s="168">
        <v>30</v>
      </c>
      <c r="C45" s="169">
        <v>9.285714285714286E-3</v>
      </c>
      <c r="D45" s="169">
        <f t="shared" si="15"/>
        <v>0.96</v>
      </c>
      <c r="E45" s="169">
        <f t="shared" si="20"/>
        <v>25.374999999999975</v>
      </c>
      <c r="F45" s="170">
        <f t="shared" si="13"/>
        <v>1.0149999999999999</v>
      </c>
      <c r="G45" s="171">
        <f t="shared" si="0"/>
        <v>9.4249999999999994E-3</v>
      </c>
      <c r="I45" s="170">
        <v>34.869999999999997</v>
      </c>
      <c r="J45" s="172">
        <v>0.1</v>
      </c>
      <c r="K45" s="173">
        <f t="shared" si="4"/>
        <v>3.4870000000000001E-3</v>
      </c>
      <c r="L45" s="172"/>
      <c r="M45" s="174">
        <v>8.3825115396700452E-3</v>
      </c>
      <c r="N45" s="172">
        <v>5997.1649765565071</v>
      </c>
      <c r="O45" s="172">
        <v>0.1</v>
      </c>
      <c r="P45" s="172">
        <f t="shared" si="5"/>
        <v>5.027130462128996E-3</v>
      </c>
      <c r="Q45" s="172"/>
      <c r="R45" s="172">
        <f t="shared" si="1"/>
        <v>9.1086953787100286E-4</v>
      </c>
      <c r="S45" s="176">
        <f t="shared" si="2"/>
        <v>9.6643982797984389</v>
      </c>
      <c r="T45" s="176">
        <f t="shared" si="21"/>
        <v>4</v>
      </c>
      <c r="U45" s="168">
        <f t="shared" si="19"/>
        <v>3.6434781514840114E-3</v>
      </c>
    </row>
    <row r="46" spans="1:21" s="168" customFormat="1">
      <c r="A46" s="168">
        <v>2</v>
      </c>
      <c r="C46" s="169">
        <v>9.285714285714286E-3</v>
      </c>
      <c r="D46" s="169">
        <f t="shared" si="15"/>
        <v>0.96</v>
      </c>
      <c r="E46" s="169">
        <f t="shared" si="20"/>
        <v>25.374999999999975</v>
      </c>
      <c r="F46" s="170">
        <f t="shared" si="13"/>
        <v>1.0149999999999999</v>
      </c>
      <c r="G46" s="171">
        <f t="shared" si="0"/>
        <v>9.4249999999999994E-3</v>
      </c>
      <c r="I46" s="170">
        <v>35.85</v>
      </c>
      <c r="J46" s="172">
        <v>0.1</v>
      </c>
      <c r="K46" s="173">
        <f t="shared" si="4"/>
        <v>3.5850000000000005E-3</v>
      </c>
      <c r="L46" s="172"/>
      <c r="M46" s="174">
        <v>8.3825115396700452E-3</v>
      </c>
      <c r="N46" s="172">
        <v>6107.9063454360266</v>
      </c>
      <c r="O46" s="172">
        <v>0.1</v>
      </c>
      <c r="P46" s="172">
        <f t="shared" si="5"/>
        <v>5.1199595423841388E-3</v>
      </c>
      <c r="Q46" s="172"/>
      <c r="R46" s="172">
        <f t="shared" si="1"/>
        <v>7.2004045761586005E-4</v>
      </c>
      <c r="S46" s="176">
        <f t="shared" si="2"/>
        <v>7.6396865529534228</v>
      </c>
      <c r="T46" s="176">
        <v>3</v>
      </c>
      <c r="U46" s="168">
        <f t="shared" si="19"/>
        <v>2.1601213728475802E-3</v>
      </c>
    </row>
    <row r="47" spans="1:21" s="168" customFormat="1">
      <c r="A47" s="168">
        <v>4</v>
      </c>
      <c r="C47" s="169">
        <v>9.285714285714286E-3</v>
      </c>
      <c r="D47" s="169">
        <f t="shared" si="15"/>
        <v>0.96</v>
      </c>
      <c r="E47" s="169">
        <f t="shared" si="20"/>
        <v>25.374999999999975</v>
      </c>
      <c r="F47" s="170">
        <f t="shared" si="13"/>
        <v>1.0149999999999999</v>
      </c>
      <c r="G47" s="171">
        <f t="shared" si="0"/>
        <v>9.4249999999999994E-3</v>
      </c>
      <c r="I47" s="170">
        <v>38.03</v>
      </c>
      <c r="J47" s="172">
        <v>0.1</v>
      </c>
      <c r="K47" s="173">
        <f t="shared" si="4"/>
        <v>3.8030000000000004E-3</v>
      </c>
      <c r="L47" s="172"/>
      <c r="M47" s="174">
        <v>8.3825115396700452E-3</v>
      </c>
      <c r="N47" s="172">
        <v>6095.4571592868779</v>
      </c>
      <c r="O47" s="172">
        <v>0.1</v>
      </c>
      <c r="P47" s="172">
        <f t="shared" si="5"/>
        <v>5.1095239977286657E-3</v>
      </c>
      <c r="Q47" s="172"/>
      <c r="R47" s="172">
        <f t="shared" si="1"/>
        <v>5.1247600227133372E-4</v>
      </c>
      <c r="S47" s="176">
        <f t="shared" si="2"/>
        <v>5.4374111646825858</v>
      </c>
      <c r="T47" s="176">
        <f t="shared" si="21"/>
        <v>2</v>
      </c>
      <c r="U47" s="168">
        <f t="shared" si="19"/>
        <v>1.0249520045426674E-3</v>
      </c>
    </row>
    <row r="48" spans="1:21" s="168" customFormat="1">
      <c r="A48" s="168">
        <v>6</v>
      </c>
      <c r="C48" s="169">
        <v>9.285714285714286E-3</v>
      </c>
      <c r="D48" s="169">
        <f t="shared" si="15"/>
        <v>0.96</v>
      </c>
      <c r="E48" s="169">
        <f t="shared" si="20"/>
        <v>25.374999999999975</v>
      </c>
      <c r="F48" s="170">
        <f t="shared" si="13"/>
        <v>1.0149999999999999</v>
      </c>
      <c r="G48" s="171">
        <f t="shared" si="0"/>
        <v>9.4249999999999994E-3</v>
      </c>
      <c r="I48" s="170">
        <v>38.520000000000003</v>
      </c>
      <c r="J48" s="172">
        <v>0.1</v>
      </c>
      <c r="K48" s="173">
        <f t="shared" si="4"/>
        <v>3.8520000000000004E-3</v>
      </c>
      <c r="L48" s="172"/>
      <c r="M48" s="174">
        <v>8.3825115396700452E-3</v>
      </c>
      <c r="N48" s="172">
        <v>6154.8791405550264</v>
      </c>
      <c r="O48" s="172">
        <v>0.1</v>
      </c>
      <c r="P48" s="172">
        <f t="shared" si="5"/>
        <v>5.1593345420976955E-3</v>
      </c>
      <c r="Q48" s="172"/>
      <c r="R48" s="172">
        <f t="shared" si="1"/>
        <v>4.1366545790230344E-4</v>
      </c>
      <c r="S48" s="176">
        <f t="shared" si="2"/>
        <v>4.3890234260191345</v>
      </c>
      <c r="T48" s="176">
        <f t="shared" si="21"/>
        <v>2</v>
      </c>
      <c r="U48" s="168">
        <f t="shared" si="19"/>
        <v>8.2733091580460688E-4</v>
      </c>
    </row>
    <row r="49" spans="1:21" s="159" customFormat="1">
      <c r="A49" s="179" t="s">
        <v>167</v>
      </c>
      <c r="B49" s="159">
        <v>6</v>
      </c>
      <c r="C49" s="160">
        <v>9.285714285714286E-3</v>
      </c>
      <c r="D49" s="160">
        <v>0.96</v>
      </c>
      <c r="E49" s="160"/>
      <c r="F49" s="161">
        <v>1.5</v>
      </c>
      <c r="G49" s="162">
        <v>0</v>
      </c>
      <c r="I49" s="161">
        <v>28.886111111111113</v>
      </c>
      <c r="J49" s="163">
        <v>0.1</v>
      </c>
      <c r="K49" s="164">
        <v>0</v>
      </c>
      <c r="L49" s="163"/>
      <c r="M49" s="165">
        <v>8.3825115396700452E-3</v>
      </c>
      <c r="N49" s="163">
        <v>8181.8422021818524</v>
      </c>
      <c r="O49" s="163">
        <v>0.1</v>
      </c>
      <c r="P49" s="163">
        <v>0</v>
      </c>
      <c r="Q49" s="163"/>
      <c r="R49" s="163">
        <v>0</v>
      </c>
      <c r="S49" s="167" t="e">
        <f t="shared" si="2"/>
        <v>#DIV/0!</v>
      </c>
      <c r="T49" s="167">
        <v>0</v>
      </c>
      <c r="U49" s="159">
        <f>T49*R49</f>
        <v>0</v>
      </c>
    </row>
    <row r="50" spans="1:21" s="168" customFormat="1">
      <c r="A50" s="180">
        <v>9</v>
      </c>
      <c r="C50" s="169">
        <v>9.285714285714286E-3</v>
      </c>
      <c r="D50" s="169">
        <f t="shared" si="15"/>
        <v>0.96</v>
      </c>
      <c r="E50" s="169">
        <f>$F$49/(1-$D$11)</f>
        <v>37.499999999999964</v>
      </c>
      <c r="F50" s="170">
        <f t="shared" si="13"/>
        <v>1.5</v>
      </c>
      <c r="G50" s="171">
        <f t="shared" si="0"/>
        <v>1.3928571428571429E-2</v>
      </c>
      <c r="I50" s="170">
        <v>28.886111111111113</v>
      </c>
      <c r="J50" s="172">
        <v>0.1</v>
      </c>
      <c r="K50" s="173">
        <f t="shared" si="4"/>
        <v>2.8886111111111113E-3</v>
      </c>
      <c r="L50" s="172"/>
      <c r="M50" s="174">
        <v>8.3825115396700452E-3</v>
      </c>
      <c r="N50" s="172">
        <v>6171.4542190304892</v>
      </c>
      <c r="O50" s="172">
        <v>0.1</v>
      </c>
      <c r="P50" s="172">
        <f t="shared" si="5"/>
        <v>5.1732286207568472E-3</v>
      </c>
      <c r="Q50" s="172"/>
      <c r="R50" s="172">
        <f t="shared" si="1"/>
        <v>5.866731696703471E-3</v>
      </c>
      <c r="S50" s="176">
        <f t="shared" si="2"/>
        <v>42.120125001973634</v>
      </c>
      <c r="T50" s="176">
        <v>1</v>
      </c>
      <c r="U50" s="168">
        <f t="shared" ref="U50:U84" si="22">T50*R50</f>
        <v>5.866731696703471E-3</v>
      </c>
    </row>
    <row r="51" spans="1:21" s="168" customFormat="1">
      <c r="A51" s="180">
        <v>11</v>
      </c>
      <c r="C51" s="169">
        <v>9.285714285714286E-3</v>
      </c>
      <c r="D51" s="169">
        <f t="shared" si="15"/>
        <v>0.96</v>
      </c>
      <c r="E51" s="169">
        <f t="shared" ref="E51:E84" si="23">$F$49/(1-$D$11)</f>
        <v>37.499999999999964</v>
      </c>
      <c r="F51" s="170">
        <f t="shared" si="13"/>
        <v>1.5</v>
      </c>
      <c r="G51" s="171">
        <f t="shared" si="0"/>
        <v>1.3928571428571429E-2</v>
      </c>
      <c r="I51" s="170">
        <v>43.52</v>
      </c>
      <c r="J51" s="172">
        <v>0.1</v>
      </c>
      <c r="K51" s="173">
        <f t="shared" si="4"/>
        <v>4.352E-3</v>
      </c>
      <c r="L51" s="172"/>
      <c r="M51" s="174">
        <v>8.3825115396700452E-3</v>
      </c>
      <c r="N51" s="172">
        <v>6280.6897339271936</v>
      </c>
      <c r="O51" s="172">
        <v>0.1</v>
      </c>
      <c r="P51" s="172">
        <f t="shared" si="5"/>
        <v>5.2647954171731893E-3</v>
      </c>
      <c r="Q51" s="172"/>
      <c r="R51" s="172">
        <f t="shared" si="1"/>
        <v>4.3117760113982398E-3</v>
      </c>
      <c r="S51" s="176">
        <f t="shared" si="2"/>
        <v>30.95634059465403</v>
      </c>
      <c r="T51" s="176">
        <f>A51-A50</f>
        <v>2</v>
      </c>
      <c r="U51" s="168">
        <f t="shared" si="22"/>
        <v>8.6235520227964796E-3</v>
      </c>
    </row>
    <row r="52" spans="1:21" s="168" customFormat="1">
      <c r="A52" s="180">
        <v>13</v>
      </c>
      <c r="C52" s="169">
        <v>9.285714285714286E-3</v>
      </c>
      <c r="D52" s="169">
        <f t="shared" si="15"/>
        <v>0.96</v>
      </c>
      <c r="E52" s="169">
        <f t="shared" si="23"/>
        <v>37.499999999999964</v>
      </c>
      <c r="F52" s="170">
        <f t="shared" si="13"/>
        <v>1.5</v>
      </c>
      <c r="G52" s="171">
        <f t="shared" si="0"/>
        <v>1.3928571428571429E-2</v>
      </c>
      <c r="I52" s="181">
        <v>35.47</v>
      </c>
      <c r="J52" s="172">
        <v>0.1</v>
      </c>
      <c r="K52" s="173">
        <f t="shared" si="4"/>
        <v>3.5470000000000002E-3</v>
      </c>
      <c r="L52" s="172"/>
      <c r="M52" s="174">
        <v>8.3825115396700452E-3</v>
      </c>
      <c r="N52" s="172">
        <v>6086.2389106663541</v>
      </c>
      <c r="O52" s="172">
        <v>0.1</v>
      </c>
      <c r="P52" s="172">
        <f t="shared" si="5"/>
        <v>5.101796790184957E-3</v>
      </c>
      <c r="Q52" s="172"/>
      <c r="R52" s="172">
        <f t="shared" si="1"/>
        <v>5.2797746383864714E-3</v>
      </c>
      <c r="S52" s="176">
        <f t="shared" si="2"/>
        <v>37.906074326877231</v>
      </c>
      <c r="T52" s="176">
        <f t="shared" ref="T52:T58" si="24">A52-A51</f>
        <v>2</v>
      </c>
      <c r="U52" s="168">
        <f t="shared" si="22"/>
        <v>1.0559549276772943E-2</v>
      </c>
    </row>
    <row r="53" spans="1:21" s="168" customFormat="1">
      <c r="A53" s="180">
        <v>16</v>
      </c>
      <c r="C53" s="169">
        <v>9.285714285714286E-3</v>
      </c>
      <c r="D53" s="169">
        <f t="shared" si="15"/>
        <v>0.96</v>
      </c>
      <c r="E53" s="169">
        <f t="shared" si="23"/>
        <v>37.499999999999964</v>
      </c>
      <c r="F53" s="170">
        <f t="shared" si="13"/>
        <v>1.5</v>
      </c>
      <c r="G53" s="171">
        <f t="shared" si="0"/>
        <v>1.3928571428571429E-2</v>
      </c>
      <c r="I53" s="181">
        <v>35.47</v>
      </c>
      <c r="J53" s="172">
        <v>0.1</v>
      </c>
      <c r="K53" s="173">
        <f t="shared" si="4"/>
        <v>3.5470000000000002E-3</v>
      </c>
      <c r="L53" s="172"/>
      <c r="M53" s="174">
        <v>8.3825115396700452E-3</v>
      </c>
      <c r="N53" s="172">
        <v>6498.5994397759714</v>
      </c>
      <c r="O53" s="172">
        <v>0.1</v>
      </c>
      <c r="P53" s="172">
        <f t="shared" si="5"/>
        <v>5.4474584795615377E-3</v>
      </c>
      <c r="Q53" s="172"/>
      <c r="R53" s="172">
        <f t="shared" si="1"/>
        <v>4.9341129490098907E-3</v>
      </c>
      <c r="S53" s="176">
        <f t="shared" si="2"/>
        <v>35.424400659558188</v>
      </c>
      <c r="T53" s="176">
        <f t="shared" si="24"/>
        <v>3</v>
      </c>
      <c r="U53" s="168">
        <f t="shared" si="22"/>
        <v>1.4802338847029672E-2</v>
      </c>
    </row>
    <row r="54" spans="1:21" s="168" customFormat="1">
      <c r="A54" s="180">
        <v>18</v>
      </c>
      <c r="C54" s="169">
        <v>9.285714285714286E-3</v>
      </c>
      <c r="D54" s="169">
        <f t="shared" si="15"/>
        <v>0.96</v>
      </c>
      <c r="E54" s="169">
        <f t="shared" si="23"/>
        <v>37.499999999999964</v>
      </c>
      <c r="F54" s="170">
        <f t="shared" si="13"/>
        <v>1.5</v>
      </c>
      <c r="G54" s="171">
        <f t="shared" si="0"/>
        <v>1.3928571428571429E-2</v>
      </c>
      <c r="I54" s="181">
        <v>35.47</v>
      </c>
      <c r="J54" s="172">
        <v>0.1</v>
      </c>
      <c r="K54" s="173">
        <f t="shared" si="4"/>
        <v>3.5470000000000002E-3</v>
      </c>
      <c r="L54" s="172"/>
      <c r="M54" s="174">
        <v>8.3825115396700452E-3</v>
      </c>
      <c r="N54" s="172">
        <v>6563.5777060851742</v>
      </c>
      <c r="O54" s="172">
        <v>0.1</v>
      </c>
      <c r="P54" s="172">
        <f t="shared" si="5"/>
        <v>5.5019265862780026E-3</v>
      </c>
      <c r="Q54" s="172"/>
      <c r="R54" s="172">
        <f t="shared" si="1"/>
        <v>4.8796448422934267E-3</v>
      </c>
      <c r="S54" s="176">
        <f t="shared" si="2"/>
        <v>35.033347585696397</v>
      </c>
      <c r="T54" s="176">
        <f t="shared" si="24"/>
        <v>2</v>
      </c>
      <c r="U54" s="168">
        <f t="shared" si="22"/>
        <v>9.7592896845868533E-3</v>
      </c>
    </row>
    <row r="55" spans="1:21" s="168" customFormat="1">
      <c r="A55" s="180">
        <v>20</v>
      </c>
      <c r="C55" s="169">
        <v>9.285714285714286E-3</v>
      </c>
      <c r="D55" s="169">
        <f t="shared" si="15"/>
        <v>0.96</v>
      </c>
      <c r="E55" s="169">
        <f t="shared" si="23"/>
        <v>37.499999999999964</v>
      </c>
      <c r="F55" s="170">
        <f t="shared" si="13"/>
        <v>1.5</v>
      </c>
      <c r="G55" s="171">
        <f t="shared" si="0"/>
        <v>1.3928571428571429E-2</v>
      </c>
      <c r="I55" s="181">
        <v>35.47</v>
      </c>
      <c r="J55" s="172">
        <v>0.1</v>
      </c>
      <c r="K55" s="173">
        <f t="shared" si="4"/>
        <v>3.5470000000000002E-3</v>
      </c>
      <c r="L55" s="172"/>
      <c r="M55" s="174">
        <v>8.3825115396700452E-3</v>
      </c>
      <c r="N55" s="172">
        <v>7335.7431426749399</v>
      </c>
      <c r="O55" s="172">
        <v>0.1</v>
      </c>
      <c r="P55" s="172">
        <f t="shared" si="5"/>
        <v>6.1491951545528094E-3</v>
      </c>
      <c r="Q55" s="172"/>
      <c r="R55" s="172">
        <f t="shared" si="1"/>
        <v>4.2323762740186198E-3</v>
      </c>
      <c r="S55" s="176">
        <f t="shared" si="2"/>
        <v>30.3862911980824</v>
      </c>
      <c r="T55" s="176">
        <f t="shared" si="24"/>
        <v>2</v>
      </c>
      <c r="U55" s="168">
        <f t="shared" si="22"/>
        <v>8.4647525480372396E-3</v>
      </c>
    </row>
    <row r="56" spans="1:21" s="168" customFormat="1">
      <c r="A56" s="180">
        <v>25</v>
      </c>
      <c r="C56" s="169">
        <v>9.285714285714286E-3</v>
      </c>
      <c r="D56" s="169">
        <f t="shared" si="15"/>
        <v>0.96</v>
      </c>
      <c r="E56" s="169">
        <f t="shared" si="23"/>
        <v>37.499999999999964</v>
      </c>
      <c r="F56" s="170">
        <f t="shared" si="13"/>
        <v>1.5</v>
      </c>
      <c r="G56" s="171">
        <f t="shared" si="0"/>
        <v>1.3928571428571429E-2</v>
      </c>
      <c r="I56" s="181">
        <v>28.6</v>
      </c>
      <c r="J56" s="172">
        <v>0.1</v>
      </c>
      <c r="K56" s="173">
        <f t="shared" si="4"/>
        <v>2.8600000000000001E-3</v>
      </c>
      <c r="L56" s="172"/>
      <c r="M56" s="174">
        <v>8.3825115396700452E-3</v>
      </c>
      <c r="N56" s="172">
        <v>7691.4624766509478</v>
      </c>
      <c r="O56" s="172">
        <v>0.1</v>
      </c>
      <c r="P56" s="172">
        <f t="shared" si="5"/>
        <v>6.4473772967465724E-3</v>
      </c>
      <c r="Q56" s="172"/>
      <c r="R56" s="172">
        <f t="shared" si="1"/>
        <v>4.6211941318248569E-3</v>
      </c>
      <c r="S56" s="176">
        <f t="shared" si="2"/>
        <v>33.17780402335795</v>
      </c>
      <c r="T56" s="176">
        <f t="shared" si="24"/>
        <v>5</v>
      </c>
      <c r="U56" s="168">
        <f t="shared" si="22"/>
        <v>2.3105970659124286E-2</v>
      </c>
    </row>
    <row r="57" spans="1:21" s="168" customFormat="1">
      <c r="A57" s="180">
        <v>27</v>
      </c>
      <c r="C57" s="169">
        <v>9.285714285714286E-3</v>
      </c>
      <c r="D57" s="169">
        <f t="shared" si="15"/>
        <v>0.96</v>
      </c>
      <c r="E57" s="169">
        <f t="shared" si="23"/>
        <v>37.499999999999964</v>
      </c>
      <c r="F57" s="170">
        <f t="shared" si="13"/>
        <v>1.5</v>
      </c>
      <c r="G57" s="171">
        <f t="shared" si="0"/>
        <v>1.3928571428571429E-2</v>
      </c>
      <c r="I57" s="181">
        <v>31.445</v>
      </c>
      <c r="J57" s="172">
        <v>0.1</v>
      </c>
      <c r="K57" s="173">
        <f t="shared" si="4"/>
        <v>3.1445000000000002E-3</v>
      </c>
      <c r="L57" s="172"/>
      <c r="M57" s="174">
        <v>8.3825115396700452E-3</v>
      </c>
      <c r="N57" s="172">
        <v>7696.5365585486843</v>
      </c>
      <c r="O57" s="172">
        <v>0.1</v>
      </c>
      <c r="P57" s="172">
        <f t="shared" si="5"/>
        <v>6.4516306517526725E-3</v>
      </c>
      <c r="Q57" s="172"/>
      <c r="R57" s="172">
        <f t="shared" si="1"/>
        <v>4.3324407768187568E-3</v>
      </c>
      <c r="S57" s="176">
        <f t="shared" si="2"/>
        <v>31.104703013057737</v>
      </c>
      <c r="T57" s="176">
        <f t="shared" si="24"/>
        <v>2</v>
      </c>
      <c r="U57" s="168">
        <f t="shared" si="22"/>
        <v>8.6648815536375136E-3</v>
      </c>
    </row>
    <row r="58" spans="1:21" s="168" customFormat="1">
      <c r="A58" s="180">
        <v>30</v>
      </c>
      <c r="C58" s="169">
        <v>9.285714285714286E-3</v>
      </c>
      <c r="D58" s="169">
        <f t="shared" si="15"/>
        <v>0.96</v>
      </c>
      <c r="E58" s="169">
        <f t="shared" si="23"/>
        <v>37.499999999999964</v>
      </c>
      <c r="F58" s="170">
        <f t="shared" si="13"/>
        <v>1.5</v>
      </c>
      <c r="G58" s="171">
        <f t="shared" si="0"/>
        <v>1.3928571428571429E-2</v>
      </c>
      <c r="I58" s="181">
        <v>31.445</v>
      </c>
      <c r="J58" s="172">
        <v>0.1</v>
      </c>
      <c r="K58" s="173">
        <f t="shared" si="4"/>
        <v>3.1445000000000002E-3</v>
      </c>
      <c r="L58" s="172"/>
      <c r="M58" s="174">
        <v>8.3825115396700452E-3</v>
      </c>
      <c r="N58" s="172">
        <v>8273.1298065719056</v>
      </c>
      <c r="O58" s="172">
        <v>0.1</v>
      </c>
      <c r="P58" s="172">
        <f t="shared" si="5"/>
        <v>6.9349606072777216E-3</v>
      </c>
      <c r="Q58" s="172"/>
      <c r="R58" s="172">
        <f t="shared" si="1"/>
        <v>3.8491108212937077E-3</v>
      </c>
      <c r="S58" s="176">
        <f t="shared" si="2"/>
        <v>27.63464179390354</v>
      </c>
      <c r="T58" s="176">
        <f t="shared" si="24"/>
        <v>3</v>
      </c>
      <c r="U58" s="168">
        <f t="shared" si="22"/>
        <v>1.1547332463881123E-2</v>
      </c>
    </row>
    <row r="59" spans="1:21" s="168" customFormat="1">
      <c r="A59" s="180">
        <v>1</v>
      </c>
      <c r="C59" s="169">
        <v>9.285714285714286E-3</v>
      </c>
      <c r="D59" s="169">
        <f t="shared" si="15"/>
        <v>0.96</v>
      </c>
      <c r="E59" s="169">
        <f t="shared" si="23"/>
        <v>37.499999999999964</v>
      </c>
      <c r="F59" s="170">
        <f t="shared" si="13"/>
        <v>1.5</v>
      </c>
      <c r="G59" s="171">
        <f t="shared" si="0"/>
        <v>1.3928571428571429E-2</v>
      </c>
      <c r="I59" s="181">
        <v>31.445</v>
      </c>
      <c r="J59" s="172">
        <v>0.1</v>
      </c>
      <c r="K59" s="173">
        <f t="shared" si="4"/>
        <v>3.1445000000000002E-3</v>
      </c>
      <c r="L59" s="172"/>
      <c r="M59" s="174">
        <v>8.3825115396700452E-3</v>
      </c>
      <c r="N59" s="172">
        <v>8498.5835694051111</v>
      </c>
      <c r="O59" s="172">
        <v>0.1</v>
      </c>
      <c r="P59" s="172">
        <f t="shared" si="5"/>
        <v>7.1239474841388586E-3</v>
      </c>
      <c r="Q59" s="172"/>
      <c r="R59" s="172">
        <f t="shared" si="1"/>
        <v>3.6601239444325698E-3</v>
      </c>
      <c r="S59" s="176">
        <f t="shared" si="2"/>
        <v>26.277812934387679</v>
      </c>
      <c r="T59" s="176">
        <v>2</v>
      </c>
      <c r="U59" s="168">
        <f t="shared" si="22"/>
        <v>7.3202478888651397E-3</v>
      </c>
    </row>
    <row r="60" spans="1:21" s="168" customFormat="1">
      <c r="A60" s="180">
        <v>3</v>
      </c>
      <c r="C60" s="169">
        <v>9.285714285714286E-3</v>
      </c>
      <c r="D60" s="169">
        <f t="shared" si="15"/>
        <v>0.96</v>
      </c>
      <c r="E60" s="169">
        <f t="shared" si="23"/>
        <v>37.499999999999964</v>
      </c>
      <c r="F60" s="170">
        <f t="shared" si="13"/>
        <v>1.5</v>
      </c>
      <c r="G60" s="171">
        <f t="shared" si="0"/>
        <v>1.3928571428571429E-2</v>
      </c>
      <c r="I60" s="181">
        <v>31.445</v>
      </c>
      <c r="J60" s="172">
        <v>0.1</v>
      </c>
      <c r="K60" s="173">
        <f t="shared" si="4"/>
        <v>3.1445000000000002E-3</v>
      </c>
      <c r="L60" s="172"/>
      <c r="M60" s="174">
        <v>8.3825115396700452E-3</v>
      </c>
      <c r="N60" s="172">
        <v>8463.7681159420772</v>
      </c>
      <c r="O60" s="172">
        <v>0.1</v>
      </c>
      <c r="P60" s="172">
        <f t="shared" si="5"/>
        <v>7.0947633900975858E-3</v>
      </c>
      <c r="Q60" s="172"/>
      <c r="R60" s="172">
        <f t="shared" si="1"/>
        <v>3.6893080384738427E-3</v>
      </c>
      <c r="S60" s="176">
        <f t="shared" si="2"/>
        <v>26.487339763401945</v>
      </c>
      <c r="T60" s="176">
        <f>A60-A59</f>
        <v>2</v>
      </c>
      <c r="U60" s="168">
        <f t="shared" si="22"/>
        <v>7.3786160769476854E-3</v>
      </c>
    </row>
    <row r="61" spans="1:21" s="168" customFormat="1">
      <c r="A61" s="180">
        <v>7</v>
      </c>
      <c r="C61" s="169">
        <v>9.285714285714286E-3</v>
      </c>
      <c r="D61" s="169">
        <f t="shared" si="15"/>
        <v>0.96</v>
      </c>
      <c r="E61" s="169">
        <f t="shared" si="23"/>
        <v>37.499999999999964</v>
      </c>
      <c r="F61" s="170">
        <f t="shared" si="13"/>
        <v>1.5</v>
      </c>
      <c r="G61" s="171">
        <f t="shared" si="0"/>
        <v>1.3928571428571429E-2</v>
      </c>
      <c r="I61" s="181">
        <v>31.445</v>
      </c>
      <c r="J61" s="172">
        <v>0.1</v>
      </c>
      <c r="K61" s="173">
        <f t="shared" si="4"/>
        <v>3.1445000000000002E-3</v>
      </c>
      <c r="L61" s="172"/>
      <c r="M61" s="174">
        <v>8.3825115396700452E-3</v>
      </c>
      <c r="N61" s="172">
        <v>8414.6341463414356</v>
      </c>
      <c r="O61" s="172">
        <v>0.1</v>
      </c>
      <c r="P61" s="172">
        <f t="shared" si="5"/>
        <v>7.0535767833808695E-3</v>
      </c>
      <c r="Q61" s="172"/>
      <c r="R61" s="172">
        <f t="shared" si="1"/>
        <v>3.7304946451905598E-3</v>
      </c>
      <c r="S61" s="176">
        <f t="shared" si="2"/>
        <v>26.7830384782912</v>
      </c>
      <c r="T61" s="176">
        <f t="shared" ref="T61:T84" si="25">A61-A60</f>
        <v>4</v>
      </c>
      <c r="U61" s="168">
        <f t="shared" si="22"/>
        <v>1.4921978580762239E-2</v>
      </c>
    </row>
    <row r="62" spans="1:21" s="168" customFormat="1">
      <c r="A62" s="180">
        <v>9</v>
      </c>
      <c r="C62" s="169">
        <v>9.285714285714286E-3</v>
      </c>
      <c r="D62" s="169">
        <f t="shared" si="15"/>
        <v>0.96</v>
      </c>
      <c r="E62" s="169">
        <f t="shared" si="23"/>
        <v>37.499999999999964</v>
      </c>
      <c r="F62" s="170">
        <f t="shared" si="13"/>
        <v>1.5</v>
      </c>
      <c r="G62" s="171">
        <f t="shared" si="0"/>
        <v>1.3928571428571429E-2</v>
      </c>
      <c r="I62" s="181">
        <v>31.445</v>
      </c>
      <c r="J62" s="172">
        <v>0.1</v>
      </c>
      <c r="K62" s="173">
        <f t="shared" si="4"/>
        <v>3.1445000000000002E-3</v>
      </c>
      <c r="L62" s="172"/>
      <c r="M62" s="174">
        <v>8.3825115396700452E-3</v>
      </c>
      <c r="N62" s="172">
        <v>7886.2601355103952</v>
      </c>
      <c r="O62" s="172">
        <v>0.1</v>
      </c>
      <c r="P62" s="172">
        <f t="shared" si="5"/>
        <v>6.6106666590755748E-3</v>
      </c>
      <c r="Q62" s="172"/>
      <c r="R62" s="172">
        <f t="shared" si="1"/>
        <v>4.1734047694958545E-3</v>
      </c>
      <c r="S62" s="176">
        <f t="shared" si="2"/>
        <v>29.962906037406135</v>
      </c>
      <c r="T62" s="176">
        <f t="shared" si="25"/>
        <v>2</v>
      </c>
      <c r="U62" s="168">
        <f t="shared" si="22"/>
        <v>8.3468095389917091E-3</v>
      </c>
    </row>
    <row r="63" spans="1:21" s="168" customFormat="1">
      <c r="A63" s="180">
        <v>11</v>
      </c>
      <c r="C63" s="169">
        <v>9.285714285714286E-3</v>
      </c>
      <c r="D63" s="169">
        <f t="shared" si="15"/>
        <v>0.96</v>
      </c>
      <c r="E63" s="169">
        <f t="shared" si="23"/>
        <v>37.499999999999964</v>
      </c>
      <c r="F63" s="170">
        <f t="shared" si="13"/>
        <v>1.5</v>
      </c>
      <c r="G63" s="171">
        <f t="shared" si="0"/>
        <v>1.3928571428571429E-2</v>
      </c>
      <c r="I63" s="181">
        <v>31.445</v>
      </c>
      <c r="J63" s="172">
        <v>0.1</v>
      </c>
      <c r="K63" s="173">
        <f t="shared" si="4"/>
        <v>3.1445000000000002E-3</v>
      </c>
      <c r="L63" s="172"/>
      <c r="M63" s="174">
        <v>8.3825115396700452E-3</v>
      </c>
      <c r="N63" s="172">
        <v>5184.9291393017138</v>
      </c>
      <c r="O63" s="172">
        <v>0.1</v>
      </c>
      <c r="P63" s="172">
        <f t="shared" si="5"/>
        <v>4.3462728342568095E-3</v>
      </c>
      <c r="Q63" s="172"/>
      <c r="R63" s="172">
        <f t="shared" si="1"/>
        <v>6.4377985943146199E-3</v>
      </c>
      <c r="S63" s="176">
        <f t="shared" si="2"/>
        <v>46.220092472002399</v>
      </c>
      <c r="T63" s="176">
        <f t="shared" si="25"/>
        <v>2</v>
      </c>
      <c r="U63" s="168">
        <f t="shared" si="22"/>
        <v>1.287559718862924E-2</v>
      </c>
    </row>
    <row r="64" spans="1:21" s="168" customFormat="1">
      <c r="A64" s="180">
        <v>13</v>
      </c>
      <c r="C64" s="169">
        <v>9.285714285714286E-3</v>
      </c>
      <c r="D64" s="169">
        <f t="shared" si="15"/>
        <v>0.96</v>
      </c>
      <c r="E64" s="169">
        <f t="shared" si="23"/>
        <v>37.499999999999964</v>
      </c>
      <c r="F64" s="170">
        <f t="shared" si="13"/>
        <v>1.5</v>
      </c>
      <c r="G64" s="171">
        <f t="shared" si="0"/>
        <v>1.3928571428571429E-2</v>
      </c>
      <c r="I64" s="181">
        <v>31.445</v>
      </c>
      <c r="J64" s="172">
        <v>0.1</v>
      </c>
      <c r="K64" s="173">
        <f t="shared" si="4"/>
        <v>3.1445000000000002E-3</v>
      </c>
      <c r="L64" s="172"/>
      <c r="M64" s="174">
        <v>8.3825115396700452E-3</v>
      </c>
      <c r="N64" s="172">
        <v>8754.736704560326</v>
      </c>
      <c r="O64" s="172">
        <v>0.1</v>
      </c>
      <c r="P64" s="172">
        <f t="shared" si="5"/>
        <v>7.3386681452749843E-3</v>
      </c>
      <c r="Q64" s="172"/>
      <c r="R64" s="172">
        <f t="shared" si="1"/>
        <v>3.445403283296445E-3</v>
      </c>
      <c r="S64" s="176">
        <f t="shared" si="2"/>
        <v>24.736228700589859</v>
      </c>
      <c r="T64" s="176">
        <f t="shared" si="25"/>
        <v>2</v>
      </c>
      <c r="U64" s="168">
        <f t="shared" si="22"/>
        <v>6.89080656659289E-3</v>
      </c>
    </row>
    <row r="65" spans="1:21" s="168" customFormat="1">
      <c r="A65" s="180">
        <v>15</v>
      </c>
      <c r="C65" s="169">
        <v>9.285714285714286E-3</v>
      </c>
      <c r="D65" s="169">
        <f t="shared" si="15"/>
        <v>0.96</v>
      </c>
      <c r="E65" s="169">
        <f t="shared" si="23"/>
        <v>37.499999999999964</v>
      </c>
      <c r="F65" s="170">
        <f t="shared" si="13"/>
        <v>1.5</v>
      </c>
      <c r="G65" s="171">
        <f t="shared" si="0"/>
        <v>1.3928571428571429E-2</v>
      </c>
      <c r="I65" s="181">
        <v>31.445</v>
      </c>
      <c r="J65" s="172">
        <v>0.1</v>
      </c>
      <c r="K65" s="173">
        <f t="shared" si="4"/>
        <v>3.1445000000000002E-3</v>
      </c>
      <c r="L65" s="172"/>
      <c r="M65" s="174">
        <v>8.3825115396700452E-3</v>
      </c>
      <c r="N65" s="172">
        <v>9403.5810897848369</v>
      </c>
      <c r="O65" s="172">
        <v>0.1</v>
      </c>
      <c r="P65" s="172">
        <f t="shared" si="5"/>
        <v>7.8825626999344412E-3</v>
      </c>
      <c r="Q65" s="172"/>
      <c r="R65" s="172">
        <f t="shared" si="1"/>
        <v>2.9015087286369881E-3</v>
      </c>
      <c r="S65" s="176">
        <f t="shared" si="2"/>
        <v>20.831344718419402</v>
      </c>
      <c r="T65" s="176">
        <f t="shared" si="25"/>
        <v>2</v>
      </c>
      <c r="U65" s="168">
        <f t="shared" si="22"/>
        <v>5.8030174572739762E-3</v>
      </c>
    </row>
    <row r="66" spans="1:21" s="168" customFormat="1">
      <c r="A66" s="180">
        <v>17</v>
      </c>
      <c r="C66" s="169">
        <v>9.285714285714286E-3</v>
      </c>
      <c r="D66" s="169">
        <f t="shared" si="15"/>
        <v>0.96</v>
      </c>
      <c r="E66" s="169">
        <f t="shared" si="23"/>
        <v>37.499999999999964</v>
      </c>
      <c r="F66" s="170">
        <f t="shared" si="13"/>
        <v>1.5</v>
      </c>
      <c r="G66" s="171">
        <f t="shared" si="0"/>
        <v>1.3928571428571429E-2</v>
      </c>
      <c r="I66" s="181">
        <v>31.445</v>
      </c>
      <c r="J66" s="172">
        <v>0.1</v>
      </c>
      <c r="K66" s="173">
        <f t="shared" si="4"/>
        <v>3.1445000000000002E-3</v>
      </c>
      <c r="L66" s="172"/>
      <c r="M66" s="174">
        <v>8.3825115396700452E-3</v>
      </c>
      <c r="N66" s="172">
        <v>9672.0400222346252</v>
      </c>
      <c r="O66" s="172">
        <v>0.1</v>
      </c>
      <c r="P66" s="172">
        <f t="shared" si="5"/>
        <v>8.1075987098532271E-3</v>
      </c>
      <c r="Q66" s="172"/>
      <c r="R66" s="172">
        <f t="shared" si="1"/>
        <v>2.6764727187182022E-3</v>
      </c>
      <c r="S66" s="176">
        <f t="shared" si="2"/>
        <v>19.215701570284526</v>
      </c>
      <c r="T66" s="176">
        <f t="shared" si="25"/>
        <v>2</v>
      </c>
      <c r="U66" s="168">
        <f t="shared" si="22"/>
        <v>5.3529454374364044E-3</v>
      </c>
    </row>
    <row r="67" spans="1:21" s="168" customFormat="1">
      <c r="A67" s="180">
        <v>21</v>
      </c>
      <c r="C67" s="169">
        <v>9.285714285714286E-3</v>
      </c>
      <c r="D67" s="169">
        <f t="shared" si="15"/>
        <v>0.96</v>
      </c>
      <c r="E67" s="169">
        <f t="shared" si="23"/>
        <v>37.499999999999964</v>
      </c>
      <c r="F67" s="170">
        <f t="shared" si="13"/>
        <v>1.5</v>
      </c>
      <c r="G67" s="171">
        <f t="shared" si="0"/>
        <v>1.3928571428571429E-2</v>
      </c>
      <c r="I67" s="181">
        <v>31.445</v>
      </c>
      <c r="J67" s="172">
        <v>0.1</v>
      </c>
      <c r="K67" s="173">
        <f t="shared" si="4"/>
        <v>3.1445000000000002E-3</v>
      </c>
      <c r="L67" s="172"/>
      <c r="M67" s="174">
        <v>8.3825115396700452E-3</v>
      </c>
      <c r="N67" s="172">
        <v>9462.1513944222825</v>
      </c>
      <c r="O67" s="172">
        <v>0.1</v>
      </c>
      <c r="P67" s="172">
        <f t="shared" si="5"/>
        <v>7.93165932538498E-3</v>
      </c>
      <c r="Q67" s="172"/>
      <c r="R67" s="172">
        <f t="shared" si="1"/>
        <v>2.8524121031864493E-3</v>
      </c>
      <c r="S67" s="176">
        <f t="shared" si="2"/>
        <v>20.478856125441176</v>
      </c>
      <c r="T67" s="176">
        <f t="shared" si="25"/>
        <v>4</v>
      </c>
      <c r="U67" s="168">
        <f t="shared" si="22"/>
        <v>1.1409648412745797E-2</v>
      </c>
    </row>
    <row r="68" spans="1:21" s="168" customFormat="1">
      <c r="A68" s="182">
        <v>23</v>
      </c>
      <c r="C68" s="169">
        <v>9.285714285714286E-3</v>
      </c>
      <c r="D68" s="169">
        <f t="shared" si="15"/>
        <v>0.96</v>
      </c>
      <c r="E68" s="169">
        <f t="shared" si="23"/>
        <v>37.499999999999964</v>
      </c>
      <c r="F68" s="170">
        <f t="shared" si="13"/>
        <v>1.5</v>
      </c>
      <c r="G68" s="171">
        <f t="shared" si="0"/>
        <v>1.3928571428571429E-2</v>
      </c>
      <c r="I68" s="181">
        <v>31.445</v>
      </c>
      <c r="J68" s="172">
        <v>0.1</v>
      </c>
      <c r="K68" s="173">
        <f t="shared" si="4"/>
        <v>3.1445000000000002E-3</v>
      </c>
      <c r="L68" s="172"/>
      <c r="M68" s="174">
        <v>8.3825115396700452E-3</v>
      </c>
      <c r="N68" s="172">
        <v>9446.3971880492027</v>
      </c>
      <c r="O68" s="172">
        <v>0.1</v>
      </c>
      <c r="P68" s="172">
        <f t="shared" si="5"/>
        <v>7.9184533437129112E-3</v>
      </c>
      <c r="Q68" s="172"/>
      <c r="R68" s="172">
        <f t="shared" si="1"/>
        <v>2.8656180848585181E-3</v>
      </c>
      <c r="S68" s="176">
        <f t="shared" si="2"/>
        <v>20.573668301548334</v>
      </c>
      <c r="T68" s="176">
        <f t="shared" si="25"/>
        <v>2</v>
      </c>
      <c r="U68" s="168">
        <f t="shared" si="22"/>
        <v>5.7312361697170362E-3</v>
      </c>
    </row>
    <row r="69" spans="1:21" s="183" customFormat="1">
      <c r="A69" s="182">
        <v>25</v>
      </c>
      <c r="C69" s="169">
        <v>9.285714285714286E-3</v>
      </c>
      <c r="D69" s="169">
        <f t="shared" si="15"/>
        <v>0.96</v>
      </c>
      <c r="E69" s="169">
        <f t="shared" si="23"/>
        <v>37.499999999999964</v>
      </c>
      <c r="F69" s="170">
        <f t="shared" si="13"/>
        <v>1.5</v>
      </c>
      <c r="G69" s="171">
        <f t="shared" si="0"/>
        <v>1.3928571428571429E-2</v>
      </c>
      <c r="I69" s="184">
        <v>28.53</v>
      </c>
      <c r="J69" s="172">
        <v>0.1</v>
      </c>
      <c r="K69" s="173">
        <f t="shared" si="4"/>
        <v>2.8530000000000001E-3</v>
      </c>
      <c r="L69" s="185"/>
      <c r="M69" s="174">
        <v>8.3825115396700452E-3</v>
      </c>
      <c r="N69" s="185">
        <v>9514.3268060626124</v>
      </c>
      <c r="O69" s="172">
        <v>0.1</v>
      </c>
      <c r="P69" s="172">
        <f t="shared" si="5"/>
        <v>7.9753954244011892E-3</v>
      </c>
      <c r="Q69" s="185"/>
      <c r="R69" s="172">
        <f t="shared" si="1"/>
        <v>3.1001760041702402E-3</v>
      </c>
      <c r="S69" s="176">
        <f t="shared" si="2"/>
        <v>22.257673876094032</v>
      </c>
      <c r="T69" s="176">
        <f t="shared" si="25"/>
        <v>2</v>
      </c>
      <c r="U69" s="168">
        <f t="shared" si="22"/>
        <v>6.2003520083404803E-3</v>
      </c>
    </row>
    <row r="70" spans="1:21" s="183" customFormat="1">
      <c r="A70" s="182">
        <v>27</v>
      </c>
      <c r="C70" s="169">
        <v>9.285714285714286E-3</v>
      </c>
      <c r="D70" s="169">
        <f t="shared" si="15"/>
        <v>0.96</v>
      </c>
      <c r="E70" s="169">
        <f t="shared" si="23"/>
        <v>37.499999999999964</v>
      </c>
      <c r="F70" s="170">
        <f t="shared" si="13"/>
        <v>1.5</v>
      </c>
      <c r="G70" s="171">
        <f t="shared" si="0"/>
        <v>1.3928571428571429E-2</v>
      </c>
      <c r="I70" s="184">
        <v>29.605</v>
      </c>
      <c r="J70" s="172">
        <v>0.1</v>
      </c>
      <c r="K70" s="173">
        <f t="shared" si="4"/>
        <v>2.9605E-3</v>
      </c>
      <c r="L70" s="185"/>
      <c r="M70" s="174">
        <v>8.3825115396700452E-3</v>
      </c>
      <c r="N70" s="185">
        <v>9075.9075907590286</v>
      </c>
      <c r="O70" s="172">
        <v>0.1</v>
      </c>
      <c r="P70" s="172">
        <f t="shared" si="5"/>
        <v>7.6078900112516524E-3</v>
      </c>
      <c r="Q70" s="185"/>
      <c r="R70" s="172">
        <f t="shared" si="1"/>
        <v>3.3601814173197762E-3</v>
      </c>
      <c r="S70" s="176">
        <f t="shared" si="2"/>
        <v>24.12437940639839</v>
      </c>
      <c r="T70" s="176">
        <f t="shared" si="25"/>
        <v>2</v>
      </c>
      <c r="U70" s="168">
        <f t="shared" si="22"/>
        <v>6.7203628346395525E-3</v>
      </c>
    </row>
    <row r="71" spans="1:21" s="183" customFormat="1">
      <c r="A71" s="182">
        <v>29</v>
      </c>
      <c r="C71" s="169">
        <v>9.285714285714286E-3</v>
      </c>
      <c r="D71" s="169">
        <f t="shared" si="15"/>
        <v>0.96</v>
      </c>
      <c r="E71" s="169">
        <f t="shared" si="23"/>
        <v>37.499999999999964</v>
      </c>
      <c r="F71" s="170">
        <f t="shared" si="13"/>
        <v>1.5</v>
      </c>
      <c r="G71" s="171">
        <f t="shared" si="0"/>
        <v>1.3928571428571429E-2</v>
      </c>
      <c r="I71" s="184">
        <v>30.68</v>
      </c>
      <c r="J71" s="172">
        <v>0.1</v>
      </c>
      <c r="K71" s="173">
        <f t="shared" si="4"/>
        <v>3.068E-3</v>
      </c>
      <c r="L71" s="185"/>
      <c r="M71" s="174">
        <v>8.3825115396700452E-3</v>
      </c>
      <c r="N71" s="185">
        <v>9084.121453459391</v>
      </c>
      <c r="O71" s="172">
        <v>0.1</v>
      </c>
      <c r="P71" s="172">
        <f t="shared" si="5"/>
        <v>7.6147752911387579E-3</v>
      </c>
      <c r="Q71" s="185"/>
      <c r="R71" s="172">
        <f t="shared" si="1"/>
        <v>3.2457961374326716E-3</v>
      </c>
      <c r="S71" s="176">
        <f t="shared" si="2"/>
        <v>23.303151755926869</v>
      </c>
      <c r="T71" s="176">
        <f t="shared" si="25"/>
        <v>2</v>
      </c>
      <c r="U71" s="168">
        <f t="shared" si="22"/>
        <v>6.4915922748653432E-3</v>
      </c>
    </row>
    <row r="72" spans="1:21" s="168" customFormat="1">
      <c r="A72" s="182">
        <v>1</v>
      </c>
      <c r="C72" s="169">
        <v>9.285714285714286E-3</v>
      </c>
      <c r="D72" s="169">
        <f t="shared" si="15"/>
        <v>0.96</v>
      </c>
      <c r="E72" s="169">
        <f t="shared" si="23"/>
        <v>37.499999999999964</v>
      </c>
      <c r="F72" s="170">
        <f t="shared" si="13"/>
        <v>1.5</v>
      </c>
      <c r="G72" s="171">
        <f t="shared" si="0"/>
        <v>1.3928571428571429E-2</v>
      </c>
      <c r="I72" s="170">
        <v>28.53</v>
      </c>
      <c r="J72" s="172">
        <v>0.1</v>
      </c>
      <c r="K72" s="173">
        <f t="shared" si="4"/>
        <v>2.8530000000000001E-3</v>
      </c>
      <c r="L72" s="172"/>
      <c r="M72" s="174">
        <v>8.3825115396700452E-3</v>
      </c>
      <c r="N72" s="172">
        <v>7208.4641320776373</v>
      </c>
      <c r="O72" s="172">
        <v>0.1</v>
      </c>
      <c r="P72" s="172">
        <f t="shared" si="5"/>
        <v>6.0425033770438417E-3</v>
      </c>
      <c r="Q72" s="172"/>
      <c r="R72" s="172">
        <f t="shared" si="1"/>
        <v>5.0330680515275877E-3</v>
      </c>
      <c r="S72" s="176">
        <f t="shared" si="2"/>
        <v>36.134847549428834</v>
      </c>
      <c r="T72" s="176">
        <v>2</v>
      </c>
      <c r="U72" s="168">
        <f t="shared" si="22"/>
        <v>1.0066136103055175E-2</v>
      </c>
    </row>
    <row r="73" spans="1:21" s="168" customFormat="1">
      <c r="A73" s="182">
        <v>4</v>
      </c>
      <c r="C73" s="169">
        <v>9.285714285714286E-3</v>
      </c>
      <c r="D73" s="169">
        <f t="shared" si="15"/>
        <v>0.96</v>
      </c>
      <c r="E73" s="169">
        <f t="shared" si="23"/>
        <v>37.499999999999964</v>
      </c>
      <c r="F73" s="170">
        <f t="shared" si="13"/>
        <v>1.5</v>
      </c>
      <c r="G73" s="171">
        <f t="shared" si="0"/>
        <v>1.3928571428571429E-2</v>
      </c>
      <c r="I73" s="170">
        <v>20.29</v>
      </c>
      <c r="J73" s="172">
        <v>0.1</v>
      </c>
      <c r="K73" s="173">
        <f t="shared" si="4"/>
        <v>2.029E-3</v>
      </c>
      <c r="L73" s="172"/>
      <c r="M73" s="174">
        <v>8.3825115396700452E-3</v>
      </c>
      <c r="N73" s="172">
        <v>9111.3610798650425</v>
      </c>
      <c r="O73" s="172">
        <v>0.1</v>
      </c>
      <c r="P73" s="172">
        <f t="shared" si="5"/>
        <v>7.6376089394069244E-3</v>
      </c>
      <c r="Q73" s="172"/>
      <c r="R73" s="172">
        <f t="shared" si="1"/>
        <v>4.2619624891645051E-3</v>
      </c>
      <c r="S73" s="176">
        <f t="shared" si="2"/>
        <v>30.59870505041183</v>
      </c>
      <c r="T73" s="176">
        <f t="shared" si="25"/>
        <v>3</v>
      </c>
      <c r="U73" s="168">
        <f t="shared" si="22"/>
        <v>1.2785887467493515E-2</v>
      </c>
    </row>
    <row r="74" spans="1:21" s="168" customFormat="1">
      <c r="A74" s="182">
        <v>6</v>
      </c>
      <c r="C74" s="169">
        <v>9.285714285714286E-3</v>
      </c>
      <c r="D74" s="169">
        <f t="shared" si="15"/>
        <v>0.96</v>
      </c>
      <c r="E74" s="169">
        <f t="shared" si="23"/>
        <v>37.499999999999964</v>
      </c>
      <c r="F74" s="170">
        <f t="shared" si="13"/>
        <v>1.5</v>
      </c>
      <c r="G74" s="171">
        <f t="shared" si="0"/>
        <v>1.3928571428571429E-2</v>
      </c>
      <c r="I74" s="170">
        <v>38.840000000000003</v>
      </c>
      <c r="J74" s="172">
        <v>0.1</v>
      </c>
      <c r="K74" s="173">
        <f t="shared" si="4"/>
        <v>3.8840000000000003E-3</v>
      </c>
      <c r="L74" s="172"/>
      <c r="M74" s="174">
        <v>8.3825115396700452E-3</v>
      </c>
      <c r="N74" s="172">
        <v>8599.5085995086338</v>
      </c>
      <c r="O74" s="172">
        <v>0.1</v>
      </c>
      <c r="P74" s="172">
        <f t="shared" si="5"/>
        <v>7.2085480070872912E-3</v>
      </c>
      <c r="Q74" s="172"/>
      <c r="R74" s="172">
        <f t="shared" si="1"/>
        <v>2.8360234214841375E-3</v>
      </c>
      <c r="S74" s="176">
        <f t="shared" si="2"/>
        <v>20.361193795270729</v>
      </c>
      <c r="T74" s="176">
        <f t="shared" si="25"/>
        <v>2</v>
      </c>
      <c r="U74" s="168">
        <f t="shared" si="22"/>
        <v>5.6720468429682751E-3</v>
      </c>
    </row>
    <row r="75" spans="1:21" s="168" customFormat="1">
      <c r="A75" s="182">
        <v>8</v>
      </c>
      <c r="C75" s="169">
        <v>9.285714285714286E-3</v>
      </c>
      <c r="D75" s="169">
        <f t="shared" si="15"/>
        <v>0.96</v>
      </c>
      <c r="E75" s="169">
        <f t="shared" si="23"/>
        <v>37.499999999999964</v>
      </c>
      <c r="F75" s="170">
        <f t="shared" si="13"/>
        <v>1.5</v>
      </c>
      <c r="G75" s="171">
        <f t="shared" ref="G75:G84" si="26">F75*C75</f>
        <v>1.3928571428571429E-2</v>
      </c>
      <c r="I75" s="170">
        <v>33.200000000000003</v>
      </c>
      <c r="J75" s="172">
        <v>0.1</v>
      </c>
      <c r="K75" s="173">
        <f t="shared" si="4"/>
        <v>3.3200000000000005E-3</v>
      </c>
      <c r="L75" s="172"/>
      <c r="M75" s="174">
        <v>8.3825115396700452E-3</v>
      </c>
      <c r="N75" s="172">
        <v>7936.5079365079682</v>
      </c>
      <c r="O75" s="172">
        <v>0.1</v>
      </c>
      <c r="P75" s="172">
        <f t="shared" si="5"/>
        <v>6.6527869362460954E-3</v>
      </c>
      <c r="Q75" s="172"/>
      <c r="R75" s="172">
        <f t="shared" ref="R75:R84" si="27">G75-(K75+P75)</f>
        <v>3.9557844923253337E-3</v>
      </c>
      <c r="S75" s="176">
        <f t="shared" ref="S75:S84" si="28">R75/G75*100</f>
        <v>28.400504047463933</v>
      </c>
      <c r="T75" s="176">
        <f t="shared" si="25"/>
        <v>2</v>
      </c>
      <c r="U75" s="168">
        <f t="shared" si="22"/>
        <v>7.9115689846506673E-3</v>
      </c>
    </row>
    <row r="76" spans="1:21" s="168" customFormat="1">
      <c r="A76" s="182">
        <v>10</v>
      </c>
      <c r="C76" s="169">
        <v>9.285714285714286E-3</v>
      </c>
      <c r="D76" s="169">
        <f t="shared" si="15"/>
        <v>0.96</v>
      </c>
      <c r="E76" s="169">
        <f t="shared" si="23"/>
        <v>37.499999999999964</v>
      </c>
      <c r="F76" s="170">
        <f t="shared" si="13"/>
        <v>1.5</v>
      </c>
      <c r="G76" s="171">
        <f t="shared" si="26"/>
        <v>1.3928571428571429E-2</v>
      </c>
      <c r="I76" s="170">
        <v>21.94</v>
      </c>
      <c r="J76" s="172">
        <v>0.1</v>
      </c>
      <c r="K76" s="173">
        <f t="shared" ref="K76:K84" si="29">J76*I76/1000</f>
        <v>2.1940000000000002E-3</v>
      </c>
      <c r="L76" s="172"/>
      <c r="M76" s="174">
        <v>8.3825115396700452E-3</v>
      </c>
      <c r="N76" s="172">
        <v>5807.200929152149</v>
      </c>
      <c r="O76" s="172">
        <v>0.1</v>
      </c>
      <c r="P76" s="172">
        <f t="shared" ref="P76:P84" si="30">O76*N76/1000*M76</f>
        <v>4.8678928801800499E-3</v>
      </c>
      <c r="Q76" s="172"/>
      <c r="R76" s="172">
        <f t="shared" si="27"/>
        <v>6.8666785483913785E-3</v>
      </c>
      <c r="S76" s="176">
        <f t="shared" si="28"/>
        <v>49.299230603835539</v>
      </c>
      <c r="T76" s="176">
        <f t="shared" si="25"/>
        <v>2</v>
      </c>
      <c r="U76" s="168">
        <f t="shared" si="22"/>
        <v>1.3733357096782757E-2</v>
      </c>
    </row>
    <row r="77" spans="1:21" s="168" customFormat="1">
      <c r="A77" s="182">
        <v>13</v>
      </c>
      <c r="C77" s="169">
        <v>9.285714285714286E-3</v>
      </c>
      <c r="D77" s="169">
        <f t="shared" si="15"/>
        <v>0.96</v>
      </c>
      <c r="E77" s="169">
        <f t="shared" si="23"/>
        <v>37.499999999999964</v>
      </c>
      <c r="F77" s="170">
        <f t="shared" si="13"/>
        <v>1.5</v>
      </c>
      <c r="G77" s="171">
        <f t="shared" si="26"/>
        <v>1.3928571428571429E-2</v>
      </c>
      <c r="I77" s="170">
        <v>27.35</v>
      </c>
      <c r="J77" s="172">
        <v>0.1</v>
      </c>
      <c r="K77" s="173">
        <f t="shared" si="29"/>
        <v>2.7350000000000005E-3</v>
      </c>
      <c r="L77" s="172"/>
      <c r="M77" s="174">
        <v>8.3825115396700452E-3</v>
      </c>
      <c r="N77" s="172">
        <v>8805.0314465409156</v>
      </c>
      <c r="O77" s="172">
        <v>0.1</v>
      </c>
      <c r="P77" s="172">
        <f t="shared" si="30"/>
        <v>7.3808277707786852E-3</v>
      </c>
      <c r="Q77" s="172"/>
      <c r="R77" s="172">
        <f t="shared" si="27"/>
        <v>3.8127436577927443E-3</v>
      </c>
      <c r="S77" s="176">
        <f t="shared" si="28"/>
        <v>27.373544209794058</v>
      </c>
      <c r="T77" s="176">
        <f t="shared" si="25"/>
        <v>3</v>
      </c>
      <c r="U77" s="168">
        <f t="shared" si="22"/>
        <v>1.1438230973378233E-2</v>
      </c>
    </row>
    <row r="78" spans="1:21" s="168" customFormat="1">
      <c r="A78" s="182">
        <v>15</v>
      </c>
      <c r="C78" s="169">
        <v>9.285714285714286E-3</v>
      </c>
      <c r="D78" s="169">
        <f t="shared" si="15"/>
        <v>0.96</v>
      </c>
      <c r="E78" s="169">
        <f t="shared" si="23"/>
        <v>37.499999999999964</v>
      </c>
      <c r="F78" s="170">
        <f t="shared" si="13"/>
        <v>1.5</v>
      </c>
      <c r="G78" s="171">
        <f t="shared" si="26"/>
        <v>1.3928571428571429E-2</v>
      </c>
      <c r="I78" s="170">
        <v>29.43</v>
      </c>
      <c r="J78" s="172">
        <v>0.1</v>
      </c>
      <c r="K78" s="173">
        <f t="shared" si="29"/>
        <v>2.9429999999999999E-3</v>
      </c>
      <c r="L78" s="172"/>
      <c r="M78" s="174">
        <v>8.3825115396700452E-3</v>
      </c>
      <c r="N78" s="172">
        <v>9302.3255813954001</v>
      </c>
      <c r="O78" s="172">
        <v>0.1</v>
      </c>
      <c r="P78" s="172">
        <f t="shared" si="30"/>
        <v>7.7976851531814809E-3</v>
      </c>
      <c r="Q78" s="172"/>
      <c r="R78" s="172">
        <f t="shared" si="27"/>
        <v>3.1878862753899478E-3</v>
      </c>
      <c r="S78" s="176">
        <f t="shared" si="28"/>
        <v>22.887388643825265</v>
      </c>
      <c r="T78" s="176">
        <f t="shared" si="25"/>
        <v>2</v>
      </c>
      <c r="U78" s="168">
        <f t="shared" si="22"/>
        <v>6.3757725507798957E-3</v>
      </c>
    </row>
    <row r="79" spans="1:21" s="168" customFormat="1">
      <c r="A79" s="182">
        <v>18</v>
      </c>
      <c r="C79" s="169">
        <v>9.285714285714286E-3</v>
      </c>
      <c r="D79" s="169">
        <f t="shared" si="15"/>
        <v>0.96</v>
      </c>
      <c r="E79" s="169">
        <f t="shared" si="23"/>
        <v>37.499999999999964</v>
      </c>
      <c r="F79" s="170">
        <f t="shared" si="13"/>
        <v>1.5</v>
      </c>
      <c r="G79" s="171">
        <f t="shared" si="26"/>
        <v>1.3928571428571429E-2</v>
      </c>
      <c r="I79" s="170">
        <v>25.61</v>
      </c>
      <c r="J79" s="172">
        <v>0.1</v>
      </c>
      <c r="K79" s="173">
        <f t="shared" si="29"/>
        <v>2.5609999999999999E-3</v>
      </c>
      <c r="L79" s="172"/>
      <c r="M79" s="174">
        <v>8.3825115396700452E-3</v>
      </c>
      <c r="N79" s="172">
        <v>9510.8695652173319</v>
      </c>
      <c r="O79" s="172">
        <v>0.1</v>
      </c>
      <c r="P79" s="172">
        <f t="shared" si="30"/>
        <v>7.972497388273091E-3</v>
      </c>
      <c r="Q79" s="172"/>
      <c r="R79" s="172">
        <f t="shared" si="27"/>
        <v>3.395074040298339E-3</v>
      </c>
      <c r="S79" s="176">
        <f t="shared" si="28"/>
        <v>24.374890545731663</v>
      </c>
      <c r="T79" s="176">
        <f t="shared" si="25"/>
        <v>3</v>
      </c>
      <c r="U79" s="168">
        <f t="shared" si="22"/>
        <v>1.0185222120895017E-2</v>
      </c>
    </row>
    <row r="80" spans="1:21" s="168" customFormat="1">
      <c r="A80" s="182">
        <v>20</v>
      </c>
      <c r="C80" s="169">
        <v>9.285714285714286E-3</v>
      </c>
      <c r="D80" s="169">
        <f t="shared" si="15"/>
        <v>0.96</v>
      </c>
      <c r="E80" s="169">
        <f t="shared" si="23"/>
        <v>37.499999999999964</v>
      </c>
      <c r="F80" s="170">
        <f t="shared" si="13"/>
        <v>1.5</v>
      </c>
      <c r="G80" s="171">
        <f t="shared" si="26"/>
        <v>1.3928571428571429E-2</v>
      </c>
      <c r="I80" s="170">
        <v>25.97</v>
      </c>
      <c r="J80" s="172">
        <v>0.1</v>
      </c>
      <c r="K80" s="173">
        <f t="shared" si="29"/>
        <v>2.5969999999999999E-3</v>
      </c>
      <c r="L80" s="172"/>
      <c r="M80" s="174">
        <v>8.3825115396700452E-3</v>
      </c>
      <c r="N80" s="172">
        <v>9929.0780141844352</v>
      </c>
      <c r="O80" s="172">
        <v>0.1</v>
      </c>
      <c r="P80" s="172">
        <f t="shared" si="30"/>
        <v>8.3230611032185167E-3</v>
      </c>
      <c r="Q80" s="172"/>
      <c r="R80" s="172">
        <f t="shared" si="27"/>
        <v>3.008510325352912E-3</v>
      </c>
      <c r="S80" s="176">
        <f t="shared" si="28"/>
        <v>21.599561310226033</v>
      </c>
      <c r="T80" s="176">
        <f t="shared" si="25"/>
        <v>2</v>
      </c>
      <c r="U80" s="168">
        <f t="shared" si="22"/>
        <v>6.017020650705824E-3</v>
      </c>
    </row>
    <row r="81" spans="1:21" s="168" customFormat="1">
      <c r="A81" s="182">
        <v>22</v>
      </c>
      <c r="C81" s="169">
        <v>9.285714285714286E-3</v>
      </c>
      <c r="D81" s="169">
        <f t="shared" si="15"/>
        <v>0.96</v>
      </c>
      <c r="E81" s="169">
        <f t="shared" si="23"/>
        <v>37.499999999999964</v>
      </c>
      <c r="F81" s="170">
        <f t="shared" si="13"/>
        <v>1.5</v>
      </c>
      <c r="G81" s="171">
        <f t="shared" si="26"/>
        <v>1.3928571428571429E-2</v>
      </c>
      <c r="I81" s="170">
        <v>24.89</v>
      </c>
      <c r="J81" s="172">
        <v>0.1</v>
      </c>
      <c r="K81" s="173">
        <f t="shared" si="29"/>
        <v>2.4890000000000003E-3</v>
      </c>
      <c r="L81" s="172"/>
      <c r="M81" s="174">
        <v>8.3825115396700452E-3</v>
      </c>
      <c r="N81" s="172">
        <v>7802.3407022106803</v>
      </c>
      <c r="O81" s="172">
        <v>0.1</v>
      </c>
      <c r="P81" s="172">
        <f t="shared" si="30"/>
        <v>6.5403210972718321E-3</v>
      </c>
      <c r="Q81" s="172"/>
      <c r="R81" s="172">
        <f t="shared" si="27"/>
        <v>4.8992503312995962E-3</v>
      </c>
      <c r="S81" s="176">
        <f t="shared" si="28"/>
        <v>35.174104942663767</v>
      </c>
      <c r="T81" s="176">
        <f t="shared" si="25"/>
        <v>2</v>
      </c>
      <c r="U81" s="168">
        <f t="shared" si="22"/>
        <v>9.7985006625991924E-3</v>
      </c>
    </row>
    <row r="82" spans="1:21" s="168" customFormat="1">
      <c r="A82" s="182">
        <v>25</v>
      </c>
      <c r="C82" s="169">
        <v>9.285714285714286E-3</v>
      </c>
      <c r="D82" s="169">
        <f t="shared" si="15"/>
        <v>0.96</v>
      </c>
      <c r="E82" s="169">
        <f t="shared" si="23"/>
        <v>37.499999999999964</v>
      </c>
      <c r="F82" s="170">
        <f t="shared" si="13"/>
        <v>1.5</v>
      </c>
      <c r="G82" s="171">
        <f t="shared" si="26"/>
        <v>1.3928571428571429E-2</v>
      </c>
      <c r="I82" s="170">
        <v>16.670000000000002</v>
      </c>
      <c r="J82" s="172">
        <v>0.1</v>
      </c>
      <c r="K82" s="173">
        <f t="shared" si="29"/>
        <v>1.6670000000000003E-3</v>
      </c>
      <c r="L82" s="172"/>
      <c r="M82" s="174">
        <v>8.3825115396700452E-3</v>
      </c>
      <c r="N82" s="172">
        <v>7211.5384615384792</v>
      </c>
      <c r="O82" s="172">
        <v>0.1</v>
      </c>
      <c r="P82" s="172">
        <f t="shared" si="30"/>
        <v>6.0450804372620673E-3</v>
      </c>
      <c r="Q82" s="172"/>
      <c r="R82" s="172">
        <f t="shared" si="27"/>
        <v>6.2164909913093617E-3</v>
      </c>
      <c r="S82" s="176">
        <f t="shared" si="28"/>
        <v>44.631217373503105</v>
      </c>
      <c r="T82" s="176">
        <f t="shared" si="25"/>
        <v>3</v>
      </c>
      <c r="U82" s="168">
        <f t="shared" si="22"/>
        <v>1.8649472973928084E-2</v>
      </c>
    </row>
    <row r="83" spans="1:21" s="168" customFormat="1">
      <c r="A83" s="182">
        <v>27</v>
      </c>
      <c r="C83" s="169">
        <v>9.285714285714286E-3</v>
      </c>
      <c r="D83" s="169">
        <f t="shared" si="15"/>
        <v>0.96</v>
      </c>
      <c r="E83" s="169">
        <f t="shared" si="23"/>
        <v>37.499999999999964</v>
      </c>
      <c r="F83" s="170">
        <f t="shared" si="13"/>
        <v>1.5</v>
      </c>
      <c r="G83" s="171">
        <f t="shared" si="26"/>
        <v>1.3928571428571429E-2</v>
      </c>
      <c r="I83" s="168">
        <v>19.880000000000003</v>
      </c>
      <c r="J83" s="172">
        <v>0.1</v>
      </c>
      <c r="K83" s="173">
        <f t="shared" si="29"/>
        <v>1.9880000000000006E-3</v>
      </c>
      <c r="L83" s="172"/>
      <c r="M83" s="174">
        <v>8.3825115396700452E-3</v>
      </c>
      <c r="N83" s="172">
        <v>9512.4851367420251</v>
      </c>
      <c r="O83" s="172">
        <v>0.1</v>
      </c>
      <c r="P83" s="172">
        <f t="shared" si="30"/>
        <v>7.9738516429679815E-3</v>
      </c>
      <c r="Q83" s="172"/>
      <c r="R83" s="172">
        <f t="shared" si="27"/>
        <v>3.9667197856034474E-3</v>
      </c>
      <c r="S83" s="176">
        <f t="shared" si="28"/>
        <v>28.479013845358082</v>
      </c>
      <c r="T83" s="176">
        <f t="shared" si="25"/>
        <v>2</v>
      </c>
      <c r="U83" s="168">
        <f t="shared" si="22"/>
        <v>7.9334395712068947E-3</v>
      </c>
    </row>
    <row r="84" spans="1:21" s="168" customFormat="1">
      <c r="A84" s="182">
        <v>29</v>
      </c>
      <c r="C84" s="169">
        <v>9.285714285714286E-3</v>
      </c>
      <c r="D84" s="169">
        <f t="shared" si="15"/>
        <v>0.96</v>
      </c>
      <c r="E84" s="169">
        <f t="shared" si="23"/>
        <v>37.499999999999964</v>
      </c>
      <c r="F84" s="170">
        <f t="shared" si="13"/>
        <v>1.5</v>
      </c>
      <c r="G84" s="171">
        <f t="shared" si="26"/>
        <v>1.3928571428571429E-2</v>
      </c>
      <c r="I84" s="170">
        <v>23.09</v>
      </c>
      <c r="J84" s="172">
        <v>0.1</v>
      </c>
      <c r="K84" s="173">
        <f t="shared" si="29"/>
        <v>2.3090000000000003E-3</v>
      </c>
      <c r="L84" s="172"/>
      <c r="M84" s="174">
        <v>8.3825115396700452E-3</v>
      </c>
      <c r="N84" s="172">
        <v>8158.5081585081925</v>
      </c>
      <c r="O84" s="172">
        <v>0.1</v>
      </c>
      <c r="P84" s="172">
        <f t="shared" si="30"/>
        <v>6.838878878518714E-3</v>
      </c>
      <c r="Q84" s="172"/>
      <c r="R84" s="172">
        <f t="shared" si="27"/>
        <v>4.7806925500527148E-3</v>
      </c>
      <c r="S84" s="176">
        <f t="shared" si="28"/>
        <v>34.322920872173334</v>
      </c>
      <c r="T84" s="176">
        <f t="shared" si="25"/>
        <v>2</v>
      </c>
      <c r="U84" s="168">
        <f t="shared" si="22"/>
        <v>9.5613851001054295E-3</v>
      </c>
    </row>
    <row r="85" spans="1:21" s="168" customFormat="1">
      <c r="C85" s="186"/>
      <c r="D85" s="186"/>
      <c r="E85" s="186"/>
      <c r="F85" s="186"/>
      <c r="G85" s="171">
        <f>AVERAGE(G11:G84)</f>
        <v>1.0952750965250956E-2</v>
      </c>
      <c r="H85" s="171">
        <f>G163/T85</f>
        <v>0.11991049107142852</v>
      </c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T85" s="176">
        <f>T11+T15+T27+T29+T31+T35+T37+T39+T41+T45+T49+T53</f>
        <v>16</v>
      </c>
    </row>
    <row r="87" spans="1:21">
      <c r="G87" s="154">
        <f>G11*T11</f>
        <v>0</v>
      </c>
      <c r="I87" s="158"/>
      <c r="K87" s="151">
        <f>K11*T11</f>
        <v>0</v>
      </c>
      <c r="P87" s="151">
        <f>P11*T11</f>
        <v>0</v>
      </c>
    </row>
    <row r="88" spans="1:21">
      <c r="G88" s="154">
        <f t="shared" ref="G88:G151" si="31">G12*T12</f>
        <v>9.285714285714286E-3</v>
      </c>
      <c r="K88" s="151">
        <f t="shared" ref="K88:K151" si="32">K12*T12</f>
        <v>5.0500000000000007E-3</v>
      </c>
      <c r="P88" s="151">
        <f t="shared" ref="P88:P151" si="33">P12*T12</f>
        <v>4.286414164282085E-3</v>
      </c>
      <c r="R88" s="151">
        <v>3.7322057369973578E-4</v>
      </c>
    </row>
    <row r="89" spans="1:21">
      <c r="G89" s="154">
        <f t="shared" si="31"/>
        <v>2.7857142857142858E-2</v>
      </c>
      <c r="K89" s="151">
        <f t="shared" si="32"/>
        <v>1.5150000000000002E-2</v>
      </c>
      <c r="P89" s="151">
        <f t="shared" si="33"/>
        <v>1.3147352799277418E-2</v>
      </c>
      <c r="R89" s="151">
        <v>3.4895310533574926E-3</v>
      </c>
    </row>
    <row r="90" spans="1:21">
      <c r="G90" s="154">
        <f t="shared" si="31"/>
        <v>1.8571428571428572E-2</v>
      </c>
      <c r="K90" s="151">
        <f t="shared" si="32"/>
        <v>1.0100000000000001E-2</v>
      </c>
      <c r="P90" s="151">
        <f t="shared" si="33"/>
        <v>8.1341600570764352E-3</v>
      </c>
      <c r="R90" s="151">
        <v>1.1481253458518956E-3</v>
      </c>
    </row>
    <row r="91" spans="1:21">
      <c r="G91" s="154">
        <f t="shared" si="31"/>
        <v>1.8571428571428572E-2</v>
      </c>
      <c r="K91" s="151">
        <f t="shared" si="32"/>
        <v>1.0100000000000001E-2</v>
      </c>
      <c r="P91" s="151">
        <f t="shared" si="33"/>
        <v>8.7774989944189499E-3</v>
      </c>
      <c r="R91" s="151">
        <v>5.0934368136758995E-4</v>
      </c>
    </row>
    <row r="92" spans="1:21">
      <c r="G92" s="154">
        <f t="shared" si="31"/>
        <v>9.2857142857142888E-2</v>
      </c>
      <c r="K92" s="151">
        <f t="shared" si="32"/>
        <v>5.0500000000000003E-2</v>
      </c>
      <c r="P92" s="151">
        <f t="shared" si="33"/>
        <v>3.7187992311502924E-2</v>
      </c>
      <c r="R92" s="151">
        <v>3.9386305333995522E-4</v>
      </c>
    </row>
    <row r="93" spans="1:21">
      <c r="G93" s="154">
        <f t="shared" si="31"/>
        <v>1.8571428571428579E-2</v>
      </c>
      <c r="K93" s="151">
        <f t="shared" si="32"/>
        <v>1.0100000000000001E-2</v>
      </c>
      <c r="P93" s="151">
        <f t="shared" si="33"/>
        <v>7.9999072785232953E-3</v>
      </c>
    </row>
    <row r="94" spans="1:21">
      <c r="G94" s="154">
        <f t="shared" si="31"/>
        <v>1.8571428571428579E-2</v>
      </c>
      <c r="K94" s="151">
        <f t="shared" si="32"/>
        <v>1.0100000000000001E-2</v>
      </c>
      <c r="P94" s="151">
        <f t="shared" si="33"/>
        <v>8.3565134976773241E-3</v>
      </c>
    </row>
    <row r="95" spans="1:21">
      <c r="G95" s="154">
        <f t="shared" si="31"/>
        <v>2.7857142857142869E-2</v>
      </c>
      <c r="K95" s="151">
        <f t="shared" si="32"/>
        <v>1.5150000000000002E-2</v>
      </c>
      <c r="P95" s="151">
        <f t="shared" si="33"/>
        <v>1.2424927037699398E-2</v>
      </c>
    </row>
    <row r="96" spans="1:21">
      <c r="G96" s="154">
        <f t="shared" si="31"/>
        <v>1.8571428571428579E-2</v>
      </c>
      <c r="K96" s="151">
        <f t="shared" si="32"/>
        <v>1.0100000000000001E-2</v>
      </c>
      <c r="P96" s="151">
        <f t="shared" si="33"/>
        <v>8.4916904164529221E-3</v>
      </c>
    </row>
    <row r="97" spans="7:18">
      <c r="G97" s="154">
        <f t="shared" si="31"/>
        <v>1.8571428571428579E-2</v>
      </c>
      <c r="K97" s="151">
        <f t="shared" si="32"/>
        <v>1.0100000000000001E-2</v>
      </c>
      <c r="P97" s="151">
        <f t="shared" si="33"/>
        <v>7.2419106174254995E-3</v>
      </c>
    </row>
    <row r="98" spans="7:18">
      <c r="G98" s="154">
        <f t="shared" si="31"/>
        <v>2.7857142857142869E-2</v>
      </c>
      <c r="K98" s="151">
        <f t="shared" si="32"/>
        <v>1.5150000000000002E-2</v>
      </c>
      <c r="P98" s="151">
        <f t="shared" si="33"/>
        <v>1.3104638906003422E-2</v>
      </c>
    </row>
    <row r="99" spans="7:18">
      <c r="G99" s="154">
        <f t="shared" si="31"/>
        <v>1.8571428571428579E-2</v>
      </c>
      <c r="K99" s="151">
        <f t="shared" si="32"/>
        <v>1.0100000000000001E-2</v>
      </c>
      <c r="P99" s="151">
        <f t="shared" si="33"/>
        <v>7.3886482452213053E-3</v>
      </c>
    </row>
    <row r="100" spans="7:18">
      <c r="G100" s="154">
        <f>G24*T24</f>
        <v>1.8571428571428579E-2</v>
      </c>
      <c r="K100" s="151">
        <f t="shared" si="32"/>
        <v>1.0100000000000001E-2</v>
      </c>
      <c r="P100" s="151">
        <f t="shared" si="33"/>
        <v>5.4479061133038331E-3</v>
      </c>
    </row>
    <row r="101" spans="7:18">
      <c r="G101" s="154">
        <f t="shared" si="31"/>
        <v>2.7857142857142869E-2</v>
      </c>
      <c r="K101" s="151">
        <f t="shared" si="32"/>
        <v>1.5150000000000002E-2</v>
      </c>
      <c r="P101" s="151">
        <f t="shared" si="33"/>
        <v>8.4323804563474283E-3</v>
      </c>
    </row>
    <row r="102" spans="7:18">
      <c r="G102" s="154">
        <f t="shared" si="31"/>
        <v>1.8571428571428579E-2</v>
      </c>
      <c r="K102" s="151">
        <f t="shared" si="32"/>
        <v>1.0100000000000001E-2</v>
      </c>
      <c r="P102" s="151">
        <f t="shared" si="33"/>
        <v>6.6199498832537288E-3</v>
      </c>
    </row>
    <row r="103" spans="7:18">
      <c r="G103" s="154">
        <f t="shared" si="31"/>
        <v>0</v>
      </c>
      <c r="K103" s="151">
        <f t="shared" si="32"/>
        <v>0</v>
      </c>
      <c r="P103" s="151">
        <f t="shared" si="33"/>
        <v>0</v>
      </c>
    </row>
    <row r="104" spans="7:18">
      <c r="G104" s="154">
        <f t="shared" si="31"/>
        <v>1.1607142857142858E-2</v>
      </c>
      <c r="K104" s="151">
        <f t="shared" si="32"/>
        <v>5.323166666666667E-3</v>
      </c>
      <c r="P104" s="151">
        <f t="shared" si="33"/>
        <v>1.7198815423921183E-3</v>
      </c>
    </row>
    <row r="105" spans="7:18">
      <c r="G105" s="154">
        <f t="shared" si="31"/>
        <v>3.4821428571428573E-2</v>
      </c>
      <c r="K105" s="151">
        <f t="shared" si="32"/>
        <v>1.5969500000000001E-2</v>
      </c>
      <c r="P105" s="151">
        <f t="shared" si="33"/>
        <v>7.3703208144812824E-3</v>
      </c>
      <c r="R105" s="151">
        <v>4.1815216499054425E-3</v>
      </c>
    </row>
    <row r="106" spans="7:18">
      <c r="G106" s="154">
        <f t="shared" si="31"/>
        <v>2.3214285714285715E-2</v>
      </c>
      <c r="K106" s="151">
        <f t="shared" si="32"/>
        <v>1.1097333333333336E-2</v>
      </c>
      <c r="P106" s="151">
        <f t="shared" si="33"/>
        <v>8.4133605282737702E-3</v>
      </c>
    </row>
    <row r="107" spans="7:18">
      <c r="G107" s="154">
        <f t="shared" si="31"/>
        <v>0</v>
      </c>
      <c r="K107" s="151">
        <f t="shared" si="32"/>
        <v>0</v>
      </c>
      <c r="P107" s="151">
        <f t="shared" si="33"/>
        <v>0</v>
      </c>
    </row>
    <row r="108" spans="7:18">
      <c r="G108" s="154">
        <f t="shared" si="31"/>
        <v>1.0817857142857143E-2</v>
      </c>
      <c r="K108" s="151">
        <f t="shared" si="32"/>
        <v>5.3443333333333337E-3</v>
      </c>
      <c r="P108" s="151">
        <f t="shared" si="33"/>
        <v>4.3834533393286301E-3</v>
      </c>
    </row>
    <row r="109" spans="7:18">
      <c r="G109" s="154">
        <f t="shared" si="31"/>
        <v>2.1635714285714286E-2</v>
      </c>
      <c r="K109" s="151">
        <f t="shared" si="32"/>
        <v>8.9860000000000009E-3</v>
      </c>
      <c r="P109" s="151">
        <f t="shared" si="33"/>
        <v>8.1958287731699851E-3</v>
      </c>
    </row>
    <row r="110" spans="7:18">
      <c r="G110" s="154">
        <f t="shared" si="31"/>
        <v>2.1635714285714286E-2</v>
      </c>
      <c r="K110" s="151">
        <f t="shared" si="32"/>
        <v>1.1132E-2</v>
      </c>
      <c r="P110" s="151">
        <f t="shared" si="33"/>
        <v>7.8557719583595403E-3</v>
      </c>
    </row>
    <row r="111" spans="7:18">
      <c r="G111" s="154">
        <f t="shared" si="31"/>
        <v>2.1635714285714286E-2</v>
      </c>
      <c r="K111" s="151">
        <f t="shared" si="32"/>
        <v>1.0866666666666667E-2</v>
      </c>
      <c r="P111" s="151">
        <f t="shared" si="33"/>
        <v>9.9103584705458481E-3</v>
      </c>
    </row>
    <row r="112" spans="7:18">
      <c r="G112" s="154">
        <f t="shared" si="31"/>
        <v>3.2453571428571429E-2</v>
      </c>
      <c r="K112" s="151">
        <f t="shared" si="32"/>
        <v>1.6227000000000002E-2</v>
      </c>
      <c r="P112" s="151">
        <f t="shared" si="33"/>
        <v>1.4215678133979727E-2</v>
      </c>
    </row>
    <row r="113" spans="7:16">
      <c r="G113" s="154">
        <f t="shared" si="31"/>
        <v>0</v>
      </c>
      <c r="K113" s="151">
        <f t="shared" si="32"/>
        <v>0</v>
      </c>
      <c r="P113" s="151">
        <f t="shared" si="33"/>
        <v>0</v>
      </c>
    </row>
    <row r="114" spans="7:16">
      <c r="G114" s="154">
        <f t="shared" si="31"/>
        <v>9.6107142857142849E-3</v>
      </c>
      <c r="K114" s="151">
        <f t="shared" si="32"/>
        <v>4.9830000000000004E-3</v>
      </c>
      <c r="P114" s="151">
        <f t="shared" si="33"/>
        <v>4.848076966553652E-3</v>
      </c>
    </row>
    <row r="115" spans="7:16">
      <c r="G115" s="154">
        <f t="shared" si="31"/>
        <v>1.922142857142857E-2</v>
      </c>
      <c r="K115" s="151">
        <f t="shared" si="32"/>
        <v>1.0880666666666669E-2</v>
      </c>
      <c r="P115" s="151">
        <f t="shared" si="33"/>
        <v>9.5769728793437363E-3</v>
      </c>
    </row>
    <row r="116" spans="7:16">
      <c r="G116" s="154">
        <f t="shared" si="31"/>
        <v>2.8832142857142855E-2</v>
      </c>
      <c r="K116" s="151">
        <f t="shared" si="32"/>
        <v>1.6877000000000003E-2</v>
      </c>
      <c r="P116" s="151">
        <f t="shared" si="33"/>
        <v>1.4023831485060305E-2</v>
      </c>
    </row>
    <row r="117" spans="7:16">
      <c r="G117" s="154">
        <f t="shared" si="31"/>
        <v>0</v>
      </c>
      <c r="K117" s="151">
        <f t="shared" si="32"/>
        <v>0</v>
      </c>
      <c r="P117" s="151">
        <f t="shared" si="33"/>
        <v>0</v>
      </c>
    </row>
    <row r="118" spans="7:16">
      <c r="G118" s="154">
        <f t="shared" si="31"/>
        <v>9.4249999999999994E-3</v>
      </c>
      <c r="K118" s="151">
        <f t="shared" si="32"/>
        <v>5.5160000000000001E-3</v>
      </c>
      <c r="P118" s="151">
        <f t="shared" si="33"/>
        <v>4.9056395257762201E-3</v>
      </c>
    </row>
    <row r="119" spans="7:16">
      <c r="G119" s="154">
        <f t="shared" si="31"/>
        <v>1.8849999999999999E-2</v>
      </c>
      <c r="K119" s="151">
        <f t="shared" si="32"/>
        <v>9.4986666666666674E-3</v>
      </c>
      <c r="P119" s="151">
        <f t="shared" si="33"/>
        <v>9.9189581584073414E-3</v>
      </c>
    </row>
    <row r="120" spans="7:16">
      <c r="G120" s="154">
        <f t="shared" si="31"/>
        <v>2.8274999999999998E-2</v>
      </c>
      <c r="K120" s="151">
        <f t="shared" si="32"/>
        <v>1.0964999999999999E-2</v>
      </c>
      <c r="P120" s="151">
        <f t="shared" si="33"/>
        <v>1.286867443190276E-2</v>
      </c>
    </row>
    <row r="121" spans="7:16">
      <c r="G121" s="154">
        <f t="shared" si="31"/>
        <v>3.7699999999999997E-2</v>
      </c>
      <c r="K121" s="151">
        <f t="shared" si="32"/>
        <v>1.3948E-2</v>
      </c>
      <c r="P121" s="151">
        <f t="shared" si="33"/>
        <v>2.0108521848515984E-2</v>
      </c>
    </row>
    <row r="122" spans="7:16">
      <c r="G122" s="154">
        <f t="shared" si="31"/>
        <v>2.8274999999999998E-2</v>
      </c>
      <c r="K122" s="151">
        <f t="shared" si="32"/>
        <v>1.0755000000000001E-2</v>
      </c>
      <c r="P122" s="151">
        <f t="shared" si="33"/>
        <v>1.5359878627152417E-2</v>
      </c>
    </row>
    <row r="123" spans="7:16">
      <c r="G123" s="154">
        <f t="shared" si="31"/>
        <v>1.8849999999999999E-2</v>
      </c>
      <c r="K123" s="151">
        <f t="shared" si="32"/>
        <v>7.6060000000000008E-3</v>
      </c>
      <c r="P123" s="151">
        <f t="shared" si="33"/>
        <v>1.0219047995457331E-2</v>
      </c>
    </row>
    <row r="124" spans="7:16">
      <c r="G124" s="154">
        <f t="shared" si="31"/>
        <v>1.8849999999999999E-2</v>
      </c>
      <c r="K124" s="151">
        <f t="shared" si="32"/>
        <v>7.7040000000000008E-3</v>
      </c>
      <c r="P124" s="151">
        <f t="shared" si="33"/>
        <v>1.0318669084195391E-2</v>
      </c>
    </row>
    <row r="125" spans="7:16">
      <c r="G125" s="154">
        <f t="shared" si="31"/>
        <v>0</v>
      </c>
      <c r="K125" s="151">
        <f t="shared" si="32"/>
        <v>0</v>
      </c>
      <c r="P125" s="151">
        <f t="shared" si="33"/>
        <v>0</v>
      </c>
    </row>
    <row r="126" spans="7:16">
      <c r="G126" s="154">
        <f t="shared" si="31"/>
        <v>1.3928571428571429E-2</v>
      </c>
      <c r="K126" s="151">
        <f t="shared" si="32"/>
        <v>2.8886111111111113E-3</v>
      </c>
      <c r="P126" s="151">
        <f t="shared" si="33"/>
        <v>5.1732286207568472E-3</v>
      </c>
    </row>
    <row r="127" spans="7:16">
      <c r="G127" s="154">
        <f t="shared" si="31"/>
        <v>2.7857142857142858E-2</v>
      </c>
      <c r="K127" s="151">
        <f t="shared" si="32"/>
        <v>8.7039999999999999E-3</v>
      </c>
      <c r="P127" s="151">
        <f t="shared" si="33"/>
        <v>1.0529590834346379E-2</v>
      </c>
    </row>
    <row r="128" spans="7:16">
      <c r="G128" s="154">
        <f t="shared" si="31"/>
        <v>2.7857142857142858E-2</v>
      </c>
      <c r="K128" s="151">
        <f t="shared" si="32"/>
        <v>7.0940000000000005E-3</v>
      </c>
      <c r="P128" s="151">
        <f t="shared" si="33"/>
        <v>1.0203593580369914E-2</v>
      </c>
    </row>
    <row r="129" spans="7:16">
      <c r="G129" s="154">
        <f t="shared" si="31"/>
        <v>4.1785714285714287E-2</v>
      </c>
      <c r="K129" s="151">
        <f t="shared" si="32"/>
        <v>1.0641000000000001E-2</v>
      </c>
      <c r="P129" s="151">
        <f t="shared" si="33"/>
        <v>1.6342375438684612E-2</v>
      </c>
    </row>
    <row r="130" spans="7:16">
      <c r="G130" s="154">
        <f t="shared" si="31"/>
        <v>2.7857142857142858E-2</v>
      </c>
      <c r="K130" s="151">
        <f t="shared" si="32"/>
        <v>7.0940000000000005E-3</v>
      </c>
      <c r="P130" s="151">
        <f t="shared" si="33"/>
        <v>1.1003853172556005E-2</v>
      </c>
    </row>
    <row r="131" spans="7:16">
      <c r="G131" s="154">
        <f t="shared" si="31"/>
        <v>2.7857142857142858E-2</v>
      </c>
      <c r="K131" s="151">
        <f t="shared" si="32"/>
        <v>7.0940000000000005E-3</v>
      </c>
      <c r="P131" s="151">
        <f t="shared" si="33"/>
        <v>1.2298390309105619E-2</v>
      </c>
    </row>
    <row r="132" spans="7:16">
      <c r="G132" s="154">
        <f t="shared" si="31"/>
        <v>6.9642857142857145E-2</v>
      </c>
      <c r="K132" s="151">
        <f t="shared" si="32"/>
        <v>1.43E-2</v>
      </c>
      <c r="P132" s="151">
        <f t="shared" si="33"/>
        <v>3.2236886483732866E-2</v>
      </c>
    </row>
    <row r="133" spans="7:16">
      <c r="G133" s="154">
        <f t="shared" si="31"/>
        <v>2.7857142857142858E-2</v>
      </c>
      <c r="K133" s="151">
        <f t="shared" si="32"/>
        <v>6.2890000000000003E-3</v>
      </c>
      <c r="P133" s="151">
        <f t="shared" si="33"/>
        <v>1.2903261303505345E-2</v>
      </c>
    </row>
    <row r="134" spans="7:16">
      <c r="G134" s="154">
        <f t="shared" si="31"/>
        <v>4.1785714285714287E-2</v>
      </c>
      <c r="K134" s="151">
        <f t="shared" si="32"/>
        <v>9.4335000000000009E-3</v>
      </c>
      <c r="P134" s="151">
        <f t="shared" si="33"/>
        <v>2.0804881821833165E-2</v>
      </c>
    </row>
    <row r="135" spans="7:16">
      <c r="G135" s="154">
        <f t="shared" si="31"/>
        <v>2.7857142857142858E-2</v>
      </c>
      <c r="K135" s="151">
        <f t="shared" si="32"/>
        <v>6.2890000000000003E-3</v>
      </c>
      <c r="P135" s="151">
        <f t="shared" si="33"/>
        <v>1.4247894968277717E-2</v>
      </c>
    </row>
    <row r="136" spans="7:16">
      <c r="G136" s="154">
        <f t="shared" si="31"/>
        <v>2.7857142857142858E-2</v>
      </c>
      <c r="K136" s="151">
        <f t="shared" si="32"/>
        <v>6.2890000000000003E-3</v>
      </c>
      <c r="P136" s="151">
        <f t="shared" si="33"/>
        <v>1.4189526780195172E-2</v>
      </c>
    </row>
    <row r="137" spans="7:16">
      <c r="G137" s="154">
        <f t="shared" si="31"/>
        <v>5.5714285714285716E-2</v>
      </c>
      <c r="K137" s="151">
        <f t="shared" si="32"/>
        <v>1.2578000000000001E-2</v>
      </c>
      <c r="P137" s="151">
        <f t="shared" si="33"/>
        <v>2.8214307133523478E-2</v>
      </c>
    </row>
    <row r="138" spans="7:16">
      <c r="G138" s="154">
        <f t="shared" si="31"/>
        <v>2.7857142857142858E-2</v>
      </c>
      <c r="K138" s="151">
        <f t="shared" si="32"/>
        <v>6.2890000000000003E-3</v>
      </c>
      <c r="P138" s="151">
        <f t="shared" si="33"/>
        <v>1.322133331815115E-2</v>
      </c>
    </row>
    <row r="139" spans="7:16">
      <c r="G139" s="154">
        <f t="shared" si="31"/>
        <v>2.7857142857142858E-2</v>
      </c>
      <c r="K139" s="151">
        <f t="shared" si="32"/>
        <v>6.2890000000000003E-3</v>
      </c>
      <c r="P139" s="151">
        <f t="shared" si="33"/>
        <v>8.6925456685136189E-3</v>
      </c>
    </row>
    <row r="140" spans="7:16">
      <c r="G140" s="154">
        <f t="shared" si="31"/>
        <v>2.7857142857142858E-2</v>
      </c>
      <c r="K140" s="151">
        <f t="shared" si="32"/>
        <v>6.2890000000000003E-3</v>
      </c>
      <c r="P140" s="151">
        <f t="shared" si="33"/>
        <v>1.4677336290549969E-2</v>
      </c>
    </row>
    <row r="141" spans="7:16">
      <c r="G141" s="154">
        <f t="shared" si="31"/>
        <v>2.7857142857142858E-2</v>
      </c>
      <c r="K141" s="151">
        <f t="shared" si="32"/>
        <v>6.2890000000000003E-3</v>
      </c>
      <c r="P141" s="151">
        <f t="shared" si="33"/>
        <v>1.5765125399868882E-2</v>
      </c>
    </row>
    <row r="142" spans="7:16">
      <c r="G142" s="154">
        <f t="shared" si="31"/>
        <v>2.7857142857142858E-2</v>
      </c>
      <c r="K142" s="151">
        <f t="shared" si="32"/>
        <v>6.2890000000000003E-3</v>
      </c>
      <c r="P142" s="151">
        <f t="shared" si="33"/>
        <v>1.6215197419706454E-2</v>
      </c>
    </row>
    <row r="143" spans="7:16">
      <c r="G143" s="154">
        <f t="shared" si="31"/>
        <v>5.5714285714285716E-2</v>
      </c>
      <c r="K143" s="151">
        <f t="shared" si="32"/>
        <v>1.2578000000000001E-2</v>
      </c>
      <c r="P143" s="151">
        <f t="shared" si="33"/>
        <v>3.172663730153992E-2</v>
      </c>
    </row>
    <row r="144" spans="7:16">
      <c r="G144" s="154">
        <f t="shared" si="31"/>
        <v>2.7857142857142858E-2</v>
      </c>
      <c r="K144" s="151">
        <f t="shared" si="32"/>
        <v>6.2890000000000003E-3</v>
      </c>
      <c r="P144" s="151">
        <f t="shared" si="33"/>
        <v>1.5836906687425822E-2</v>
      </c>
    </row>
    <row r="145" spans="7:16">
      <c r="G145" s="154">
        <f t="shared" si="31"/>
        <v>2.7857142857142858E-2</v>
      </c>
      <c r="K145" s="151">
        <f t="shared" si="32"/>
        <v>5.7060000000000001E-3</v>
      </c>
      <c r="P145" s="151">
        <f t="shared" si="33"/>
        <v>1.5950790848802378E-2</v>
      </c>
    </row>
    <row r="146" spans="7:16">
      <c r="G146" s="154">
        <f t="shared" si="31"/>
        <v>2.7857142857142858E-2</v>
      </c>
      <c r="K146" s="151">
        <f t="shared" si="32"/>
        <v>5.921E-3</v>
      </c>
      <c r="P146" s="151">
        <f t="shared" si="33"/>
        <v>1.5215780022503305E-2</v>
      </c>
    </row>
    <row r="147" spans="7:16">
      <c r="G147" s="154">
        <f t="shared" si="31"/>
        <v>2.7857142857142858E-2</v>
      </c>
      <c r="K147" s="151">
        <f t="shared" si="32"/>
        <v>6.136E-3</v>
      </c>
      <c r="P147" s="151">
        <f t="shared" si="33"/>
        <v>1.5229550582277516E-2</v>
      </c>
    </row>
    <row r="148" spans="7:16">
      <c r="G148" s="154">
        <f t="shared" si="31"/>
        <v>2.7857142857142858E-2</v>
      </c>
      <c r="K148" s="151">
        <f t="shared" si="32"/>
        <v>5.7060000000000001E-3</v>
      </c>
      <c r="P148" s="151">
        <f t="shared" si="33"/>
        <v>1.2085006754087683E-2</v>
      </c>
    </row>
    <row r="149" spans="7:16">
      <c r="G149" s="154">
        <f t="shared" si="31"/>
        <v>4.1785714285714287E-2</v>
      </c>
      <c r="K149" s="151">
        <f t="shared" si="32"/>
        <v>6.0870000000000004E-3</v>
      </c>
      <c r="P149" s="151">
        <f t="shared" si="33"/>
        <v>2.2912826818220773E-2</v>
      </c>
    </row>
    <row r="150" spans="7:16">
      <c r="G150" s="154">
        <f t="shared" si="31"/>
        <v>2.7857142857142858E-2</v>
      </c>
      <c r="K150" s="151">
        <f t="shared" si="32"/>
        <v>7.7680000000000006E-3</v>
      </c>
      <c r="P150" s="151">
        <f t="shared" si="33"/>
        <v>1.4417096014174582E-2</v>
      </c>
    </row>
    <row r="151" spans="7:16">
      <c r="G151" s="154">
        <f t="shared" si="31"/>
        <v>2.7857142857142858E-2</v>
      </c>
      <c r="K151" s="151">
        <f t="shared" si="32"/>
        <v>6.6400000000000009E-3</v>
      </c>
      <c r="P151" s="151">
        <f t="shared" si="33"/>
        <v>1.3305573872492191E-2</v>
      </c>
    </row>
    <row r="152" spans="7:16">
      <c r="G152" s="154">
        <f t="shared" ref="G152:G160" si="34">G76*T76</f>
        <v>2.7857142857142858E-2</v>
      </c>
      <c r="K152" s="151">
        <f t="shared" ref="K152:K160" si="35">K76*T76</f>
        <v>4.3880000000000004E-3</v>
      </c>
      <c r="P152" s="151">
        <f t="shared" ref="P152:P160" si="36">P76*T76</f>
        <v>9.7357857603600998E-3</v>
      </c>
    </row>
    <row r="153" spans="7:16">
      <c r="G153" s="154">
        <f t="shared" si="34"/>
        <v>4.1785714285714287E-2</v>
      </c>
      <c r="K153" s="151">
        <f t="shared" si="35"/>
        <v>8.2050000000000005E-3</v>
      </c>
      <c r="P153" s="151">
        <f t="shared" si="36"/>
        <v>2.2142483312336057E-2</v>
      </c>
    </row>
    <row r="154" spans="7:16">
      <c r="G154" s="154">
        <f t="shared" si="34"/>
        <v>2.7857142857142858E-2</v>
      </c>
      <c r="K154" s="151">
        <f t="shared" si="35"/>
        <v>5.8859999999999997E-3</v>
      </c>
      <c r="P154" s="151">
        <f t="shared" si="36"/>
        <v>1.5595370306362962E-2</v>
      </c>
    </row>
    <row r="155" spans="7:16">
      <c r="G155" s="154">
        <f t="shared" si="34"/>
        <v>4.1785714285714287E-2</v>
      </c>
      <c r="K155" s="151">
        <f t="shared" si="35"/>
        <v>7.6829999999999997E-3</v>
      </c>
      <c r="P155" s="151">
        <f t="shared" si="36"/>
        <v>2.3917492164819275E-2</v>
      </c>
    </row>
    <row r="156" spans="7:16">
      <c r="G156" s="154">
        <f t="shared" si="34"/>
        <v>2.7857142857142858E-2</v>
      </c>
      <c r="K156" s="151">
        <f t="shared" si="35"/>
        <v>5.1939999999999998E-3</v>
      </c>
      <c r="P156" s="151">
        <f t="shared" si="36"/>
        <v>1.6646122206437033E-2</v>
      </c>
    </row>
    <row r="157" spans="7:16">
      <c r="G157" s="154">
        <f t="shared" si="34"/>
        <v>2.7857142857142858E-2</v>
      </c>
      <c r="K157" s="151">
        <f t="shared" si="35"/>
        <v>4.9780000000000007E-3</v>
      </c>
      <c r="P157" s="151">
        <f t="shared" si="36"/>
        <v>1.3080642194543664E-2</v>
      </c>
    </row>
    <row r="158" spans="7:16">
      <c r="G158" s="154">
        <f t="shared" si="34"/>
        <v>4.1785714285714287E-2</v>
      </c>
      <c r="K158" s="151">
        <f t="shared" si="35"/>
        <v>5.0010000000000011E-3</v>
      </c>
      <c r="P158" s="151">
        <f t="shared" si="36"/>
        <v>1.8135241311786201E-2</v>
      </c>
    </row>
    <row r="159" spans="7:16">
      <c r="G159" s="154">
        <f t="shared" si="34"/>
        <v>2.7857142857142858E-2</v>
      </c>
      <c r="K159" s="151">
        <f t="shared" si="35"/>
        <v>3.9760000000000012E-3</v>
      </c>
      <c r="P159" s="151">
        <f t="shared" si="36"/>
        <v>1.5947703285935963E-2</v>
      </c>
    </row>
    <row r="160" spans="7:16">
      <c r="G160" s="154">
        <f t="shared" si="34"/>
        <v>2.7857142857142858E-2</v>
      </c>
      <c r="K160" s="151">
        <f t="shared" si="35"/>
        <v>4.6180000000000006E-3</v>
      </c>
      <c r="P160" s="151">
        <f t="shared" si="36"/>
        <v>1.3677757757037428E-2</v>
      </c>
    </row>
    <row r="163" spans="5:17">
      <c r="F163" s="154">
        <f>STDEV(G87:G112)</f>
        <v>1.7180251655280723E-2</v>
      </c>
      <c r="G163" s="154">
        <f>SUM(G87:G160)</f>
        <v>1.9185678571428564</v>
      </c>
      <c r="J163" s="151">
        <f>STDEV(K87:K92)</f>
        <v>1.8067429258198299E-2</v>
      </c>
      <c r="K163" s="151">
        <f>SUM(K87:K160)</f>
        <v>0.63362844444444422</v>
      </c>
      <c r="L163" s="151">
        <f>K163*1000</f>
        <v>633.6284444444442</v>
      </c>
      <c r="P163" s="151">
        <f>SUM(P87:P160)</f>
        <v>0.89353291108618194</v>
      </c>
      <c r="Q163" s="151">
        <f>P163*1000</f>
        <v>893.53291108618191</v>
      </c>
    </row>
    <row r="165" spans="5:17">
      <c r="H165" s="148">
        <f>G163*1000</f>
        <v>1918.5678571428564</v>
      </c>
      <c r="M165" s="151">
        <f>K163+P163</f>
        <v>1.5271613555306263</v>
      </c>
    </row>
    <row r="166" spans="5:17">
      <c r="O166" s="151">
        <f>G163-(K163+P163)</f>
        <v>0.39140650161223012</v>
      </c>
      <c r="P166" s="151">
        <f>O166/G163</f>
        <v>0.2040097253558262</v>
      </c>
      <c r="Q166" s="151">
        <f>P166*100</f>
        <v>20.400972535582621</v>
      </c>
    </row>
    <row r="167" spans="5:17">
      <c r="Q167" s="151">
        <f>100-Q166</f>
        <v>79.599027464417375</v>
      </c>
    </row>
    <row r="168" spans="5:17">
      <c r="F168" s="154" t="s">
        <v>168</v>
      </c>
      <c r="G168" s="154" t="s">
        <v>169</v>
      </c>
      <c r="H168" s="148" t="s">
        <v>170</v>
      </c>
      <c r="I168" s="151" t="s">
        <v>171</v>
      </c>
    </row>
    <row r="169" spans="5:17">
      <c r="E169" s="154" t="s">
        <v>30</v>
      </c>
      <c r="F169" s="181">
        <v>1.9185678571428564</v>
      </c>
      <c r="G169" s="181">
        <v>0.63362844444444422</v>
      </c>
      <c r="H169" s="156">
        <v>0.89353291108618194</v>
      </c>
      <c r="I169" s="158">
        <v>79.599027464417375</v>
      </c>
    </row>
    <row r="170" spans="5:17">
      <c r="E170" s="154" t="s">
        <v>31</v>
      </c>
      <c r="F170" s="181">
        <v>1.2651785714285713</v>
      </c>
      <c r="G170" s="181">
        <v>0.52395783333333346</v>
      </c>
      <c r="H170" s="156">
        <v>0.58788015179109399</v>
      </c>
      <c r="I170" s="158">
        <v>87.879925429735977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A1:S72"/>
  <sheetViews>
    <sheetView topLeftCell="D44" workbookViewId="0">
      <selection activeCell="G58" sqref="G58"/>
    </sheetView>
  </sheetViews>
  <sheetFormatPr baseColWidth="10" defaultColWidth="8.83203125" defaultRowHeight="13" x14ac:dyDescent="0"/>
  <cols>
    <col min="1" max="1" width="23.5" style="148" customWidth="1"/>
    <col min="2" max="2" width="8.83203125" style="148"/>
    <col min="3" max="3" width="11.33203125" style="154" customWidth="1"/>
    <col min="4" max="4" width="11.5" style="154" customWidth="1"/>
    <col min="5" max="5" width="13.1640625" style="154" customWidth="1"/>
    <col min="6" max="6" width="8.83203125" style="148"/>
    <col min="7" max="7" width="12.6640625" style="151" customWidth="1"/>
    <col min="8" max="8" width="12" style="151" customWidth="1"/>
    <col min="9" max="16" width="8.83203125" style="151"/>
    <col min="17" max="18" width="17" style="148" customWidth="1"/>
    <col min="19" max="16384" width="8.83203125" style="148"/>
  </cols>
  <sheetData>
    <row r="1" spans="1:19" ht="39">
      <c r="C1" s="149" t="s">
        <v>142</v>
      </c>
      <c r="D1" s="149" t="s">
        <v>143</v>
      </c>
      <c r="E1" s="149" t="s">
        <v>144</v>
      </c>
      <c r="G1" s="150" t="s">
        <v>145</v>
      </c>
      <c r="H1" s="150" t="s">
        <v>146</v>
      </c>
      <c r="I1" s="150" t="s">
        <v>147</v>
      </c>
      <c r="K1" s="149" t="s">
        <v>148</v>
      </c>
      <c r="L1" s="152" t="s">
        <v>149</v>
      </c>
      <c r="M1" s="152" t="s">
        <v>150</v>
      </c>
      <c r="N1" s="152" t="s">
        <v>151</v>
      </c>
    </row>
    <row r="2" spans="1:19">
      <c r="C2" s="153">
        <v>9.5999999999999992E-3</v>
      </c>
      <c r="D2" s="154">
        <v>1.75</v>
      </c>
      <c r="E2" s="154">
        <f>D2*C2</f>
        <v>1.6799999999999999E-2</v>
      </c>
      <c r="G2" s="151">
        <v>38.06</v>
      </c>
      <c r="H2" s="151">
        <v>0.1</v>
      </c>
      <c r="I2" s="151">
        <f>H2*G2/1000</f>
        <v>3.8060000000000004E-3</v>
      </c>
      <c r="K2" s="151">
        <v>7.6E-3</v>
      </c>
      <c r="L2" s="154">
        <v>9685.2300242130841</v>
      </c>
      <c r="M2" s="151">
        <v>0.1</v>
      </c>
      <c r="N2" s="151">
        <f>M2*L2/1000*K2</f>
        <v>7.3607748184019439E-3</v>
      </c>
      <c r="P2" s="151">
        <f>N2+I2</f>
        <v>1.1166774818401944E-2</v>
      </c>
    </row>
    <row r="4" spans="1:19">
      <c r="B4" s="155" t="s">
        <v>152</v>
      </c>
    </row>
    <row r="5" spans="1:19">
      <c r="H5" s="151">
        <f>2.33/2</f>
        <v>1.165</v>
      </c>
      <c r="N5" s="151">
        <f>E2-P2</f>
        <v>5.6332251815980547E-3</v>
      </c>
      <c r="P5" s="151">
        <v>2</v>
      </c>
    </row>
    <row r="7" spans="1:19">
      <c r="A7" s="148" t="s">
        <v>153</v>
      </c>
      <c r="B7" s="148">
        <f>6.5/7</f>
        <v>0.9285714285714286</v>
      </c>
      <c r="E7" s="154">
        <f>(E2-P2)/E2</f>
        <v>0.33531102271416996</v>
      </c>
      <c r="F7" s="155" t="s">
        <v>154</v>
      </c>
      <c r="N7" s="151">
        <f>N5/0.0076</f>
        <v>0.7412138396839546</v>
      </c>
      <c r="Q7" s="148">
        <f>3/2</f>
        <v>1.5</v>
      </c>
    </row>
    <row r="8" spans="1:19">
      <c r="B8" s="148">
        <f>B7/100</f>
        <v>9.285714285714286E-3</v>
      </c>
    </row>
    <row r="9" spans="1:19">
      <c r="P9" s="157" t="s">
        <v>155</v>
      </c>
      <c r="Q9" s="155" t="s">
        <v>156</v>
      </c>
      <c r="R9" s="155" t="s">
        <v>157</v>
      </c>
      <c r="S9" s="155" t="s">
        <v>158</v>
      </c>
    </row>
    <row r="10" spans="1:19">
      <c r="K10" s="158"/>
    </row>
    <row r="11" spans="1:19" s="159" customFormat="1">
      <c r="A11" s="159" t="s">
        <v>162</v>
      </c>
      <c r="B11" s="159">
        <v>1</v>
      </c>
      <c r="C11" s="160">
        <v>9.285714285714286E-3</v>
      </c>
      <c r="D11" s="161">
        <v>1</v>
      </c>
      <c r="E11" s="162">
        <f t="shared" ref="E11:E36" si="0">D11*C11</f>
        <v>9.285714285714286E-3</v>
      </c>
      <c r="G11" s="163">
        <v>50.5</v>
      </c>
      <c r="H11" s="163">
        <v>0.1</v>
      </c>
      <c r="I11" s="164">
        <f t="shared" ref="I11:I36" si="1">H11*G11/1000</f>
        <v>5.0500000000000007E-3</v>
      </c>
      <c r="J11" s="163"/>
      <c r="K11" s="165">
        <v>8.3825115396700452E-3</v>
      </c>
      <c r="L11" s="166">
        <v>4607.8000534033099</v>
      </c>
      <c r="M11" s="163">
        <v>0.1</v>
      </c>
      <c r="N11" s="163">
        <f t="shared" ref="N11:N36" si="2">M11*L11/1000*K11</f>
        <v>3.8624937120145496E-3</v>
      </c>
      <c r="O11" s="163"/>
      <c r="P11" s="163">
        <f t="shared" ref="P11:P36" si="3">E11-(I11+N11)</f>
        <v>3.7322057369973578E-4</v>
      </c>
      <c r="Q11" s="167">
        <f t="shared" ref="Q11:Q36" si="4">P11/E11*100</f>
        <v>4.0192984859971546</v>
      </c>
      <c r="R11" s="167">
        <v>41</v>
      </c>
      <c r="S11" s="159">
        <f>P11*R11</f>
        <v>1.5302043521689167E-2</v>
      </c>
    </row>
    <row r="12" spans="1:19" s="168" customFormat="1">
      <c r="C12" s="169">
        <v>9.285714285714286E-3</v>
      </c>
      <c r="D12" s="170">
        <f>0.96*D11</f>
        <v>0.96</v>
      </c>
      <c r="E12" s="171">
        <f t="shared" si="0"/>
        <v>8.9142857142857149E-3</v>
      </c>
      <c r="G12" s="172">
        <v>50.5</v>
      </c>
      <c r="H12" s="172">
        <v>0.1</v>
      </c>
      <c r="I12" s="173">
        <f t="shared" si="1"/>
        <v>5.0500000000000007E-3</v>
      </c>
      <c r="J12" s="172"/>
      <c r="K12" s="174">
        <v>8.3825115396700452E-3</v>
      </c>
      <c r="L12" s="175">
        <v>4607.8000534033099</v>
      </c>
      <c r="M12" s="172">
        <v>0.1</v>
      </c>
      <c r="N12" s="172">
        <f t="shared" si="2"/>
        <v>3.8624937120145496E-3</v>
      </c>
      <c r="O12" s="172"/>
      <c r="P12" s="172">
        <f t="shared" si="3"/>
        <v>1.7920022711646194E-6</v>
      </c>
      <c r="Q12" s="167">
        <f t="shared" si="4"/>
        <v>2.0102589580372331E-2</v>
      </c>
      <c r="R12" s="176">
        <f>R11-2</f>
        <v>39</v>
      </c>
      <c r="S12" s="168">
        <f t="shared" ref="S12:S15" si="5">P12*R12</f>
        <v>6.9888088575420157E-5</v>
      </c>
    </row>
    <row r="13" spans="1:19" s="168" customFormat="1">
      <c r="C13" s="169">
        <v>9.285714285714286E-3</v>
      </c>
      <c r="D13" s="170">
        <f>0.94*D11</f>
        <v>0.94</v>
      </c>
      <c r="E13" s="171">
        <f t="shared" si="0"/>
        <v>8.7285714285714276E-3</v>
      </c>
      <c r="G13" s="172">
        <v>50.5</v>
      </c>
      <c r="H13" s="172">
        <v>0.1</v>
      </c>
      <c r="I13" s="173">
        <f t="shared" si="1"/>
        <v>5.0500000000000007E-3</v>
      </c>
      <c r="J13" s="172"/>
      <c r="K13" s="174">
        <v>8.3825115396700452E-3</v>
      </c>
      <c r="L13" s="175">
        <v>4607.8000534033099</v>
      </c>
      <c r="M13" s="172">
        <v>0.1</v>
      </c>
      <c r="N13" s="172">
        <f t="shared" si="2"/>
        <v>3.8624937120145496E-3</v>
      </c>
      <c r="O13" s="172"/>
      <c r="P13" s="172">
        <f t="shared" si="3"/>
        <v>-1.839222834431227E-4</v>
      </c>
      <c r="Q13" s="167">
        <f t="shared" si="4"/>
        <v>-2.1071292702158089</v>
      </c>
      <c r="R13" s="176">
        <f>R12-2</f>
        <v>37</v>
      </c>
      <c r="S13" s="168">
        <f t="shared" si="5"/>
        <v>-6.8051244873955398E-3</v>
      </c>
    </row>
    <row r="14" spans="1:19" s="168" customFormat="1">
      <c r="C14" s="169">
        <v>9.285714285714286E-3</v>
      </c>
      <c r="D14" s="170">
        <f>0.92*D11</f>
        <v>0.92</v>
      </c>
      <c r="E14" s="171">
        <f t="shared" si="0"/>
        <v>8.5428571428571437E-3</v>
      </c>
      <c r="G14" s="172">
        <v>50.5</v>
      </c>
      <c r="H14" s="172">
        <v>0.1</v>
      </c>
      <c r="I14" s="173">
        <f t="shared" si="1"/>
        <v>5.0500000000000007E-3</v>
      </c>
      <c r="J14" s="172"/>
      <c r="K14" s="174">
        <v>8.3825115396700452E-3</v>
      </c>
      <c r="L14" s="175">
        <v>4607.8000534033099</v>
      </c>
      <c r="M14" s="172">
        <v>0.1</v>
      </c>
      <c r="N14" s="172">
        <f t="shared" si="2"/>
        <v>3.8624937120145496E-3</v>
      </c>
      <c r="O14" s="172"/>
      <c r="P14" s="172">
        <f t="shared" si="3"/>
        <v>-3.6963656915740654E-4</v>
      </c>
      <c r="Q14" s="167">
        <f t="shared" si="4"/>
        <v>-4.326849471742217</v>
      </c>
      <c r="R14" s="176">
        <f>R13-2</f>
        <v>35</v>
      </c>
      <c r="S14" s="168">
        <f t="shared" si="5"/>
        <v>-1.2937279920509229E-2</v>
      </c>
    </row>
    <row r="15" spans="1:19" s="168" customFormat="1">
      <c r="C15" s="169">
        <v>9.285714285714286E-3</v>
      </c>
      <c r="D15" s="170">
        <f>0.9*D11</f>
        <v>0.9</v>
      </c>
      <c r="E15" s="171">
        <f t="shared" si="0"/>
        <v>8.3571428571428581E-3</v>
      </c>
      <c r="G15" s="172">
        <v>50.5</v>
      </c>
      <c r="H15" s="172">
        <v>0.1</v>
      </c>
      <c r="I15" s="173">
        <f t="shared" si="1"/>
        <v>5.0500000000000007E-3</v>
      </c>
      <c r="J15" s="172"/>
      <c r="K15" s="174">
        <v>8.3825115396700452E-3</v>
      </c>
      <c r="L15" s="175">
        <v>4607.8000534033099</v>
      </c>
      <c r="M15" s="172">
        <v>0.1</v>
      </c>
      <c r="N15" s="172">
        <f t="shared" si="2"/>
        <v>3.8624937120145496E-3</v>
      </c>
      <c r="O15" s="172"/>
      <c r="P15" s="172">
        <f t="shared" si="3"/>
        <v>-5.5535085487169213E-4</v>
      </c>
      <c r="Q15" s="167">
        <f t="shared" si="4"/>
        <v>-6.6452239044475974</v>
      </c>
      <c r="R15" s="176">
        <f>R14-2</f>
        <v>33</v>
      </c>
      <c r="S15" s="168">
        <f t="shared" si="5"/>
        <v>-1.8326578210765838E-2</v>
      </c>
    </row>
    <row r="16" spans="1:19" s="159" customFormat="1">
      <c r="A16" s="159" t="s">
        <v>163</v>
      </c>
      <c r="B16" s="159">
        <v>2</v>
      </c>
      <c r="C16" s="160">
        <v>9.285714285714286E-3</v>
      </c>
      <c r="D16" s="161">
        <v>1.25</v>
      </c>
      <c r="E16" s="162">
        <f t="shared" si="0"/>
        <v>1.1607142857142858E-2</v>
      </c>
      <c r="G16" s="161">
        <v>53.231666666666669</v>
      </c>
      <c r="H16" s="163">
        <v>0.1</v>
      </c>
      <c r="I16" s="164">
        <f t="shared" si="1"/>
        <v>5.323166666666667E-3</v>
      </c>
      <c r="J16" s="163"/>
      <c r="K16" s="165">
        <v>8.3825115396700452E-3</v>
      </c>
      <c r="L16" s="177">
        <v>3333.6609486238708</v>
      </c>
      <c r="M16" s="163">
        <v>0.1</v>
      </c>
      <c r="N16" s="163">
        <f t="shared" si="2"/>
        <v>2.7944451371186988E-3</v>
      </c>
      <c r="O16" s="163"/>
      <c r="P16" s="163">
        <f t="shared" si="3"/>
        <v>3.4895310533574926E-3</v>
      </c>
      <c r="Q16" s="167">
        <f t="shared" si="4"/>
        <v>30.063652152003012</v>
      </c>
      <c r="R16" s="167">
        <v>6</v>
      </c>
      <c r="S16" s="159">
        <f>R16*P16</f>
        <v>2.0937186320144956E-2</v>
      </c>
    </row>
    <row r="17" spans="1:19" s="168" customFormat="1">
      <c r="C17" s="169">
        <v>9.285714285714286E-3</v>
      </c>
      <c r="D17" s="170">
        <f>0.96*D16</f>
        <v>1.2</v>
      </c>
      <c r="E17" s="171">
        <f t="shared" si="0"/>
        <v>1.1142857142857144E-2</v>
      </c>
      <c r="G17" s="170">
        <v>53.231666666666669</v>
      </c>
      <c r="H17" s="172">
        <v>0.1</v>
      </c>
      <c r="I17" s="173">
        <f t="shared" si="1"/>
        <v>5.323166666666667E-3</v>
      </c>
      <c r="J17" s="172"/>
      <c r="K17" s="174">
        <v>8.3825115396700452E-3</v>
      </c>
      <c r="L17" s="178">
        <v>3333.6609486238708</v>
      </c>
      <c r="M17" s="172">
        <v>0.1</v>
      </c>
      <c r="N17" s="172">
        <f t="shared" si="2"/>
        <v>2.7944451371186988E-3</v>
      </c>
      <c r="O17" s="172"/>
      <c r="P17" s="172">
        <f t="shared" si="3"/>
        <v>3.0252453390717787E-3</v>
      </c>
      <c r="Q17" s="167">
        <f t="shared" si="4"/>
        <v>27.149637658336474</v>
      </c>
      <c r="R17" s="176">
        <f>R16-2</f>
        <v>4</v>
      </c>
      <c r="S17" s="168">
        <f t="shared" ref="S17:S18" si="6">R17*P17</f>
        <v>1.2100981356287115E-2</v>
      </c>
    </row>
    <row r="18" spans="1:19" s="168" customFormat="1">
      <c r="C18" s="169">
        <v>9.285714285714286E-3</v>
      </c>
      <c r="D18" s="170">
        <f>0.94*D16</f>
        <v>1.1749999999999998</v>
      </c>
      <c r="E18" s="171">
        <f t="shared" si="0"/>
        <v>1.0910714285714284E-2</v>
      </c>
      <c r="G18" s="170">
        <v>53.231666666666669</v>
      </c>
      <c r="H18" s="172">
        <v>0.1</v>
      </c>
      <c r="I18" s="173">
        <f t="shared" si="1"/>
        <v>5.323166666666667E-3</v>
      </c>
      <c r="J18" s="172"/>
      <c r="K18" s="174">
        <v>8.3825115396700452E-3</v>
      </c>
      <c r="L18" s="178">
        <v>3333.6609486238708</v>
      </c>
      <c r="M18" s="172">
        <v>0.1</v>
      </c>
      <c r="N18" s="172">
        <f t="shared" si="2"/>
        <v>2.7944451371186988E-3</v>
      </c>
      <c r="O18" s="172"/>
      <c r="P18" s="172">
        <f t="shared" si="3"/>
        <v>2.7931024819289191E-3</v>
      </c>
      <c r="Q18" s="167">
        <f t="shared" si="4"/>
        <v>25.599629948939363</v>
      </c>
      <c r="R18" s="176">
        <f>R17-2</f>
        <v>2</v>
      </c>
      <c r="S18" s="168">
        <f t="shared" si="6"/>
        <v>5.5862049638578382E-3</v>
      </c>
    </row>
    <row r="19" spans="1:19" s="159" customFormat="1">
      <c r="A19" s="159" t="s">
        <v>164</v>
      </c>
      <c r="B19" s="159">
        <v>3</v>
      </c>
      <c r="C19" s="160">
        <v>9.285714285714286E-3</v>
      </c>
      <c r="D19" s="161">
        <v>1.165</v>
      </c>
      <c r="E19" s="162">
        <f t="shared" si="0"/>
        <v>1.0817857142857143E-2</v>
      </c>
      <c r="G19" s="161">
        <v>52.491333333333344</v>
      </c>
      <c r="H19" s="163">
        <v>0.1</v>
      </c>
      <c r="I19" s="164">
        <f t="shared" si="1"/>
        <v>5.2491333333333345E-3</v>
      </c>
      <c r="J19" s="163"/>
      <c r="K19" s="165">
        <v>8.3825115396700452E-3</v>
      </c>
      <c r="L19" s="163">
        <v>5273.5966336002402</v>
      </c>
      <c r="M19" s="163">
        <v>0.1</v>
      </c>
      <c r="N19" s="163">
        <f t="shared" si="2"/>
        <v>4.420598463671912E-3</v>
      </c>
      <c r="O19" s="163"/>
      <c r="P19" s="163">
        <f t="shared" si="3"/>
        <v>1.1481253458518956E-3</v>
      </c>
      <c r="Q19" s="167">
        <f t="shared" si="4"/>
        <v>10.61324188968408</v>
      </c>
      <c r="R19" s="167">
        <v>10</v>
      </c>
      <c r="S19" s="159">
        <f>R19*P19</f>
        <v>1.1481253458518956E-2</v>
      </c>
    </row>
    <row r="20" spans="1:19" s="168" customFormat="1">
      <c r="C20" s="169">
        <v>9.285714285714286E-3</v>
      </c>
      <c r="D20" s="170">
        <f>0.96*D19</f>
        <v>1.1184000000000001</v>
      </c>
      <c r="E20" s="171">
        <f t="shared" si="0"/>
        <v>1.0385142857142858E-2</v>
      </c>
      <c r="G20" s="170">
        <v>52.491333333333344</v>
      </c>
      <c r="H20" s="172">
        <v>0.1</v>
      </c>
      <c r="I20" s="173">
        <f t="shared" si="1"/>
        <v>5.2491333333333345E-3</v>
      </c>
      <c r="J20" s="172"/>
      <c r="K20" s="174">
        <v>8.3825115396700452E-3</v>
      </c>
      <c r="L20" s="172">
        <v>5273.5966336002402</v>
      </c>
      <c r="M20" s="172">
        <v>0.1</v>
      </c>
      <c r="N20" s="172">
        <f t="shared" si="2"/>
        <v>4.420598463671912E-3</v>
      </c>
      <c r="O20" s="172"/>
      <c r="P20" s="172">
        <f t="shared" si="3"/>
        <v>7.1541106013761104E-4</v>
      </c>
      <c r="Q20" s="167">
        <f t="shared" si="4"/>
        <v>6.8887936350875938</v>
      </c>
      <c r="R20" s="176">
        <f>R19-2</f>
        <v>8</v>
      </c>
      <c r="S20" s="168">
        <f t="shared" ref="S20:S23" si="7">R20*P20</f>
        <v>5.7232884811008883E-3</v>
      </c>
    </row>
    <row r="21" spans="1:19" s="168" customFormat="1">
      <c r="C21" s="169">
        <v>9.285714285714286E-3</v>
      </c>
      <c r="D21" s="170">
        <f>0.94*D19</f>
        <v>1.0951</v>
      </c>
      <c r="E21" s="171">
        <f t="shared" si="0"/>
        <v>1.0168785714285714E-2</v>
      </c>
      <c r="G21" s="170">
        <v>52.491333333333344</v>
      </c>
      <c r="H21" s="172">
        <v>0.1</v>
      </c>
      <c r="I21" s="173">
        <f t="shared" si="1"/>
        <v>5.2491333333333345E-3</v>
      </c>
      <c r="J21" s="172"/>
      <c r="K21" s="174">
        <v>8.3825115396700452E-3</v>
      </c>
      <c r="L21" s="172">
        <v>5273.5966336002402</v>
      </c>
      <c r="M21" s="172">
        <v>0.1</v>
      </c>
      <c r="N21" s="172">
        <f t="shared" si="2"/>
        <v>4.420598463671912E-3</v>
      </c>
      <c r="O21" s="172"/>
      <c r="P21" s="172">
        <f t="shared" si="3"/>
        <v>4.9905391728046616E-4</v>
      </c>
      <c r="Q21" s="167">
        <f t="shared" si="4"/>
        <v>4.9077041379617787</v>
      </c>
      <c r="R21" s="176">
        <f>R20-2</f>
        <v>6</v>
      </c>
      <c r="S21" s="168">
        <f t="shared" si="7"/>
        <v>2.994323503682797E-3</v>
      </c>
    </row>
    <row r="22" spans="1:19" s="168" customFormat="1">
      <c r="C22" s="169">
        <v>9.285714285714286E-3</v>
      </c>
      <c r="D22" s="170">
        <f>0.92*D19</f>
        <v>1.0718000000000001</v>
      </c>
      <c r="E22" s="171">
        <f t="shared" si="0"/>
        <v>9.9524285714285721E-3</v>
      </c>
      <c r="G22" s="170">
        <v>52.491333333333344</v>
      </c>
      <c r="H22" s="172">
        <v>0.1</v>
      </c>
      <c r="I22" s="173">
        <f t="shared" si="1"/>
        <v>5.2491333333333345E-3</v>
      </c>
      <c r="J22" s="172"/>
      <c r="K22" s="174">
        <v>8.3825115396700452E-3</v>
      </c>
      <c r="L22" s="172">
        <v>5273.5966336002402</v>
      </c>
      <c r="M22" s="172">
        <v>0.1</v>
      </c>
      <c r="N22" s="172">
        <f t="shared" si="2"/>
        <v>4.420598463671912E-3</v>
      </c>
      <c r="O22" s="172"/>
      <c r="P22" s="172">
        <f t="shared" si="3"/>
        <v>2.8269677442332476E-4</v>
      </c>
      <c r="Q22" s="167">
        <f t="shared" si="4"/>
        <v>2.840480314874005</v>
      </c>
      <c r="R22" s="176">
        <f>R21-2</f>
        <v>4</v>
      </c>
      <c r="S22" s="168">
        <f t="shared" si="7"/>
        <v>1.130787097693299E-3</v>
      </c>
    </row>
    <row r="23" spans="1:19" s="168" customFormat="1">
      <c r="C23" s="169">
        <v>9.285714285714286E-3</v>
      </c>
      <c r="D23" s="170">
        <f>0.9*D19</f>
        <v>1.0485</v>
      </c>
      <c r="E23" s="171">
        <f t="shared" si="0"/>
        <v>9.736071428571429E-3</v>
      </c>
      <c r="G23" s="170">
        <v>52.491333333333344</v>
      </c>
      <c r="H23" s="172">
        <v>0.1</v>
      </c>
      <c r="I23" s="173">
        <f t="shared" si="1"/>
        <v>5.2491333333333345E-3</v>
      </c>
      <c r="J23" s="172"/>
      <c r="K23" s="174">
        <v>8.3825115396700452E-3</v>
      </c>
      <c r="L23" s="172">
        <v>5273.5966336002402</v>
      </c>
      <c r="M23" s="172">
        <v>0.1</v>
      </c>
      <c r="N23" s="172">
        <f t="shared" si="2"/>
        <v>4.420598463671912E-3</v>
      </c>
      <c r="O23" s="172"/>
      <c r="P23" s="172">
        <f t="shared" si="3"/>
        <v>6.6339631566181625E-5</v>
      </c>
      <c r="Q23" s="167">
        <f t="shared" si="4"/>
        <v>0.68137987742675821</v>
      </c>
      <c r="R23" s="176">
        <f>R22-2</f>
        <v>2</v>
      </c>
      <c r="S23" s="168">
        <f t="shared" si="7"/>
        <v>1.3267926313236325E-4</v>
      </c>
    </row>
    <row r="24" spans="1:19" s="159" customFormat="1">
      <c r="A24" s="159" t="s">
        <v>165</v>
      </c>
      <c r="B24" s="159">
        <v>4</v>
      </c>
      <c r="C24" s="160">
        <v>9.285714285714286E-3</v>
      </c>
      <c r="D24" s="161">
        <v>1.0349999999999999</v>
      </c>
      <c r="E24" s="162">
        <f t="shared" si="0"/>
        <v>9.6107142857142849E-3</v>
      </c>
      <c r="G24" s="161">
        <v>53.49666666666667</v>
      </c>
      <c r="H24" s="163">
        <v>0.1</v>
      </c>
      <c r="I24" s="164">
        <f t="shared" si="1"/>
        <v>5.3496666666666675E-3</v>
      </c>
      <c r="J24" s="163"/>
      <c r="K24" s="165">
        <v>8.3825115396700452E-3</v>
      </c>
      <c r="L24" s="163">
        <v>5690.8854557962004</v>
      </c>
      <c r="M24" s="163">
        <v>0.1</v>
      </c>
      <c r="N24" s="163">
        <f t="shared" si="2"/>
        <v>4.7703913004152072E-3</v>
      </c>
      <c r="O24" s="163"/>
      <c r="P24" s="163">
        <f t="shared" si="3"/>
        <v>-5.0934368136758973E-4</v>
      </c>
      <c r="Q24" s="167">
        <f t="shared" si="4"/>
        <v>-5.2997484497556719</v>
      </c>
      <c r="R24" s="167">
        <v>6</v>
      </c>
      <c r="S24" s="159">
        <f>-R24*P24</f>
        <v>3.0560620882055384E-3</v>
      </c>
    </row>
    <row r="25" spans="1:19" s="168" customFormat="1">
      <c r="C25" s="169">
        <v>9.285714285714286E-3</v>
      </c>
      <c r="D25" s="170">
        <f>0.96*D24</f>
        <v>0.99359999999999993</v>
      </c>
      <c r="E25" s="171">
        <f t="shared" si="0"/>
        <v>9.2262857142857146E-3</v>
      </c>
      <c r="G25" s="170">
        <v>53.49666666666667</v>
      </c>
      <c r="H25" s="172">
        <v>0.1</v>
      </c>
      <c r="I25" s="173">
        <f t="shared" si="1"/>
        <v>5.3496666666666675E-3</v>
      </c>
      <c r="J25" s="172"/>
      <c r="K25" s="174">
        <v>8.3825115396700452E-3</v>
      </c>
      <c r="L25" s="172">
        <v>5690.8854557962004</v>
      </c>
      <c r="M25" s="172">
        <v>0.1</v>
      </c>
      <c r="N25" s="172">
        <f t="shared" si="2"/>
        <v>4.7703913004152072E-3</v>
      </c>
      <c r="O25" s="172"/>
      <c r="P25" s="172">
        <f t="shared" si="3"/>
        <v>-8.9377225279616002E-4</v>
      </c>
      <c r="Q25" s="167">
        <f t="shared" si="4"/>
        <v>-9.687237968495479</v>
      </c>
      <c r="R25" s="176">
        <f>R24-2</f>
        <v>4</v>
      </c>
      <c r="S25" s="168">
        <f t="shared" ref="S25:S26" si="8">-R25*P25</f>
        <v>3.5750890111846401E-3</v>
      </c>
    </row>
    <row r="26" spans="1:19" s="168" customFormat="1">
      <c r="C26" s="169">
        <v>9.285714285714286E-3</v>
      </c>
      <c r="D26" s="170">
        <f>0.94*D24</f>
        <v>0.97289999999999988</v>
      </c>
      <c r="E26" s="171">
        <f t="shared" si="0"/>
        <v>9.0340714285714278E-3</v>
      </c>
      <c r="G26" s="170">
        <v>53.49666666666667</v>
      </c>
      <c r="H26" s="172">
        <v>0.1</v>
      </c>
      <c r="I26" s="173">
        <f t="shared" si="1"/>
        <v>5.3496666666666675E-3</v>
      </c>
      <c r="J26" s="172"/>
      <c r="K26" s="174">
        <v>8.3825115396700452E-3</v>
      </c>
      <c r="L26" s="172">
        <v>5690.8854557962004</v>
      </c>
      <c r="M26" s="172">
        <v>0.1</v>
      </c>
      <c r="N26" s="172">
        <f t="shared" si="2"/>
        <v>4.7703913004152072E-3</v>
      </c>
      <c r="O26" s="172"/>
      <c r="P26" s="172">
        <f t="shared" si="3"/>
        <v>-1.0859865385104469E-3</v>
      </c>
      <c r="Q26" s="167">
        <f t="shared" si="4"/>
        <v>-12.02100898910178</v>
      </c>
      <c r="R26" s="176">
        <f>R25-2</f>
        <v>2</v>
      </c>
      <c r="S26" s="168">
        <f t="shared" si="8"/>
        <v>2.1719730770208938E-3</v>
      </c>
    </row>
    <row r="27" spans="1:19" s="159" customFormat="1">
      <c r="A27" s="159" t="s">
        <v>166</v>
      </c>
      <c r="B27" s="159">
        <v>5</v>
      </c>
      <c r="C27" s="160">
        <v>9.285714285714286E-3</v>
      </c>
      <c r="D27" s="161">
        <v>1.0149999999999999</v>
      </c>
      <c r="E27" s="162">
        <f t="shared" si="0"/>
        <v>9.4249999999999994E-3</v>
      </c>
      <c r="G27" s="161">
        <v>40.924761904761901</v>
      </c>
      <c r="H27" s="163">
        <v>0.1</v>
      </c>
      <c r="I27" s="164">
        <f t="shared" si="1"/>
        <v>4.0924761904761898E-3</v>
      </c>
      <c r="J27" s="163"/>
      <c r="K27" s="165">
        <v>8.3825115396700452E-3</v>
      </c>
      <c r="L27" s="163">
        <v>5891.6241663512828</v>
      </c>
      <c r="M27" s="163">
        <v>0.1</v>
      </c>
      <c r="N27" s="163">
        <f t="shared" si="2"/>
        <v>4.9386607561838543E-3</v>
      </c>
      <c r="O27" s="163"/>
      <c r="P27" s="163">
        <f t="shared" si="3"/>
        <v>3.9386305333995522E-4</v>
      </c>
      <c r="Q27" s="167">
        <f t="shared" si="4"/>
        <v>4.1789183378244585</v>
      </c>
      <c r="R27" s="167">
        <v>17</v>
      </c>
      <c r="S27" s="159">
        <f>R27*P27</f>
        <v>6.6956719067792388E-3</v>
      </c>
    </row>
    <row r="28" spans="1:19" s="168" customFormat="1">
      <c r="C28" s="169">
        <v>9.285714285714286E-3</v>
      </c>
      <c r="D28" s="170">
        <f>0.96*D27</f>
        <v>0.97439999999999982</v>
      </c>
      <c r="E28" s="171">
        <f t="shared" si="0"/>
        <v>9.0479999999999988E-3</v>
      </c>
      <c r="G28" s="170">
        <v>40.924761904761901</v>
      </c>
      <c r="H28" s="172">
        <v>0.1</v>
      </c>
      <c r="I28" s="173">
        <f t="shared" si="1"/>
        <v>4.0924761904761898E-3</v>
      </c>
      <c r="J28" s="172"/>
      <c r="K28" s="174">
        <v>8.3825115396700452E-3</v>
      </c>
      <c r="L28" s="172">
        <v>5891.6241663512828</v>
      </c>
      <c r="M28" s="172">
        <v>0.1</v>
      </c>
      <c r="N28" s="172">
        <f t="shared" si="2"/>
        <v>4.9386607561838543E-3</v>
      </c>
      <c r="O28" s="172"/>
      <c r="P28" s="172">
        <f t="shared" si="3"/>
        <v>1.6863053339954623E-5</v>
      </c>
      <c r="Q28" s="167">
        <f t="shared" si="4"/>
        <v>0.18637326856713776</v>
      </c>
      <c r="R28" s="176">
        <f>R27-2</f>
        <v>15</v>
      </c>
      <c r="S28" s="168">
        <f t="shared" ref="S28:S31" si="9">R28*P28</f>
        <v>2.5294580009931934E-4</v>
      </c>
    </row>
    <row r="29" spans="1:19" s="168" customFormat="1">
      <c r="C29" s="169">
        <v>9.285714285714286E-3</v>
      </c>
      <c r="D29" s="170">
        <f>0.94*D27</f>
        <v>0.95409999999999984</v>
      </c>
      <c r="E29" s="171">
        <f t="shared" si="0"/>
        <v>8.8594999999999993E-3</v>
      </c>
      <c r="G29" s="170">
        <v>40.924761904761901</v>
      </c>
      <c r="H29" s="172">
        <v>0.1</v>
      </c>
      <c r="I29" s="173">
        <f t="shared" si="1"/>
        <v>4.0924761904761898E-3</v>
      </c>
      <c r="J29" s="172"/>
      <c r="K29" s="174">
        <v>8.3825115396700452E-3</v>
      </c>
      <c r="L29" s="172">
        <v>5891.6241663512828</v>
      </c>
      <c r="M29" s="172">
        <v>0.1</v>
      </c>
      <c r="N29" s="172">
        <f t="shared" si="2"/>
        <v>4.9386607561838543E-3</v>
      </c>
      <c r="O29" s="172"/>
      <c r="P29" s="172">
        <f t="shared" si="3"/>
        <v>-1.7163694666004481E-4</v>
      </c>
      <c r="Q29" s="167">
        <f t="shared" si="4"/>
        <v>-1.9373209172080235</v>
      </c>
      <c r="R29" s="176">
        <f>R28-2</f>
        <v>13</v>
      </c>
      <c r="S29" s="168">
        <f t="shared" si="9"/>
        <v>-2.2312803065805825E-3</v>
      </c>
    </row>
    <row r="30" spans="1:19" s="168" customFormat="1">
      <c r="C30" s="169">
        <v>9.285714285714286E-3</v>
      </c>
      <c r="D30" s="170">
        <f>0.92*D27</f>
        <v>0.93379999999999996</v>
      </c>
      <c r="E30" s="171">
        <f t="shared" si="0"/>
        <v>8.6709999999999999E-3</v>
      </c>
      <c r="G30" s="170">
        <v>40.924761904761901</v>
      </c>
      <c r="H30" s="172">
        <v>0.1</v>
      </c>
      <c r="I30" s="173">
        <f t="shared" si="1"/>
        <v>4.0924761904761898E-3</v>
      </c>
      <c r="J30" s="172"/>
      <c r="K30" s="174">
        <v>8.3825115396700452E-3</v>
      </c>
      <c r="L30" s="172">
        <v>5891.6241663512828</v>
      </c>
      <c r="M30" s="172">
        <v>0.1</v>
      </c>
      <c r="N30" s="172">
        <f t="shared" si="2"/>
        <v>4.9386607561838543E-3</v>
      </c>
      <c r="O30" s="172"/>
      <c r="P30" s="172">
        <f t="shared" si="3"/>
        <v>-3.6013694666004424E-4</v>
      </c>
      <c r="Q30" s="167">
        <f t="shared" si="4"/>
        <v>-4.153349632799495</v>
      </c>
      <c r="R30" s="176">
        <f>R29-2</f>
        <v>11</v>
      </c>
      <c r="S30" s="168">
        <f t="shared" si="9"/>
        <v>-3.9615064132604867E-3</v>
      </c>
    </row>
    <row r="31" spans="1:19" s="168" customFormat="1">
      <c r="C31" s="169">
        <v>9.285714285714286E-3</v>
      </c>
      <c r="D31" s="170">
        <f>0.9*D27</f>
        <v>0.91349999999999998</v>
      </c>
      <c r="E31" s="171">
        <f t="shared" si="0"/>
        <v>8.4825000000000005E-3</v>
      </c>
      <c r="G31" s="170">
        <v>40.924761904761901</v>
      </c>
      <c r="H31" s="172">
        <v>0.1</v>
      </c>
      <c r="I31" s="173">
        <f t="shared" si="1"/>
        <v>4.0924761904761898E-3</v>
      </c>
      <c r="J31" s="172"/>
      <c r="K31" s="174">
        <v>8.3825115396700452E-3</v>
      </c>
      <c r="L31" s="172">
        <v>5891.6241663512828</v>
      </c>
      <c r="M31" s="172">
        <v>0.1</v>
      </c>
      <c r="N31" s="172">
        <f t="shared" si="2"/>
        <v>4.9386607561838543E-3</v>
      </c>
      <c r="O31" s="172"/>
      <c r="P31" s="172">
        <f t="shared" si="3"/>
        <v>-5.4863694666004367E-4</v>
      </c>
      <c r="Q31" s="167">
        <f t="shared" si="4"/>
        <v>-6.4678685135283658</v>
      </c>
      <c r="R31" s="176">
        <f>R30-2</f>
        <v>9</v>
      </c>
      <c r="S31" s="168">
        <f t="shared" si="9"/>
        <v>-4.9377325199403931E-3</v>
      </c>
    </row>
    <row r="32" spans="1:19" s="159" customFormat="1">
      <c r="A32" s="179" t="s">
        <v>167</v>
      </c>
      <c r="B32" s="159">
        <v>6</v>
      </c>
      <c r="C32" s="160">
        <v>9.285714285714286E-3</v>
      </c>
      <c r="D32" s="161">
        <v>1.5</v>
      </c>
      <c r="E32" s="162">
        <f t="shared" si="0"/>
        <v>1.3928571428571429E-2</v>
      </c>
      <c r="G32" s="161">
        <v>28.886111111111113</v>
      </c>
      <c r="H32" s="163">
        <v>0.1</v>
      </c>
      <c r="I32" s="164">
        <f t="shared" si="1"/>
        <v>2.8886111111111113E-3</v>
      </c>
      <c r="J32" s="163"/>
      <c r="K32" s="165">
        <v>8.3825115396700452E-3</v>
      </c>
      <c r="L32" s="163">
        <v>8181.8422021818524</v>
      </c>
      <c r="M32" s="163">
        <v>0.1</v>
      </c>
      <c r="N32" s="163">
        <f t="shared" si="2"/>
        <v>6.8584386675548756E-3</v>
      </c>
      <c r="O32" s="163"/>
      <c r="P32" s="163">
        <f t="shared" si="3"/>
        <v>4.1815216499054425E-3</v>
      </c>
      <c r="Q32" s="167">
        <f t="shared" si="4"/>
        <v>30.021181076244201</v>
      </c>
      <c r="R32" s="167">
        <v>82</v>
      </c>
      <c r="S32" s="159">
        <f>R32*P32</f>
        <v>0.34288477529224626</v>
      </c>
    </row>
    <row r="33" spans="1:19" s="168" customFormat="1">
      <c r="A33" s="187"/>
      <c r="C33" s="169">
        <v>9.285714285714286E-3</v>
      </c>
      <c r="D33" s="170">
        <f>0.96*D32</f>
        <v>1.44</v>
      </c>
      <c r="E33" s="171">
        <f t="shared" si="0"/>
        <v>1.3371428571428571E-2</v>
      </c>
      <c r="G33" s="170">
        <v>28.886111111111113</v>
      </c>
      <c r="H33" s="172">
        <v>0.1</v>
      </c>
      <c r="I33" s="173">
        <f t="shared" si="1"/>
        <v>2.8886111111111113E-3</v>
      </c>
      <c r="J33" s="172"/>
      <c r="K33" s="174">
        <v>8.3825115396700452E-3</v>
      </c>
      <c r="L33" s="172">
        <v>8181.8422021818524</v>
      </c>
      <c r="M33" s="172">
        <v>0.1</v>
      </c>
      <c r="N33" s="172">
        <f t="shared" si="2"/>
        <v>6.8584386675548756E-3</v>
      </c>
      <c r="O33" s="172"/>
      <c r="P33" s="172">
        <f t="shared" si="3"/>
        <v>3.624378792762584E-3</v>
      </c>
      <c r="Q33" s="176">
        <f t="shared" si="4"/>
        <v>27.105396954421035</v>
      </c>
      <c r="R33" s="176">
        <f>R32-2</f>
        <v>80</v>
      </c>
      <c r="S33" s="159">
        <f t="shared" ref="S33:S36" si="10">R33*P33</f>
        <v>0.28995030342100669</v>
      </c>
    </row>
    <row r="34" spans="1:19" s="168" customFormat="1">
      <c r="A34" s="187"/>
      <c r="C34" s="169">
        <v>9.285714285714286E-3</v>
      </c>
      <c r="D34" s="170">
        <f>0.94*D32</f>
        <v>1.41</v>
      </c>
      <c r="E34" s="171">
        <f t="shared" si="0"/>
        <v>1.3092857142857142E-2</v>
      </c>
      <c r="G34" s="170">
        <v>28.886111111111113</v>
      </c>
      <c r="H34" s="172">
        <v>0.1</v>
      </c>
      <c r="I34" s="173">
        <f t="shared" si="1"/>
        <v>2.8886111111111113E-3</v>
      </c>
      <c r="J34" s="172"/>
      <c r="K34" s="174">
        <v>8.3825115396700452E-3</v>
      </c>
      <c r="L34" s="172">
        <v>8181.8422021818524</v>
      </c>
      <c r="M34" s="172">
        <v>0.1</v>
      </c>
      <c r="N34" s="172">
        <f t="shared" si="2"/>
        <v>6.8584386675548756E-3</v>
      </c>
      <c r="O34" s="172"/>
      <c r="P34" s="172">
        <f t="shared" si="3"/>
        <v>3.3458073641911557E-3</v>
      </c>
      <c r="Q34" s="176">
        <f t="shared" si="4"/>
        <v>25.55444795345127</v>
      </c>
      <c r="R34" s="176">
        <f>R33-2</f>
        <v>78</v>
      </c>
      <c r="S34" s="159">
        <f t="shared" si="10"/>
        <v>0.26097297440691014</v>
      </c>
    </row>
    <row r="35" spans="1:19" s="168" customFormat="1">
      <c r="A35" s="187"/>
      <c r="C35" s="169">
        <v>9.285714285714286E-3</v>
      </c>
      <c r="D35" s="170">
        <f>0.92*D32</f>
        <v>1.3800000000000001</v>
      </c>
      <c r="E35" s="171">
        <f t="shared" si="0"/>
        <v>1.2814285714285716E-2</v>
      </c>
      <c r="G35" s="170">
        <v>28.886111111111113</v>
      </c>
      <c r="H35" s="172">
        <v>0.1</v>
      </c>
      <c r="I35" s="173">
        <f t="shared" si="1"/>
        <v>2.8886111111111113E-3</v>
      </c>
      <c r="J35" s="172"/>
      <c r="K35" s="174">
        <v>8.3825115396700452E-3</v>
      </c>
      <c r="L35" s="172">
        <v>8181.8422021818524</v>
      </c>
      <c r="M35" s="172">
        <v>0.1</v>
      </c>
      <c r="N35" s="172">
        <f t="shared" si="2"/>
        <v>6.8584386675548756E-3</v>
      </c>
      <c r="O35" s="172"/>
      <c r="P35" s="172">
        <f t="shared" si="3"/>
        <v>3.067235935619729E-3</v>
      </c>
      <c r="Q35" s="176">
        <f t="shared" si="4"/>
        <v>23.936066387221963</v>
      </c>
      <c r="R35" s="176">
        <f>R34-2</f>
        <v>76</v>
      </c>
      <c r="S35" s="159">
        <f t="shared" si="10"/>
        <v>0.23310993110709941</v>
      </c>
    </row>
    <row r="36" spans="1:19" s="168" customFormat="1">
      <c r="A36" s="187"/>
      <c r="C36" s="169">
        <v>9.285714285714286E-3</v>
      </c>
      <c r="D36" s="170">
        <f>0.9*D32</f>
        <v>1.35</v>
      </c>
      <c r="E36" s="171">
        <f t="shared" si="0"/>
        <v>1.2535714285714287E-2</v>
      </c>
      <c r="G36" s="170">
        <v>28.886111111111113</v>
      </c>
      <c r="H36" s="172">
        <v>0.1</v>
      </c>
      <c r="I36" s="173">
        <f t="shared" si="1"/>
        <v>2.8886111111111113E-3</v>
      </c>
      <c r="J36" s="172"/>
      <c r="K36" s="174">
        <v>8.3825115396700452E-3</v>
      </c>
      <c r="L36" s="172">
        <v>8181.8422021818524</v>
      </c>
      <c r="M36" s="172">
        <v>0.1</v>
      </c>
      <c r="N36" s="172">
        <f t="shared" si="2"/>
        <v>6.8584386675548756E-3</v>
      </c>
      <c r="O36" s="172"/>
      <c r="P36" s="172">
        <f t="shared" si="3"/>
        <v>2.7886645070483006E-3</v>
      </c>
      <c r="Q36" s="176">
        <f t="shared" si="4"/>
        <v>22.245756751382455</v>
      </c>
      <c r="R36" s="176">
        <f>R35-2</f>
        <v>74</v>
      </c>
      <c r="S36" s="159">
        <f t="shared" si="10"/>
        <v>0.20636117352157424</v>
      </c>
    </row>
    <row r="37" spans="1:19">
      <c r="E37" s="188">
        <f>AVERAGE(E11:E32)</f>
        <v>9.765237012987012E-3</v>
      </c>
      <c r="F37" s="188">
        <f>E68/R37</f>
        <v>1.1388778715520791E-2</v>
      </c>
      <c r="R37" s="156">
        <f>SUM(R11:R36)</f>
        <v>694</v>
      </c>
    </row>
    <row r="39" spans="1:19">
      <c r="E39" s="154">
        <f t="shared" ref="E39:E61" si="11">E11*R11</f>
        <v>0.38071428571428573</v>
      </c>
      <c r="I39" s="151">
        <f>I11*R11</f>
        <v>0.20705000000000004</v>
      </c>
      <c r="N39" s="151">
        <f>N11*R11</f>
        <v>0.15836224219259654</v>
      </c>
    </row>
    <row r="40" spans="1:19">
      <c r="E40" s="154">
        <f t="shared" si="11"/>
        <v>0.34765714285714289</v>
      </c>
      <c r="I40" s="151">
        <f t="shared" ref="I40:I64" si="12">I12*R12</f>
        <v>0.19695000000000001</v>
      </c>
      <c r="N40" s="151">
        <f t="shared" ref="N40:N64" si="13">N12*R12</f>
        <v>0.15063725476856743</v>
      </c>
      <c r="P40" s="151">
        <v>3.7322057369973578E-4</v>
      </c>
    </row>
    <row r="41" spans="1:19">
      <c r="E41" s="154">
        <f t="shared" si="11"/>
        <v>0.32295714285714283</v>
      </c>
      <c r="I41" s="151">
        <f t="shared" si="12"/>
        <v>0.18685000000000002</v>
      </c>
      <c r="N41" s="151">
        <f t="shared" si="13"/>
        <v>0.14291226734453832</v>
      </c>
      <c r="P41" s="151">
        <v>3.4895310533574926E-3</v>
      </c>
    </row>
    <row r="42" spans="1:19">
      <c r="E42" s="154">
        <f t="shared" si="11"/>
        <v>0.29900000000000004</v>
      </c>
      <c r="I42" s="151">
        <f t="shared" si="12"/>
        <v>0.17675000000000002</v>
      </c>
      <c r="N42" s="151">
        <f t="shared" si="13"/>
        <v>0.13518727992050925</v>
      </c>
      <c r="P42" s="151">
        <v>1.1481253458518956E-3</v>
      </c>
    </row>
    <row r="43" spans="1:19">
      <c r="E43" s="154">
        <f t="shared" si="11"/>
        <v>0.2757857142857143</v>
      </c>
      <c r="I43" s="151">
        <f t="shared" si="12"/>
        <v>0.16665000000000002</v>
      </c>
      <c r="N43" s="151">
        <f t="shared" si="13"/>
        <v>0.12746229249648014</v>
      </c>
      <c r="P43" s="151">
        <v>5.0934368136758995E-4</v>
      </c>
    </row>
    <row r="44" spans="1:19">
      <c r="E44" s="154">
        <f t="shared" si="11"/>
        <v>6.9642857142857145E-2</v>
      </c>
      <c r="I44" s="151">
        <f t="shared" si="12"/>
        <v>3.1939000000000002E-2</v>
      </c>
      <c r="N44" s="151">
        <f t="shared" si="13"/>
        <v>1.6766670822712194E-2</v>
      </c>
      <c r="P44" s="151">
        <v>3.9386305333995522E-4</v>
      </c>
    </row>
    <row r="45" spans="1:19">
      <c r="E45" s="154">
        <f t="shared" si="11"/>
        <v>4.4571428571428574E-2</v>
      </c>
      <c r="I45" s="151">
        <f t="shared" si="12"/>
        <v>2.1292666666666668E-2</v>
      </c>
      <c r="N45" s="151">
        <f t="shared" si="13"/>
        <v>1.1177780548474795E-2</v>
      </c>
    </row>
    <row r="46" spans="1:19">
      <c r="E46" s="154">
        <f t="shared" si="11"/>
        <v>2.1821428571428568E-2</v>
      </c>
      <c r="I46" s="151">
        <f t="shared" si="12"/>
        <v>1.0646333333333334E-2</v>
      </c>
      <c r="N46" s="151">
        <f t="shared" si="13"/>
        <v>5.5888902742373976E-3</v>
      </c>
    </row>
    <row r="47" spans="1:19">
      <c r="E47" s="154">
        <f t="shared" si="11"/>
        <v>0.10817857142857143</v>
      </c>
      <c r="I47" s="151">
        <f t="shared" si="12"/>
        <v>5.2491333333333348E-2</v>
      </c>
      <c r="N47" s="151">
        <f t="shared" si="13"/>
        <v>4.4205984636719119E-2</v>
      </c>
    </row>
    <row r="48" spans="1:19">
      <c r="E48" s="154">
        <f t="shared" si="11"/>
        <v>8.3081142857142867E-2</v>
      </c>
      <c r="I48" s="151">
        <f t="shared" si="12"/>
        <v>4.1993066666666676E-2</v>
      </c>
      <c r="N48" s="151">
        <f t="shared" si="13"/>
        <v>3.5364787709375296E-2</v>
      </c>
    </row>
    <row r="49" spans="5:16">
      <c r="E49" s="154">
        <f t="shared" si="11"/>
        <v>6.1012714285714281E-2</v>
      </c>
      <c r="I49" s="151">
        <f t="shared" si="12"/>
        <v>3.1494800000000003E-2</v>
      </c>
      <c r="N49" s="151">
        <f t="shared" si="13"/>
        <v>2.6523590782031474E-2</v>
      </c>
    </row>
    <row r="50" spans="5:16">
      <c r="E50" s="154">
        <f t="shared" si="11"/>
        <v>3.9809714285714289E-2</v>
      </c>
      <c r="I50" s="151">
        <f t="shared" si="12"/>
        <v>2.0996533333333338E-2</v>
      </c>
      <c r="N50" s="151">
        <f t="shared" si="13"/>
        <v>1.7682393854687648E-2</v>
      </c>
    </row>
    <row r="51" spans="5:16">
      <c r="E51" s="154">
        <f t="shared" si="11"/>
        <v>1.9472142857142858E-2</v>
      </c>
      <c r="I51" s="151">
        <f t="shared" si="12"/>
        <v>1.0498266666666669E-2</v>
      </c>
      <c r="N51" s="151">
        <f t="shared" si="13"/>
        <v>8.8411969273438241E-3</v>
      </c>
    </row>
    <row r="52" spans="5:16">
      <c r="E52" s="154">
        <f t="shared" si="11"/>
        <v>5.766428571428571E-2</v>
      </c>
      <c r="I52" s="151">
        <f t="shared" si="12"/>
        <v>3.2098000000000002E-2</v>
      </c>
      <c r="N52" s="151">
        <f t="shared" si="13"/>
        <v>2.8622347802491243E-2</v>
      </c>
    </row>
    <row r="53" spans="5:16">
      <c r="E53" s="154">
        <f t="shared" si="11"/>
        <v>3.6905142857142859E-2</v>
      </c>
      <c r="I53" s="151">
        <f t="shared" si="12"/>
        <v>2.139866666666667E-2</v>
      </c>
      <c r="N53" s="151">
        <f t="shared" si="13"/>
        <v>1.9081565201660829E-2</v>
      </c>
    </row>
    <row r="54" spans="5:16">
      <c r="E54" s="154">
        <f t="shared" si="11"/>
        <v>1.8068142857142856E-2</v>
      </c>
      <c r="I54" s="151">
        <f t="shared" si="12"/>
        <v>1.0699333333333335E-2</v>
      </c>
      <c r="N54" s="151">
        <f t="shared" si="13"/>
        <v>9.5407826008304143E-3</v>
      </c>
    </row>
    <row r="55" spans="5:16">
      <c r="E55" s="154">
        <f t="shared" si="11"/>
        <v>0.16022499999999998</v>
      </c>
      <c r="I55" s="151">
        <f t="shared" si="12"/>
        <v>6.9572095238095225E-2</v>
      </c>
      <c r="N55" s="151">
        <f t="shared" si="13"/>
        <v>8.3957232855125519E-2</v>
      </c>
    </row>
    <row r="56" spans="5:16">
      <c r="E56" s="154">
        <f t="shared" si="11"/>
        <v>0.13571999999999998</v>
      </c>
      <c r="I56" s="151">
        <f t="shared" si="12"/>
        <v>6.1387142857142848E-2</v>
      </c>
      <c r="N56" s="151">
        <f t="shared" si="13"/>
        <v>7.407991134275782E-2</v>
      </c>
    </row>
    <row r="57" spans="5:16">
      <c r="E57" s="154">
        <f t="shared" si="11"/>
        <v>0.11517349999999998</v>
      </c>
      <c r="I57" s="151">
        <f t="shared" si="12"/>
        <v>5.3202190476190465E-2</v>
      </c>
      <c r="N57" s="151">
        <f t="shared" si="13"/>
        <v>6.4202589830390108E-2</v>
      </c>
      <c r="P57" s="151">
        <v>4.1815216499054425E-3</v>
      </c>
    </row>
    <row r="58" spans="5:16">
      <c r="E58" s="154">
        <f t="shared" si="11"/>
        <v>9.5380999999999994E-2</v>
      </c>
      <c r="I58" s="151">
        <f t="shared" si="12"/>
        <v>4.5017238095238089E-2</v>
      </c>
      <c r="N58" s="151">
        <f t="shared" si="13"/>
        <v>5.4325268318022396E-2</v>
      </c>
    </row>
    <row r="59" spans="5:16">
      <c r="E59" s="154">
        <f>E31*R31</f>
        <v>7.6342500000000008E-2</v>
      </c>
      <c r="I59" s="151">
        <f t="shared" si="12"/>
        <v>3.6832285714285706E-2</v>
      </c>
      <c r="N59" s="151">
        <f t="shared" si="13"/>
        <v>4.4447946805654691E-2</v>
      </c>
    </row>
    <row r="60" spans="5:16">
      <c r="E60" s="154">
        <f t="shared" si="11"/>
        <v>1.1421428571428571</v>
      </c>
      <c r="I60" s="151">
        <f t="shared" si="12"/>
        <v>0.23686611111111114</v>
      </c>
      <c r="N60" s="151">
        <f t="shared" si="13"/>
        <v>0.56239197073949976</v>
      </c>
    </row>
    <row r="61" spans="5:16">
      <c r="E61" s="154">
        <f t="shared" si="11"/>
        <v>1.0697142857142856</v>
      </c>
      <c r="I61" s="151">
        <f t="shared" si="12"/>
        <v>0.2310888888888889</v>
      </c>
      <c r="N61" s="151">
        <f t="shared" si="13"/>
        <v>0.54867509340439002</v>
      </c>
    </row>
    <row r="62" spans="5:16">
      <c r="E62" s="154">
        <f>E34*R34</f>
        <v>1.0212428571428571</v>
      </c>
      <c r="I62" s="151">
        <f t="shared" si="12"/>
        <v>0.22531166666666669</v>
      </c>
      <c r="N62" s="151">
        <f t="shared" si="13"/>
        <v>0.53495821606928029</v>
      </c>
    </row>
    <row r="63" spans="5:16">
      <c r="E63" s="154">
        <f t="shared" ref="E63:E64" si="14">E35*R35</f>
        <v>0.97388571428571435</v>
      </c>
      <c r="I63" s="151">
        <f t="shared" si="12"/>
        <v>0.21953444444444445</v>
      </c>
      <c r="N63" s="151">
        <f t="shared" si="13"/>
        <v>0.52124133873417056</v>
      </c>
    </row>
    <row r="64" spans="5:16">
      <c r="E64" s="154">
        <f t="shared" si="14"/>
        <v>0.92764285714285721</v>
      </c>
      <c r="I64" s="151">
        <f t="shared" si="12"/>
        <v>0.21375722222222224</v>
      </c>
      <c r="N64" s="151">
        <f t="shared" si="13"/>
        <v>0.50752446139906082</v>
      </c>
    </row>
    <row r="67" spans="4:17">
      <c r="P67" s="151">
        <v>4.1815216499054425E-3</v>
      </c>
    </row>
    <row r="68" spans="4:17">
      <c r="D68" s="154">
        <f>STDEV(E39:E64)</f>
        <v>0.3764283899512092</v>
      </c>
      <c r="E68" s="154">
        <f>SUM(E39:E64)</f>
        <v>7.9038124285714293</v>
      </c>
      <c r="H68" s="151">
        <f>STDEV(I39:I44)</f>
        <v>6.4835095847079666E-2</v>
      </c>
      <c r="I68" s="151">
        <f>SUM(I39:I64)</f>
        <v>2.6123672857142854</v>
      </c>
      <c r="J68" s="151">
        <f>I68*1000</f>
        <v>2612.3672857142856</v>
      </c>
      <c r="N68" s="151">
        <f>SUM(N39:N64)</f>
        <v>3.9337613573816079</v>
      </c>
      <c r="O68" s="151">
        <f>N68*1000</f>
        <v>3933.7613573816079</v>
      </c>
    </row>
    <row r="69" spans="4:17">
      <c r="P69" s="151">
        <f>AVERAGE(P40:P67)</f>
        <v>2.0395895724896504E-3</v>
      </c>
      <c r="Q69" s="148">
        <f>P69*1000</f>
        <v>2.0395895724896502</v>
      </c>
    </row>
    <row r="70" spans="4:17">
      <c r="F70" s="148">
        <f>E68*1000</f>
        <v>7903.8124285714293</v>
      </c>
      <c r="K70" s="151">
        <f>I68+N68</f>
        <v>6.5461286430958934</v>
      </c>
    </row>
    <row r="71" spans="4:17">
      <c r="M71" s="151">
        <f>E68-(I68+N68)</f>
        <v>1.3576837854755359</v>
      </c>
      <c r="N71" s="151">
        <f>M71/E68</f>
        <v>0.17177581043897949</v>
      </c>
      <c r="O71" s="151">
        <f>N71*100</f>
        <v>17.177581043897948</v>
      </c>
    </row>
    <row r="72" spans="4:17">
      <c r="O72" s="151">
        <f>100-O71</f>
        <v>82.822418956102055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A1:K28"/>
  <sheetViews>
    <sheetView workbookViewId="0">
      <selection activeCell="G29" sqref="G29"/>
    </sheetView>
  </sheetViews>
  <sheetFormatPr baseColWidth="10" defaultColWidth="12.5" defaultRowHeight="13" x14ac:dyDescent="0"/>
  <cols>
    <col min="1" max="1" width="14.6640625" style="148" bestFit="1" customWidth="1"/>
    <col min="2" max="3" width="12.5" style="148"/>
    <col min="4" max="4" width="14" style="148" bestFit="1" customWidth="1"/>
    <col min="5" max="5" width="15" style="148" bestFit="1" customWidth="1"/>
    <col min="6" max="6" width="14.5" style="148" customWidth="1"/>
    <col min="7" max="8" width="12.5" style="148"/>
    <col min="9" max="9" width="12.33203125" style="148" bestFit="1" customWidth="1"/>
    <col min="10" max="10" width="11.33203125" style="148" bestFit="1" customWidth="1"/>
    <col min="11" max="11" width="10.6640625" style="148" customWidth="1"/>
    <col min="12" max="16384" width="12.5" style="148"/>
  </cols>
  <sheetData>
    <row r="1" spans="1:11">
      <c r="A1" s="148" t="s">
        <v>172</v>
      </c>
    </row>
    <row r="2" spans="1:11">
      <c r="E2" s="215" t="s">
        <v>173</v>
      </c>
      <c r="F2" s="215"/>
      <c r="G2" s="215"/>
      <c r="I2" s="216" t="s">
        <v>174</v>
      </c>
      <c r="J2" s="216"/>
    </row>
    <row r="3" spans="1:11">
      <c r="E3" s="151" t="s">
        <v>175</v>
      </c>
      <c r="F3" s="151" t="s">
        <v>176</v>
      </c>
      <c r="G3" s="151" t="s">
        <v>177</v>
      </c>
      <c r="I3" s="215" t="s">
        <v>178</v>
      </c>
      <c r="J3" s="215"/>
    </row>
    <row r="4" spans="1:11">
      <c r="A4" s="151" t="s">
        <v>179</v>
      </c>
      <c r="B4" s="151" t="s">
        <v>180</v>
      </c>
      <c r="C4" s="151" t="s">
        <v>181</v>
      </c>
      <c r="D4" s="151" t="s">
        <v>182</v>
      </c>
      <c r="E4" s="151" t="s">
        <v>183</v>
      </c>
      <c r="F4" s="151" t="s">
        <v>184</v>
      </c>
      <c r="G4" s="151" t="s">
        <v>184</v>
      </c>
      <c r="I4" s="151" t="s">
        <v>185</v>
      </c>
      <c r="J4" s="151" t="s">
        <v>186</v>
      </c>
      <c r="K4" s="151" t="s">
        <v>187</v>
      </c>
    </row>
    <row r="5" spans="1:11" ht="14">
      <c r="A5" s="151">
        <v>3</v>
      </c>
      <c r="B5" s="189">
        <f>A5-1</f>
        <v>2</v>
      </c>
      <c r="C5" s="189">
        <f>B5*15*8.34</f>
        <v>250.2</v>
      </c>
      <c r="D5" s="189">
        <f>C5/0.01</f>
        <v>25020</v>
      </c>
      <c r="E5" s="190">
        <f>D5/800</f>
        <v>31.274999999999999</v>
      </c>
      <c r="F5" s="190">
        <f>D5/1000</f>
        <v>25.02</v>
      </c>
      <c r="G5" s="190">
        <f>D5/2000</f>
        <v>12.51</v>
      </c>
      <c r="I5" s="191">
        <f>D5*20/$C$14</f>
        <v>458529.86084550305</v>
      </c>
      <c r="J5" s="192">
        <f>I5/7.48</f>
        <v>61300.783535495058</v>
      </c>
      <c r="K5" s="193">
        <f>I5/$I$11</f>
        <v>58.381835127040581</v>
      </c>
    </row>
    <row r="6" spans="1:11" ht="14">
      <c r="A6" s="151">
        <v>8</v>
      </c>
      <c r="B6" s="151">
        <f t="shared" ref="B6:B8" si="0">A6-1</f>
        <v>7</v>
      </c>
      <c r="C6" s="151">
        <f t="shared" ref="C6:C8" si="1">B6*15*8.34</f>
        <v>875.69999999999993</v>
      </c>
      <c r="D6" s="151">
        <f t="shared" ref="D6:D8" si="2">C6/0.01</f>
        <v>87569.999999999985</v>
      </c>
      <c r="E6" s="190">
        <f t="shared" ref="E6:E8" si="3">D6/800</f>
        <v>109.46249999999998</v>
      </c>
      <c r="F6" s="190">
        <f t="shared" ref="F6:F8" si="4">D6/1000</f>
        <v>87.569999999999979</v>
      </c>
      <c r="G6" s="190">
        <f t="shared" ref="G6:G8" si="5">D6/2000</f>
        <v>43.784999999999989</v>
      </c>
      <c r="I6" s="191">
        <f t="shared" ref="I6:I8" si="6">D6*20/$C$14</f>
        <v>1604854.5129592603</v>
      </c>
      <c r="J6" s="194">
        <f t="shared" ref="J6:J8" si="7">I6/7.48</f>
        <v>214552.74237423265</v>
      </c>
      <c r="K6" s="193">
        <f t="shared" ref="K6:K8" si="8">I6/$I$11</f>
        <v>204.33642294464198</v>
      </c>
    </row>
    <row r="7" spans="1:11" ht="14">
      <c r="A7" s="151">
        <v>10</v>
      </c>
      <c r="B7" s="151">
        <f t="shared" si="0"/>
        <v>9</v>
      </c>
      <c r="C7" s="151">
        <f t="shared" si="1"/>
        <v>1125.9000000000001</v>
      </c>
      <c r="D7" s="151">
        <f t="shared" si="2"/>
        <v>112590</v>
      </c>
      <c r="E7" s="190">
        <f t="shared" si="3"/>
        <v>140.73750000000001</v>
      </c>
      <c r="F7" s="190">
        <f t="shared" si="4"/>
        <v>112.59</v>
      </c>
      <c r="G7" s="190">
        <f t="shared" si="5"/>
        <v>56.295000000000002</v>
      </c>
      <c r="I7" s="191">
        <f t="shared" si="6"/>
        <v>2063384.3738047637</v>
      </c>
      <c r="J7" s="194">
        <f t="shared" si="7"/>
        <v>275853.52590972773</v>
      </c>
      <c r="K7" s="193">
        <f t="shared" si="8"/>
        <v>262.71825807168261</v>
      </c>
    </row>
    <row r="8" spans="1:11" ht="14">
      <c r="A8" s="151">
        <v>14</v>
      </c>
      <c r="B8" s="151">
        <f t="shared" si="0"/>
        <v>13</v>
      </c>
      <c r="C8" s="151">
        <f t="shared" si="1"/>
        <v>1626.3</v>
      </c>
      <c r="D8" s="151">
        <f t="shared" si="2"/>
        <v>162630</v>
      </c>
      <c r="E8" s="190">
        <f t="shared" si="3"/>
        <v>203.28749999999999</v>
      </c>
      <c r="F8" s="190">
        <f t="shared" si="4"/>
        <v>162.63</v>
      </c>
      <c r="G8" s="190">
        <f t="shared" si="5"/>
        <v>81.314999999999998</v>
      </c>
      <c r="I8" s="191">
        <f t="shared" si="6"/>
        <v>2980444.0954957698</v>
      </c>
      <c r="J8" s="194">
        <f t="shared" si="7"/>
        <v>398455.09298071783</v>
      </c>
      <c r="K8" s="193">
        <f t="shared" si="8"/>
        <v>379.48192832576376</v>
      </c>
    </row>
    <row r="10" spans="1:11">
      <c r="H10" s="148" t="s">
        <v>188</v>
      </c>
      <c r="I10" s="148">
        <v>100</v>
      </c>
      <c r="J10" s="148" t="s">
        <v>189</v>
      </c>
    </row>
    <row r="11" spans="1:11">
      <c r="C11" s="148">
        <f>3.5/0.2</f>
        <v>17.5</v>
      </c>
      <c r="D11" s="148" t="s">
        <v>190</v>
      </c>
      <c r="G11" s="148" t="s">
        <v>191</v>
      </c>
      <c r="H11" s="148" t="s">
        <v>192</v>
      </c>
      <c r="I11" s="195">
        <f>PI()*I10^2/4</f>
        <v>7853.981633974483</v>
      </c>
      <c r="J11" s="148" t="s">
        <v>193</v>
      </c>
    </row>
    <row r="12" spans="1:11">
      <c r="C12" s="156">
        <f>C11/454</f>
        <v>3.8546255506607931E-2</v>
      </c>
      <c r="D12" s="148" t="s">
        <v>194</v>
      </c>
      <c r="G12" s="148" t="s">
        <v>195</v>
      </c>
    </row>
    <row r="13" spans="1:11">
      <c r="C13" s="156">
        <f>C12*3.785</f>
        <v>0.14589757709251103</v>
      </c>
      <c r="D13" s="148" t="s">
        <v>196</v>
      </c>
    </row>
    <row r="14" spans="1:11">
      <c r="B14" s="148" t="s">
        <v>197</v>
      </c>
      <c r="C14" s="196">
        <f>C13*7.48</f>
        <v>1.0913138766519825</v>
      </c>
      <c r="D14" s="148" t="s">
        <v>198</v>
      </c>
      <c r="E14" s="195"/>
    </row>
    <row r="15" spans="1:11">
      <c r="E15" s="195" t="s">
        <v>199</v>
      </c>
      <c r="F15" s="148" t="s">
        <v>200</v>
      </c>
      <c r="G15" s="148" t="s">
        <v>201</v>
      </c>
    </row>
    <row r="16" spans="1:11" ht="14">
      <c r="E16" s="191">
        <f>D5</f>
        <v>25020</v>
      </c>
      <c r="F16" s="197">
        <f>D5*0.72</f>
        <v>18014.399999999998</v>
      </c>
      <c r="G16" s="148" t="s">
        <v>202</v>
      </c>
      <c r="H16" s="148" t="s">
        <v>203</v>
      </c>
    </row>
    <row r="17" spans="5:11" ht="14">
      <c r="E17" s="197">
        <f>E16/C14</f>
        <v>22926.493042275149</v>
      </c>
      <c r="F17" s="197">
        <f>F16/0.04/62.04</f>
        <v>7259.1876208897474</v>
      </c>
      <c r="G17" s="148" t="s">
        <v>204</v>
      </c>
      <c r="H17" s="148" t="s">
        <v>205</v>
      </c>
    </row>
    <row r="18" spans="5:11">
      <c r="E18" s="198"/>
    </row>
    <row r="20" spans="5:11">
      <c r="E20" s="148" t="s">
        <v>206</v>
      </c>
      <c r="F20" s="199">
        <f>E16-F16</f>
        <v>7005.6000000000022</v>
      </c>
      <c r="G20" s="200" t="s">
        <v>207</v>
      </c>
    </row>
    <row r="21" spans="5:11">
      <c r="F21" s="199">
        <f>J23*F20</f>
        <v>44935.926362859318</v>
      </c>
      <c r="G21" s="200" t="s">
        <v>208</v>
      </c>
      <c r="H21" s="148" t="s">
        <v>209</v>
      </c>
      <c r="J21" s="148">
        <f>0.4</f>
        <v>0.4</v>
      </c>
      <c r="K21" s="148" t="s">
        <v>210</v>
      </c>
    </row>
    <row r="22" spans="5:11">
      <c r="F22" s="148">
        <v>1000</v>
      </c>
      <c r="G22" s="148" t="s">
        <v>211</v>
      </c>
      <c r="J22" s="148">
        <f>J21/3.785/7.48</f>
        <v>1.4128384631143198E-2</v>
      </c>
      <c r="K22" s="148" t="s">
        <v>212</v>
      </c>
    </row>
    <row r="23" spans="5:11">
      <c r="F23" s="199">
        <f>F21*F22</f>
        <v>44935926.362859316</v>
      </c>
      <c r="G23" s="200" t="s">
        <v>213</v>
      </c>
      <c r="J23" s="201">
        <f>J22*454</f>
        <v>6.4142866225390121</v>
      </c>
      <c r="K23" s="200" t="s">
        <v>214</v>
      </c>
    </row>
    <row r="24" spans="5:11">
      <c r="F24" s="193">
        <f>F23/24/60</f>
        <v>31205.504418652305</v>
      </c>
      <c r="G24" s="200" t="s">
        <v>215</v>
      </c>
    </row>
    <row r="25" spans="5:11">
      <c r="F25" s="148">
        <v>0.55000000000000004</v>
      </c>
      <c r="G25" s="200" t="s">
        <v>216</v>
      </c>
    </row>
    <row r="26" spans="5:11">
      <c r="I26" s="148" t="s">
        <v>217</v>
      </c>
    </row>
    <row r="27" spans="5:11">
      <c r="I27" s="148">
        <f>3.5*0.72</f>
        <v>2.52</v>
      </c>
      <c r="J27" s="148">
        <f>I27/0.2</f>
        <v>12.6</v>
      </c>
    </row>
    <row r="28" spans="5:11">
      <c r="E28" s="198"/>
      <c r="J28" s="148">
        <f>0.01/0.2</f>
        <v>4.9999999999999996E-2</v>
      </c>
      <c r="K28" s="148">
        <f>J28*1000</f>
        <v>49.999999999999993</v>
      </c>
    </row>
  </sheetData>
  <mergeCells count="3">
    <mergeCell ref="E2:G2"/>
    <mergeCell ref="I2:J2"/>
    <mergeCell ref="I3:J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tabSelected="1" topLeftCell="C3" workbookViewId="0">
      <selection activeCell="I20" sqref="I20"/>
    </sheetView>
  </sheetViews>
  <sheetFormatPr baseColWidth="10" defaultColWidth="12.5" defaultRowHeight="13" x14ac:dyDescent="0"/>
  <cols>
    <col min="1" max="16384" width="12.5" style="148"/>
  </cols>
  <sheetData>
    <row r="3" spans="1:11">
      <c r="D3" s="148">
        <v>0</v>
      </c>
      <c r="E3" s="148">
        <v>0</v>
      </c>
      <c r="G3" s="148" t="s">
        <v>218</v>
      </c>
      <c r="H3" s="148" t="s">
        <v>219</v>
      </c>
      <c r="I3" s="148" t="s">
        <v>220</v>
      </c>
      <c r="J3" s="148" t="s">
        <v>221</v>
      </c>
      <c r="K3" s="148" t="s">
        <v>222</v>
      </c>
    </row>
    <row r="4" spans="1:11">
      <c r="D4" s="148">
        <v>25</v>
      </c>
      <c r="E4" s="148">
        <v>2.3E-2</v>
      </c>
      <c r="G4" s="148">
        <v>7.1999999999999995E-2</v>
      </c>
      <c r="H4" s="148">
        <f>(G4-0.0019)/0.0008</f>
        <v>87.624999999999986</v>
      </c>
      <c r="I4" s="148">
        <f>(H4/1000)/100</f>
        <v>8.7624999999999986E-4</v>
      </c>
      <c r="J4" s="148">
        <f>I4/H6</f>
        <v>3.158795962509012E-3</v>
      </c>
      <c r="K4" s="156">
        <f>J4*100</f>
        <v>0.31587959625090117</v>
      </c>
    </row>
    <row r="5" spans="1:11">
      <c r="D5" s="148">
        <v>250</v>
      </c>
      <c r="E5" s="148">
        <v>0.2</v>
      </c>
      <c r="G5" s="148" t="s">
        <v>223</v>
      </c>
      <c r="H5" s="148" t="s">
        <v>224</v>
      </c>
    </row>
    <row r="6" spans="1:11">
      <c r="D6" s="148">
        <v>500</v>
      </c>
      <c r="E6" s="148">
        <v>0.39500000000000002</v>
      </c>
      <c r="G6" s="148">
        <v>138.69999999999999</v>
      </c>
      <c r="H6" s="148">
        <f>G6/500</f>
        <v>0.27739999999999998</v>
      </c>
    </row>
    <row r="8" spans="1:11">
      <c r="A8" s="202" t="s">
        <v>12</v>
      </c>
      <c r="B8" s="202" t="s">
        <v>225</v>
      </c>
      <c r="C8" s="202" t="s">
        <v>73</v>
      </c>
      <c r="D8" s="202" t="s">
        <v>218</v>
      </c>
      <c r="E8" s="202" t="s">
        <v>226</v>
      </c>
      <c r="F8" s="202" t="s">
        <v>227</v>
      </c>
      <c r="G8" s="202" t="s">
        <v>228</v>
      </c>
      <c r="H8" s="202" t="s">
        <v>229</v>
      </c>
    </row>
    <row r="9" spans="1:11">
      <c r="A9" s="203">
        <v>38854</v>
      </c>
      <c r="B9" s="202">
        <v>500</v>
      </c>
      <c r="C9" s="202">
        <v>138.69999999999999</v>
      </c>
      <c r="D9" s="202">
        <v>7.1999999999999995E-2</v>
      </c>
      <c r="E9" s="204">
        <f>(((((D9-0.0019)/0.0008)/1000)/100)/(C9/B9))*100</f>
        <v>0.31587959625090117</v>
      </c>
      <c r="F9" s="204">
        <f>E9-0.38</f>
        <v>-6.4120403749098831E-2</v>
      </c>
      <c r="G9" s="148">
        <f>F9/0.38</f>
        <v>-0.16873790460289165</v>
      </c>
    </row>
    <row r="10" spans="1:11">
      <c r="A10" s="203">
        <v>38848</v>
      </c>
      <c r="B10" s="202">
        <v>2500</v>
      </c>
      <c r="C10" s="202">
        <v>407.5</v>
      </c>
      <c r="D10" s="202">
        <v>8.7999999999999995E-2</v>
      </c>
      <c r="E10" s="204" t="s">
        <v>230</v>
      </c>
      <c r="F10" s="204"/>
    </row>
    <row r="11" spans="1:11">
      <c r="A11" s="203">
        <v>38862</v>
      </c>
      <c r="B11" s="202">
        <v>500</v>
      </c>
      <c r="C11" s="202">
        <v>186.6</v>
      </c>
      <c r="D11" s="202">
        <v>8.2000000000000003E-2</v>
      </c>
      <c r="E11" s="204">
        <f>(((((D11-0.0019)/0.0008)/1000)/100)/(C11/B11))*100</f>
        <v>0.26828778135048231</v>
      </c>
      <c r="F11" s="204">
        <f t="shared" ref="F11:F17" si="0">E11-0.38</f>
        <v>-0.11171221864951769</v>
      </c>
      <c r="G11" s="148">
        <f t="shared" ref="G11:G17" si="1">F11/0.38</f>
        <v>-0.29397952276188866</v>
      </c>
    </row>
    <row r="12" spans="1:11">
      <c r="A12" s="203">
        <v>38888</v>
      </c>
      <c r="B12" s="202">
        <v>50</v>
      </c>
      <c r="C12" s="202">
        <v>148.80000000000001</v>
      </c>
      <c r="D12" s="202" t="s">
        <v>231</v>
      </c>
      <c r="E12" s="204">
        <v>0.39500000000000002</v>
      </c>
      <c r="F12" s="204">
        <f t="shared" si="0"/>
        <v>1.5000000000000013E-2</v>
      </c>
      <c r="G12" s="148">
        <f t="shared" si="1"/>
        <v>3.9473684210526348E-2</v>
      </c>
    </row>
    <row r="13" spans="1:11">
      <c r="A13" s="203">
        <v>39021</v>
      </c>
      <c r="B13" s="202">
        <v>500</v>
      </c>
      <c r="C13" s="202">
        <v>197.7</v>
      </c>
      <c r="D13" s="202">
        <v>0.107</v>
      </c>
      <c r="E13" s="204">
        <f>(((((D13-0.0019)/0.0008)/1000)/100)/(C13/B13))*100</f>
        <v>0.33225847243297923</v>
      </c>
      <c r="F13" s="204">
        <f t="shared" si="0"/>
        <v>-4.7741527567020769E-2</v>
      </c>
      <c r="G13" s="148">
        <f t="shared" si="1"/>
        <v>-0.12563559886058098</v>
      </c>
    </row>
    <row r="14" spans="1:11">
      <c r="A14" s="203">
        <v>39021</v>
      </c>
      <c r="B14" s="202">
        <v>500</v>
      </c>
      <c r="C14" s="202">
        <f>(15.0277-14.8921)*1000</f>
        <v>135.60000000000016</v>
      </c>
      <c r="D14" s="202">
        <v>8.6999999999999994E-2</v>
      </c>
      <c r="E14" s="204">
        <f>(((((D14-0.0019)/0.0008)/1000)/100)/(C14/B14))*100</f>
        <v>0.39223820058996994</v>
      </c>
      <c r="F14" s="204">
        <f t="shared" si="0"/>
        <v>1.2238200589969939E-2</v>
      </c>
      <c r="G14" s="148">
        <f t="shared" si="1"/>
        <v>3.2205791026236677E-2</v>
      </c>
    </row>
    <row r="15" spans="1:11">
      <c r="A15" s="203">
        <v>39021</v>
      </c>
      <c r="B15" s="202">
        <v>500</v>
      </c>
      <c r="C15" s="202">
        <f>(16.0388-15.935)*1000</f>
        <v>103.79999999999789</v>
      </c>
      <c r="D15" s="202">
        <v>6.9000000000000006E-2</v>
      </c>
      <c r="E15" s="204">
        <f>(((((D15-0.0019)/0.0008)/1000)/100)/(C15/B15))*100</f>
        <v>0.40402215799615465</v>
      </c>
      <c r="F15" s="204">
        <f t="shared" si="0"/>
        <v>2.4022157996154647E-2</v>
      </c>
      <c r="G15" s="148">
        <f t="shared" si="1"/>
        <v>6.3216205253038546E-2</v>
      </c>
    </row>
    <row r="16" spans="1:11">
      <c r="A16" s="203">
        <v>39021</v>
      </c>
      <c r="B16" s="202">
        <v>500</v>
      </c>
      <c r="C16" s="202">
        <f>(15.0277-14.8921)*1000</f>
        <v>135.60000000000016</v>
      </c>
      <c r="D16" s="202" t="s">
        <v>231</v>
      </c>
      <c r="E16" s="204">
        <v>0.35</v>
      </c>
      <c r="F16" s="204">
        <f t="shared" si="0"/>
        <v>-3.0000000000000027E-2</v>
      </c>
      <c r="G16" s="148">
        <f t="shared" si="1"/>
        <v>-7.8947368421052697E-2</v>
      </c>
    </row>
    <row r="17" spans="1:7">
      <c r="A17" s="203">
        <v>39021</v>
      </c>
      <c r="B17" s="202">
        <v>500</v>
      </c>
      <c r="C17" s="202">
        <f>(16.0388-15.935)*1000</f>
        <v>103.79999999999789</v>
      </c>
      <c r="D17" s="202" t="s">
        <v>231</v>
      </c>
      <c r="E17" s="204">
        <v>0.37</v>
      </c>
      <c r="F17" s="204">
        <f t="shared" si="0"/>
        <v>-1.0000000000000009E-2</v>
      </c>
      <c r="G17" s="148">
        <f t="shared" si="1"/>
        <v>-2.6315789473684233E-2</v>
      </c>
    </row>
  </sheetData>
  <pageMargins left="0.75" right="0.75" top="1" bottom="1" header="0.5" footer="0.5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TS</vt:lpstr>
      <vt:lpstr>VS</vt:lpstr>
      <vt:lpstr>gas</vt:lpstr>
      <vt:lpstr>MassBVs (R1)</vt:lpstr>
      <vt:lpstr>MassBVs (R2)</vt:lpstr>
      <vt:lpstr>Moisture</vt:lpstr>
      <vt:lpstr>VSSDRY</vt:lpstr>
      <vt:lpstr>Mass-P,R1</vt:lpstr>
      <vt:lpstr>MassB-P,R2</vt:lpstr>
      <vt:lpstr>sizing</vt:lpstr>
      <vt:lpstr>petiole</vt:lpstr>
    </vt:vector>
  </TitlesOfParts>
  <Company>Utah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Ryan Dupont</dc:creator>
  <cp:lastModifiedBy>Heather Leary</cp:lastModifiedBy>
  <cp:lastPrinted>2011-03-08T19:45:42Z</cp:lastPrinted>
  <dcterms:created xsi:type="dcterms:W3CDTF">2009-10-12T21:36:58Z</dcterms:created>
  <dcterms:modified xsi:type="dcterms:W3CDTF">2011-04-11T20:06:09Z</dcterms:modified>
</cp:coreProperties>
</file>