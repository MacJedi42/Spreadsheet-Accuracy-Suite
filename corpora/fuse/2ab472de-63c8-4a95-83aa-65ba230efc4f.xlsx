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heckCompatibility="1" defaultThemeVersion="124226"/>
  <bookViews>
    <workbookView xWindow="600" yWindow="570" windowWidth="23295" windowHeight="13230"/>
  </bookViews>
  <sheets>
    <sheet name="Table" sheetId="1" r:id="rId1"/>
    <sheet name="3-hr" sheetId="3" r:id="rId2"/>
    <sheet name="6-hr" sheetId="5" r:id="rId3"/>
    <sheet name="9-hr" sheetId="6" r:id="rId4"/>
    <sheet name="12-hr" sheetId="7" r:id="rId5"/>
    <sheet name="24-hr" sheetId="8" r:id="rId6"/>
    <sheet name="36-hr" sheetId="9" r:id="rId7"/>
    <sheet name="48-hr" sheetId="10" r:id="rId8"/>
    <sheet name="96-hr" sheetId="11" r:id="rId9"/>
  </sheets>
  <definedNames>
    <definedName name="_ftn1" localSheetId="0">Table!$A$103</definedName>
    <definedName name="_ftnref1" localSheetId="0">Table!$F$3</definedName>
    <definedName name="_xlnm.Print_Area" localSheetId="0">Table!$A$1:$R$97</definedName>
  </definedNames>
  <calcPr calcId="125725"/>
</workbook>
</file>

<file path=xl/calcChain.xml><?xml version="1.0" encoding="utf-8"?>
<calcChain xmlns="http://schemas.openxmlformats.org/spreadsheetml/2006/main">
  <c r="P7" i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P36" s="1"/>
  <c r="P37" s="1"/>
  <c r="P38" s="1"/>
  <c r="P39" s="1"/>
  <c r="P40" s="1"/>
  <c r="P41" s="1"/>
  <c r="P42" s="1"/>
  <c r="P43" s="1"/>
  <c r="P44" s="1"/>
  <c r="P45" s="1"/>
  <c r="P46" s="1"/>
  <c r="P47" s="1"/>
  <c r="P48" s="1"/>
  <c r="P49" s="1"/>
  <c r="P50" s="1"/>
  <c r="P51" s="1"/>
  <c r="P52" s="1"/>
  <c r="P53" s="1"/>
  <c r="N7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L7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L35" s="1"/>
  <c r="L36" s="1"/>
  <c r="L37" s="1"/>
  <c r="L38" s="1"/>
  <c r="L39" s="1"/>
  <c r="L40" s="1"/>
  <c r="L41" s="1"/>
  <c r="L42" s="1"/>
  <c r="L43" s="1"/>
  <c r="L44" s="1"/>
  <c r="L45" s="1"/>
  <c r="L46" s="1"/>
  <c r="L47" s="1"/>
  <c r="L48" s="1"/>
  <c r="L49" s="1"/>
  <c r="L50" s="1"/>
  <c r="L51" s="1"/>
  <c r="L52" s="1"/>
  <c r="L53" s="1"/>
  <c r="L54" s="1"/>
  <c r="L55" s="1"/>
  <c r="L56" s="1"/>
  <c r="L57" s="1"/>
  <c r="L58" s="1"/>
  <c r="L59" s="1"/>
  <c r="L60" s="1"/>
  <c r="L61" s="1"/>
  <c r="L62" s="1"/>
  <c r="L63" s="1"/>
  <c r="L64" s="1"/>
  <c r="L65" s="1"/>
  <c r="L66" s="1"/>
  <c r="L67" s="1"/>
  <c r="L68" s="1"/>
  <c r="L69" s="1"/>
  <c r="L70" s="1"/>
  <c r="L71" s="1"/>
  <c r="L72" s="1"/>
  <c r="L73" s="1"/>
  <c r="L74" s="1"/>
  <c r="L75" s="1"/>
  <c r="L76" s="1"/>
  <c r="L77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F36" s="1"/>
  <c r="F37" s="1"/>
  <c r="F38" s="1"/>
  <c r="F39" s="1"/>
  <c r="F40" s="1"/>
  <c r="F41" s="1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D7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B7"/>
  <c r="B8" s="1"/>
  <c r="B9" s="1"/>
  <c r="B10" s="1"/>
  <c r="B11" s="1"/>
  <c r="B12" s="1"/>
  <c r="B13" s="1"/>
  <c r="B14" s="1"/>
  <c r="B15" s="1"/>
  <c r="B16" s="1"/>
  <c r="B17" s="1"/>
</calcChain>
</file>

<file path=xl/sharedStrings.xml><?xml version="1.0" encoding="utf-8"?>
<sst xmlns="http://schemas.openxmlformats.org/spreadsheetml/2006/main" count="43" uniqueCount="18">
  <si>
    <t>DURATION</t>
  </si>
  <si>
    <t>3-HR</t>
  </si>
  <si>
    <t>6-HR</t>
  </si>
  <si>
    <t>12-HR</t>
  </si>
  <si>
    <t>24-HR</t>
  </si>
  <si>
    <t>96-HR</t>
  </si>
  <si>
    <t>INTERVAL</t>
  </si>
  <si>
    <t xml:space="preserve"> </t>
  </si>
  <si>
    <t>Time (hr)</t>
  </si>
  <si>
    <t>CONTRA COSTA COUNTY FLOOD CONTROL AND WATER CONSERVATION DISTRICT
RAINFALL DISTRIBUTION COEFFICIENTS FOR VARIOUS DESIGN STORMS</t>
  </si>
  <si>
    <t>% of Total</t>
  </si>
  <si>
    <r>
      <t xml:space="preserve">36-HR </t>
    </r>
    <r>
      <rPr>
        <b/>
        <vertAlign val="superscript"/>
        <sz val="12"/>
        <rFont val="Arial"/>
        <family val="2"/>
      </rPr>
      <t>1</t>
    </r>
  </si>
  <si>
    <r>
      <t xml:space="preserve">48-HR </t>
    </r>
    <r>
      <rPr>
        <b/>
        <vertAlign val="superscript"/>
        <sz val="12"/>
        <rFont val="Arial"/>
        <family val="2"/>
      </rPr>
      <t>1</t>
    </r>
  </si>
  <si>
    <r>
      <t xml:space="preserve">9-HR </t>
    </r>
    <r>
      <rPr>
        <b/>
        <vertAlign val="superscript"/>
        <sz val="12"/>
        <rFont val="Arial"/>
        <family val="2"/>
      </rPr>
      <t>1</t>
    </r>
  </si>
  <si>
    <r>
      <rPr>
        <u/>
        <vertAlign val="superscript"/>
        <sz val="11"/>
        <color theme="10"/>
        <rFont val="Arial"/>
        <family val="2"/>
      </rPr>
      <t xml:space="preserve">1 </t>
    </r>
    <r>
      <rPr>
        <u/>
        <sz val="11"/>
        <color theme="10"/>
        <rFont val="Arial"/>
        <family val="2"/>
      </rPr>
      <t>The rainfall distribution information for the 9-, 36- and 48-hour events is preliminary should not used for design and analysis unless specifically discussed with the FC District Hydrology Section.</t>
    </r>
  </si>
  <si>
    <t>15 minutes</t>
  </si>
  <si>
    <t>30 minutes</t>
  </si>
  <si>
    <t>2 hours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</si>
</sst>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u/>
      <sz val="10"/>
      <color theme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u/>
      <sz val="11"/>
      <color theme="10"/>
      <name val="Arial"/>
      <family val="2"/>
    </font>
    <font>
      <u/>
      <vertAlign val="superscript"/>
      <sz val="11"/>
      <color theme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4" fillId="0" borderId="15" xfId="0" applyFont="1" applyBorder="1" applyAlignment="1">
      <alignment horizontal="center" vertical="top"/>
    </xf>
    <xf numFmtId="0" fontId="4" fillId="0" borderId="0" xfId="0" applyFont="1" applyFill="1"/>
    <xf numFmtId="0" fontId="4" fillId="0" borderId="0" xfId="0" applyFont="1" applyAlignment="1">
      <alignment horizontal="left" vertical="top"/>
    </xf>
    <xf numFmtId="164" fontId="5" fillId="0" borderId="10" xfId="0" applyNumberFormat="1" applyFont="1" applyBorder="1" applyAlignment="1">
      <alignment horizontal="right" indent="1"/>
    </xf>
    <xf numFmtId="164" fontId="5" fillId="0" borderId="12" xfId="0" applyNumberFormat="1" applyFont="1" applyBorder="1" applyAlignment="1">
      <alignment horizontal="right" indent="1"/>
    </xf>
    <xf numFmtId="164" fontId="5" fillId="2" borderId="12" xfId="0" applyNumberFormat="1" applyFont="1" applyFill="1" applyBorder="1" applyAlignment="1">
      <alignment horizontal="right" indent="1"/>
    </xf>
    <xf numFmtId="164" fontId="5" fillId="2" borderId="14" xfId="0" applyNumberFormat="1" applyFont="1" applyFill="1" applyBorder="1" applyAlignment="1">
      <alignment horizontal="right" indent="1"/>
    </xf>
    <xf numFmtId="0" fontId="4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1" applyFont="1" applyAlignment="1" applyProtection="1">
      <alignment horizontal="left" vertical="top" wrapText="1"/>
    </xf>
    <xf numFmtId="0" fontId="10" fillId="0" borderId="0" xfId="1" applyFont="1" applyAlignment="1" applyProtection="1">
      <alignment vertical="top" wrapText="1"/>
    </xf>
    <xf numFmtId="2" fontId="12" fillId="0" borderId="9" xfId="0" applyNumberFormat="1" applyFont="1" applyBorder="1" applyAlignment="1">
      <alignment horizontal="right" indent="1"/>
    </xf>
    <xf numFmtId="2" fontId="12" fillId="0" borderId="11" xfId="0" applyNumberFormat="1" applyFont="1" applyBorder="1" applyAlignment="1">
      <alignment horizontal="right" indent="1"/>
    </xf>
    <xf numFmtId="2" fontId="12" fillId="2" borderId="11" xfId="0" applyNumberFormat="1" applyFont="1" applyFill="1" applyBorder="1" applyAlignment="1">
      <alignment horizontal="right" indent="1"/>
    </xf>
    <xf numFmtId="164" fontId="12" fillId="0" borderId="11" xfId="0" applyNumberFormat="1" applyFont="1" applyBorder="1" applyAlignment="1">
      <alignment horizontal="right" indent="1"/>
    </xf>
    <xf numFmtId="164" fontId="12" fillId="2" borderId="11" xfId="0" applyNumberFormat="1" applyFont="1" applyFill="1" applyBorder="1" applyAlignment="1">
      <alignment horizontal="right" indent="1"/>
    </xf>
    <xf numFmtId="164" fontId="12" fillId="0" borderId="11" xfId="0" applyNumberFormat="1" applyFont="1" applyFill="1" applyBorder="1" applyAlignment="1">
      <alignment horizontal="right" indent="1"/>
    </xf>
    <xf numFmtId="164" fontId="13" fillId="0" borderId="11" xfId="0" applyNumberFormat="1" applyFont="1" applyBorder="1" applyAlignment="1">
      <alignment horizontal="right" indent="1"/>
    </xf>
    <xf numFmtId="164" fontId="13" fillId="2" borderId="11" xfId="0" applyNumberFormat="1" applyFont="1" applyFill="1" applyBorder="1" applyAlignment="1">
      <alignment horizontal="right" indent="1"/>
    </xf>
    <xf numFmtId="164" fontId="13" fillId="2" borderId="13" xfId="0" applyNumberFormat="1" applyFont="1" applyFill="1" applyBorder="1" applyAlignment="1">
      <alignment horizontal="right" indent="1"/>
    </xf>
    <xf numFmtId="164" fontId="12" fillId="0" borderId="9" xfId="0" applyNumberFormat="1" applyFont="1" applyBorder="1" applyAlignment="1">
      <alignment horizontal="right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3-Hour</a:t>
            </a:r>
            <a:r>
              <a:rPr lang="en-US" baseline="0"/>
              <a:t> Rainfall Distribution Curve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Table!$C$3:$C$5</c:f>
              <c:strCache>
                <c:ptCount val="1"/>
                <c:pt idx="0">
                  <c:v>3-HR 15 minutes % of Total</c:v>
                </c:pt>
              </c:strCache>
            </c:strRef>
          </c:tx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numRef>
              <c:f>Table!$B$6:$B$17</c:f>
              <c:numCache>
                <c:formatCode>0.00</c:formatCode>
                <c:ptCount val="12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</c:numCache>
            </c:numRef>
          </c:cat>
          <c:val>
            <c:numRef>
              <c:f>Table!$C$6:$C$17</c:f>
              <c:numCache>
                <c:formatCode>0.0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2.8</c:v>
                </c:pt>
                <c:pt idx="4">
                  <c:v>8.8000000000000007</c:v>
                </c:pt>
                <c:pt idx="5">
                  <c:v>10.199999999999999</c:v>
                </c:pt>
                <c:pt idx="6">
                  <c:v>5.5</c:v>
                </c:pt>
                <c:pt idx="7">
                  <c:v>7</c:v>
                </c:pt>
                <c:pt idx="8">
                  <c:v>10.5</c:v>
                </c:pt>
                <c:pt idx="9">
                  <c:v>11</c:v>
                </c:pt>
                <c:pt idx="10">
                  <c:v>27.7</c:v>
                </c:pt>
                <c:pt idx="11">
                  <c:v>6.5</c:v>
                </c:pt>
              </c:numCache>
            </c:numRef>
          </c:val>
        </c:ser>
        <c:gapWidth val="20"/>
        <c:axId val="212629376"/>
        <c:axId val="212633856"/>
      </c:barChart>
      <c:catAx>
        <c:axId val="212629376"/>
        <c:scaling>
          <c:orientation val="minMax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layout/>
        </c:title>
        <c:numFmt formatCode="0.00" sourceLinked="1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633856"/>
        <c:crosses val="autoZero"/>
        <c:auto val="1"/>
        <c:lblAlgn val="ctr"/>
        <c:lblOffset val="100"/>
      </c:catAx>
      <c:valAx>
        <c:axId val="212633856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 b="1" i="0" baseline="0"/>
                  <a:t>Percent Total Storm Rainfall</a:t>
                </a:r>
              </a:p>
            </c:rich>
          </c:tx>
          <c:layout/>
        </c:title>
        <c:numFmt formatCode="0.0" sourceLinked="1"/>
        <c:tickLblPos val="nextTo"/>
        <c:crossAx val="212629376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6-Hour Rainfall Distribution Curve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Table!$E$3</c:f>
              <c:strCache>
                <c:ptCount val="1"/>
              </c:strCache>
            </c:strRef>
          </c:tx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numRef>
              <c:f>Table!$D$6:$D$29</c:f>
              <c:numCache>
                <c:formatCode>0.00</c:formatCode>
                <c:ptCount val="2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</c:numCache>
            </c:numRef>
          </c:cat>
          <c:val>
            <c:numRef>
              <c:f>Table!$E$6:$E$29</c:f>
              <c:numCache>
                <c:formatCode>0.0</c:formatCode>
                <c:ptCount val="24"/>
                <c:pt idx="0">
                  <c:v>2.1</c:v>
                </c:pt>
                <c:pt idx="1">
                  <c:v>2.5</c:v>
                </c:pt>
                <c:pt idx="2">
                  <c:v>3.8</c:v>
                </c:pt>
                <c:pt idx="3">
                  <c:v>4.5</c:v>
                </c:pt>
                <c:pt idx="4">
                  <c:v>6</c:v>
                </c:pt>
                <c:pt idx="5">
                  <c:v>3</c:v>
                </c:pt>
                <c:pt idx="6">
                  <c:v>2.2999999999999998</c:v>
                </c:pt>
                <c:pt idx="7">
                  <c:v>2.5</c:v>
                </c:pt>
                <c:pt idx="8">
                  <c:v>4.8</c:v>
                </c:pt>
                <c:pt idx="9">
                  <c:v>4.3</c:v>
                </c:pt>
                <c:pt idx="10">
                  <c:v>2.6</c:v>
                </c:pt>
                <c:pt idx="11">
                  <c:v>2.5</c:v>
                </c:pt>
                <c:pt idx="12">
                  <c:v>2.2000000000000002</c:v>
                </c:pt>
                <c:pt idx="13">
                  <c:v>2.5</c:v>
                </c:pt>
                <c:pt idx="14">
                  <c:v>5</c:v>
                </c:pt>
                <c:pt idx="15">
                  <c:v>7.9</c:v>
                </c:pt>
                <c:pt idx="16">
                  <c:v>19</c:v>
                </c:pt>
                <c:pt idx="17">
                  <c:v>6.3</c:v>
                </c:pt>
                <c:pt idx="18">
                  <c:v>4</c:v>
                </c:pt>
                <c:pt idx="19">
                  <c:v>3</c:v>
                </c:pt>
                <c:pt idx="20">
                  <c:v>2.5</c:v>
                </c:pt>
                <c:pt idx="21">
                  <c:v>2.4</c:v>
                </c:pt>
                <c:pt idx="22">
                  <c:v>2.2000000000000002</c:v>
                </c:pt>
                <c:pt idx="23">
                  <c:v>2.1</c:v>
                </c:pt>
              </c:numCache>
            </c:numRef>
          </c:val>
        </c:ser>
        <c:gapWidth val="20"/>
        <c:axId val="100431744"/>
        <c:axId val="230031360"/>
      </c:barChart>
      <c:catAx>
        <c:axId val="100431744"/>
        <c:scaling>
          <c:orientation val="minMax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Hours</a:t>
                </a:r>
                <a:endParaRPr lang="en-US"/>
              </a:p>
            </c:rich>
          </c:tx>
          <c:layout/>
        </c:title>
        <c:numFmt formatCode="0.00" sourceLinked="1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0031360"/>
        <c:crosses val="autoZero"/>
        <c:auto val="1"/>
        <c:lblAlgn val="ctr"/>
        <c:lblOffset val="100"/>
      </c:catAx>
      <c:valAx>
        <c:axId val="230031360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 b="1"/>
                </a:pPr>
                <a:r>
                  <a:rPr lang="en-US" sz="1200" b="1" i="0" baseline="0"/>
                  <a:t>Percent Total Storm Rainfall</a:t>
                </a:r>
              </a:p>
            </c:rich>
          </c:tx>
          <c:layout/>
        </c:title>
        <c:numFmt formatCode="0.0" sourceLinked="1"/>
        <c:tickLblPos val="nextTo"/>
        <c:crossAx val="100431744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9-Hour Rainfall Distribution Curve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Table!$G$3</c:f>
              <c:strCache>
                <c:ptCount val="1"/>
              </c:strCache>
            </c:strRef>
          </c:tx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numRef>
              <c:f>Table!$F$6:$F$36</c:f>
              <c:numCache>
                <c:formatCode>0.00</c:formatCode>
                <c:ptCount val="31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 formatCode="0.0">
                  <c:v>3.25</c:v>
                </c:pt>
                <c:pt idx="13" formatCode="0.0">
                  <c:v>3.5</c:v>
                </c:pt>
                <c:pt idx="14" formatCode="0.0">
                  <c:v>3.75</c:v>
                </c:pt>
                <c:pt idx="15" formatCode="0.0">
                  <c:v>4</c:v>
                </c:pt>
                <c:pt idx="16" formatCode="0.0">
                  <c:v>4.25</c:v>
                </c:pt>
                <c:pt idx="17" formatCode="0.0">
                  <c:v>4.5</c:v>
                </c:pt>
                <c:pt idx="18" formatCode="0.0">
                  <c:v>4.75</c:v>
                </c:pt>
                <c:pt idx="19" formatCode="0.0">
                  <c:v>5</c:v>
                </c:pt>
                <c:pt idx="20" formatCode="0.0">
                  <c:v>5.25</c:v>
                </c:pt>
                <c:pt idx="21" formatCode="0.0">
                  <c:v>5.5</c:v>
                </c:pt>
                <c:pt idx="22" formatCode="0.0">
                  <c:v>5.75</c:v>
                </c:pt>
                <c:pt idx="23" formatCode="0.0">
                  <c:v>6</c:v>
                </c:pt>
                <c:pt idx="24" formatCode="0.0">
                  <c:v>6.25</c:v>
                </c:pt>
                <c:pt idx="25" formatCode="0.0">
                  <c:v>6.5</c:v>
                </c:pt>
                <c:pt idx="26" formatCode="0.0">
                  <c:v>6.75</c:v>
                </c:pt>
                <c:pt idx="27" formatCode="0.0">
                  <c:v>7</c:v>
                </c:pt>
                <c:pt idx="28" formatCode="0.0">
                  <c:v>7.25</c:v>
                </c:pt>
                <c:pt idx="29" formatCode="0.0">
                  <c:v>7.5</c:v>
                </c:pt>
                <c:pt idx="30" formatCode="0.0">
                  <c:v>7.75</c:v>
                </c:pt>
              </c:numCache>
            </c:numRef>
          </c:cat>
          <c:val>
            <c:numRef>
              <c:f>Table!$G$6:$G$36</c:f>
              <c:numCache>
                <c:formatCode>0.0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7</c:v>
                </c:pt>
                <c:pt idx="27">
                  <c:v>6</c:v>
                </c:pt>
                <c:pt idx="28">
                  <c:v>5</c:v>
                </c:pt>
                <c:pt idx="29">
                  <c:v>4</c:v>
                </c:pt>
                <c:pt idx="30">
                  <c:v>3</c:v>
                </c:pt>
              </c:numCache>
            </c:numRef>
          </c:val>
        </c:ser>
        <c:gapWidth val="20"/>
        <c:axId val="228810752"/>
        <c:axId val="228813440"/>
      </c:barChart>
      <c:catAx>
        <c:axId val="228810752"/>
        <c:scaling>
          <c:orientation val="minMax"/>
        </c:scaling>
        <c:axPos val="t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Hours</a:t>
                </a:r>
                <a:endParaRPr lang="en-US"/>
              </a:p>
            </c:rich>
          </c:tx>
          <c:layout/>
        </c:title>
        <c:numFmt formatCode="0.00" sourceLinked="1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28813440"/>
        <c:crosses val="autoZero"/>
        <c:auto val="1"/>
        <c:lblAlgn val="ctr"/>
        <c:lblOffset val="100"/>
      </c:catAx>
      <c:valAx>
        <c:axId val="228813440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 b="1" i="0" baseline="0"/>
                  <a:t>Percent Total Storm Rainfall</a:t>
                </a:r>
              </a:p>
            </c:rich>
          </c:tx>
          <c:layout/>
        </c:title>
        <c:numFmt formatCode="0.0" sourceLinked="1"/>
        <c:tickLblPos val="nextTo"/>
        <c:crossAx val="228810752"/>
        <c:crosses val="autoZero"/>
        <c:crossBetween val="between"/>
      </c:valAx>
    </c:plotArea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12-Hour Rainfall Distribution Curve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Table!$I$3:$I$5</c:f>
              <c:strCache>
                <c:ptCount val="1"/>
                <c:pt idx="0">
                  <c:v>12-HR 15 minutes % of Total</c:v>
                </c:pt>
              </c:strCache>
            </c:strRef>
          </c:tx>
          <c:dLbls>
            <c:txPr>
              <a:bodyPr rot="-5400000" vert="horz"/>
              <a:lstStyle/>
              <a:p>
                <a:pPr>
                  <a:defRPr sz="900"/>
                </a:pPr>
                <a:endParaRPr lang="en-US"/>
              </a:p>
            </c:txPr>
            <c:showVal val="1"/>
          </c:dLbls>
          <c:cat>
            <c:numRef>
              <c:f>Table!$H$6:$H$53</c:f>
              <c:numCache>
                <c:formatCode>0.00</c:formatCode>
                <c:ptCount val="4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</c:numCache>
            </c:numRef>
          </c:cat>
          <c:val>
            <c:numRef>
              <c:f>Table!$I$6:$I$53</c:f>
              <c:numCache>
                <c:formatCode>0.0</c:formatCode>
                <c:ptCount val="48"/>
                <c:pt idx="0">
                  <c:v>0.9</c:v>
                </c:pt>
                <c:pt idx="1">
                  <c:v>0.9</c:v>
                </c:pt>
                <c:pt idx="2">
                  <c:v>1</c:v>
                </c:pt>
                <c:pt idx="3">
                  <c:v>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1.3</c:v>
                </c:pt>
                <c:pt idx="11">
                  <c:v>1.5</c:v>
                </c:pt>
                <c:pt idx="12">
                  <c:v>1.6</c:v>
                </c:pt>
                <c:pt idx="13">
                  <c:v>1.6</c:v>
                </c:pt>
                <c:pt idx="14">
                  <c:v>1.7</c:v>
                </c:pt>
                <c:pt idx="15">
                  <c:v>1.7</c:v>
                </c:pt>
                <c:pt idx="16">
                  <c:v>1.9</c:v>
                </c:pt>
                <c:pt idx="17">
                  <c:v>2</c:v>
                </c:pt>
                <c:pt idx="18">
                  <c:v>2.2999999999999998</c:v>
                </c:pt>
                <c:pt idx="19">
                  <c:v>3</c:v>
                </c:pt>
                <c:pt idx="20">
                  <c:v>3.2</c:v>
                </c:pt>
                <c:pt idx="21">
                  <c:v>4.0999999999999996</c:v>
                </c:pt>
                <c:pt idx="22">
                  <c:v>4.9000000000000004</c:v>
                </c:pt>
                <c:pt idx="23">
                  <c:v>14.6</c:v>
                </c:pt>
                <c:pt idx="24">
                  <c:v>6.1</c:v>
                </c:pt>
                <c:pt idx="25">
                  <c:v>3.6</c:v>
                </c:pt>
                <c:pt idx="26">
                  <c:v>3.1</c:v>
                </c:pt>
                <c:pt idx="27">
                  <c:v>2.8</c:v>
                </c:pt>
                <c:pt idx="28">
                  <c:v>2.6</c:v>
                </c:pt>
                <c:pt idx="29">
                  <c:v>2.1</c:v>
                </c:pt>
                <c:pt idx="30">
                  <c:v>2</c:v>
                </c:pt>
                <c:pt idx="31">
                  <c:v>1.8</c:v>
                </c:pt>
                <c:pt idx="32">
                  <c:v>1.7</c:v>
                </c:pt>
                <c:pt idx="33">
                  <c:v>1.7</c:v>
                </c:pt>
                <c:pt idx="34">
                  <c:v>1.6</c:v>
                </c:pt>
                <c:pt idx="35">
                  <c:v>1.6</c:v>
                </c:pt>
                <c:pt idx="36">
                  <c:v>1.3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</c:v>
                </c:pt>
                <c:pt idx="45">
                  <c:v>1</c:v>
                </c:pt>
                <c:pt idx="46">
                  <c:v>0.9</c:v>
                </c:pt>
                <c:pt idx="47">
                  <c:v>0.9</c:v>
                </c:pt>
              </c:numCache>
            </c:numRef>
          </c:val>
        </c:ser>
        <c:gapWidth val="20"/>
        <c:axId val="196470272"/>
        <c:axId val="67282048"/>
      </c:barChart>
      <c:catAx>
        <c:axId val="196470272"/>
        <c:scaling>
          <c:orientation val="minMax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Hours</a:t>
                </a:r>
                <a:endParaRPr lang="en-US"/>
              </a:p>
            </c:rich>
          </c:tx>
          <c:layout/>
        </c:title>
        <c:numFmt formatCode="0.00" sourceLinked="1"/>
        <c:tickLblPos val="nextTo"/>
        <c:crossAx val="67282048"/>
        <c:crosses val="autoZero"/>
        <c:auto val="1"/>
        <c:lblAlgn val="ctr"/>
        <c:lblOffset val="100"/>
      </c:catAx>
      <c:valAx>
        <c:axId val="67282048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 b="1" i="0" baseline="0"/>
                  <a:t>Percent Total Storm Rainfall</a:t>
                </a:r>
              </a:p>
            </c:rich>
          </c:tx>
          <c:layout/>
        </c:title>
        <c:numFmt formatCode="0.0" sourceLinked="1"/>
        <c:tickLblPos val="nextTo"/>
        <c:crossAx val="196470272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24-Hour Rainfall Distribution Curve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Table!$K$3:$K$5</c:f>
              <c:strCache>
                <c:ptCount val="1"/>
                <c:pt idx="0">
                  <c:v>24-HR 30 minutes % of Total</c:v>
                </c:pt>
              </c:strCache>
            </c:strRef>
          </c:tx>
          <c:dLbls>
            <c:numFmt formatCode="#,##0.00" sourceLinked="0"/>
            <c:txPr>
              <a:bodyPr rot="-5400000" vert="horz"/>
              <a:lstStyle/>
              <a:p>
                <a:pPr>
                  <a:defRPr sz="800"/>
                </a:pPr>
                <a:endParaRPr lang="en-US"/>
              </a:p>
            </c:txPr>
            <c:showVal val="1"/>
          </c:dLbls>
          <c:cat>
            <c:numRef>
              <c:f>Table!$J$6:$J$53</c:f>
              <c:numCache>
                <c:formatCode>0.0</c:formatCode>
                <c:ptCount val="4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</c:numCache>
            </c:numRef>
          </c:cat>
          <c:val>
            <c:numRef>
              <c:f>Table!$K$6:$K$53</c:f>
              <c:numCache>
                <c:formatCode>0.0</c:formatCode>
                <c:ptCount val="48"/>
                <c:pt idx="0">
                  <c:v>0.87</c:v>
                </c:pt>
                <c:pt idx="1">
                  <c:v>0.87</c:v>
                </c:pt>
                <c:pt idx="2">
                  <c:v>0.88</c:v>
                </c:pt>
                <c:pt idx="3">
                  <c:v>0.88</c:v>
                </c:pt>
                <c:pt idx="4">
                  <c:v>0.92</c:v>
                </c:pt>
                <c:pt idx="5">
                  <c:v>0.98</c:v>
                </c:pt>
                <c:pt idx="6">
                  <c:v>1.07</c:v>
                </c:pt>
                <c:pt idx="7">
                  <c:v>1.1299999999999999</c:v>
                </c:pt>
                <c:pt idx="8">
                  <c:v>1.18</c:v>
                </c:pt>
                <c:pt idx="9">
                  <c:v>1.22</c:v>
                </c:pt>
                <c:pt idx="10">
                  <c:v>1.23</c:v>
                </c:pt>
                <c:pt idx="11">
                  <c:v>1.27</c:v>
                </c:pt>
                <c:pt idx="12">
                  <c:v>1.41</c:v>
                </c:pt>
                <c:pt idx="13">
                  <c:v>1.69</c:v>
                </c:pt>
                <c:pt idx="14">
                  <c:v>1.86</c:v>
                </c:pt>
                <c:pt idx="15">
                  <c:v>1.94</c:v>
                </c:pt>
                <c:pt idx="16">
                  <c:v>2.5</c:v>
                </c:pt>
                <c:pt idx="17">
                  <c:v>3.5</c:v>
                </c:pt>
                <c:pt idx="18">
                  <c:v>4.9000000000000004</c:v>
                </c:pt>
                <c:pt idx="19">
                  <c:v>21.2</c:v>
                </c:pt>
                <c:pt idx="20">
                  <c:v>6.8</c:v>
                </c:pt>
                <c:pt idx="21">
                  <c:v>4</c:v>
                </c:pt>
                <c:pt idx="22">
                  <c:v>3.25</c:v>
                </c:pt>
                <c:pt idx="23">
                  <c:v>2.85</c:v>
                </c:pt>
                <c:pt idx="24">
                  <c:v>2.52</c:v>
                </c:pt>
                <c:pt idx="25">
                  <c:v>2.2799999999999998</c:v>
                </c:pt>
                <c:pt idx="26">
                  <c:v>2.0299999999999998</c:v>
                </c:pt>
                <c:pt idx="27">
                  <c:v>1.77</c:v>
                </c:pt>
                <c:pt idx="28">
                  <c:v>1.62</c:v>
                </c:pt>
                <c:pt idx="29">
                  <c:v>1.58</c:v>
                </c:pt>
                <c:pt idx="30">
                  <c:v>1.53</c:v>
                </c:pt>
                <c:pt idx="31">
                  <c:v>1.47</c:v>
                </c:pt>
                <c:pt idx="32">
                  <c:v>1.42</c:v>
                </c:pt>
                <c:pt idx="33">
                  <c:v>1.38</c:v>
                </c:pt>
                <c:pt idx="34">
                  <c:v>1.33</c:v>
                </c:pt>
                <c:pt idx="35">
                  <c:v>1.27</c:v>
                </c:pt>
                <c:pt idx="36">
                  <c:v>1.22</c:v>
                </c:pt>
                <c:pt idx="37">
                  <c:v>1.18</c:v>
                </c:pt>
                <c:pt idx="38">
                  <c:v>1.1200000000000001</c:v>
                </c:pt>
                <c:pt idx="39">
                  <c:v>1.08</c:v>
                </c:pt>
                <c:pt idx="40">
                  <c:v>1.03</c:v>
                </c:pt>
                <c:pt idx="41">
                  <c:v>0.97</c:v>
                </c:pt>
                <c:pt idx="42">
                  <c:v>0.93</c:v>
                </c:pt>
                <c:pt idx="43">
                  <c:v>0.87</c:v>
                </c:pt>
                <c:pt idx="44">
                  <c:v>0.83</c:v>
                </c:pt>
                <c:pt idx="45">
                  <c:v>0.77</c:v>
                </c:pt>
                <c:pt idx="46">
                  <c:v>0.73</c:v>
                </c:pt>
                <c:pt idx="47">
                  <c:v>0.67</c:v>
                </c:pt>
              </c:numCache>
            </c:numRef>
          </c:val>
        </c:ser>
        <c:gapWidth val="20"/>
        <c:axId val="233759104"/>
        <c:axId val="231259520"/>
      </c:barChart>
      <c:catAx>
        <c:axId val="233759104"/>
        <c:scaling>
          <c:orientation val="minMax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Hours</a:t>
                </a:r>
                <a:endParaRPr lang="en-US"/>
              </a:p>
            </c:rich>
          </c:tx>
          <c:layout/>
        </c:title>
        <c:numFmt formatCode="0.0" sourceLinked="0"/>
        <c:tickLblPos val="nextTo"/>
        <c:crossAx val="231259520"/>
        <c:crosses val="autoZero"/>
        <c:auto val="1"/>
        <c:lblAlgn val="ctr"/>
        <c:lblOffset val="100"/>
      </c:catAx>
      <c:valAx>
        <c:axId val="231259520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 b="1" i="0" baseline="0"/>
                  <a:t>Percent Total Storm Rainfall</a:t>
                </a:r>
              </a:p>
            </c:rich>
          </c:tx>
          <c:layout/>
        </c:title>
        <c:numFmt formatCode="0.0" sourceLinked="1"/>
        <c:tickLblPos val="nextTo"/>
        <c:crossAx val="233759104"/>
        <c:crosses val="autoZero"/>
        <c:crossBetween val="between"/>
      </c:valAx>
    </c:plotArea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36-Hour Rainfall Distribution Curve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Table!$M$3:$M$5</c:f>
              <c:strCache>
                <c:ptCount val="1"/>
                <c:pt idx="0">
                  <c:v>36-HR 1 30 minutes % of Total</c:v>
                </c:pt>
              </c:strCache>
            </c:strRef>
          </c:tx>
          <c:dLbls>
            <c:txPr>
              <a:bodyPr rot="-5400000" vert="horz"/>
              <a:lstStyle/>
              <a:p>
                <a:pPr>
                  <a:defRPr sz="900"/>
                </a:pPr>
                <a:endParaRPr lang="en-US"/>
              </a:p>
            </c:txPr>
            <c:showVal val="1"/>
          </c:dLbls>
          <c:cat>
            <c:numRef>
              <c:f>Table!$L$6:$L$77</c:f>
              <c:numCache>
                <c:formatCode>0.0</c:formatCode>
                <c:ptCount val="7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</c:numCache>
            </c:numRef>
          </c:cat>
          <c:val>
            <c:numRef>
              <c:f>Table!$M$6:$M$77</c:f>
              <c:numCache>
                <c:formatCode>0.0</c:formatCode>
                <c:ptCount val="72"/>
                <c:pt idx="0">
                  <c:v>1.1000000000000001</c:v>
                </c:pt>
                <c:pt idx="1">
                  <c:v>1.3</c:v>
                </c:pt>
                <c:pt idx="2">
                  <c:v>1.4</c:v>
                </c:pt>
                <c:pt idx="3">
                  <c:v>1.5</c:v>
                </c:pt>
                <c:pt idx="4">
                  <c:v>1.5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2.5</c:v>
                </c:pt>
                <c:pt idx="9">
                  <c:v>3.4</c:v>
                </c:pt>
                <c:pt idx="10">
                  <c:v>4.5999999999999996</c:v>
                </c:pt>
                <c:pt idx="11">
                  <c:v>12.4</c:v>
                </c:pt>
                <c:pt idx="12">
                  <c:v>6.2</c:v>
                </c:pt>
                <c:pt idx="13">
                  <c:v>3.8</c:v>
                </c:pt>
                <c:pt idx="14">
                  <c:v>3</c:v>
                </c:pt>
                <c:pt idx="15">
                  <c:v>2.4</c:v>
                </c:pt>
                <c:pt idx="16">
                  <c:v>2.2000000000000002</c:v>
                </c:pt>
                <c:pt idx="17">
                  <c:v>2</c:v>
                </c:pt>
                <c:pt idx="18">
                  <c:v>1.6</c:v>
                </c:pt>
                <c:pt idx="19">
                  <c:v>1.5</c:v>
                </c:pt>
                <c:pt idx="20">
                  <c:v>1.5</c:v>
                </c:pt>
                <c:pt idx="21">
                  <c:v>1.4</c:v>
                </c:pt>
                <c:pt idx="22">
                  <c:v>1.3</c:v>
                </c:pt>
                <c:pt idx="23">
                  <c:v>1.1000000000000001</c:v>
                </c:pt>
                <c:pt idx="24">
                  <c:v>0.3</c:v>
                </c:pt>
                <c:pt idx="25">
                  <c:v>0.3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0.6</c:v>
                </c:pt>
                <c:pt idx="36">
                  <c:v>0.7</c:v>
                </c:pt>
                <c:pt idx="37">
                  <c:v>0.7</c:v>
                </c:pt>
                <c:pt idx="38">
                  <c:v>0.8</c:v>
                </c:pt>
                <c:pt idx="39">
                  <c:v>0.8</c:v>
                </c:pt>
                <c:pt idx="40">
                  <c:v>1</c:v>
                </c:pt>
                <c:pt idx="41">
                  <c:v>1.3</c:v>
                </c:pt>
                <c:pt idx="42">
                  <c:v>1.8</c:v>
                </c:pt>
                <c:pt idx="43">
                  <c:v>5.5</c:v>
                </c:pt>
                <c:pt idx="44">
                  <c:v>2.4</c:v>
                </c:pt>
                <c:pt idx="45">
                  <c:v>1.5</c:v>
                </c:pt>
                <c:pt idx="46">
                  <c:v>1.1000000000000001</c:v>
                </c:pt>
                <c:pt idx="47">
                  <c:v>1.1000000000000001</c:v>
                </c:pt>
                <c:pt idx="48">
                  <c:v>0.9</c:v>
                </c:pt>
                <c:pt idx="49">
                  <c:v>0.9</c:v>
                </c:pt>
                <c:pt idx="50">
                  <c:v>0.8</c:v>
                </c:pt>
                <c:pt idx="51">
                  <c:v>0.7</c:v>
                </c:pt>
                <c:pt idx="52">
                  <c:v>0.7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0.3</c:v>
                </c:pt>
                <c:pt idx="71">
                  <c:v>0.3</c:v>
                </c:pt>
              </c:numCache>
            </c:numRef>
          </c:val>
        </c:ser>
        <c:gapWidth val="20"/>
        <c:axId val="233288064"/>
        <c:axId val="234183680"/>
      </c:barChart>
      <c:catAx>
        <c:axId val="233288064"/>
        <c:scaling>
          <c:orientation val="minMax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Hours</a:t>
                </a:r>
                <a:endParaRPr lang="en-US"/>
              </a:p>
            </c:rich>
          </c:tx>
          <c:layout/>
        </c:title>
        <c:numFmt formatCode="0.0" sourceLinked="0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4183680"/>
        <c:crosses val="autoZero"/>
        <c:auto val="1"/>
        <c:lblAlgn val="ctr"/>
        <c:lblOffset val="100"/>
      </c:catAx>
      <c:valAx>
        <c:axId val="234183680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 b="1" i="0" baseline="0"/>
                  <a:t>Percent Total Storm Rainfall</a:t>
                </a:r>
              </a:p>
            </c:rich>
          </c:tx>
          <c:layout/>
        </c:title>
        <c:numFmt formatCode="0.0" sourceLinked="1"/>
        <c:tickLblPos val="nextTo"/>
        <c:crossAx val="233288064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48-Hour Rainfall Distribution Curve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Table!$O$3:$O$5</c:f>
              <c:strCache>
                <c:ptCount val="1"/>
                <c:pt idx="0">
                  <c:v>48-HR 1 30 minutes % of Total</c:v>
                </c:pt>
              </c:strCache>
            </c:strRef>
          </c:tx>
          <c:dLbls>
            <c:txPr>
              <a:bodyPr rot="-5400000" vert="horz"/>
              <a:lstStyle/>
              <a:p>
                <a:pPr>
                  <a:defRPr sz="500"/>
                </a:pPr>
                <a:endParaRPr lang="en-US"/>
              </a:p>
            </c:txPr>
            <c:showVal val="1"/>
          </c:dLbls>
          <c:cat>
            <c:numRef>
              <c:f>Table!$N$6:$N$101</c:f>
              <c:numCache>
                <c:formatCode>0.0</c:formatCode>
                <c:ptCount val="9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</c:numCache>
            </c:numRef>
          </c:cat>
          <c:val>
            <c:numRef>
              <c:f>Table!$O$6:$O$101</c:f>
              <c:numCache>
                <c:formatCode>0.0</c:formatCode>
                <c:ptCount val="96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1.2</c:v>
                </c:pt>
                <c:pt idx="14">
                  <c:v>1.3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1.7</c:v>
                </c:pt>
                <c:pt idx="19">
                  <c:v>2.2000000000000002</c:v>
                </c:pt>
                <c:pt idx="20">
                  <c:v>2.4</c:v>
                </c:pt>
                <c:pt idx="21">
                  <c:v>3.1</c:v>
                </c:pt>
                <c:pt idx="22">
                  <c:v>3.7</c:v>
                </c:pt>
                <c:pt idx="23">
                  <c:v>10.9</c:v>
                </c:pt>
                <c:pt idx="24">
                  <c:v>4.5</c:v>
                </c:pt>
                <c:pt idx="25">
                  <c:v>2.7</c:v>
                </c:pt>
                <c:pt idx="26">
                  <c:v>2.2999999999999998</c:v>
                </c:pt>
                <c:pt idx="27">
                  <c:v>2.1</c:v>
                </c:pt>
                <c:pt idx="28">
                  <c:v>1.9</c:v>
                </c:pt>
                <c:pt idx="29">
                  <c:v>1.6</c:v>
                </c:pt>
                <c:pt idx="30">
                  <c:v>1.5</c:v>
                </c:pt>
                <c:pt idx="31">
                  <c:v>1.3</c:v>
                </c:pt>
                <c:pt idx="32">
                  <c:v>1.3</c:v>
                </c:pt>
                <c:pt idx="33">
                  <c:v>1.3</c:v>
                </c:pt>
                <c:pt idx="34">
                  <c:v>1.2</c:v>
                </c:pt>
                <c:pt idx="35">
                  <c:v>1.2</c:v>
                </c:pt>
                <c:pt idx="36">
                  <c:v>1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0.3</c:v>
                </c:pt>
                <c:pt idx="49">
                  <c:v>0.3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0.6</c:v>
                </c:pt>
                <c:pt idx="59">
                  <c:v>0.7</c:v>
                </c:pt>
                <c:pt idx="60">
                  <c:v>0.8</c:v>
                </c:pt>
                <c:pt idx="61">
                  <c:v>0.8</c:v>
                </c:pt>
                <c:pt idx="62">
                  <c:v>1.1000000000000001</c:v>
                </c:pt>
                <c:pt idx="63">
                  <c:v>2.9</c:v>
                </c:pt>
                <c:pt idx="64">
                  <c:v>1.4</c:v>
                </c:pt>
                <c:pt idx="65">
                  <c:v>1</c:v>
                </c:pt>
                <c:pt idx="66">
                  <c:v>0.8</c:v>
                </c:pt>
                <c:pt idx="67">
                  <c:v>0.7</c:v>
                </c:pt>
                <c:pt idx="68">
                  <c:v>0.6</c:v>
                </c:pt>
                <c:pt idx="69">
                  <c:v>0.6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</c:numCache>
            </c:numRef>
          </c:val>
        </c:ser>
        <c:gapWidth val="20"/>
        <c:axId val="238975232"/>
        <c:axId val="237831680"/>
      </c:barChart>
      <c:catAx>
        <c:axId val="238975232"/>
        <c:scaling>
          <c:orientation val="minMax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Hours</a:t>
                </a:r>
                <a:endParaRPr lang="en-US"/>
              </a:p>
            </c:rich>
          </c:tx>
          <c:layout/>
        </c:title>
        <c:numFmt formatCode="0.0" sourceLinked="0"/>
        <c:tickLblPos val="nextTo"/>
        <c:crossAx val="237831680"/>
        <c:crosses val="autoZero"/>
        <c:auto val="1"/>
        <c:lblAlgn val="ctr"/>
        <c:lblOffset val="100"/>
      </c:catAx>
      <c:valAx>
        <c:axId val="237831680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 b="1" i="0" baseline="0"/>
                  <a:t>Percent Total Storm Rainfall</a:t>
                </a:r>
              </a:p>
            </c:rich>
          </c:tx>
          <c:layout/>
        </c:title>
        <c:numFmt formatCode="0.0" sourceLinked="1"/>
        <c:tickLblPos val="nextTo"/>
        <c:crossAx val="238975232"/>
        <c:crosses val="autoZero"/>
        <c:crossBetween val="between"/>
      </c:valAx>
    </c:plotArea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96-Hour Rainfall Distribution Curve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917275462092673E-2"/>
          <c:y val="0.14671756927705176"/>
          <c:w val="0.90981790881015956"/>
          <c:h val="0.83080069249149291"/>
        </c:manualLayout>
      </c:layout>
      <c:barChart>
        <c:barDir val="col"/>
        <c:grouping val="clustered"/>
        <c:ser>
          <c:idx val="0"/>
          <c:order val="0"/>
          <c:tx>
            <c:strRef>
              <c:f>Table!$Q$3:$Q$5</c:f>
              <c:strCache>
                <c:ptCount val="1"/>
                <c:pt idx="0">
                  <c:v>96-HR 2 hours % of Total</c:v>
                </c:pt>
              </c:strCache>
            </c:strRef>
          </c:tx>
          <c:dLbls>
            <c:dLbl>
              <c:idx val="0"/>
              <c:delete val="1"/>
            </c:dLbl>
            <c:dLbl>
              <c:idx val="11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39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numRef>
              <c:f>Table!$P$6:$P$53</c:f>
              <c:numCache>
                <c:formatCode>0.0</c:formatCode>
                <c:ptCount val="4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</c:numCache>
            </c:numRef>
          </c:cat>
          <c:val>
            <c:numRef>
              <c:f>Table!$Q$6:$Q$53</c:f>
              <c:numCache>
                <c:formatCode>0.0</c:formatCode>
                <c:ptCount val="48"/>
                <c:pt idx="0">
                  <c:v>0</c:v>
                </c:pt>
                <c:pt idx="1">
                  <c:v>0.1</c:v>
                </c:pt>
                <c:pt idx="2">
                  <c:v>0.7</c:v>
                </c:pt>
                <c:pt idx="3">
                  <c:v>1.6</c:v>
                </c:pt>
                <c:pt idx="4">
                  <c:v>1.4</c:v>
                </c:pt>
                <c:pt idx="5">
                  <c:v>3.6</c:v>
                </c:pt>
                <c:pt idx="6">
                  <c:v>5.6</c:v>
                </c:pt>
                <c:pt idx="7">
                  <c:v>4.0999999999999996</c:v>
                </c:pt>
                <c:pt idx="8">
                  <c:v>2</c:v>
                </c:pt>
                <c:pt idx="9">
                  <c:v>0.6</c:v>
                </c:pt>
                <c:pt idx="10">
                  <c:v>0.4</c:v>
                </c:pt>
                <c:pt idx="11">
                  <c:v>0</c:v>
                </c:pt>
                <c:pt idx="12">
                  <c:v>0.1</c:v>
                </c:pt>
                <c:pt idx="13">
                  <c:v>0.2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1.1000000000000001</c:v>
                </c:pt>
                <c:pt idx="20">
                  <c:v>0.4</c:v>
                </c:pt>
                <c:pt idx="21">
                  <c:v>4.7</c:v>
                </c:pt>
                <c:pt idx="22">
                  <c:v>3</c:v>
                </c:pt>
                <c:pt idx="23">
                  <c:v>3.6</c:v>
                </c:pt>
                <c:pt idx="24">
                  <c:v>2.4</c:v>
                </c:pt>
                <c:pt idx="25">
                  <c:v>3.6</c:v>
                </c:pt>
                <c:pt idx="26">
                  <c:v>5</c:v>
                </c:pt>
                <c:pt idx="27">
                  <c:v>4.4000000000000004</c:v>
                </c:pt>
                <c:pt idx="28">
                  <c:v>4.4000000000000004</c:v>
                </c:pt>
                <c:pt idx="29">
                  <c:v>4.4000000000000004</c:v>
                </c:pt>
                <c:pt idx="30">
                  <c:v>3.3</c:v>
                </c:pt>
                <c:pt idx="31">
                  <c:v>4.7</c:v>
                </c:pt>
                <c:pt idx="32">
                  <c:v>13.7</c:v>
                </c:pt>
                <c:pt idx="33">
                  <c:v>3.6</c:v>
                </c:pt>
                <c:pt idx="34">
                  <c:v>4.5999999999999996</c:v>
                </c:pt>
                <c:pt idx="35">
                  <c:v>4.4000000000000004</c:v>
                </c:pt>
                <c:pt idx="36">
                  <c:v>3.4</c:v>
                </c:pt>
                <c:pt idx="37">
                  <c:v>1.5</c:v>
                </c:pt>
                <c:pt idx="38">
                  <c:v>0.9</c:v>
                </c:pt>
                <c:pt idx="39">
                  <c:v>0</c:v>
                </c:pt>
                <c:pt idx="40">
                  <c:v>0.2</c:v>
                </c:pt>
                <c:pt idx="41">
                  <c:v>1.2</c:v>
                </c:pt>
                <c:pt idx="42">
                  <c:v>1.1000000000000001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gapWidth val="20"/>
        <c:axId val="245608832"/>
        <c:axId val="240698496"/>
      </c:barChart>
      <c:catAx>
        <c:axId val="245608832"/>
        <c:scaling>
          <c:orientation val="minMax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baseline="0"/>
                  <a:t>Hours</a:t>
                </a:r>
                <a:endParaRPr lang="en-US"/>
              </a:p>
            </c:rich>
          </c:tx>
          <c:layout/>
        </c:title>
        <c:numFmt formatCode="0" sourceLinked="0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40698496"/>
        <c:crosses val="autoZero"/>
        <c:auto val="1"/>
        <c:lblAlgn val="ctr"/>
        <c:lblOffset val="100"/>
      </c:catAx>
      <c:valAx>
        <c:axId val="240698496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Percent Total</a:t>
                </a:r>
                <a:r>
                  <a:rPr lang="en-US" sz="1200" baseline="0"/>
                  <a:t> Storm Rainfall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4.4142616568079562E-3"/>
              <c:y val="0.41642986769764434"/>
            </c:manualLayout>
          </c:layout>
        </c:title>
        <c:numFmt formatCode="0.0" sourceLinked="1"/>
        <c:tickLblPos val="nextTo"/>
        <c:crossAx val="245608832"/>
        <c:crosses val="autoZero"/>
        <c:crossBetween val="between"/>
      </c:valAx>
    </c:plotArea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1115" cy="62718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1115" cy="62718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31115" cy="62718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1115" cy="62718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1115" cy="62718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1115" cy="62718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1115" cy="62718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1115" cy="62718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06"/>
  <sheetViews>
    <sheetView tabSelected="1" zoomScaleNormal="100" workbookViewId="0">
      <selection activeCell="S20" sqref="S20"/>
    </sheetView>
  </sheetViews>
  <sheetFormatPr defaultRowHeight="12.75"/>
  <cols>
    <col min="1" max="1" width="9.140625" style="7"/>
    <col min="2" max="17" width="9.85546875" style="7" customWidth="1"/>
    <col min="18" max="19" width="9.7109375" style="7" customWidth="1"/>
    <col min="20" max="16384" width="9.140625" style="7"/>
  </cols>
  <sheetData>
    <row r="1" spans="1:20" ht="33.75" customHeight="1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  <c r="S1" s="10"/>
      <c r="T1" s="11"/>
    </row>
    <row r="2" spans="1:20" ht="11.65" customHeight="1" thickBo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20" s="19" customFormat="1" ht="17.25" customHeight="1" thickBot="1">
      <c r="A3" s="36" t="s">
        <v>0</v>
      </c>
      <c r="B3" s="20" t="s">
        <v>1</v>
      </c>
      <c r="C3" s="21"/>
      <c r="D3" s="20" t="s">
        <v>2</v>
      </c>
      <c r="E3" s="21"/>
      <c r="F3" s="20" t="s">
        <v>13</v>
      </c>
      <c r="G3" s="21"/>
      <c r="H3" s="20" t="s">
        <v>3</v>
      </c>
      <c r="I3" s="21"/>
      <c r="J3" s="20" t="s">
        <v>4</v>
      </c>
      <c r="K3" s="21"/>
      <c r="L3" s="20" t="s">
        <v>11</v>
      </c>
      <c r="M3" s="21"/>
      <c r="N3" s="20" t="s">
        <v>12</v>
      </c>
      <c r="O3" s="21"/>
      <c r="P3" s="20" t="s">
        <v>5</v>
      </c>
      <c r="Q3" s="21"/>
    </row>
    <row r="4" spans="1:20" s="19" customFormat="1" ht="17.25" customHeight="1" thickBot="1">
      <c r="A4" s="36" t="s">
        <v>6</v>
      </c>
      <c r="B4" s="34" t="s">
        <v>15</v>
      </c>
      <c r="C4" s="35"/>
      <c r="D4" s="34" t="s">
        <v>15</v>
      </c>
      <c r="E4" s="35"/>
      <c r="F4" s="34" t="s">
        <v>15</v>
      </c>
      <c r="G4" s="35"/>
      <c r="H4" s="34" t="s">
        <v>15</v>
      </c>
      <c r="I4" s="35"/>
      <c r="J4" s="34" t="s">
        <v>16</v>
      </c>
      <c r="K4" s="35"/>
      <c r="L4" s="34" t="s">
        <v>16</v>
      </c>
      <c r="M4" s="35"/>
      <c r="N4" s="34" t="s">
        <v>16</v>
      </c>
      <c r="O4" s="35"/>
      <c r="P4" s="34" t="s">
        <v>17</v>
      </c>
      <c r="Q4" s="35"/>
    </row>
    <row r="5" spans="1:20" ht="13.5" thickBot="1">
      <c r="B5" s="5" t="s">
        <v>8</v>
      </c>
      <c r="C5" s="6" t="s">
        <v>10</v>
      </c>
      <c r="D5" s="5" t="s">
        <v>8</v>
      </c>
      <c r="E5" s="6" t="s">
        <v>10</v>
      </c>
      <c r="F5" s="5" t="s">
        <v>8</v>
      </c>
      <c r="G5" s="6" t="s">
        <v>10</v>
      </c>
      <c r="H5" s="5" t="s">
        <v>8</v>
      </c>
      <c r="I5" s="6" t="s">
        <v>10</v>
      </c>
      <c r="J5" s="5" t="s">
        <v>8</v>
      </c>
      <c r="K5" s="6" t="s">
        <v>10</v>
      </c>
      <c r="L5" s="5" t="s">
        <v>8</v>
      </c>
      <c r="M5" s="6" t="s">
        <v>10</v>
      </c>
      <c r="N5" s="5" t="s">
        <v>8</v>
      </c>
      <c r="O5" s="6" t="s">
        <v>10</v>
      </c>
      <c r="P5" s="5" t="s">
        <v>8</v>
      </c>
      <c r="Q5" s="6" t="s">
        <v>10</v>
      </c>
    </row>
    <row r="6" spans="1:20" ht="11.65" customHeight="1">
      <c r="A6" s="1">
        <v>1</v>
      </c>
      <c r="B6" s="24">
        <v>0.25</v>
      </c>
      <c r="C6" s="15">
        <v>3</v>
      </c>
      <c r="D6" s="24">
        <v>0.25</v>
      </c>
      <c r="E6" s="15">
        <v>2.1</v>
      </c>
      <c r="F6" s="24">
        <v>0.25</v>
      </c>
      <c r="G6" s="15">
        <v>1</v>
      </c>
      <c r="H6" s="24">
        <v>0.25</v>
      </c>
      <c r="I6" s="15">
        <v>0.9</v>
      </c>
      <c r="J6" s="33">
        <v>0.5</v>
      </c>
      <c r="K6" s="15">
        <v>0.87</v>
      </c>
      <c r="L6" s="33">
        <v>0.5</v>
      </c>
      <c r="M6" s="15">
        <v>1.1000000000000001</v>
      </c>
      <c r="N6" s="33">
        <v>0.5</v>
      </c>
      <c r="O6" s="15">
        <v>0.7</v>
      </c>
      <c r="P6" s="33">
        <v>2</v>
      </c>
      <c r="Q6" s="15">
        <v>0</v>
      </c>
    </row>
    <row r="7" spans="1:20" ht="11.65" customHeight="1">
      <c r="A7" s="2">
        <v>2</v>
      </c>
      <c r="B7" s="25">
        <f>+B6+$B$6</f>
        <v>0.5</v>
      </c>
      <c r="C7" s="16">
        <v>2</v>
      </c>
      <c r="D7" s="25">
        <f>+D6+$B$6</f>
        <v>0.5</v>
      </c>
      <c r="E7" s="16">
        <v>2.5</v>
      </c>
      <c r="F7" s="25">
        <f>+F6+F$6</f>
        <v>0.5</v>
      </c>
      <c r="G7" s="16">
        <v>2</v>
      </c>
      <c r="H7" s="25">
        <f>+H6+$B$6</f>
        <v>0.5</v>
      </c>
      <c r="I7" s="16">
        <v>0.9</v>
      </c>
      <c r="J7" s="27">
        <f>+J6+J$6</f>
        <v>1</v>
      </c>
      <c r="K7" s="16">
        <v>0.87</v>
      </c>
      <c r="L7" s="27">
        <f>+L6+L$6</f>
        <v>1</v>
      </c>
      <c r="M7" s="16">
        <v>1.3</v>
      </c>
      <c r="N7" s="27">
        <f>+N6+N$6</f>
        <v>1</v>
      </c>
      <c r="O7" s="16">
        <v>0.7</v>
      </c>
      <c r="P7" s="27">
        <f>+P6+P$6</f>
        <v>4</v>
      </c>
      <c r="Q7" s="16">
        <v>0.1</v>
      </c>
    </row>
    <row r="8" spans="1:20" ht="11.65" customHeight="1">
      <c r="A8" s="2">
        <v>3</v>
      </c>
      <c r="B8" s="25">
        <f>+B7+$B$6</f>
        <v>0.75</v>
      </c>
      <c r="C8" s="16">
        <v>5</v>
      </c>
      <c r="D8" s="25">
        <f>+D7+$B$6</f>
        <v>0.75</v>
      </c>
      <c r="E8" s="16">
        <v>3.8</v>
      </c>
      <c r="F8" s="25">
        <f t="shared" ref="F8:F41" si="0">+F7+F$6</f>
        <v>0.75</v>
      </c>
      <c r="G8" s="16">
        <v>2</v>
      </c>
      <c r="H8" s="25">
        <f>+H7+$B$6</f>
        <v>0.75</v>
      </c>
      <c r="I8" s="16">
        <v>1</v>
      </c>
      <c r="J8" s="27">
        <f>+J7+J$6</f>
        <v>1.5</v>
      </c>
      <c r="K8" s="16">
        <v>0.88</v>
      </c>
      <c r="L8" s="27">
        <f>+L7+L$6</f>
        <v>1.5</v>
      </c>
      <c r="M8" s="16">
        <v>1.4</v>
      </c>
      <c r="N8" s="27">
        <f>+N7+N$6</f>
        <v>1.5</v>
      </c>
      <c r="O8" s="16">
        <v>0.7</v>
      </c>
      <c r="P8" s="27">
        <f>+P7+P$6</f>
        <v>6</v>
      </c>
      <c r="Q8" s="16">
        <v>0.7</v>
      </c>
    </row>
    <row r="9" spans="1:20" ht="11.65" customHeight="1">
      <c r="A9" s="2">
        <v>4</v>
      </c>
      <c r="B9" s="25">
        <f>+B8+$B$6</f>
        <v>1</v>
      </c>
      <c r="C9" s="16">
        <v>2.8</v>
      </c>
      <c r="D9" s="25">
        <f>+D8+$B$6</f>
        <v>1</v>
      </c>
      <c r="E9" s="16">
        <v>4.5</v>
      </c>
      <c r="F9" s="25">
        <f t="shared" si="0"/>
        <v>1</v>
      </c>
      <c r="G9" s="16">
        <v>2</v>
      </c>
      <c r="H9" s="25">
        <f>+H8+$B$6</f>
        <v>1</v>
      </c>
      <c r="I9" s="16">
        <v>1</v>
      </c>
      <c r="J9" s="27">
        <f>+J8+J$6</f>
        <v>2</v>
      </c>
      <c r="K9" s="16">
        <v>0.88</v>
      </c>
      <c r="L9" s="27">
        <f>+L8+L$6</f>
        <v>2</v>
      </c>
      <c r="M9" s="16">
        <v>1.5</v>
      </c>
      <c r="N9" s="27">
        <f>+N8+N$6</f>
        <v>2</v>
      </c>
      <c r="O9" s="16">
        <v>0.7</v>
      </c>
      <c r="P9" s="27">
        <f>+P8+P$6</f>
        <v>8</v>
      </c>
      <c r="Q9" s="16">
        <v>1.6</v>
      </c>
    </row>
    <row r="10" spans="1:20" ht="11.65" customHeight="1">
      <c r="A10" s="2">
        <v>5</v>
      </c>
      <c r="B10" s="25">
        <f>+B9+$B$6</f>
        <v>1.25</v>
      </c>
      <c r="C10" s="16">
        <v>8.8000000000000007</v>
      </c>
      <c r="D10" s="25">
        <f>+D9+$B$6</f>
        <v>1.25</v>
      </c>
      <c r="E10" s="16">
        <v>6</v>
      </c>
      <c r="F10" s="25">
        <f t="shared" si="0"/>
        <v>1.25</v>
      </c>
      <c r="G10" s="16">
        <v>3</v>
      </c>
      <c r="H10" s="25">
        <f>+H9+$B$6</f>
        <v>1.25</v>
      </c>
      <c r="I10" s="16">
        <v>1.1000000000000001</v>
      </c>
      <c r="J10" s="27">
        <f>+J9+J$6</f>
        <v>2.5</v>
      </c>
      <c r="K10" s="16">
        <v>0.92</v>
      </c>
      <c r="L10" s="27">
        <f>+L9+L$6</f>
        <v>2.5</v>
      </c>
      <c r="M10" s="16">
        <v>1.5</v>
      </c>
      <c r="N10" s="27">
        <f>+N9+N$6</f>
        <v>2.5</v>
      </c>
      <c r="O10" s="16">
        <v>0.8</v>
      </c>
      <c r="P10" s="27">
        <f>+P9+P$6</f>
        <v>10</v>
      </c>
      <c r="Q10" s="16">
        <v>1.4</v>
      </c>
    </row>
    <row r="11" spans="1:20" ht="11.65" customHeight="1">
      <c r="A11" s="2">
        <v>6</v>
      </c>
      <c r="B11" s="25">
        <f>+B10+$B$6</f>
        <v>1.5</v>
      </c>
      <c r="C11" s="16">
        <v>10.199999999999999</v>
      </c>
      <c r="D11" s="25">
        <f>+D10+$B$6</f>
        <v>1.5</v>
      </c>
      <c r="E11" s="16">
        <v>3</v>
      </c>
      <c r="F11" s="25">
        <f t="shared" si="0"/>
        <v>1.5</v>
      </c>
      <c r="G11" s="16">
        <v>2</v>
      </c>
      <c r="H11" s="25">
        <f>+H10+$B$6</f>
        <v>1.5</v>
      </c>
      <c r="I11" s="16">
        <v>1.1000000000000001</v>
      </c>
      <c r="J11" s="27">
        <f>+J10+J$6</f>
        <v>3</v>
      </c>
      <c r="K11" s="16">
        <v>0.98</v>
      </c>
      <c r="L11" s="27">
        <f>+L10+L$6</f>
        <v>3</v>
      </c>
      <c r="M11" s="16">
        <v>1.8</v>
      </c>
      <c r="N11" s="27">
        <f>+N10+N$6</f>
        <v>3</v>
      </c>
      <c r="O11" s="16">
        <v>0.8</v>
      </c>
      <c r="P11" s="27">
        <f>+P10+P$6</f>
        <v>12</v>
      </c>
      <c r="Q11" s="16">
        <v>3.6</v>
      </c>
    </row>
    <row r="12" spans="1:20" ht="11.65" customHeight="1">
      <c r="A12" s="2">
        <v>7</v>
      </c>
      <c r="B12" s="25">
        <f>+B11+$B$6</f>
        <v>1.75</v>
      </c>
      <c r="C12" s="16">
        <v>5.5</v>
      </c>
      <c r="D12" s="25">
        <f>+D11+$B$6</f>
        <v>1.75</v>
      </c>
      <c r="E12" s="16">
        <v>2.2999999999999998</v>
      </c>
      <c r="F12" s="25">
        <f t="shared" si="0"/>
        <v>1.75</v>
      </c>
      <c r="G12" s="16">
        <v>2</v>
      </c>
      <c r="H12" s="25">
        <f>+H11+$B$6</f>
        <v>1.75</v>
      </c>
      <c r="I12" s="16">
        <v>1.1000000000000001</v>
      </c>
      <c r="J12" s="27">
        <f>+J11+J$6</f>
        <v>3.5</v>
      </c>
      <c r="K12" s="16">
        <v>1.07</v>
      </c>
      <c r="L12" s="27">
        <f>+L11+L$6</f>
        <v>3.5</v>
      </c>
      <c r="M12" s="16">
        <v>2</v>
      </c>
      <c r="N12" s="27">
        <f>+N11+N$6</f>
        <v>3.5</v>
      </c>
      <c r="O12" s="16">
        <v>0.8</v>
      </c>
      <c r="P12" s="27">
        <f>+P11+P$6</f>
        <v>14</v>
      </c>
      <c r="Q12" s="16">
        <v>5.6</v>
      </c>
    </row>
    <row r="13" spans="1:20" ht="11.65" customHeight="1">
      <c r="A13" s="2">
        <v>8</v>
      </c>
      <c r="B13" s="25">
        <f>+B12+$B$6</f>
        <v>2</v>
      </c>
      <c r="C13" s="16">
        <v>7</v>
      </c>
      <c r="D13" s="25">
        <f>+D12+$B$6</f>
        <v>2</v>
      </c>
      <c r="E13" s="16">
        <v>2.5</v>
      </c>
      <c r="F13" s="25">
        <f t="shared" si="0"/>
        <v>2</v>
      </c>
      <c r="G13" s="16">
        <v>3</v>
      </c>
      <c r="H13" s="25">
        <f>+H12+$B$6</f>
        <v>2</v>
      </c>
      <c r="I13" s="16">
        <v>1.2</v>
      </c>
      <c r="J13" s="27">
        <f>+J12+J$6</f>
        <v>4</v>
      </c>
      <c r="K13" s="16">
        <v>1.1299999999999999</v>
      </c>
      <c r="L13" s="27">
        <f>+L12+L$6</f>
        <v>4</v>
      </c>
      <c r="M13" s="16">
        <v>2.2000000000000002</v>
      </c>
      <c r="N13" s="27">
        <f>+N12+N$6</f>
        <v>4</v>
      </c>
      <c r="O13" s="16">
        <v>0.9</v>
      </c>
      <c r="P13" s="27">
        <f>+P12+P$6</f>
        <v>16</v>
      </c>
      <c r="Q13" s="16">
        <v>4.0999999999999996</v>
      </c>
      <c r="R13" s="13"/>
    </row>
    <row r="14" spans="1:20" ht="11.65" customHeight="1">
      <c r="A14" s="2">
        <v>9</v>
      </c>
      <c r="B14" s="25">
        <f>+B13+$B$6</f>
        <v>2.25</v>
      </c>
      <c r="C14" s="16">
        <v>10.5</v>
      </c>
      <c r="D14" s="25">
        <f>+D13+$B$6</f>
        <v>2.25</v>
      </c>
      <c r="E14" s="16">
        <v>4.8</v>
      </c>
      <c r="F14" s="25">
        <f t="shared" si="0"/>
        <v>2.25</v>
      </c>
      <c r="G14" s="16">
        <v>4</v>
      </c>
      <c r="H14" s="25">
        <f>+H13+$B$6</f>
        <v>2.25</v>
      </c>
      <c r="I14" s="16">
        <v>1.2</v>
      </c>
      <c r="J14" s="27">
        <f>+J13+J$6</f>
        <v>4.5</v>
      </c>
      <c r="K14" s="16">
        <v>1.18</v>
      </c>
      <c r="L14" s="27">
        <f>+L13+L$6</f>
        <v>4.5</v>
      </c>
      <c r="M14" s="16">
        <v>2.5</v>
      </c>
      <c r="N14" s="27">
        <f>+N13+N$6</f>
        <v>4.5</v>
      </c>
      <c r="O14" s="16">
        <v>0.9</v>
      </c>
      <c r="P14" s="27">
        <f>+P13+P$6</f>
        <v>18</v>
      </c>
      <c r="Q14" s="16">
        <v>2</v>
      </c>
    </row>
    <row r="15" spans="1:20" ht="11.65" customHeight="1">
      <c r="A15" s="2">
        <v>10</v>
      </c>
      <c r="B15" s="25">
        <f>+B14+$B$6</f>
        <v>2.5</v>
      </c>
      <c r="C15" s="16">
        <v>11</v>
      </c>
      <c r="D15" s="25">
        <f>+D14+$B$6</f>
        <v>2.5</v>
      </c>
      <c r="E15" s="16">
        <v>4.3</v>
      </c>
      <c r="F15" s="25">
        <f t="shared" si="0"/>
        <v>2.5</v>
      </c>
      <c r="G15" s="16">
        <v>3</v>
      </c>
      <c r="H15" s="25">
        <f>+H14+$B$6</f>
        <v>2.5</v>
      </c>
      <c r="I15" s="16">
        <v>1.2</v>
      </c>
      <c r="J15" s="27">
        <f>+J14+J$6</f>
        <v>5</v>
      </c>
      <c r="K15" s="16">
        <v>1.22</v>
      </c>
      <c r="L15" s="27">
        <f>+L14+L$6</f>
        <v>5</v>
      </c>
      <c r="M15" s="16">
        <v>3.4</v>
      </c>
      <c r="N15" s="27">
        <f>+N14+N$6</f>
        <v>5</v>
      </c>
      <c r="O15" s="16">
        <v>0.9</v>
      </c>
      <c r="P15" s="27">
        <f>+P14+P$6</f>
        <v>20</v>
      </c>
      <c r="Q15" s="16">
        <v>0.6</v>
      </c>
    </row>
    <row r="16" spans="1:20" ht="11.65" customHeight="1">
      <c r="A16" s="2">
        <v>11</v>
      </c>
      <c r="B16" s="25">
        <f>+B15+$B$6</f>
        <v>2.75</v>
      </c>
      <c r="C16" s="16">
        <v>27.7</v>
      </c>
      <c r="D16" s="25">
        <f>+D15+$B$6</f>
        <v>2.75</v>
      </c>
      <c r="E16" s="16">
        <v>2.6</v>
      </c>
      <c r="F16" s="25">
        <f t="shared" si="0"/>
        <v>2.75</v>
      </c>
      <c r="G16" s="16">
        <v>2</v>
      </c>
      <c r="H16" s="25">
        <f>+H15+$B$6</f>
        <v>2.75</v>
      </c>
      <c r="I16" s="16">
        <v>1.3</v>
      </c>
      <c r="J16" s="27">
        <f>+J15+J$6</f>
        <v>5.5</v>
      </c>
      <c r="K16" s="16">
        <v>1.23</v>
      </c>
      <c r="L16" s="27">
        <f>+L15+L$6</f>
        <v>5.5</v>
      </c>
      <c r="M16" s="16">
        <v>4.5999999999999996</v>
      </c>
      <c r="N16" s="27">
        <f>+N15+N$6</f>
        <v>5.5</v>
      </c>
      <c r="O16" s="16">
        <v>1</v>
      </c>
      <c r="P16" s="27">
        <f>+P15+P$6</f>
        <v>22</v>
      </c>
      <c r="Q16" s="16">
        <v>0.4</v>
      </c>
    </row>
    <row r="17" spans="1:17" ht="11.65" customHeight="1">
      <c r="A17" s="3">
        <v>12</v>
      </c>
      <c r="B17" s="26">
        <f>+B16+$B$6</f>
        <v>3</v>
      </c>
      <c r="C17" s="17">
        <v>6.5</v>
      </c>
      <c r="D17" s="26">
        <f>+D16+$B$6</f>
        <v>3</v>
      </c>
      <c r="E17" s="17">
        <v>2.5</v>
      </c>
      <c r="F17" s="26">
        <f t="shared" si="0"/>
        <v>3</v>
      </c>
      <c r="G17" s="17">
        <v>2</v>
      </c>
      <c r="H17" s="26">
        <f>+H16+$B$6</f>
        <v>3</v>
      </c>
      <c r="I17" s="17">
        <v>1.5</v>
      </c>
      <c r="J17" s="28">
        <f>+J16+J$6</f>
        <v>6</v>
      </c>
      <c r="K17" s="17">
        <v>1.27</v>
      </c>
      <c r="L17" s="28">
        <f>+L16+L$6</f>
        <v>6</v>
      </c>
      <c r="M17" s="17">
        <v>12.4</v>
      </c>
      <c r="N17" s="28">
        <f>+N16+N$6</f>
        <v>6</v>
      </c>
      <c r="O17" s="17">
        <v>1.1000000000000001</v>
      </c>
      <c r="P17" s="28">
        <f>+P16+P$6</f>
        <v>24</v>
      </c>
      <c r="Q17" s="17">
        <v>0</v>
      </c>
    </row>
    <row r="18" spans="1:17" ht="11.65" customHeight="1">
      <c r="A18" s="2">
        <v>13</v>
      </c>
      <c r="B18" s="27"/>
      <c r="C18" s="16"/>
      <c r="D18" s="25">
        <f>+D17+$B$6</f>
        <v>3.25</v>
      </c>
      <c r="E18" s="16">
        <v>2.2000000000000002</v>
      </c>
      <c r="F18" s="27">
        <f t="shared" si="0"/>
        <v>3.25</v>
      </c>
      <c r="G18" s="16">
        <v>2</v>
      </c>
      <c r="H18" s="25">
        <f>+H17+$B$6</f>
        <v>3.25</v>
      </c>
      <c r="I18" s="16">
        <v>1.6</v>
      </c>
      <c r="J18" s="27">
        <f>+J17+J$6</f>
        <v>6.5</v>
      </c>
      <c r="K18" s="16">
        <v>1.41</v>
      </c>
      <c r="L18" s="27">
        <f>+L17+L$6</f>
        <v>6.5</v>
      </c>
      <c r="M18" s="16">
        <v>6.2</v>
      </c>
      <c r="N18" s="27">
        <f>+N17+N$6</f>
        <v>6.5</v>
      </c>
      <c r="O18" s="16">
        <v>1.2</v>
      </c>
      <c r="P18" s="27">
        <f>+P17+P$6</f>
        <v>26</v>
      </c>
      <c r="Q18" s="16">
        <v>0.1</v>
      </c>
    </row>
    <row r="19" spans="1:17" ht="11.65" customHeight="1">
      <c r="A19" s="2">
        <v>14</v>
      </c>
      <c r="B19" s="27"/>
      <c r="C19" s="16"/>
      <c r="D19" s="25">
        <f>+D18+$B$6</f>
        <v>3.5</v>
      </c>
      <c r="E19" s="16">
        <v>2.5</v>
      </c>
      <c r="F19" s="27">
        <f t="shared" si="0"/>
        <v>3.5</v>
      </c>
      <c r="G19" s="16">
        <v>2</v>
      </c>
      <c r="H19" s="25">
        <f t="shared" ref="H19:H28" si="1">+H18+$B$6</f>
        <v>3.5</v>
      </c>
      <c r="I19" s="16">
        <v>1.6</v>
      </c>
      <c r="J19" s="27">
        <f>+J18+J$6</f>
        <v>7</v>
      </c>
      <c r="K19" s="16">
        <v>1.69</v>
      </c>
      <c r="L19" s="27">
        <f>+L18+L$6</f>
        <v>7</v>
      </c>
      <c r="M19" s="16">
        <v>3.8</v>
      </c>
      <c r="N19" s="27">
        <f>+N18+N$6</f>
        <v>7</v>
      </c>
      <c r="O19" s="16">
        <v>1.2</v>
      </c>
      <c r="P19" s="27">
        <f>+P18+P$6</f>
        <v>28</v>
      </c>
      <c r="Q19" s="16">
        <v>0.2</v>
      </c>
    </row>
    <row r="20" spans="1:17" ht="11.65" customHeight="1">
      <c r="A20" s="2">
        <v>15</v>
      </c>
      <c r="B20" s="27"/>
      <c r="C20" s="16"/>
      <c r="D20" s="25">
        <f>+D19+$B$6</f>
        <v>3.75</v>
      </c>
      <c r="E20" s="16">
        <v>5</v>
      </c>
      <c r="F20" s="27">
        <f t="shared" si="0"/>
        <v>3.75</v>
      </c>
      <c r="G20" s="16">
        <v>1</v>
      </c>
      <c r="H20" s="25">
        <f t="shared" si="1"/>
        <v>3.75</v>
      </c>
      <c r="I20" s="16">
        <v>1.7</v>
      </c>
      <c r="J20" s="27">
        <f>+J19+J$6</f>
        <v>7.5</v>
      </c>
      <c r="K20" s="16">
        <v>1.86</v>
      </c>
      <c r="L20" s="27">
        <f>+L19+L$6</f>
        <v>7.5</v>
      </c>
      <c r="M20" s="16">
        <v>3</v>
      </c>
      <c r="N20" s="27">
        <f>+N19+N$6</f>
        <v>7.5</v>
      </c>
      <c r="O20" s="16">
        <v>1.3</v>
      </c>
      <c r="P20" s="27">
        <f>+P19+P$6</f>
        <v>30</v>
      </c>
      <c r="Q20" s="16">
        <v>0</v>
      </c>
    </row>
    <row r="21" spans="1:17" ht="11.65" customHeight="1">
      <c r="A21" s="2">
        <v>16</v>
      </c>
      <c r="B21" s="27"/>
      <c r="C21" s="16"/>
      <c r="D21" s="25">
        <f>+D20+$B$6</f>
        <v>4</v>
      </c>
      <c r="E21" s="16">
        <v>7.9</v>
      </c>
      <c r="F21" s="27">
        <f t="shared" si="0"/>
        <v>4</v>
      </c>
      <c r="G21" s="16">
        <v>2</v>
      </c>
      <c r="H21" s="25">
        <f t="shared" si="1"/>
        <v>4</v>
      </c>
      <c r="I21" s="16">
        <v>1.7</v>
      </c>
      <c r="J21" s="27">
        <f>+J20+J$6</f>
        <v>8</v>
      </c>
      <c r="K21" s="16">
        <v>1.94</v>
      </c>
      <c r="L21" s="27">
        <f>+L20+L$6</f>
        <v>8</v>
      </c>
      <c r="M21" s="16">
        <v>2.4</v>
      </c>
      <c r="N21" s="27">
        <f>+N20+N$6</f>
        <v>8</v>
      </c>
      <c r="O21" s="16">
        <v>1.3</v>
      </c>
      <c r="P21" s="27">
        <f>+P20+P$6</f>
        <v>32</v>
      </c>
      <c r="Q21" s="16">
        <v>0</v>
      </c>
    </row>
    <row r="22" spans="1:17" ht="11.65" customHeight="1">
      <c r="A22" s="2">
        <v>17</v>
      </c>
      <c r="B22" s="27"/>
      <c r="C22" s="16"/>
      <c r="D22" s="25">
        <f>+D21+$B$6</f>
        <v>4.25</v>
      </c>
      <c r="E22" s="16">
        <v>19</v>
      </c>
      <c r="F22" s="27">
        <f t="shared" si="0"/>
        <v>4.25</v>
      </c>
      <c r="G22" s="16">
        <v>2</v>
      </c>
      <c r="H22" s="25">
        <f t="shared" si="1"/>
        <v>4.25</v>
      </c>
      <c r="I22" s="16">
        <v>1.9</v>
      </c>
      <c r="J22" s="27">
        <f>+J21+J$6</f>
        <v>8.5</v>
      </c>
      <c r="K22" s="16">
        <v>2.5</v>
      </c>
      <c r="L22" s="27">
        <f>+L21+L$6</f>
        <v>8.5</v>
      </c>
      <c r="M22" s="16">
        <v>2.2000000000000002</v>
      </c>
      <c r="N22" s="27">
        <f>+N21+N$6</f>
        <v>8.5</v>
      </c>
      <c r="O22" s="16">
        <v>1.4</v>
      </c>
      <c r="P22" s="27">
        <f>+P21+P$6</f>
        <v>34</v>
      </c>
      <c r="Q22" s="16">
        <v>0</v>
      </c>
    </row>
    <row r="23" spans="1:17" ht="11.65" customHeight="1">
      <c r="A23" s="2">
        <v>18</v>
      </c>
      <c r="B23" s="27"/>
      <c r="C23" s="16"/>
      <c r="D23" s="25">
        <f>+D22+$B$6</f>
        <v>4.5</v>
      </c>
      <c r="E23" s="16">
        <v>6.3</v>
      </c>
      <c r="F23" s="27">
        <f t="shared" si="0"/>
        <v>4.5</v>
      </c>
      <c r="G23" s="16">
        <v>2</v>
      </c>
      <c r="H23" s="25">
        <f t="shared" si="1"/>
        <v>4.5</v>
      </c>
      <c r="I23" s="16">
        <v>2</v>
      </c>
      <c r="J23" s="27">
        <f>+J22+J$6</f>
        <v>9</v>
      </c>
      <c r="K23" s="16">
        <v>3.5</v>
      </c>
      <c r="L23" s="27">
        <f>+L22+L$6</f>
        <v>9</v>
      </c>
      <c r="M23" s="16">
        <v>2</v>
      </c>
      <c r="N23" s="27">
        <f>+N22+N$6</f>
        <v>9</v>
      </c>
      <c r="O23" s="16">
        <v>1.5</v>
      </c>
      <c r="P23" s="27">
        <f>+P22+P$6</f>
        <v>36</v>
      </c>
      <c r="Q23" s="16">
        <v>0</v>
      </c>
    </row>
    <row r="24" spans="1:17" ht="11.65" customHeight="1">
      <c r="A24" s="2">
        <v>19</v>
      </c>
      <c r="B24" s="27"/>
      <c r="C24" s="16"/>
      <c r="D24" s="25">
        <f>+D23+$B$6</f>
        <v>4.75</v>
      </c>
      <c r="E24" s="16">
        <v>4</v>
      </c>
      <c r="F24" s="27">
        <f t="shared" si="0"/>
        <v>4.75</v>
      </c>
      <c r="G24" s="16">
        <v>2</v>
      </c>
      <c r="H24" s="25">
        <f t="shared" si="1"/>
        <v>4.75</v>
      </c>
      <c r="I24" s="16">
        <v>2.2999999999999998</v>
      </c>
      <c r="J24" s="27">
        <f>+J23+J$6</f>
        <v>9.5</v>
      </c>
      <c r="K24" s="16">
        <v>4.9000000000000004</v>
      </c>
      <c r="L24" s="27">
        <f>+L23+L$6</f>
        <v>9.5</v>
      </c>
      <c r="M24" s="16">
        <v>1.6</v>
      </c>
      <c r="N24" s="27">
        <f>+N23+N$6</f>
        <v>9.5</v>
      </c>
      <c r="O24" s="16">
        <v>1.7</v>
      </c>
      <c r="P24" s="27">
        <f>+P23+P$6</f>
        <v>38</v>
      </c>
      <c r="Q24" s="16">
        <v>0</v>
      </c>
    </row>
    <row r="25" spans="1:17" ht="11.65" customHeight="1">
      <c r="A25" s="2">
        <v>20</v>
      </c>
      <c r="B25" s="27"/>
      <c r="C25" s="16"/>
      <c r="D25" s="25">
        <f>+D24+$B$6</f>
        <v>5</v>
      </c>
      <c r="E25" s="16">
        <v>3</v>
      </c>
      <c r="F25" s="27">
        <f t="shared" si="0"/>
        <v>5</v>
      </c>
      <c r="G25" s="16">
        <v>3</v>
      </c>
      <c r="H25" s="25">
        <f t="shared" si="1"/>
        <v>5</v>
      </c>
      <c r="I25" s="16">
        <v>3</v>
      </c>
      <c r="J25" s="27">
        <f>+J24+J$6</f>
        <v>10</v>
      </c>
      <c r="K25" s="16">
        <v>21.2</v>
      </c>
      <c r="L25" s="27">
        <f>+L24+L$6</f>
        <v>10</v>
      </c>
      <c r="M25" s="16">
        <v>1.5</v>
      </c>
      <c r="N25" s="27">
        <f>+N24+N$6</f>
        <v>10</v>
      </c>
      <c r="O25" s="16">
        <v>2.2000000000000002</v>
      </c>
      <c r="P25" s="27">
        <f>+P24+P$6</f>
        <v>40</v>
      </c>
      <c r="Q25" s="16">
        <v>1.1000000000000001</v>
      </c>
    </row>
    <row r="26" spans="1:17" ht="11.65" customHeight="1">
      <c r="A26" s="2">
        <v>21</v>
      </c>
      <c r="B26" s="27"/>
      <c r="C26" s="16"/>
      <c r="D26" s="25">
        <f>+D25+$B$6</f>
        <v>5.25</v>
      </c>
      <c r="E26" s="16">
        <v>2.5</v>
      </c>
      <c r="F26" s="27">
        <f t="shared" si="0"/>
        <v>5.25</v>
      </c>
      <c r="G26" s="16">
        <v>3</v>
      </c>
      <c r="H26" s="25">
        <f t="shared" si="1"/>
        <v>5.25</v>
      </c>
      <c r="I26" s="16">
        <v>3.2</v>
      </c>
      <c r="J26" s="27">
        <f>+J25+J$6</f>
        <v>10.5</v>
      </c>
      <c r="K26" s="16">
        <v>6.8</v>
      </c>
      <c r="L26" s="27">
        <f>+L25+L$6</f>
        <v>10.5</v>
      </c>
      <c r="M26" s="16">
        <v>1.5</v>
      </c>
      <c r="N26" s="27">
        <f>+N25+N$6</f>
        <v>10.5</v>
      </c>
      <c r="O26" s="16">
        <v>2.4</v>
      </c>
      <c r="P26" s="27">
        <f>+P25+P$6</f>
        <v>42</v>
      </c>
      <c r="Q26" s="16">
        <v>0.4</v>
      </c>
    </row>
    <row r="27" spans="1:17" ht="11.65" customHeight="1">
      <c r="A27" s="2">
        <v>22</v>
      </c>
      <c r="B27" s="27"/>
      <c r="C27" s="16"/>
      <c r="D27" s="25">
        <f>+D26+$B$6</f>
        <v>5.5</v>
      </c>
      <c r="E27" s="16">
        <v>2.4</v>
      </c>
      <c r="F27" s="27">
        <f t="shared" si="0"/>
        <v>5.5</v>
      </c>
      <c r="G27" s="16">
        <v>3</v>
      </c>
      <c r="H27" s="25">
        <f t="shared" si="1"/>
        <v>5.5</v>
      </c>
      <c r="I27" s="16">
        <v>4.0999999999999996</v>
      </c>
      <c r="J27" s="27">
        <f>+J26+J$6</f>
        <v>11</v>
      </c>
      <c r="K27" s="16">
        <v>4</v>
      </c>
      <c r="L27" s="27">
        <f>+L26+L$6</f>
        <v>11</v>
      </c>
      <c r="M27" s="16">
        <v>1.4</v>
      </c>
      <c r="N27" s="27">
        <f>+N26+N$6</f>
        <v>11</v>
      </c>
      <c r="O27" s="16">
        <v>3.1</v>
      </c>
      <c r="P27" s="27">
        <f>+P26+P$6</f>
        <v>44</v>
      </c>
      <c r="Q27" s="16">
        <v>4.7</v>
      </c>
    </row>
    <row r="28" spans="1:17" ht="11.65" customHeight="1">
      <c r="A28" s="2">
        <v>23</v>
      </c>
      <c r="B28" s="27"/>
      <c r="C28" s="16"/>
      <c r="D28" s="25">
        <f>+D27+$B$6</f>
        <v>5.75</v>
      </c>
      <c r="E28" s="16">
        <v>2.2000000000000002</v>
      </c>
      <c r="F28" s="27">
        <f t="shared" si="0"/>
        <v>5.75</v>
      </c>
      <c r="G28" s="16">
        <v>3</v>
      </c>
      <c r="H28" s="25">
        <f>+H27+$B$6</f>
        <v>5.75</v>
      </c>
      <c r="I28" s="16">
        <v>4.9000000000000004</v>
      </c>
      <c r="J28" s="27">
        <f>+J27+J$6</f>
        <v>11.5</v>
      </c>
      <c r="K28" s="16">
        <v>3.25</v>
      </c>
      <c r="L28" s="27">
        <f>+L27+L$6</f>
        <v>11.5</v>
      </c>
      <c r="M28" s="16">
        <v>1.3</v>
      </c>
      <c r="N28" s="27">
        <f>+N27+N$6</f>
        <v>11.5</v>
      </c>
      <c r="O28" s="16">
        <v>3.7</v>
      </c>
      <c r="P28" s="27">
        <f>+P27+P$6</f>
        <v>46</v>
      </c>
      <c r="Q28" s="16">
        <v>3</v>
      </c>
    </row>
    <row r="29" spans="1:17" ht="11.65" customHeight="1">
      <c r="A29" s="3">
        <v>24</v>
      </c>
      <c r="B29" s="28"/>
      <c r="C29" s="17"/>
      <c r="D29" s="26">
        <f>+D28+$B$6</f>
        <v>6</v>
      </c>
      <c r="E29" s="17">
        <v>2.1</v>
      </c>
      <c r="F29" s="28">
        <f t="shared" si="0"/>
        <v>6</v>
      </c>
      <c r="G29" s="17">
        <v>4</v>
      </c>
      <c r="H29" s="26">
        <f t="shared" ref="H29:H38" si="2">+H28+$B$6</f>
        <v>6</v>
      </c>
      <c r="I29" s="17">
        <v>14.6</v>
      </c>
      <c r="J29" s="28">
        <f>+J28+J$6</f>
        <v>12</v>
      </c>
      <c r="K29" s="17">
        <v>2.85</v>
      </c>
      <c r="L29" s="28">
        <f>+L28+L$6</f>
        <v>12</v>
      </c>
      <c r="M29" s="17">
        <v>1.1000000000000001</v>
      </c>
      <c r="N29" s="28">
        <f>+N28+N$6</f>
        <v>12</v>
      </c>
      <c r="O29" s="17">
        <v>10.9</v>
      </c>
      <c r="P29" s="28">
        <f>+P28+P$6</f>
        <v>48</v>
      </c>
      <c r="Q29" s="17">
        <v>3.6</v>
      </c>
    </row>
    <row r="30" spans="1:17" ht="11.65" customHeight="1">
      <c r="A30" s="2">
        <v>25</v>
      </c>
      <c r="B30" s="27"/>
      <c r="C30" s="16"/>
      <c r="D30" s="27"/>
      <c r="E30" s="16"/>
      <c r="F30" s="27">
        <f t="shared" si="0"/>
        <v>6.25</v>
      </c>
      <c r="G30" s="16">
        <v>4</v>
      </c>
      <c r="H30" s="25">
        <f t="shared" si="2"/>
        <v>6.25</v>
      </c>
      <c r="I30" s="16">
        <v>6.1</v>
      </c>
      <c r="J30" s="27">
        <f>+J29+J$6</f>
        <v>12.5</v>
      </c>
      <c r="K30" s="16">
        <v>2.52</v>
      </c>
      <c r="L30" s="27">
        <f>+L29+L$6</f>
        <v>12.5</v>
      </c>
      <c r="M30" s="16">
        <v>0.3</v>
      </c>
      <c r="N30" s="27">
        <f>+N29+N$6</f>
        <v>12.5</v>
      </c>
      <c r="O30" s="16">
        <v>4.5</v>
      </c>
      <c r="P30" s="27">
        <f>+P29+P$6</f>
        <v>50</v>
      </c>
      <c r="Q30" s="16">
        <v>2.4</v>
      </c>
    </row>
    <row r="31" spans="1:17" ht="11.65" customHeight="1">
      <c r="A31" s="2">
        <v>26</v>
      </c>
      <c r="B31" s="27"/>
      <c r="C31" s="16"/>
      <c r="D31" s="27"/>
      <c r="E31" s="16"/>
      <c r="F31" s="27">
        <f t="shared" si="0"/>
        <v>6.5</v>
      </c>
      <c r="G31" s="16">
        <v>5</v>
      </c>
      <c r="H31" s="25">
        <f t="shared" si="2"/>
        <v>6.5</v>
      </c>
      <c r="I31" s="16">
        <v>3.6</v>
      </c>
      <c r="J31" s="27">
        <f>+J30+J$6</f>
        <v>13</v>
      </c>
      <c r="K31" s="16">
        <v>2.2799999999999998</v>
      </c>
      <c r="L31" s="27">
        <f>+L30+L$6</f>
        <v>13</v>
      </c>
      <c r="M31" s="16">
        <v>0.3</v>
      </c>
      <c r="N31" s="27">
        <f>+N30+N$6</f>
        <v>13</v>
      </c>
      <c r="O31" s="16">
        <v>2.7</v>
      </c>
      <c r="P31" s="27">
        <f>+P30+P$6</f>
        <v>52</v>
      </c>
      <c r="Q31" s="16">
        <v>3.6</v>
      </c>
    </row>
    <row r="32" spans="1:17" ht="11.65" customHeight="1">
      <c r="A32" s="2">
        <v>27</v>
      </c>
      <c r="B32" s="27"/>
      <c r="C32" s="16"/>
      <c r="D32" s="27"/>
      <c r="E32" s="16"/>
      <c r="F32" s="27">
        <f t="shared" si="0"/>
        <v>6.75</v>
      </c>
      <c r="G32" s="16">
        <v>7</v>
      </c>
      <c r="H32" s="25">
        <f t="shared" si="2"/>
        <v>6.75</v>
      </c>
      <c r="I32" s="16">
        <v>3.1</v>
      </c>
      <c r="J32" s="27">
        <f>+J31+J$6</f>
        <v>13.5</v>
      </c>
      <c r="K32" s="16">
        <v>2.0299999999999998</v>
      </c>
      <c r="L32" s="27">
        <f>+L31+L$6</f>
        <v>13.5</v>
      </c>
      <c r="M32" s="16">
        <v>0.4</v>
      </c>
      <c r="N32" s="27">
        <f>+N31+N$6</f>
        <v>13.5</v>
      </c>
      <c r="O32" s="16">
        <v>2.2999999999999998</v>
      </c>
      <c r="P32" s="27">
        <f>+P31+P$6</f>
        <v>54</v>
      </c>
      <c r="Q32" s="16">
        <v>5</v>
      </c>
    </row>
    <row r="33" spans="1:17" ht="11.65" customHeight="1">
      <c r="A33" s="2">
        <v>28</v>
      </c>
      <c r="B33" s="27"/>
      <c r="C33" s="16"/>
      <c r="D33" s="27"/>
      <c r="E33" s="16"/>
      <c r="F33" s="27">
        <f t="shared" si="0"/>
        <v>7</v>
      </c>
      <c r="G33" s="16">
        <v>6</v>
      </c>
      <c r="H33" s="25">
        <f t="shared" si="2"/>
        <v>7</v>
      </c>
      <c r="I33" s="16">
        <v>2.8</v>
      </c>
      <c r="J33" s="27">
        <f>+J32+J$6</f>
        <v>14</v>
      </c>
      <c r="K33" s="16">
        <v>1.77</v>
      </c>
      <c r="L33" s="27">
        <f>+L32+L$6</f>
        <v>14</v>
      </c>
      <c r="M33" s="16">
        <v>0.4</v>
      </c>
      <c r="N33" s="27">
        <f>+N32+N$6</f>
        <v>14</v>
      </c>
      <c r="O33" s="16">
        <v>2.1</v>
      </c>
      <c r="P33" s="27">
        <f>+P32+P$6</f>
        <v>56</v>
      </c>
      <c r="Q33" s="16">
        <v>4.4000000000000004</v>
      </c>
    </row>
    <row r="34" spans="1:17" ht="11.65" customHeight="1">
      <c r="A34" s="2">
        <v>29</v>
      </c>
      <c r="B34" s="27"/>
      <c r="C34" s="16"/>
      <c r="D34" s="27"/>
      <c r="E34" s="16"/>
      <c r="F34" s="27">
        <f t="shared" si="0"/>
        <v>7.25</v>
      </c>
      <c r="G34" s="16">
        <v>5</v>
      </c>
      <c r="H34" s="25">
        <f t="shared" si="2"/>
        <v>7.25</v>
      </c>
      <c r="I34" s="16">
        <v>2.6</v>
      </c>
      <c r="J34" s="27">
        <f>+J33+J$6</f>
        <v>14.5</v>
      </c>
      <c r="K34" s="16">
        <v>1.62</v>
      </c>
      <c r="L34" s="27">
        <f>+L33+L$6</f>
        <v>14.5</v>
      </c>
      <c r="M34" s="16">
        <v>0.4</v>
      </c>
      <c r="N34" s="27">
        <f>+N33+N$6</f>
        <v>14.5</v>
      </c>
      <c r="O34" s="16">
        <v>1.9</v>
      </c>
      <c r="P34" s="27">
        <f>+P33+P$6</f>
        <v>58</v>
      </c>
      <c r="Q34" s="16">
        <v>4.4000000000000004</v>
      </c>
    </row>
    <row r="35" spans="1:17" ht="11.65" customHeight="1">
      <c r="A35" s="2">
        <v>30</v>
      </c>
      <c r="B35" s="27"/>
      <c r="C35" s="16"/>
      <c r="D35" s="27"/>
      <c r="E35" s="16"/>
      <c r="F35" s="27">
        <f t="shared" si="0"/>
        <v>7.5</v>
      </c>
      <c r="G35" s="16">
        <v>4</v>
      </c>
      <c r="H35" s="25">
        <f t="shared" si="2"/>
        <v>7.5</v>
      </c>
      <c r="I35" s="16">
        <v>2.1</v>
      </c>
      <c r="J35" s="27">
        <f>+J34+J$6</f>
        <v>15</v>
      </c>
      <c r="K35" s="16">
        <v>1.58</v>
      </c>
      <c r="L35" s="27">
        <f>+L34+L$6</f>
        <v>15</v>
      </c>
      <c r="M35" s="16">
        <v>0.4</v>
      </c>
      <c r="N35" s="27">
        <f>+N34+N$6</f>
        <v>15</v>
      </c>
      <c r="O35" s="16">
        <v>1.6</v>
      </c>
      <c r="P35" s="27">
        <f>+P34+P$6</f>
        <v>60</v>
      </c>
      <c r="Q35" s="16">
        <v>4.4000000000000004</v>
      </c>
    </row>
    <row r="36" spans="1:17" ht="11.65" customHeight="1">
      <c r="A36" s="2">
        <v>31</v>
      </c>
      <c r="B36" s="27"/>
      <c r="C36" s="16"/>
      <c r="D36" s="27"/>
      <c r="E36" s="16"/>
      <c r="F36" s="27">
        <f t="shared" si="0"/>
        <v>7.75</v>
      </c>
      <c r="G36" s="16">
        <v>3</v>
      </c>
      <c r="H36" s="25">
        <f t="shared" si="2"/>
        <v>7.75</v>
      </c>
      <c r="I36" s="16">
        <v>2</v>
      </c>
      <c r="J36" s="27">
        <f>+J35+J$6</f>
        <v>15.5</v>
      </c>
      <c r="K36" s="16">
        <v>1.53</v>
      </c>
      <c r="L36" s="27">
        <f>+L35+L$6</f>
        <v>15.5</v>
      </c>
      <c r="M36" s="16">
        <v>0.4</v>
      </c>
      <c r="N36" s="27">
        <f>+N35+N$6</f>
        <v>15.5</v>
      </c>
      <c r="O36" s="16">
        <v>1.5</v>
      </c>
      <c r="P36" s="27">
        <f>+P35+P$6</f>
        <v>62</v>
      </c>
      <c r="Q36" s="16">
        <v>3.3</v>
      </c>
    </row>
    <row r="37" spans="1:17" ht="11.65" customHeight="1">
      <c r="A37" s="2">
        <v>32</v>
      </c>
      <c r="B37" s="27"/>
      <c r="C37" s="16"/>
      <c r="D37" s="27"/>
      <c r="E37" s="16"/>
      <c r="F37" s="27">
        <f t="shared" si="0"/>
        <v>8</v>
      </c>
      <c r="G37" s="16">
        <v>2</v>
      </c>
      <c r="H37" s="25">
        <f t="shared" si="2"/>
        <v>8</v>
      </c>
      <c r="I37" s="16">
        <v>1.8</v>
      </c>
      <c r="J37" s="27">
        <f>+J36+J$6</f>
        <v>16</v>
      </c>
      <c r="K37" s="16">
        <v>1.47</v>
      </c>
      <c r="L37" s="27">
        <f>+L36+L$6</f>
        <v>16</v>
      </c>
      <c r="M37" s="16">
        <v>0.4</v>
      </c>
      <c r="N37" s="27">
        <f>+N36+N$6</f>
        <v>16</v>
      </c>
      <c r="O37" s="16">
        <v>1.3</v>
      </c>
      <c r="P37" s="27">
        <f>+P36+P$6</f>
        <v>64</v>
      </c>
      <c r="Q37" s="16">
        <v>4.7</v>
      </c>
    </row>
    <row r="38" spans="1:17" ht="11.65" customHeight="1">
      <c r="A38" s="2">
        <v>33</v>
      </c>
      <c r="B38" s="27"/>
      <c r="C38" s="16"/>
      <c r="D38" s="27"/>
      <c r="E38" s="16"/>
      <c r="F38" s="27">
        <f t="shared" si="0"/>
        <v>8.25</v>
      </c>
      <c r="G38" s="16">
        <v>2</v>
      </c>
      <c r="H38" s="25">
        <f>+H37+$B$6</f>
        <v>8.25</v>
      </c>
      <c r="I38" s="16">
        <v>1.7</v>
      </c>
      <c r="J38" s="27">
        <f>+J37+J$6</f>
        <v>16.5</v>
      </c>
      <c r="K38" s="16">
        <v>1.42</v>
      </c>
      <c r="L38" s="27">
        <f>+L37+L$6</f>
        <v>16.5</v>
      </c>
      <c r="M38" s="16">
        <v>0.5</v>
      </c>
      <c r="N38" s="27">
        <f>+N37+N$6</f>
        <v>16.5</v>
      </c>
      <c r="O38" s="16">
        <v>1.3</v>
      </c>
      <c r="P38" s="27">
        <f>+P37+P$6</f>
        <v>66</v>
      </c>
      <c r="Q38" s="16">
        <v>13.7</v>
      </c>
    </row>
    <row r="39" spans="1:17" ht="11.65" customHeight="1">
      <c r="A39" s="2">
        <v>34</v>
      </c>
      <c r="B39" s="27"/>
      <c r="C39" s="16"/>
      <c r="D39" s="27"/>
      <c r="E39" s="16"/>
      <c r="F39" s="27">
        <f t="shared" si="0"/>
        <v>8.5</v>
      </c>
      <c r="G39" s="16">
        <v>2</v>
      </c>
      <c r="H39" s="25">
        <f t="shared" ref="H39:H53" si="3">+H38+$B$6</f>
        <v>8.5</v>
      </c>
      <c r="I39" s="16">
        <v>1.7</v>
      </c>
      <c r="J39" s="27">
        <f>+J38+J$6</f>
        <v>17</v>
      </c>
      <c r="K39" s="16">
        <v>1.38</v>
      </c>
      <c r="L39" s="27">
        <f>+L38+L$6</f>
        <v>17</v>
      </c>
      <c r="M39" s="16">
        <v>0.5</v>
      </c>
      <c r="N39" s="27">
        <f>+N38+N$6</f>
        <v>17</v>
      </c>
      <c r="O39" s="16">
        <v>1.3</v>
      </c>
      <c r="P39" s="27">
        <f>+P38+P$6</f>
        <v>68</v>
      </c>
      <c r="Q39" s="16">
        <v>3.6</v>
      </c>
    </row>
    <row r="40" spans="1:17" ht="11.65" customHeight="1">
      <c r="A40" s="2">
        <v>35</v>
      </c>
      <c r="B40" s="27"/>
      <c r="C40" s="16"/>
      <c r="D40" s="27"/>
      <c r="E40" s="16"/>
      <c r="F40" s="27">
        <f t="shared" si="0"/>
        <v>8.75</v>
      </c>
      <c r="G40" s="16">
        <v>2</v>
      </c>
      <c r="H40" s="25">
        <f t="shared" si="3"/>
        <v>8.75</v>
      </c>
      <c r="I40" s="16">
        <v>1.6</v>
      </c>
      <c r="J40" s="27">
        <f>+J39+J$6</f>
        <v>17.5</v>
      </c>
      <c r="K40" s="16">
        <v>1.33</v>
      </c>
      <c r="L40" s="27">
        <f>+L39+L$6</f>
        <v>17.5</v>
      </c>
      <c r="M40" s="16">
        <v>0.5</v>
      </c>
      <c r="N40" s="27">
        <f>+N39+N$6</f>
        <v>17.5</v>
      </c>
      <c r="O40" s="16">
        <v>1.2</v>
      </c>
      <c r="P40" s="27">
        <f>+P39+P$6</f>
        <v>70</v>
      </c>
      <c r="Q40" s="16">
        <v>4.5999999999999996</v>
      </c>
    </row>
    <row r="41" spans="1:17" ht="11.65" customHeight="1">
      <c r="A41" s="3">
        <v>36</v>
      </c>
      <c r="B41" s="28"/>
      <c r="C41" s="17"/>
      <c r="D41" s="28"/>
      <c r="E41" s="17"/>
      <c r="F41" s="28">
        <f t="shared" si="0"/>
        <v>9</v>
      </c>
      <c r="G41" s="17">
        <v>1</v>
      </c>
      <c r="H41" s="26">
        <f t="shared" si="3"/>
        <v>9</v>
      </c>
      <c r="I41" s="17">
        <v>1.6</v>
      </c>
      <c r="J41" s="28">
        <f>+J40+J$6</f>
        <v>18</v>
      </c>
      <c r="K41" s="17">
        <v>1.27</v>
      </c>
      <c r="L41" s="28">
        <f>+L40+L$6</f>
        <v>18</v>
      </c>
      <c r="M41" s="17">
        <v>0.6</v>
      </c>
      <c r="N41" s="28">
        <f>+N40+N$6</f>
        <v>18</v>
      </c>
      <c r="O41" s="17">
        <v>1.2</v>
      </c>
      <c r="P41" s="28">
        <f>+P40+P$6</f>
        <v>72</v>
      </c>
      <c r="Q41" s="17">
        <v>4.4000000000000004</v>
      </c>
    </row>
    <row r="42" spans="1:17" ht="11.65" customHeight="1">
      <c r="A42" s="2">
        <v>37</v>
      </c>
      <c r="B42" s="27"/>
      <c r="C42" s="16"/>
      <c r="D42" s="27"/>
      <c r="E42" s="16"/>
      <c r="F42" s="27"/>
      <c r="G42" s="16"/>
      <c r="H42" s="25">
        <f t="shared" si="3"/>
        <v>9.25</v>
      </c>
      <c r="I42" s="16">
        <v>1.3</v>
      </c>
      <c r="J42" s="27">
        <f>+J41+J$6</f>
        <v>18.5</v>
      </c>
      <c r="K42" s="16">
        <v>1.22</v>
      </c>
      <c r="L42" s="27">
        <f>+L41+L$6</f>
        <v>18.5</v>
      </c>
      <c r="M42" s="16">
        <v>0.7</v>
      </c>
      <c r="N42" s="27">
        <f>+N41+N$6</f>
        <v>18.5</v>
      </c>
      <c r="O42" s="16">
        <v>1</v>
      </c>
      <c r="P42" s="27">
        <f>+P41+P$6</f>
        <v>74</v>
      </c>
      <c r="Q42" s="16">
        <v>3.4</v>
      </c>
    </row>
    <row r="43" spans="1:17" ht="11.65" customHeight="1">
      <c r="A43" s="2">
        <v>38</v>
      </c>
      <c r="B43" s="27"/>
      <c r="C43" s="16"/>
      <c r="D43" s="27"/>
      <c r="E43" s="16"/>
      <c r="F43" s="27"/>
      <c r="G43" s="16"/>
      <c r="H43" s="25">
        <f t="shared" si="3"/>
        <v>9.5</v>
      </c>
      <c r="I43" s="16">
        <v>1.2</v>
      </c>
      <c r="J43" s="27">
        <f>+J42+J$6</f>
        <v>19</v>
      </c>
      <c r="K43" s="16">
        <v>1.18</v>
      </c>
      <c r="L43" s="27">
        <f>+L42+L$6</f>
        <v>19</v>
      </c>
      <c r="M43" s="16">
        <v>0.7</v>
      </c>
      <c r="N43" s="27">
        <f>+N42+N$6</f>
        <v>19</v>
      </c>
      <c r="O43" s="16">
        <v>0.9</v>
      </c>
      <c r="P43" s="27">
        <f>+P42+P$6</f>
        <v>76</v>
      </c>
      <c r="Q43" s="16">
        <v>1.5</v>
      </c>
    </row>
    <row r="44" spans="1:17" ht="11.65" customHeight="1">
      <c r="A44" s="2">
        <v>39</v>
      </c>
      <c r="B44" s="27"/>
      <c r="C44" s="16"/>
      <c r="D44" s="27"/>
      <c r="E44" s="16"/>
      <c r="F44" s="27"/>
      <c r="G44" s="16"/>
      <c r="H44" s="25">
        <f t="shared" si="3"/>
        <v>9.75</v>
      </c>
      <c r="I44" s="16">
        <v>1.2</v>
      </c>
      <c r="J44" s="27">
        <f>+J43+J$6</f>
        <v>19.5</v>
      </c>
      <c r="K44" s="16">
        <v>1.1200000000000001</v>
      </c>
      <c r="L44" s="27">
        <f>+L43+L$6</f>
        <v>19.5</v>
      </c>
      <c r="M44" s="16">
        <v>0.8</v>
      </c>
      <c r="N44" s="27">
        <f>+N43+N$6</f>
        <v>19.5</v>
      </c>
      <c r="O44" s="16">
        <v>0.9</v>
      </c>
      <c r="P44" s="27">
        <f>+P43+P$6</f>
        <v>78</v>
      </c>
      <c r="Q44" s="16">
        <v>0.9</v>
      </c>
    </row>
    <row r="45" spans="1:17" ht="12" customHeight="1">
      <c r="A45" s="2">
        <v>40</v>
      </c>
      <c r="B45" s="27"/>
      <c r="C45" s="16"/>
      <c r="D45" s="27"/>
      <c r="E45" s="16"/>
      <c r="F45" s="27"/>
      <c r="G45" s="16"/>
      <c r="H45" s="25">
        <f t="shared" si="3"/>
        <v>10</v>
      </c>
      <c r="I45" s="16">
        <v>1.2</v>
      </c>
      <c r="J45" s="27">
        <f>+J44+J$6</f>
        <v>20</v>
      </c>
      <c r="K45" s="16">
        <v>1.08</v>
      </c>
      <c r="L45" s="27">
        <f>+L44+L$6</f>
        <v>20</v>
      </c>
      <c r="M45" s="16">
        <v>0.8</v>
      </c>
      <c r="N45" s="27">
        <f>+N44+N$6</f>
        <v>20</v>
      </c>
      <c r="O45" s="16">
        <v>0.9</v>
      </c>
      <c r="P45" s="27">
        <f>+P44+P$6</f>
        <v>80</v>
      </c>
      <c r="Q45" s="16">
        <v>0</v>
      </c>
    </row>
    <row r="46" spans="1:17" ht="12" customHeight="1">
      <c r="A46" s="2">
        <v>41</v>
      </c>
      <c r="B46" s="27"/>
      <c r="C46" s="16"/>
      <c r="D46" s="27"/>
      <c r="E46" s="16"/>
      <c r="F46" s="27"/>
      <c r="G46" s="16"/>
      <c r="H46" s="25">
        <f t="shared" si="3"/>
        <v>10.25</v>
      </c>
      <c r="I46" s="16">
        <v>1.2</v>
      </c>
      <c r="J46" s="27">
        <f>+J45+J$6</f>
        <v>20.5</v>
      </c>
      <c r="K46" s="16">
        <v>1.03</v>
      </c>
      <c r="L46" s="27">
        <f>+L45+L$6</f>
        <v>20.5</v>
      </c>
      <c r="M46" s="16">
        <v>1</v>
      </c>
      <c r="N46" s="27">
        <f>+N45+N$6</f>
        <v>20.5</v>
      </c>
      <c r="O46" s="16">
        <v>0.9</v>
      </c>
      <c r="P46" s="27">
        <f>+P45+P$6</f>
        <v>82</v>
      </c>
      <c r="Q46" s="16">
        <v>0.2</v>
      </c>
    </row>
    <row r="47" spans="1:17" ht="12" customHeight="1">
      <c r="A47" s="2">
        <v>42</v>
      </c>
      <c r="B47" s="27"/>
      <c r="C47" s="16"/>
      <c r="D47" s="27"/>
      <c r="E47" s="16"/>
      <c r="F47" s="27"/>
      <c r="G47" s="16"/>
      <c r="H47" s="25">
        <f t="shared" si="3"/>
        <v>10.5</v>
      </c>
      <c r="I47" s="16">
        <v>1.1000000000000001</v>
      </c>
      <c r="J47" s="27">
        <f>+J46+J$6</f>
        <v>21</v>
      </c>
      <c r="K47" s="16">
        <v>0.97</v>
      </c>
      <c r="L47" s="27">
        <f>+L46+L$6</f>
        <v>21</v>
      </c>
      <c r="M47" s="16">
        <v>1.3</v>
      </c>
      <c r="N47" s="27">
        <f>+N46+N$6</f>
        <v>21</v>
      </c>
      <c r="O47" s="16">
        <v>0.8</v>
      </c>
      <c r="P47" s="27">
        <f>+P46+P$6</f>
        <v>84</v>
      </c>
      <c r="Q47" s="16">
        <v>1.2</v>
      </c>
    </row>
    <row r="48" spans="1:17" ht="12" customHeight="1">
      <c r="A48" s="2">
        <v>43</v>
      </c>
      <c r="B48" s="27"/>
      <c r="C48" s="16"/>
      <c r="D48" s="27"/>
      <c r="E48" s="16"/>
      <c r="F48" s="27"/>
      <c r="G48" s="16"/>
      <c r="H48" s="25">
        <f t="shared" si="3"/>
        <v>10.75</v>
      </c>
      <c r="I48" s="16">
        <v>1.1000000000000001</v>
      </c>
      <c r="J48" s="27">
        <f>+J47+J$6</f>
        <v>21.5</v>
      </c>
      <c r="K48" s="16">
        <v>0.93</v>
      </c>
      <c r="L48" s="27">
        <f>+L47+L$6</f>
        <v>21.5</v>
      </c>
      <c r="M48" s="16">
        <v>1.8</v>
      </c>
      <c r="N48" s="27">
        <f>+N47+N$6</f>
        <v>21.5</v>
      </c>
      <c r="O48" s="16">
        <v>0.8</v>
      </c>
      <c r="P48" s="27">
        <f>+P47+P$6</f>
        <v>86</v>
      </c>
      <c r="Q48" s="16">
        <v>1.1000000000000001</v>
      </c>
    </row>
    <row r="49" spans="1:20" ht="12" customHeight="1">
      <c r="A49" s="2">
        <v>44</v>
      </c>
      <c r="B49" s="27"/>
      <c r="C49" s="16"/>
      <c r="D49" s="27"/>
      <c r="E49" s="16"/>
      <c r="F49" s="27"/>
      <c r="G49" s="16"/>
      <c r="H49" s="25">
        <f t="shared" si="3"/>
        <v>11</v>
      </c>
      <c r="I49" s="16">
        <v>1.1000000000000001</v>
      </c>
      <c r="J49" s="27">
        <f>+J48+J$6</f>
        <v>22</v>
      </c>
      <c r="K49" s="16">
        <v>0.87</v>
      </c>
      <c r="L49" s="27">
        <f>+L48+L$6</f>
        <v>22</v>
      </c>
      <c r="M49" s="16">
        <v>5.5</v>
      </c>
      <c r="N49" s="27">
        <f>+N48+N$6</f>
        <v>22</v>
      </c>
      <c r="O49" s="16">
        <v>0.8</v>
      </c>
      <c r="P49" s="27">
        <f>+P48+P$6</f>
        <v>88</v>
      </c>
      <c r="Q49" s="16">
        <v>0</v>
      </c>
    </row>
    <row r="50" spans="1:20" ht="12" customHeight="1">
      <c r="A50" s="2">
        <v>45</v>
      </c>
      <c r="B50" s="27"/>
      <c r="C50" s="16"/>
      <c r="D50" s="27"/>
      <c r="E50" s="16"/>
      <c r="F50" s="27"/>
      <c r="G50" s="16"/>
      <c r="H50" s="25">
        <f t="shared" si="3"/>
        <v>11.25</v>
      </c>
      <c r="I50" s="16">
        <v>1</v>
      </c>
      <c r="J50" s="27">
        <f>+J49+J$6</f>
        <v>22.5</v>
      </c>
      <c r="K50" s="16">
        <v>0.83</v>
      </c>
      <c r="L50" s="27">
        <f>+L49+L$6</f>
        <v>22.5</v>
      </c>
      <c r="M50" s="16">
        <v>2.4</v>
      </c>
      <c r="N50" s="27">
        <f>+N49+N$6</f>
        <v>22.5</v>
      </c>
      <c r="O50" s="16">
        <v>0.7</v>
      </c>
      <c r="P50" s="27">
        <f>+P49+P$6</f>
        <v>90</v>
      </c>
      <c r="Q50" s="16">
        <v>0</v>
      </c>
    </row>
    <row r="51" spans="1:20">
      <c r="A51" s="2">
        <v>46</v>
      </c>
      <c r="B51" s="27"/>
      <c r="C51" s="16"/>
      <c r="D51" s="27"/>
      <c r="E51" s="16"/>
      <c r="F51" s="27"/>
      <c r="G51" s="16"/>
      <c r="H51" s="25">
        <f t="shared" si="3"/>
        <v>11.5</v>
      </c>
      <c r="I51" s="16">
        <v>1</v>
      </c>
      <c r="J51" s="27">
        <f>+J50+J$6</f>
        <v>23</v>
      </c>
      <c r="K51" s="16">
        <v>0.77</v>
      </c>
      <c r="L51" s="27">
        <f>+L50+L$6</f>
        <v>23</v>
      </c>
      <c r="M51" s="16">
        <v>1.5</v>
      </c>
      <c r="N51" s="27">
        <f>+N50+N$6</f>
        <v>23</v>
      </c>
      <c r="O51" s="16">
        <v>0.7</v>
      </c>
      <c r="P51" s="27">
        <f>+P50+P$6</f>
        <v>92</v>
      </c>
      <c r="Q51" s="16">
        <v>0</v>
      </c>
    </row>
    <row r="52" spans="1:20">
      <c r="A52" s="2">
        <v>47</v>
      </c>
      <c r="B52" s="27"/>
      <c r="C52" s="16"/>
      <c r="D52" s="27"/>
      <c r="E52" s="16"/>
      <c r="F52" s="27"/>
      <c r="G52" s="16"/>
      <c r="H52" s="25">
        <f t="shared" si="3"/>
        <v>11.75</v>
      </c>
      <c r="I52" s="16">
        <v>0.9</v>
      </c>
      <c r="J52" s="27">
        <f>+J51+J$6</f>
        <v>23.5</v>
      </c>
      <c r="K52" s="16">
        <v>0.73</v>
      </c>
      <c r="L52" s="27">
        <f>+L51+L$6</f>
        <v>23.5</v>
      </c>
      <c r="M52" s="16">
        <v>1.1000000000000001</v>
      </c>
      <c r="N52" s="27">
        <f>+N51+N$6</f>
        <v>23.5</v>
      </c>
      <c r="O52" s="16">
        <v>0.7</v>
      </c>
      <c r="P52" s="27">
        <f>+P51+P$6</f>
        <v>94</v>
      </c>
      <c r="Q52" s="16">
        <v>0</v>
      </c>
      <c r="T52" s="7" t="s">
        <v>7</v>
      </c>
    </row>
    <row r="53" spans="1:20">
      <c r="A53" s="3">
        <v>48</v>
      </c>
      <c r="B53" s="28"/>
      <c r="C53" s="17"/>
      <c r="D53" s="28"/>
      <c r="E53" s="17"/>
      <c r="F53" s="28"/>
      <c r="G53" s="17"/>
      <c r="H53" s="26">
        <f t="shared" si="3"/>
        <v>12</v>
      </c>
      <c r="I53" s="17">
        <v>0.9</v>
      </c>
      <c r="J53" s="28">
        <f>+J52+J$6</f>
        <v>24</v>
      </c>
      <c r="K53" s="17">
        <v>0.67</v>
      </c>
      <c r="L53" s="28">
        <f>+L52+L$6</f>
        <v>24</v>
      </c>
      <c r="M53" s="17">
        <v>1.1000000000000001</v>
      </c>
      <c r="N53" s="28">
        <f>+N52+N$6</f>
        <v>24</v>
      </c>
      <c r="O53" s="17">
        <v>0.7</v>
      </c>
      <c r="P53" s="28">
        <f>+P52+P$6</f>
        <v>96</v>
      </c>
      <c r="Q53" s="17">
        <v>0</v>
      </c>
    </row>
    <row r="54" spans="1:20">
      <c r="A54" s="2">
        <v>49</v>
      </c>
      <c r="B54" s="29"/>
      <c r="C54" s="16" t="s">
        <v>7</v>
      </c>
      <c r="D54" s="29"/>
      <c r="E54" s="16" t="s">
        <v>7</v>
      </c>
      <c r="F54" s="29"/>
      <c r="G54" s="16"/>
      <c r="H54" s="29"/>
      <c r="I54" s="16" t="s">
        <v>7</v>
      </c>
      <c r="J54" s="29"/>
      <c r="K54" s="16" t="s">
        <v>7</v>
      </c>
      <c r="L54" s="29">
        <f>+L53+L$6</f>
        <v>24.5</v>
      </c>
      <c r="M54" s="16">
        <v>0.9</v>
      </c>
      <c r="N54" s="29">
        <f>+N53+N$6</f>
        <v>24.5</v>
      </c>
      <c r="O54" s="16">
        <v>0.3</v>
      </c>
      <c r="P54" s="29"/>
      <c r="Q54" s="16" t="s">
        <v>7</v>
      </c>
    </row>
    <row r="55" spans="1:20">
      <c r="A55" s="2">
        <v>50</v>
      </c>
      <c r="B55" s="29"/>
      <c r="C55" s="16"/>
      <c r="D55" s="29"/>
      <c r="E55" s="16"/>
      <c r="F55" s="29"/>
      <c r="G55" s="16"/>
      <c r="H55" s="29"/>
      <c r="I55" s="16"/>
      <c r="J55" s="29"/>
      <c r="K55" s="16"/>
      <c r="L55" s="29">
        <f t="shared" ref="L55:N78" si="4">+L54+L$6</f>
        <v>25</v>
      </c>
      <c r="M55" s="16">
        <v>0.9</v>
      </c>
      <c r="N55" s="29">
        <f t="shared" si="4"/>
        <v>25</v>
      </c>
      <c r="O55" s="16">
        <v>0.3</v>
      </c>
      <c r="P55" s="29"/>
      <c r="Q55" s="16"/>
    </row>
    <row r="56" spans="1:20">
      <c r="A56" s="2">
        <v>51</v>
      </c>
      <c r="B56" s="29"/>
      <c r="C56" s="16"/>
      <c r="D56" s="29"/>
      <c r="E56" s="16"/>
      <c r="F56" s="29"/>
      <c r="G56" s="16"/>
      <c r="H56" s="29"/>
      <c r="I56" s="16"/>
      <c r="J56" s="29"/>
      <c r="K56" s="16"/>
      <c r="L56" s="29">
        <f t="shared" si="4"/>
        <v>25.5</v>
      </c>
      <c r="M56" s="16">
        <v>0.8</v>
      </c>
      <c r="N56" s="29">
        <f t="shared" si="4"/>
        <v>25.5</v>
      </c>
      <c r="O56" s="16">
        <v>0.4</v>
      </c>
      <c r="P56" s="29"/>
      <c r="Q56" s="16"/>
    </row>
    <row r="57" spans="1:20">
      <c r="A57" s="2">
        <v>52</v>
      </c>
      <c r="B57" s="29"/>
      <c r="C57" s="16"/>
      <c r="D57" s="29"/>
      <c r="E57" s="16"/>
      <c r="F57" s="29"/>
      <c r="G57" s="16"/>
      <c r="H57" s="29"/>
      <c r="I57" s="16"/>
      <c r="J57" s="29"/>
      <c r="K57" s="16"/>
      <c r="L57" s="29">
        <f t="shared" si="4"/>
        <v>26</v>
      </c>
      <c r="M57" s="16">
        <v>0.7</v>
      </c>
      <c r="N57" s="29">
        <f t="shared" si="4"/>
        <v>26</v>
      </c>
      <c r="O57" s="16">
        <v>0.4</v>
      </c>
      <c r="P57" s="29"/>
      <c r="Q57" s="16"/>
    </row>
    <row r="58" spans="1:20">
      <c r="A58" s="2">
        <v>53</v>
      </c>
      <c r="B58" s="29"/>
      <c r="C58" s="16"/>
      <c r="D58" s="29"/>
      <c r="E58" s="16"/>
      <c r="F58" s="29"/>
      <c r="G58" s="16"/>
      <c r="H58" s="29"/>
      <c r="I58" s="16"/>
      <c r="J58" s="29"/>
      <c r="K58" s="16"/>
      <c r="L58" s="29">
        <f t="shared" si="4"/>
        <v>26.5</v>
      </c>
      <c r="M58" s="16">
        <v>0.7</v>
      </c>
      <c r="N58" s="29">
        <f t="shared" si="4"/>
        <v>26.5</v>
      </c>
      <c r="O58" s="16">
        <v>0.4</v>
      </c>
      <c r="P58" s="29"/>
      <c r="Q58" s="16"/>
    </row>
    <row r="59" spans="1:20">
      <c r="A59" s="2">
        <v>54</v>
      </c>
      <c r="B59" s="29"/>
      <c r="C59" s="16"/>
      <c r="D59" s="29"/>
      <c r="E59" s="16"/>
      <c r="F59" s="29"/>
      <c r="G59" s="16"/>
      <c r="H59" s="29"/>
      <c r="I59" s="16"/>
      <c r="J59" s="29"/>
      <c r="K59" s="16"/>
      <c r="L59" s="29">
        <f t="shared" si="4"/>
        <v>27</v>
      </c>
      <c r="M59" s="16">
        <v>0.6</v>
      </c>
      <c r="N59" s="29">
        <f t="shared" si="4"/>
        <v>27</v>
      </c>
      <c r="O59" s="16">
        <v>0.4</v>
      </c>
      <c r="P59" s="29"/>
      <c r="Q59" s="16"/>
    </row>
    <row r="60" spans="1:20">
      <c r="A60" s="2">
        <v>55</v>
      </c>
      <c r="B60" s="29"/>
      <c r="C60" s="16"/>
      <c r="D60" s="29"/>
      <c r="E60" s="16"/>
      <c r="F60" s="29"/>
      <c r="G60" s="16"/>
      <c r="H60" s="29"/>
      <c r="I60" s="16"/>
      <c r="J60" s="29"/>
      <c r="K60" s="16"/>
      <c r="L60" s="29">
        <f t="shared" si="4"/>
        <v>27.5</v>
      </c>
      <c r="M60" s="16">
        <v>0.6</v>
      </c>
      <c r="N60" s="29">
        <f t="shared" si="4"/>
        <v>27.5</v>
      </c>
      <c r="O60" s="16">
        <v>0.4</v>
      </c>
      <c r="P60" s="29"/>
      <c r="Q60" s="16"/>
    </row>
    <row r="61" spans="1:20">
      <c r="A61" s="2">
        <v>56</v>
      </c>
      <c r="B61" s="29"/>
      <c r="C61" s="16"/>
      <c r="D61" s="29"/>
      <c r="E61" s="16"/>
      <c r="F61" s="29"/>
      <c r="G61" s="16"/>
      <c r="H61" s="29"/>
      <c r="I61" s="16"/>
      <c r="J61" s="29"/>
      <c r="K61" s="16"/>
      <c r="L61" s="29">
        <f t="shared" si="4"/>
        <v>28</v>
      </c>
      <c r="M61" s="16">
        <v>0.6</v>
      </c>
      <c r="N61" s="29">
        <f t="shared" si="4"/>
        <v>28</v>
      </c>
      <c r="O61" s="16">
        <v>0.5</v>
      </c>
      <c r="P61" s="29"/>
      <c r="Q61" s="16"/>
    </row>
    <row r="62" spans="1:20">
      <c r="A62" s="2">
        <v>57</v>
      </c>
      <c r="B62" s="29"/>
      <c r="C62" s="16"/>
      <c r="D62" s="29"/>
      <c r="E62" s="16"/>
      <c r="F62" s="29"/>
      <c r="G62" s="16"/>
      <c r="H62" s="29"/>
      <c r="I62" s="16"/>
      <c r="J62" s="29"/>
      <c r="K62" s="16"/>
      <c r="L62" s="29">
        <f t="shared" si="4"/>
        <v>28.5</v>
      </c>
      <c r="M62" s="16">
        <v>0.5</v>
      </c>
      <c r="N62" s="29">
        <f t="shared" si="4"/>
        <v>28.5</v>
      </c>
      <c r="O62" s="16">
        <v>0.5</v>
      </c>
      <c r="P62" s="29"/>
      <c r="Q62" s="16"/>
    </row>
    <row r="63" spans="1:20">
      <c r="A63" s="2">
        <v>58</v>
      </c>
      <c r="B63" s="29"/>
      <c r="C63" s="16"/>
      <c r="D63" s="29"/>
      <c r="E63" s="16"/>
      <c r="F63" s="29"/>
      <c r="G63" s="16"/>
      <c r="H63" s="29"/>
      <c r="I63" s="16"/>
      <c r="J63" s="29"/>
      <c r="K63" s="16"/>
      <c r="L63" s="29">
        <f t="shared" si="4"/>
        <v>29</v>
      </c>
      <c r="M63" s="16">
        <v>0.5</v>
      </c>
      <c r="N63" s="29">
        <f t="shared" si="4"/>
        <v>29</v>
      </c>
      <c r="O63" s="16">
        <v>0.5</v>
      </c>
      <c r="P63" s="29"/>
      <c r="Q63" s="16"/>
    </row>
    <row r="64" spans="1:20">
      <c r="A64" s="2">
        <v>59</v>
      </c>
      <c r="B64" s="29"/>
      <c r="C64" s="16"/>
      <c r="D64" s="29"/>
      <c r="E64" s="16"/>
      <c r="F64" s="29"/>
      <c r="G64" s="16"/>
      <c r="H64" s="29"/>
      <c r="I64" s="16"/>
      <c r="J64" s="29"/>
      <c r="K64" s="16"/>
      <c r="L64" s="29">
        <f t="shared" si="4"/>
        <v>29.5</v>
      </c>
      <c r="M64" s="16">
        <v>0.5</v>
      </c>
      <c r="N64" s="29">
        <f t="shared" si="4"/>
        <v>29.5</v>
      </c>
      <c r="O64" s="16">
        <v>0.6</v>
      </c>
      <c r="P64" s="29"/>
      <c r="Q64" s="16"/>
    </row>
    <row r="65" spans="1:17">
      <c r="A65" s="3">
        <v>60</v>
      </c>
      <c r="B65" s="28"/>
      <c r="C65" s="17"/>
      <c r="D65" s="28"/>
      <c r="E65" s="17"/>
      <c r="F65" s="28"/>
      <c r="G65" s="17"/>
      <c r="H65" s="28"/>
      <c r="I65" s="17"/>
      <c r="J65" s="28"/>
      <c r="K65" s="17"/>
      <c r="L65" s="28">
        <f t="shared" si="4"/>
        <v>30</v>
      </c>
      <c r="M65" s="17">
        <v>0.5</v>
      </c>
      <c r="N65" s="28">
        <f t="shared" si="4"/>
        <v>30</v>
      </c>
      <c r="O65" s="17">
        <v>0.7</v>
      </c>
      <c r="P65" s="28"/>
      <c r="Q65" s="17"/>
    </row>
    <row r="66" spans="1:17">
      <c r="A66" s="2">
        <v>61</v>
      </c>
      <c r="B66" s="29"/>
      <c r="C66" s="16"/>
      <c r="D66" s="29"/>
      <c r="E66" s="16"/>
      <c r="F66" s="29"/>
      <c r="G66" s="16"/>
      <c r="H66" s="29"/>
      <c r="I66" s="16"/>
      <c r="J66" s="29"/>
      <c r="K66" s="16"/>
      <c r="L66" s="29">
        <f t="shared" si="4"/>
        <v>30.5</v>
      </c>
      <c r="M66" s="16">
        <v>0.5</v>
      </c>
      <c r="N66" s="29">
        <f t="shared" si="4"/>
        <v>30.5</v>
      </c>
      <c r="O66" s="16">
        <v>0.8</v>
      </c>
      <c r="P66" s="29"/>
      <c r="Q66" s="16"/>
    </row>
    <row r="67" spans="1:17">
      <c r="A67" s="2">
        <v>62</v>
      </c>
      <c r="B67" s="29"/>
      <c r="C67" s="16"/>
      <c r="D67" s="29"/>
      <c r="E67" s="16"/>
      <c r="F67" s="29"/>
      <c r="G67" s="16"/>
      <c r="H67" s="29"/>
      <c r="I67" s="16"/>
      <c r="J67" s="29"/>
      <c r="K67" s="16"/>
      <c r="L67" s="29">
        <f t="shared" si="4"/>
        <v>31</v>
      </c>
      <c r="M67" s="16">
        <v>0.4</v>
      </c>
      <c r="N67" s="29">
        <f t="shared" si="4"/>
        <v>31</v>
      </c>
      <c r="O67" s="16">
        <v>0.8</v>
      </c>
      <c r="P67" s="29"/>
      <c r="Q67" s="16"/>
    </row>
    <row r="68" spans="1:17">
      <c r="A68" s="2">
        <v>63</v>
      </c>
      <c r="B68" s="29"/>
      <c r="C68" s="16"/>
      <c r="D68" s="29"/>
      <c r="E68" s="16"/>
      <c r="F68" s="29"/>
      <c r="G68" s="16"/>
      <c r="H68" s="29"/>
      <c r="I68" s="16"/>
      <c r="J68" s="29"/>
      <c r="K68" s="16"/>
      <c r="L68" s="29">
        <f t="shared" si="4"/>
        <v>31.5</v>
      </c>
      <c r="M68" s="16">
        <v>0.4</v>
      </c>
      <c r="N68" s="29">
        <f t="shared" si="4"/>
        <v>31.5</v>
      </c>
      <c r="O68" s="16">
        <v>1.1000000000000001</v>
      </c>
      <c r="P68" s="29"/>
      <c r="Q68" s="16"/>
    </row>
    <row r="69" spans="1:17">
      <c r="A69" s="2">
        <v>64</v>
      </c>
      <c r="B69" s="29"/>
      <c r="C69" s="16" t="s">
        <v>7</v>
      </c>
      <c r="D69" s="29"/>
      <c r="E69" s="16"/>
      <c r="F69" s="29"/>
      <c r="G69" s="16"/>
      <c r="H69" s="29"/>
      <c r="I69" s="16"/>
      <c r="J69" s="29"/>
      <c r="K69" s="16"/>
      <c r="L69" s="29">
        <f t="shared" si="4"/>
        <v>32</v>
      </c>
      <c r="M69" s="16">
        <v>0.4</v>
      </c>
      <c r="N69" s="29">
        <f t="shared" si="4"/>
        <v>32</v>
      </c>
      <c r="O69" s="16">
        <v>2.9</v>
      </c>
      <c r="P69" s="29"/>
      <c r="Q69" s="16"/>
    </row>
    <row r="70" spans="1:17">
      <c r="A70" s="2">
        <v>65</v>
      </c>
      <c r="B70" s="29"/>
      <c r="C70" s="16"/>
      <c r="D70" s="29"/>
      <c r="E70" s="16"/>
      <c r="F70" s="29"/>
      <c r="G70" s="16"/>
      <c r="H70" s="29"/>
      <c r="I70" s="16"/>
      <c r="J70" s="29"/>
      <c r="K70" s="16"/>
      <c r="L70" s="29">
        <f t="shared" si="4"/>
        <v>32.5</v>
      </c>
      <c r="M70" s="16">
        <v>0.4</v>
      </c>
      <c r="N70" s="29">
        <f t="shared" si="4"/>
        <v>32.5</v>
      </c>
      <c r="O70" s="16">
        <v>1.4</v>
      </c>
      <c r="P70" s="29"/>
      <c r="Q70" s="16"/>
    </row>
    <row r="71" spans="1:17">
      <c r="A71" s="2">
        <v>66</v>
      </c>
      <c r="B71" s="29"/>
      <c r="C71" s="16"/>
      <c r="D71" s="29"/>
      <c r="E71" s="16"/>
      <c r="F71" s="29"/>
      <c r="G71" s="16"/>
      <c r="H71" s="29"/>
      <c r="I71" s="16"/>
      <c r="J71" s="29"/>
      <c r="K71" s="16"/>
      <c r="L71" s="29">
        <f t="shared" si="4"/>
        <v>33</v>
      </c>
      <c r="M71" s="16">
        <v>0.4</v>
      </c>
      <c r="N71" s="29">
        <f t="shared" si="4"/>
        <v>33</v>
      </c>
      <c r="O71" s="16">
        <v>1</v>
      </c>
      <c r="P71" s="29"/>
      <c r="Q71" s="16"/>
    </row>
    <row r="72" spans="1:17">
      <c r="A72" s="2">
        <v>67</v>
      </c>
      <c r="B72" s="29"/>
      <c r="C72" s="16"/>
      <c r="D72" s="29"/>
      <c r="E72" s="16"/>
      <c r="F72" s="29"/>
      <c r="G72" s="16"/>
      <c r="H72" s="29"/>
      <c r="I72" s="16"/>
      <c r="J72" s="29"/>
      <c r="K72" s="16"/>
      <c r="L72" s="29">
        <f t="shared" si="4"/>
        <v>33.5</v>
      </c>
      <c r="M72" s="16">
        <v>0.4</v>
      </c>
      <c r="N72" s="29">
        <f t="shared" si="4"/>
        <v>33.5</v>
      </c>
      <c r="O72" s="16">
        <v>0.8</v>
      </c>
      <c r="P72" s="29"/>
      <c r="Q72" s="16"/>
    </row>
    <row r="73" spans="1:17">
      <c r="A73" s="2">
        <v>68</v>
      </c>
      <c r="B73" s="29"/>
      <c r="C73" s="16"/>
      <c r="D73" s="29"/>
      <c r="E73" s="16"/>
      <c r="F73" s="29"/>
      <c r="G73" s="16"/>
      <c r="H73" s="29"/>
      <c r="I73" s="16"/>
      <c r="J73" s="29"/>
      <c r="K73" s="16"/>
      <c r="L73" s="29">
        <f t="shared" si="4"/>
        <v>34</v>
      </c>
      <c r="M73" s="16">
        <v>0.4</v>
      </c>
      <c r="N73" s="29">
        <f t="shared" si="4"/>
        <v>34</v>
      </c>
      <c r="O73" s="16">
        <v>0.7</v>
      </c>
      <c r="P73" s="29"/>
      <c r="Q73" s="16"/>
    </row>
    <row r="74" spans="1:17">
      <c r="A74" s="2">
        <v>69</v>
      </c>
      <c r="B74" s="29"/>
      <c r="C74" s="16"/>
      <c r="D74" s="29"/>
      <c r="E74" s="16"/>
      <c r="F74" s="29"/>
      <c r="G74" s="16"/>
      <c r="H74" s="29"/>
      <c r="I74" s="16"/>
      <c r="J74" s="29"/>
      <c r="K74" s="16"/>
      <c r="L74" s="29">
        <f t="shared" si="4"/>
        <v>34.5</v>
      </c>
      <c r="M74" s="16">
        <v>0.4</v>
      </c>
      <c r="N74" s="29">
        <f t="shared" si="4"/>
        <v>34.5</v>
      </c>
      <c r="O74" s="16">
        <v>0.6</v>
      </c>
      <c r="P74" s="29"/>
      <c r="Q74" s="16"/>
    </row>
    <row r="75" spans="1:17">
      <c r="A75" s="2">
        <v>70</v>
      </c>
      <c r="B75" s="29"/>
      <c r="C75" s="16"/>
      <c r="D75" s="29"/>
      <c r="E75" s="16"/>
      <c r="F75" s="29"/>
      <c r="G75" s="16"/>
      <c r="H75" s="29"/>
      <c r="I75" s="16"/>
      <c r="J75" s="29"/>
      <c r="K75" s="16"/>
      <c r="L75" s="29">
        <f t="shared" si="4"/>
        <v>35</v>
      </c>
      <c r="M75" s="16">
        <v>0.4</v>
      </c>
      <c r="N75" s="29">
        <f t="shared" si="4"/>
        <v>35</v>
      </c>
      <c r="O75" s="16">
        <v>0.6</v>
      </c>
      <c r="P75" s="29"/>
      <c r="Q75" s="16"/>
    </row>
    <row r="76" spans="1:17">
      <c r="A76" s="2">
        <v>71</v>
      </c>
      <c r="B76" s="29"/>
      <c r="C76" s="16"/>
      <c r="D76" s="29"/>
      <c r="E76" s="16"/>
      <c r="F76" s="29"/>
      <c r="G76" s="16"/>
      <c r="H76" s="29"/>
      <c r="I76" s="16"/>
      <c r="J76" s="29"/>
      <c r="K76" s="16"/>
      <c r="L76" s="29">
        <f t="shared" si="4"/>
        <v>35.5</v>
      </c>
      <c r="M76" s="16">
        <v>0.3</v>
      </c>
      <c r="N76" s="29">
        <f t="shared" si="4"/>
        <v>35.5</v>
      </c>
      <c r="O76" s="16">
        <v>0.5</v>
      </c>
      <c r="P76" s="29"/>
      <c r="Q76" s="16"/>
    </row>
    <row r="77" spans="1:17">
      <c r="A77" s="3">
        <v>72</v>
      </c>
      <c r="B77" s="28"/>
      <c r="C77" s="17"/>
      <c r="D77" s="28"/>
      <c r="E77" s="17"/>
      <c r="F77" s="28"/>
      <c r="G77" s="17"/>
      <c r="H77" s="28"/>
      <c r="I77" s="17"/>
      <c r="J77" s="28"/>
      <c r="K77" s="17"/>
      <c r="L77" s="28">
        <f t="shared" si="4"/>
        <v>36</v>
      </c>
      <c r="M77" s="17">
        <v>0.3</v>
      </c>
      <c r="N77" s="28">
        <f t="shared" si="4"/>
        <v>36</v>
      </c>
      <c r="O77" s="17">
        <v>0.5</v>
      </c>
      <c r="P77" s="28"/>
      <c r="Q77" s="17"/>
    </row>
    <row r="78" spans="1:17">
      <c r="A78" s="2">
        <v>73</v>
      </c>
      <c r="B78" s="30"/>
      <c r="C78" s="16"/>
      <c r="D78" s="30"/>
      <c r="E78" s="16"/>
      <c r="F78" s="30"/>
      <c r="G78" s="16"/>
      <c r="H78" s="30"/>
      <c r="I78" s="16"/>
      <c r="J78" s="30"/>
      <c r="K78" s="16"/>
      <c r="L78" s="30"/>
      <c r="M78" s="16"/>
      <c r="N78" s="30">
        <f t="shared" si="4"/>
        <v>36.5</v>
      </c>
      <c r="O78" s="16">
        <v>0.5</v>
      </c>
      <c r="P78" s="30"/>
      <c r="Q78" s="16"/>
    </row>
    <row r="79" spans="1:17" ht="12" customHeight="1">
      <c r="A79" s="2">
        <v>74</v>
      </c>
      <c r="B79" s="30"/>
      <c r="C79" s="16"/>
      <c r="D79" s="30"/>
      <c r="E79" s="16"/>
      <c r="F79" s="30"/>
      <c r="G79" s="16"/>
      <c r="H79" s="30"/>
      <c r="I79" s="16"/>
      <c r="J79" s="30"/>
      <c r="K79" s="16"/>
      <c r="L79" s="30"/>
      <c r="M79" s="16"/>
      <c r="N79" s="30">
        <f t="shared" ref="N79:N101" si="5">+N78+N$6</f>
        <v>37</v>
      </c>
      <c r="O79" s="16">
        <v>0.5</v>
      </c>
      <c r="P79" s="30"/>
      <c r="Q79" s="16"/>
    </row>
    <row r="80" spans="1:17" ht="12" customHeight="1">
      <c r="A80" s="2">
        <v>75</v>
      </c>
      <c r="B80" s="30"/>
      <c r="C80" s="16"/>
      <c r="D80" s="30"/>
      <c r="E80" s="16"/>
      <c r="F80" s="30"/>
      <c r="G80" s="16"/>
      <c r="H80" s="30"/>
      <c r="I80" s="16"/>
      <c r="J80" s="30"/>
      <c r="K80" s="16"/>
      <c r="L80" s="30"/>
      <c r="M80" s="16"/>
      <c r="N80" s="30">
        <f t="shared" si="5"/>
        <v>37.5</v>
      </c>
      <c r="O80" s="16">
        <v>0.5</v>
      </c>
      <c r="P80" s="30"/>
      <c r="Q80" s="16"/>
    </row>
    <row r="81" spans="1:17">
      <c r="A81" s="2">
        <v>76</v>
      </c>
      <c r="B81" s="30"/>
      <c r="C81" s="16"/>
      <c r="D81" s="30"/>
      <c r="E81" s="16"/>
      <c r="F81" s="30"/>
      <c r="G81" s="16"/>
      <c r="H81" s="30"/>
      <c r="I81" s="16"/>
      <c r="J81" s="30"/>
      <c r="K81" s="16"/>
      <c r="L81" s="30"/>
      <c r="M81" s="16"/>
      <c r="N81" s="30">
        <f t="shared" si="5"/>
        <v>38</v>
      </c>
      <c r="O81" s="16">
        <v>0.4</v>
      </c>
      <c r="P81" s="30"/>
      <c r="Q81" s="16"/>
    </row>
    <row r="82" spans="1:17" ht="12.6" customHeight="1">
      <c r="A82" s="2">
        <v>77</v>
      </c>
      <c r="B82" s="30"/>
      <c r="C82" s="16"/>
      <c r="D82" s="30"/>
      <c r="E82" s="16"/>
      <c r="F82" s="30"/>
      <c r="G82" s="16"/>
      <c r="H82" s="30"/>
      <c r="I82" s="16"/>
      <c r="J82" s="30"/>
      <c r="K82" s="16"/>
      <c r="L82" s="30"/>
      <c r="M82" s="16"/>
      <c r="N82" s="30">
        <f t="shared" si="5"/>
        <v>38.5</v>
      </c>
      <c r="O82" s="16">
        <v>0.4</v>
      </c>
      <c r="P82" s="30"/>
      <c r="Q82" s="16"/>
    </row>
    <row r="83" spans="1:17" ht="12" customHeight="1">
      <c r="A83" s="2">
        <v>78</v>
      </c>
      <c r="B83" s="30"/>
      <c r="C83" s="16"/>
      <c r="D83" s="30"/>
      <c r="E83" s="16"/>
      <c r="F83" s="30"/>
      <c r="G83" s="16"/>
      <c r="H83" s="30"/>
      <c r="I83" s="16"/>
      <c r="J83" s="30"/>
      <c r="K83" s="16"/>
      <c r="L83" s="30"/>
      <c r="M83" s="16"/>
      <c r="N83" s="30">
        <f t="shared" si="5"/>
        <v>39</v>
      </c>
      <c r="O83" s="16">
        <v>0.4</v>
      </c>
      <c r="P83" s="30"/>
      <c r="Q83" s="16"/>
    </row>
    <row r="84" spans="1:17" ht="12" customHeight="1">
      <c r="A84" s="2">
        <v>79</v>
      </c>
      <c r="B84" s="30"/>
      <c r="C84" s="16"/>
      <c r="D84" s="30"/>
      <c r="E84" s="16"/>
      <c r="F84" s="30"/>
      <c r="G84" s="16"/>
      <c r="H84" s="30"/>
      <c r="I84" s="16"/>
      <c r="J84" s="30"/>
      <c r="K84" s="16"/>
      <c r="L84" s="30"/>
      <c r="M84" s="16"/>
      <c r="N84" s="30">
        <f t="shared" si="5"/>
        <v>39.5</v>
      </c>
      <c r="O84" s="16">
        <v>0.4</v>
      </c>
      <c r="P84" s="30"/>
      <c r="Q84" s="16"/>
    </row>
    <row r="85" spans="1:17" ht="11.45" customHeight="1">
      <c r="A85" s="2">
        <v>80</v>
      </c>
      <c r="B85" s="30"/>
      <c r="C85" s="16"/>
      <c r="D85" s="30"/>
      <c r="E85" s="16"/>
      <c r="F85" s="30"/>
      <c r="G85" s="16"/>
      <c r="H85" s="30"/>
      <c r="I85" s="16"/>
      <c r="J85" s="30"/>
      <c r="K85" s="16"/>
      <c r="L85" s="30"/>
      <c r="M85" s="16"/>
      <c r="N85" s="30">
        <f t="shared" si="5"/>
        <v>40</v>
      </c>
      <c r="O85" s="16">
        <v>0.4</v>
      </c>
      <c r="P85" s="30"/>
      <c r="Q85" s="16"/>
    </row>
    <row r="86" spans="1:17">
      <c r="A86" s="2">
        <v>81</v>
      </c>
      <c r="B86" s="30"/>
      <c r="C86" s="16"/>
      <c r="D86" s="30"/>
      <c r="E86" s="16"/>
      <c r="F86" s="30"/>
      <c r="G86" s="16"/>
      <c r="H86" s="30"/>
      <c r="I86" s="16"/>
      <c r="J86" s="30"/>
      <c r="K86" s="16"/>
      <c r="L86" s="30"/>
      <c r="M86" s="16"/>
      <c r="N86" s="30">
        <f t="shared" si="5"/>
        <v>40.5</v>
      </c>
      <c r="O86" s="16">
        <v>0.4</v>
      </c>
      <c r="P86" s="30"/>
      <c r="Q86" s="16"/>
    </row>
    <row r="87" spans="1:17">
      <c r="A87" s="2">
        <v>82</v>
      </c>
      <c r="B87" s="30"/>
      <c r="C87" s="16"/>
      <c r="D87" s="30"/>
      <c r="E87" s="16"/>
      <c r="F87" s="30"/>
      <c r="G87" s="16"/>
      <c r="H87" s="30"/>
      <c r="I87" s="16"/>
      <c r="J87" s="30"/>
      <c r="K87" s="16"/>
      <c r="L87" s="30"/>
      <c r="M87" s="16"/>
      <c r="N87" s="30">
        <f t="shared" si="5"/>
        <v>41</v>
      </c>
      <c r="O87" s="16">
        <v>0.4</v>
      </c>
      <c r="P87" s="30"/>
      <c r="Q87" s="16"/>
    </row>
    <row r="88" spans="1:17">
      <c r="A88" s="2">
        <v>83</v>
      </c>
      <c r="B88" s="30"/>
      <c r="C88" s="16"/>
      <c r="D88" s="30"/>
      <c r="E88" s="16"/>
      <c r="F88" s="30"/>
      <c r="G88" s="16"/>
      <c r="H88" s="30"/>
      <c r="I88" s="16"/>
      <c r="J88" s="30"/>
      <c r="K88" s="16"/>
      <c r="L88" s="30"/>
      <c r="M88" s="16"/>
      <c r="N88" s="30">
        <f t="shared" si="5"/>
        <v>41.5</v>
      </c>
      <c r="O88" s="16">
        <v>0.4</v>
      </c>
      <c r="P88" s="30"/>
      <c r="Q88" s="16"/>
    </row>
    <row r="89" spans="1:17" ht="12" customHeight="1">
      <c r="A89" s="3">
        <v>84</v>
      </c>
      <c r="B89" s="31"/>
      <c r="C89" s="17"/>
      <c r="D89" s="31"/>
      <c r="E89" s="17"/>
      <c r="F89" s="31"/>
      <c r="G89" s="17"/>
      <c r="H89" s="31"/>
      <c r="I89" s="17"/>
      <c r="J89" s="31"/>
      <c r="K89" s="17"/>
      <c r="L89" s="31"/>
      <c r="M89" s="17"/>
      <c r="N89" s="31">
        <f t="shared" si="5"/>
        <v>42</v>
      </c>
      <c r="O89" s="17">
        <v>0.4</v>
      </c>
      <c r="P89" s="31"/>
      <c r="Q89" s="17"/>
    </row>
    <row r="90" spans="1:17" ht="12" customHeight="1">
      <c r="A90" s="2">
        <v>85</v>
      </c>
      <c r="B90" s="30"/>
      <c r="C90" s="16"/>
      <c r="D90" s="30"/>
      <c r="E90" s="16"/>
      <c r="F90" s="30"/>
      <c r="G90" s="16"/>
      <c r="H90" s="30"/>
      <c r="I90" s="16"/>
      <c r="J90" s="30"/>
      <c r="K90" s="16"/>
      <c r="L90" s="30"/>
      <c r="M90" s="16"/>
      <c r="N90" s="30">
        <f t="shared" si="5"/>
        <v>42.5</v>
      </c>
      <c r="O90" s="16">
        <v>0.3</v>
      </c>
      <c r="P90" s="30"/>
      <c r="Q90" s="16"/>
    </row>
    <row r="91" spans="1:17" ht="12" customHeight="1">
      <c r="A91" s="2">
        <v>86</v>
      </c>
      <c r="B91" s="30"/>
      <c r="C91" s="16"/>
      <c r="D91" s="30"/>
      <c r="E91" s="16"/>
      <c r="F91" s="30"/>
      <c r="G91" s="16"/>
      <c r="H91" s="30"/>
      <c r="I91" s="16"/>
      <c r="J91" s="30"/>
      <c r="K91" s="16"/>
      <c r="L91" s="30"/>
      <c r="M91" s="16"/>
      <c r="N91" s="30">
        <f t="shared" si="5"/>
        <v>43</v>
      </c>
      <c r="O91" s="16">
        <v>0.3</v>
      </c>
      <c r="P91" s="30"/>
      <c r="Q91" s="16"/>
    </row>
    <row r="92" spans="1:17">
      <c r="A92" s="2">
        <v>87</v>
      </c>
      <c r="B92" s="30"/>
      <c r="C92" s="16"/>
      <c r="D92" s="30"/>
      <c r="E92" s="16"/>
      <c r="F92" s="30"/>
      <c r="G92" s="16"/>
      <c r="H92" s="30"/>
      <c r="I92" s="16"/>
      <c r="J92" s="30"/>
      <c r="K92" s="16"/>
      <c r="L92" s="30"/>
      <c r="M92" s="16"/>
      <c r="N92" s="30">
        <f t="shared" si="5"/>
        <v>43.5</v>
      </c>
      <c r="O92" s="16">
        <v>0.3</v>
      </c>
      <c r="P92" s="30"/>
      <c r="Q92" s="16"/>
    </row>
    <row r="93" spans="1:17" ht="12" customHeight="1">
      <c r="A93" s="2">
        <v>88</v>
      </c>
      <c r="B93" s="30"/>
      <c r="C93" s="16"/>
      <c r="D93" s="30"/>
      <c r="E93" s="16"/>
      <c r="F93" s="30"/>
      <c r="G93" s="16"/>
      <c r="H93" s="30"/>
      <c r="I93" s="16"/>
      <c r="J93" s="30"/>
      <c r="K93" s="16"/>
      <c r="L93" s="30"/>
      <c r="M93" s="16"/>
      <c r="N93" s="30">
        <f t="shared" si="5"/>
        <v>44</v>
      </c>
      <c r="O93" s="16">
        <v>0.3</v>
      </c>
      <c r="P93" s="30"/>
      <c r="Q93" s="16"/>
    </row>
    <row r="94" spans="1:17" ht="12" customHeight="1">
      <c r="A94" s="2">
        <v>89</v>
      </c>
      <c r="B94" s="30"/>
      <c r="C94" s="16"/>
      <c r="D94" s="30"/>
      <c r="E94" s="16"/>
      <c r="F94" s="30"/>
      <c r="G94" s="16"/>
      <c r="H94" s="30"/>
      <c r="I94" s="16"/>
      <c r="J94" s="30"/>
      <c r="K94" s="16"/>
      <c r="L94" s="30"/>
      <c r="M94" s="16"/>
      <c r="N94" s="30">
        <f t="shared" si="5"/>
        <v>44.5</v>
      </c>
      <c r="O94" s="16">
        <v>0.3</v>
      </c>
      <c r="P94" s="30"/>
      <c r="Q94" s="16"/>
    </row>
    <row r="95" spans="1:17" ht="12" customHeight="1">
      <c r="A95" s="2">
        <v>90</v>
      </c>
      <c r="B95" s="30"/>
      <c r="C95" s="16"/>
      <c r="D95" s="30"/>
      <c r="E95" s="16"/>
      <c r="F95" s="30"/>
      <c r="G95" s="16"/>
      <c r="H95" s="30"/>
      <c r="I95" s="16"/>
      <c r="J95" s="30"/>
      <c r="K95" s="16"/>
      <c r="L95" s="30"/>
      <c r="M95" s="16"/>
      <c r="N95" s="30">
        <f t="shared" si="5"/>
        <v>45</v>
      </c>
      <c r="O95" s="16">
        <v>0.3</v>
      </c>
      <c r="P95" s="30"/>
      <c r="Q95" s="16"/>
    </row>
    <row r="96" spans="1:17" ht="12" customHeight="1">
      <c r="A96" s="2">
        <v>91</v>
      </c>
      <c r="B96" s="30"/>
      <c r="C96" s="16"/>
      <c r="D96" s="30"/>
      <c r="E96" s="16"/>
      <c r="F96" s="30"/>
      <c r="G96" s="16"/>
      <c r="H96" s="30"/>
      <c r="I96" s="16"/>
      <c r="J96" s="30"/>
      <c r="K96" s="16"/>
      <c r="L96" s="30"/>
      <c r="M96" s="16"/>
      <c r="N96" s="30">
        <f t="shared" si="5"/>
        <v>45.5</v>
      </c>
      <c r="O96" s="16">
        <v>0.3</v>
      </c>
      <c r="P96" s="30"/>
      <c r="Q96" s="16"/>
    </row>
    <row r="97" spans="1:18" ht="12" customHeight="1">
      <c r="A97" s="2">
        <v>92</v>
      </c>
      <c r="B97" s="30"/>
      <c r="C97" s="16"/>
      <c r="D97" s="30"/>
      <c r="E97" s="16"/>
      <c r="F97" s="30"/>
      <c r="G97" s="16"/>
      <c r="H97" s="30"/>
      <c r="I97" s="16"/>
      <c r="J97" s="30"/>
      <c r="K97" s="16"/>
      <c r="L97" s="30"/>
      <c r="M97" s="16"/>
      <c r="N97" s="30">
        <f t="shared" si="5"/>
        <v>46</v>
      </c>
      <c r="O97" s="16">
        <v>0.3</v>
      </c>
      <c r="P97" s="30"/>
      <c r="Q97" s="16"/>
    </row>
    <row r="98" spans="1:18">
      <c r="A98" s="2">
        <v>93</v>
      </c>
      <c r="B98" s="30"/>
      <c r="C98" s="16"/>
      <c r="D98" s="30"/>
      <c r="E98" s="16"/>
      <c r="F98" s="30"/>
      <c r="G98" s="16"/>
      <c r="H98" s="30"/>
      <c r="I98" s="16"/>
      <c r="J98" s="30"/>
      <c r="K98" s="16"/>
      <c r="L98" s="30"/>
      <c r="M98" s="16"/>
      <c r="N98" s="30">
        <f t="shared" si="5"/>
        <v>46.5</v>
      </c>
      <c r="O98" s="16">
        <v>0.2</v>
      </c>
      <c r="P98" s="30"/>
      <c r="Q98" s="16"/>
    </row>
    <row r="99" spans="1:18">
      <c r="A99" s="2">
        <v>94</v>
      </c>
      <c r="B99" s="30"/>
      <c r="C99" s="16"/>
      <c r="D99" s="30"/>
      <c r="E99" s="16"/>
      <c r="F99" s="30"/>
      <c r="G99" s="16"/>
      <c r="H99" s="30"/>
      <c r="I99" s="16"/>
      <c r="J99" s="30"/>
      <c r="K99" s="16"/>
      <c r="L99" s="30"/>
      <c r="M99" s="16"/>
      <c r="N99" s="30">
        <f t="shared" si="5"/>
        <v>47</v>
      </c>
      <c r="O99" s="16">
        <v>0.2</v>
      </c>
      <c r="P99" s="30"/>
      <c r="Q99" s="16"/>
    </row>
    <row r="100" spans="1:18">
      <c r="A100" s="2">
        <v>95</v>
      </c>
      <c r="B100" s="30"/>
      <c r="C100" s="16"/>
      <c r="D100" s="30"/>
      <c r="E100" s="16"/>
      <c r="F100" s="30"/>
      <c r="G100" s="16"/>
      <c r="H100" s="30"/>
      <c r="I100" s="16"/>
      <c r="J100" s="30"/>
      <c r="K100" s="16"/>
      <c r="L100" s="30"/>
      <c r="M100" s="16"/>
      <c r="N100" s="30">
        <f t="shared" si="5"/>
        <v>47.5</v>
      </c>
      <c r="O100" s="16">
        <v>0.2</v>
      </c>
      <c r="P100" s="30"/>
      <c r="Q100" s="16"/>
    </row>
    <row r="101" spans="1:18" ht="13.5" thickBot="1">
      <c r="A101" s="4">
        <v>96</v>
      </c>
      <c r="B101" s="32"/>
      <c r="C101" s="18"/>
      <c r="D101" s="32"/>
      <c r="E101" s="18"/>
      <c r="F101" s="32"/>
      <c r="G101" s="18"/>
      <c r="H101" s="32"/>
      <c r="I101" s="18"/>
      <c r="J101" s="32"/>
      <c r="K101" s="18"/>
      <c r="L101" s="32"/>
      <c r="M101" s="18"/>
      <c r="N101" s="32">
        <f t="shared" si="5"/>
        <v>48</v>
      </c>
      <c r="O101" s="18">
        <v>0.2</v>
      </c>
      <c r="P101" s="32"/>
      <c r="Q101" s="18"/>
    </row>
    <row r="103" spans="1:18" ht="12.75" customHeight="1">
      <c r="A103" s="22" t="s">
        <v>14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14"/>
    </row>
    <row r="104" spans="1:18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14"/>
    </row>
    <row r="105" spans="1:18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14"/>
    </row>
    <row r="106" spans="1:18" ht="12.75" customHeight="1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14"/>
    </row>
  </sheetData>
  <mergeCells count="19">
    <mergeCell ref="J4:K4"/>
    <mergeCell ref="L4:M4"/>
    <mergeCell ref="N4:O4"/>
    <mergeCell ref="P4:Q4"/>
    <mergeCell ref="N3:O3"/>
    <mergeCell ref="P3:Q3"/>
    <mergeCell ref="A2:Q2"/>
    <mergeCell ref="A1:Q1"/>
    <mergeCell ref="A103:Q105"/>
    <mergeCell ref="B4:C4"/>
    <mergeCell ref="D4:E4"/>
    <mergeCell ref="F4:G4"/>
    <mergeCell ref="H4:I4"/>
    <mergeCell ref="B3:C3"/>
    <mergeCell ref="D3:E3"/>
    <mergeCell ref="F3:G3"/>
    <mergeCell ref="H3:I3"/>
    <mergeCell ref="J3:K3"/>
    <mergeCell ref="L3:M3"/>
  </mergeCells>
  <hyperlinks>
    <hyperlink ref="F3" location="_ftn1" display="_ftn1"/>
    <hyperlink ref="A103" location="_ftnref1" display="_ftnref1"/>
    <hyperlink ref="L3" location="_ftn1" display="_ftn1"/>
    <hyperlink ref="N3" location="_ftn1" display="_ftn1"/>
  </hyperlinks>
  <pageMargins left="0.75" right="0.75" top="1" bottom="1" header="0.5" footer="0.5"/>
  <pageSetup scale="96" fitToHeight="2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Table</vt:lpstr>
      <vt:lpstr>3-hr</vt:lpstr>
      <vt:lpstr>6-hr</vt:lpstr>
      <vt:lpstr>9-hr</vt:lpstr>
      <vt:lpstr>12-hr</vt:lpstr>
      <vt:lpstr>24-hr</vt:lpstr>
      <vt:lpstr>36-hr</vt:lpstr>
      <vt:lpstr>48-hr</vt:lpstr>
      <vt:lpstr>96-hr</vt:lpstr>
      <vt:lpstr>Table!_ftn1</vt:lpstr>
      <vt:lpstr>Table!_ftnref1</vt:lpstr>
      <vt:lpstr>Table!Print_Area</vt:lpstr>
    </vt:vector>
  </TitlesOfParts>
  <Company>cccpwd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mboucher</dc:creator>
  <cp:lastModifiedBy>mboucher</cp:lastModifiedBy>
  <dcterms:created xsi:type="dcterms:W3CDTF">2010-05-03T18:18:29Z</dcterms:created>
  <dcterms:modified xsi:type="dcterms:W3CDTF">2010-05-03T19:11:13Z</dcterms:modified>
</cp:coreProperties>
</file>