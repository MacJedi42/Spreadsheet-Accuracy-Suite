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3.xml" ContentType="application/vnd.openxmlformats-officedocument.spreadsheetml.comments+xml"/>
  <Override PartName="/xl/comments2.xml" ContentType="application/vnd.openxmlformats-officedocument.spreadsheetml.comments+xml"/>
  <Override PartName="/xl/workbook.xml" ContentType="application/vnd.openxmlformats-officedocument.spreadsheetml.sheet.main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7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worksheets/sheet6.xml" ContentType="application/vnd.openxmlformats-officedocument.spreadsheetml.worksheet+xml"/>
  <Override PartName="/xl/worksheets/sheet9.xml" ContentType="application/vnd.openxmlformats-officedocument.spreadsheetml.worksheet+xml"/>
  <Override PartName="/xl/worksheets/sheet8.xml" ContentType="application/vnd.openxmlformats-officedocument.spreadsheetml.worksheet+xml"/>
  <Override PartName="/xl/worksheets/sheet4.xml" ContentType="application/vnd.openxmlformats-officedocument.spreadsheetml.worksheet+xml"/>
  <Override PartName="/xl/worksheets/sheet1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heetId="1" name="Spell Data" state="visible" r:id="rId3"/>
    <sheet sheetId="2" name="Basic" state="visible" r:id="rId4"/>
    <sheet sheetId="3" name="Spell Ranks" state="visible" r:id="rId5"/>
    <sheet sheetId="4" name="Gear" state="visible" r:id="rId6"/>
    <sheet sheetId="5" name="Talents" state="visible" r:id="rId7"/>
    <sheet sheetId="6" name="Stats" state="visible" r:id="rId8"/>
    <sheet sheetId="7" name="Combat Table" state="visible" r:id="rId9"/>
    <sheet sheetId="8" name="Attacks" state="visible" r:id="rId10"/>
    <sheet sheetId="9" name="Cycle" state="visible" r:id="rId11"/>
    <sheet sheetId="10" name="Stat values" state="visible" r:id="rId12"/>
    <sheet sheetId="11" name="Gems" state="visible" r:id="rId13"/>
  </sheets>
  <definedNames>
    <definedName name="Misc_gear">Gear!$O$1:$S$100</definedName>
  </definedNames>
  <calcPr/>
</workbook>
</file>

<file path=xl/comments1.xml><?xml version="1.0" encoding="utf-8"?>
<comments xmlns="http://schemas.openxmlformats.org/spreadsheetml/2006/main">
  <authors>
    <author/>
  </authors>
  <commentList>
    <comment ref="M1" authorId="0">
      <text>
        <t xml:space="preserve">relentless = 1.03 critical damage multiplier
everbloom = +88 to shred
wild = +54 to mangle
shadows = +120 to rip
Space separated, up to 5</t>
      </text>
    </comment>
  </commentList>
</comments>
</file>

<file path=xl/comments2.xml><?xml version="1.0" encoding="utf-8"?>
<comments xmlns="http://schemas.openxmlformats.org/spreadsheetml/2006/main">
  <authors>
    <author/>
  </authors>
  <commentList>
    <comment ref="A17" authorId="0">
      <text>
        <t xml:space="preserve">Energy restored per successful attack</t>
      </text>
    </comment>
  </commentList>
</comments>
</file>

<file path=xl/comments3.xml><?xml version="1.0" encoding="utf-8"?>
<comments xmlns="http://schemas.openxmlformats.org/spreadsheetml/2006/main">
  <authors>
    <author/>
  </authors>
  <commentList>
    <comment ref="AG1" authorId="0">
      <text>
        <t xml:space="preserve">first order estimate, formula is recursive.
1 - (1-p(ooc))^(expected attacks)
1 - (1 - proc)^(1 + whit * energy/10)</t>
      </text>
    </comment>
    <comment ref="AI1" authorId="0">
      <text>
        <t xml:space="preserve">same as other but calculated using energy 1 as base</t>
      </text>
    </comment>
    <comment ref="AJ1" authorId="0">
      <text>
        <t xml:space="preserve">Chance OOCd is an infinite sequence that converges on a steady state.
Solution is given by energy = base*(1-proc)^(1+yhit*energy/10) * (yhit + (1 - yhit)*(1 - returned))
If you can solve this let me know!</t>
      </text>
    </comment>
  </commentList>
</comments>
</file>

<file path=xl/sharedStrings.xml><?xml version="1.0" encoding="utf-8"?>
<sst xmlns="http://schemas.openxmlformats.org/spreadsheetml/2006/main" count="342" uniqueCount="250">
  <si>
    <t>Spell</t>
  </si>
  <si>
    <t>Rank</t>
  </si>
  <si>
    <t>Level obtained</t>
  </si>
  <si>
    <t>Effect</t>
  </si>
  <si>
    <t>Faerie Fire Feral</t>
  </si>
  <si>
    <t>Armor reduction</t>
  </si>
  <si>
    <t>Mangle</t>
  </si>
  <si>
    <t>Extra damage</t>
  </si>
  <si>
    <t>Rip</t>
  </si>
  <si>
    <t>Base dot</t>
  </si>
  <si>
    <t>Shred</t>
  </si>
  <si>
    <t>ZZZ ---end of list. do not remove this line, and ensure spells are in alphabetical order</t>
  </si>
  <si>
    <t>Parameter</t>
  </si>
  <si>
    <t>Value</t>
  </si>
  <si>
    <t>Character Race</t>
  </si>
  <si>
    <t>Night Elf</t>
  </si>
  <si>
    <t>No effect yet</t>
  </si>
  <si>
    <t>Character Level</t>
  </si>
  <si>
    <t>Target Level</t>
  </si>
  <si>
    <t>Level Difference</t>
  </si>
  <si>
    <t>Weapon skill deficit</t>
  </si>
  <si>
    <t>Attacking from behind</t>
  </si>
  <si>
    <t>1</t>
  </si>
  <si>
    <t>1 for yes, 0 for no - only 1 properly supported</t>
  </si>
  <si>
    <t>Damage reduction</t>
  </si>
  <si>
    <t>0.8 means 20% damage reduction from boss armor</t>
  </si>
  <si>
    <t>Energy refund on miss</t>
  </si>
  <si>
    <t>You get 82% of your energy refunded on a special that doesn't connect</t>
  </si>
  <si>
    <t>Kings</t>
  </si>
  <si>
    <t>Blessing of kings multiplier: 1.1 or 1</t>
  </si>
  <si>
    <t>Start-index</t>
  </si>
  <si>
    <t>End-index</t>
  </si>
  <si>
    <t>Rank Range</t>
  </si>
  <si>
    <t>Value Range</t>
  </si>
  <si>
    <t>Slot</t>
  </si>
  <si>
    <t>Name</t>
  </si>
  <si>
    <t>STR</t>
  </si>
  <si>
    <t>AGI</t>
  </si>
  <si>
    <t>STA</t>
  </si>
  <si>
    <t>INT</t>
  </si>
  <si>
    <t>SPI</t>
  </si>
  <si>
    <t>'+AP</t>
  </si>
  <si>
    <t>Hit</t>
  </si>
  <si>
    <t>Crit</t>
  </si>
  <si>
    <t>Feral</t>
  </si>
  <si>
    <t>Haste</t>
  </si>
  <si>
    <t>Wdmg</t>
  </si>
  <si>
    <t>Misc</t>
  </si>
  <si>
    <t>Head</t>
  </si>
  <si>
    <t>Stag-Helm of Malorne</t>
  </si>
  <si>
    <t>relentless</t>
  </si>
  <si>
    <t>Head Enchant</t>
  </si>
  <si>
    <t>Glyph of Ferocity</t>
  </si>
  <si>
    <t>Neck</t>
  </si>
  <si>
    <t>Mithril Chain of Heroism</t>
  </si>
  <si>
    <t>Shoulder</t>
  </si>
  <si>
    <t>Mantle of Malorne</t>
  </si>
  <si>
    <t>Shoulder Enchant</t>
  </si>
  <si>
    <t>Aldor Melee Exalted</t>
  </si>
  <si>
    <t>Back</t>
  </si>
  <si>
    <t>Vengeance Wrap</t>
  </si>
  <si>
    <t>Back Enchant</t>
  </si>
  <si>
    <t>Greater Agility</t>
  </si>
  <si>
    <t>Chest</t>
  </si>
  <si>
    <t>Primalstrike Vest</t>
  </si>
  <si>
    <t>primalstrike</t>
  </si>
  <si>
    <t>Chest Enchant</t>
  </si>
  <si>
    <t>Exceptional Stats</t>
  </si>
  <si>
    <t>Wrist</t>
  </si>
  <si>
    <t>Primalstrike Bracers</t>
  </si>
  <si>
    <t>Wrist Enchant</t>
  </si>
  <si>
    <t>Brawn</t>
  </si>
  <si>
    <t>Hands</t>
  </si>
  <si>
    <t>Gloves of Dexterous Manipulation (8str, 4agi/6sta, +3crit)</t>
  </si>
  <si>
    <t>Hands Enchant</t>
  </si>
  <si>
    <t>Superior Agility</t>
  </si>
  <si>
    <t>Waist</t>
  </si>
  <si>
    <t>Primalstrike Belt</t>
  </si>
  <si>
    <t>Legs</t>
  </si>
  <si>
    <t>Clefthoof Hide Leggings</t>
  </si>
  <si>
    <t>Legs Enchant</t>
  </si>
  <si>
    <t>Cobrahide Armor Kit</t>
  </si>
  <si>
    <t>Feet</t>
  </si>
  <si>
    <t>Boots of Natural Grace</t>
  </si>
  <si>
    <t>Feet Enchant</t>
  </si>
  <si>
    <t>Dexterity</t>
  </si>
  <si>
    <t>Ring 1</t>
  </si>
  <si>
    <t>Adal's Command</t>
  </si>
  <si>
    <t>Ring 1 Enchant</t>
  </si>
  <si>
    <t>Ring 2</t>
  </si>
  <si>
    <t>Ancestral Ring of Conquest</t>
  </si>
  <si>
    <t>Ring 2 Enchant</t>
  </si>
  <si>
    <t>Trinket 1</t>
  </si>
  <si>
    <t>Crystalforged Trinket</t>
  </si>
  <si>
    <t>Trinket 2</t>
  </si>
  <si>
    <t>Bloodlust Brooch</t>
  </si>
  <si>
    <t>Main Hand</t>
  </si>
  <si>
    <t>Merciless Gladiator's Maul</t>
  </si>
  <si>
    <t>Main Hand enchant</t>
  </si>
  <si>
    <t>Off Hand</t>
  </si>
  <si>
    <t>Relic</t>
  </si>
  <si>
    <t>Idol of the Wild</t>
  </si>
  <si>
    <t>wild</t>
  </si>
  <si>
    <t>Test</t>
  </si>
  <si>
    <t>Stat changes to evaluate various stats</t>
  </si>
  <si>
    <t>Set bonuses</t>
  </si>
  <si>
    <t>Total</t>
  </si>
  <si>
    <t>Talent</t>
  </si>
  <si>
    <t>Points</t>
  </si>
  <si>
    <t>Ferocity</t>
  </si>
  <si>
    <t>energy for claw, rake, mangle</t>
  </si>
  <si>
    <t>Sharpened Claws</t>
  </si>
  <si>
    <t>crit chance</t>
  </si>
  <si>
    <t>Shredding Attacks</t>
  </si>
  <si>
    <t>energy for shred</t>
  </si>
  <si>
    <t>Predatory Strikes</t>
  </si>
  <si>
    <t>attack power</t>
  </si>
  <si>
    <t>Primal Fury</t>
  </si>
  <si>
    <t>chance for extra combo point on crit</t>
  </si>
  <si>
    <t>Savage Fury</t>
  </si>
  <si>
    <t>damage multiplier on claw rake and mangle</t>
  </si>
  <si>
    <t>armor to target</t>
  </si>
  <si>
    <t>Heart of the Wild</t>
  </si>
  <si>
    <t>multiplier to INT and STR</t>
  </si>
  <si>
    <t>Leader of the Pack</t>
  </si>
  <si>
    <t>Predatory Instincts</t>
  </si>
  <si>
    <t>damage multiplier on crits</t>
  </si>
  <si>
    <t>Survival of the Fittest</t>
  </si>
  <si>
    <t>multiplier to STR, AGI, STA, INT, SPI</t>
  </si>
  <si>
    <t>can use Mangle (Cat)</t>
  </si>
  <si>
    <t>Restoration</t>
  </si>
  <si>
    <t>Naturalist</t>
  </si>
  <si>
    <t>damage multiplier</t>
  </si>
  <si>
    <t>Omen of clarity</t>
  </si>
  <si>
    <t>chance of a clearcast per attack (modeled as global energy reduction)</t>
  </si>
  <si>
    <t>Base stats</t>
  </si>
  <si>
    <t>Base</t>
  </si>
  <si>
    <t>Gear</t>
  </si>
  <si>
    <t>Buffs</t>
  </si>
  <si>
    <t>Combined</t>
  </si>
  <si>
    <t>Increased AP</t>
  </si>
  <si>
    <t>Hit rating</t>
  </si>
  <si>
    <t>Crit rating</t>
  </si>
  <si>
    <t>Feral skill rating</t>
  </si>
  <si>
    <t>Haste rating</t>
  </si>
  <si>
    <t>Weapon damage</t>
  </si>
  <si>
    <t>Critical multiplier</t>
  </si>
  <si>
    <t>Shred bonus</t>
  </si>
  <si>
    <t>Rip bonus</t>
  </si>
  <si>
    <t>Mangle bonus</t>
  </si>
  <si>
    <t>Derived stats</t>
  </si>
  <si>
    <t>Feral skill increase</t>
  </si>
  <si>
    <t>Attack power</t>
  </si>
  <si>
    <t>'+hit</t>
  </si>
  <si>
    <t>'+crit</t>
  </si>
  <si>
    <t>Judgement of Meow</t>
  </si>
  <si>
    <t>Attack speed</t>
  </si>
  <si>
    <t>Type</t>
  </si>
  <si>
    <t>Unconstrained</t>
  </si>
  <si>
    <t>Total White</t>
  </si>
  <si>
    <t>Total Yellow</t>
  </si>
  <si>
    <t>Total Binary</t>
  </si>
  <si>
    <t>Energy multiplier</t>
  </si>
  <si>
    <t>Glance</t>
  </si>
  <si>
    <t>Dodge</t>
  </si>
  <si>
    <t>Parry</t>
  </si>
  <si>
    <t>Miss</t>
  </si>
  <si>
    <t>Connect</t>
  </si>
  <si>
    <t>Attack</t>
  </si>
  <si>
    <t>Base energy</t>
  </si>
  <si>
    <t>Base CP</t>
  </si>
  <si>
    <t>Crit%</t>
  </si>
  <si>
    <t>Hit%</t>
  </si>
  <si>
    <t>Glance %</t>
  </si>
  <si>
    <t>Chance OOCd 1</t>
  </si>
  <si>
    <t>Energy 1</t>
  </si>
  <si>
    <t>Chance OOCd 2</t>
  </si>
  <si>
    <t>Chance OOCd mean</t>
  </si>
  <si>
    <t>Energy</t>
  </si>
  <si>
    <t>CP</t>
  </si>
  <si>
    <t>Crit modifier</t>
  </si>
  <si>
    <t>Damage modifier</t>
  </si>
  <si>
    <t>Base dmg</t>
  </si>
  <si>
    <t>Crit dmg</t>
  </si>
  <si>
    <t>Hit dmg</t>
  </si>
  <si>
    <t>Glance dmg</t>
  </si>
  <si>
    <t>Damage</t>
  </si>
  <si>
    <t>Melee</t>
  </si>
  <si>
    <t>Mangle until it hits, shred to 5 CP, rip</t>
  </si>
  <si>
    <t>Number of mangles to hit</t>
  </si>
  <si>
    <t>Combo points from mangle</t>
  </si>
  <si>
    <t>Number of shreds to reach 4 CP</t>
  </si>
  <si>
    <t>Number of shreds to reach 5 CP</t>
  </si>
  <si>
    <t>Number of rips to hit</t>
  </si>
  <si>
    <t>Time between rip and mangle</t>
  </si>
  <si>
    <t>Time between mangle and endshred</t>
  </si>
  <si>
    <t>not an accurate average bc it's capped below</t>
  </si>
  <si>
    <t>Count</t>
  </si>
  <si>
    <t>DPE</t>
  </si>
  <si>
    <t>% damage</t>
  </si>
  <si>
    <t>Cycle</t>
  </si>
  <si>
    <t>Cycle time</t>
  </si>
  <si>
    <t>Mangle uptime (rip)</t>
  </si>
  <si>
    <t>Mangle uptime (shred)</t>
  </si>
  <si>
    <t>Cycle DPS</t>
  </si>
  <si>
    <t>Current Cycle DPS</t>
  </si>
  <si>
    <t>Enter a '1' in each column in turn or a description in the misc cell, then copy the resulting DPS *value* into the cell below</t>
  </si>
  <si>
    <t>AP</t>
  </si>
  <si>
    <t>Test value</t>
  </si>
  <si>
    <t>Resulting DPS</t>
  </si>
  <si>
    <t>Gain per unit</t>
  </si>
  <si>
    <t>AP Equivalence</t>
  </si>
  <si>
    <t>Pawn String</t>
  </si>
  <si>
    <t>/pawn import</t>
  </si>
  <si>
    <t>Note: Pawn string does not include misc effects, or meta sockets</t>
  </si>
  <si>
    <t>Color</t>
  </si>
  <si>
    <t>Best gem</t>
  </si>
  <si>
    <t>AEP</t>
  </si>
  <si>
    <t>Socket value</t>
  </si>
  <si>
    <t>Red</t>
  </si>
  <si>
    <t>Yellow</t>
  </si>
  <si>
    <t>Blue</t>
  </si>
  <si>
    <t>Any</t>
  </si>
  <si>
    <t>Gem</t>
  </si>
  <si>
    <t>R-AEP</t>
  </si>
  <si>
    <t>Y-AEP</t>
  </si>
  <si>
    <t>B-AEP</t>
  </si>
  <si>
    <t>Gem(again)</t>
  </si>
  <si>
    <t>Bold Living Ruby</t>
  </si>
  <si>
    <t>Delicate Living Ruby</t>
  </si>
  <si>
    <t>Bright Living Ruby</t>
  </si>
  <si>
    <t>Smooth Dawnstone</t>
  </si>
  <si>
    <t>Rigid Dawnstone</t>
  </si>
  <si>
    <t>Solid Star of Elune</t>
  </si>
  <si>
    <t>Glinting Noble Topaz</t>
  </si>
  <si>
    <t>Inscribed Noble Topaz</t>
  </si>
  <si>
    <t>Wicked Noble Topaz</t>
  </si>
  <si>
    <t>Shifting Nightseye</t>
  </si>
  <si>
    <t>Sovereign Nightseye</t>
  </si>
  <si>
    <t>Balanced Nightseye</t>
  </si>
  <si>
    <t>Jagged Talasite</t>
  </si>
  <si>
    <t>GEM SELECTION</t>
  </si>
  <si>
    <t>Socket 1</t>
  </si>
  <si>
    <t>Socket 2</t>
  </si>
  <si>
    <t>Socket 3</t>
  </si>
  <si>
    <t>Bonus</t>
  </si>
  <si>
    <t>Total AEP</t>
  </si>
  <si>
    <t>Best matching</t>
  </si>
  <si>
    <t>Best nomatch</t>
  </si>
  <si>
    <t>Best overall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</si>
</sst>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C0C0C0"/>
      <name val="Arial"/>
    </font>
    <font>
      <b val="0"/>
      <i val="0"/>
      <strike val="0"/>
      <u val="none"/>
      <sz val="10.0"/>
      <color rgb="FF80808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969696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FFFFFF"/>
      <name val="Arial"/>
    </font>
    <font>
      <b val="0"/>
      <i val="0"/>
      <strike val="0"/>
      <u val="none"/>
      <sz val="10.0"/>
      <color rgb="FF333333"/>
      <name val="Arial"/>
    </font>
    <font>
      <b val="0"/>
      <i val="0"/>
      <strike val="0"/>
      <u val="none"/>
      <sz val="10.0"/>
      <color rgb="FFFFFFFF"/>
      <name val="Arial"/>
    </font>
    <font>
      <b val="0"/>
      <i val="0"/>
      <strike val="0"/>
      <u val="none"/>
      <sz val="10.0"/>
      <color rgb="FFFFFFFF"/>
      <name val="Arial"/>
    </font>
  </fonts>
  <fills count="23">
    <fill>
      <patternFill patternType="none"/>
    </fill>
    <fill>
      <patternFill patternType="gray125">
        <bgColor rgb="FFFFFFFF"/>
      </patternFill>
    </fill>
    <fill>
      <patternFill patternType="solid">
        <fgColor rgb="FFC0C0C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8080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33CCCC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rgb="FF33CCCC"/>
        <bgColor indexed="64"/>
      </patternFill>
    </fill>
    <fill>
      <patternFill patternType="solid">
        <fgColor rgb="FF800000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339966"/>
        <bgColor indexed="64"/>
      </patternFill>
    </fill>
    <fill>
      <patternFill patternType="solid">
        <fgColor rgb="FF00008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fillId="0" numFmtId="0" borderId="0" fontId="0"/>
  </cellStyleXfs>
  <cellXfs count="26">
    <xf applyAlignment="1" fillId="0" xfId="0" numFmtId="0" borderId="0" fontId="0">
      <alignment vertical="bottom" horizontal="general" wrapText="1"/>
    </xf>
    <xf applyAlignment="1" fillId="0" xfId="0" numFmtId="10" borderId="0" fontId="0" applyNumberFormat="1">
      <alignment vertical="bottom" horizontal="general" wrapText="1"/>
    </xf>
    <xf applyAlignment="1" fillId="2" xfId="0" numFmtId="0" borderId="0" fontId="0" applyFill="1">
      <alignment vertical="bottom" horizontal="general" wrapText="1"/>
    </xf>
    <xf applyAlignment="1" fillId="3" xfId="0" numFmtId="0" borderId="0" fontId="0" applyFill="1">
      <alignment vertical="bottom" horizontal="general" wrapText="1"/>
    </xf>
    <xf applyAlignment="1" fillId="4" xfId="0" numFmtId="0" borderId="0" fontId="0" applyFill="1">
      <alignment vertical="bottom" horizontal="general" wrapText="1"/>
    </xf>
    <xf applyAlignment="1" fillId="5" xfId="0" numFmtId="0" borderId="0" applyFont="1" fontId="1" applyFill="1">
      <alignment vertical="bottom" horizontal="general" wrapText="1"/>
    </xf>
    <xf applyAlignment="1" fillId="6" xfId="0" numFmtId="0" borderId="0" applyFont="1" fontId="2" applyFill="1">
      <alignment vertical="bottom" horizontal="general" wrapText="1"/>
    </xf>
    <xf applyAlignment="1" fillId="7" xfId="0" numFmtId="0" borderId="0" applyFont="1" fontId="3" applyFill="1">
      <alignment vertical="bottom" horizontal="general" wrapText="1"/>
    </xf>
    <xf applyAlignment="1" fillId="8" xfId="0" numFmtId="0" borderId="0" fontId="0" applyFill="1">
      <alignment vertical="bottom" horizontal="general" wrapText="1"/>
    </xf>
    <xf applyAlignment="1" fillId="0" xfId="0" numFmtId="4" borderId="0" fontId="0" applyNumberFormat="1">
      <alignment vertical="bottom" horizontal="general" wrapText="1"/>
    </xf>
    <xf applyAlignment="1" fillId="9" xfId="0" numFmtId="0" borderId="0" fontId="0" applyFill="1">
      <alignment vertical="bottom" horizontal="general" wrapText="1"/>
    </xf>
    <xf applyAlignment="1" fillId="10" xfId="0" numFmtId="0" borderId="0" fontId="0" applyFill="1">
      <alignment vertical="bottom" horizontal="general" wrapText="1"/>
    </xf>
    <xf applyAlignment="1" fillId="11" xfId="0" numFmtId="4" borderId="0" fontId="0" applyNumberFormat="1" applyFill="1">
      <alignment vertical="bottom" horizontal="general" wrapText="1"/>
    </xf>
    <xf applyAlignment="1" fillId="12" xfId="0" numFmtId="0" borderId="0" fontId="0" applyFill="1">
      <alignment vertical="bottom" horizontal="general" wrapText="1"/>
    </xf>
    <xf applyAlignment="1" fillId="13" xfId="0" numFmtId="0" borderId="0" applyFont="1" fontId="4" applyFill="1">
      <alignment vertical="bottom" horizontal="general" wrapText="1"/>
    </xf>
    <xf applyAlignment="1" fillId="14" xfId="0" numFmtId="4" borderId="0" fontId="0" applyNumberFormat="1" applyFill="1">
      <alignment vertical="bottom" horizontal="general" wrapText="1"/>
    </xf>
    <xf applyAlignment="1" fillId="15" xfId="0" numFmtId="10" borderId="0" fontId="0" applyNumberFormat="1" applyFill="1">
      <alignment vertical="bottom" horizontal="general" wrapText="1"/>
    </xf>
    <xf applyAlignment="1" fillId="0" xfId="0" numFmtId="3" borderId="0" fontId="0" applyNumberFormat="1">
      <alignment vertical="bottom" horizontal="general" wrapText="1"/>
    </xf>
    <xf applyAlignment="1" fillId="16" xfId="0" numFmtId="0" borderId="0" fontId="0" applyFill="1">
      <alignment vertical="bottom" horizontal="general" wrapText="1"/>
    </xf>
    <xf applyAlignment="1" fillId="0" xfId="0" numFmtId="9" borderId="0" fontId="0" applyNumberFormat="1">
      <alignment vertical="bottom" horizontal="general" wrapText="1"/>
    </xf>
    <xf applyAlignment="1" fillId="17" xfId="0" numFmtId="0" borderId="0" applyFont="1" fontId="5" applyFill="1">
      <alignment vertical="bottom" horizontal="general" wrapText="1"/>
    </xf>
    <xf applyAlignment="1" fillId="18" xfId="0" numFmtId="0" borderId="0" applyFont="1" fontId="6" applyFill="1">
      <alignment vertical="bottom" horizontal="general" wrapText="1"/>
    </xf>
    <xf applyAlignment="1" fillId="19" xfId="0" numFmtId="0" borderId="0" applyFont="1" fontId="7" applyFill="1">
      <alignment vertical="bottom" horizontal="general" wrapText="1"/>
    </xf>
    <xf applyAlignment="1" fillId="20" xfId="0" numFmtId="0" borderId="0" applyFont="1" fontId="8" applyFill="1">
      <alignment vertical="bottom" horizontal="general" wrapText="1"/>
    </xf>
    <xf applyAlignment="1" fillId="21" xfId="0" numFmtId="0" borderId="0" applyFont="1" fontId="9" applyFill="1">
      <alignment vertical="bottom" horizontal="general" wrapText="1"/>
    </xf>
    <xf applyAlignment="1" fillId="22" xfId="0" numFmtId="49" borderId="0" fontId="0" applyNumberFormat="1" applyFill="1">
      <alignment vertical="bottom" horizontal="general" wrapText="1"/>
    </xf>
  </cellXfs>
  <cellStyles count="1">
    <cellStyle builtinId="0" name="Normal" xfId="0"/>
  </cellStyles>
</styleSheet>
</file>

<file path=xl/_rels/workbook.xml.rels><?xml version="1.0" encoding="UTF-8" standalone="yes"?><Relationships xmlns="http://schemas.openxmlformats.org/package/2006/relationships"><Relationship Target="sharedStrings.xml" Type="http://schemas.openxmlformats.org/officeDocument/2006/relationships/sharedStrings" Id="rId2"/><Relationship Target="worksheets/sheet10.xml" Type="http://schemas.openxmlformats.org/officeDocument/2006/relationships/worksheet" Id="rId12"/><Relationship Target="worksheets/sheet11.xml" Type="http://schemas.openxmlformats.org/officeDocument/2006/relationships/worksheet" Id="rId13"/><Relationship Target="styles.xml" Type="http://schemas.openxmlformats.org/officeDocument/2006/relationships/styles" Id="rId1"/><Relationship Target="worksheets/sheet2.xml" Type="http://schemas.openxmlformats.org/officeDocument/2006/relationships/worksheet" Id="rId4"/><Relationship Target="worksheets/sheet8.xml" Type="http://schemas.openxmlformats.org/officeDocument/2006/relationships/worksheet" Id="rId10"/><Relationship Target="worksheets/sheet1.xml" Type="http://schemas.openxmlformats.org/officeDocument/2006/relationships/worksheet" Id="rId3"/><Relationship Target="worksheets/sheet9.xml" Type="http://schemas.openxmlformats.org/officeDocument/2006/relationships/worksheet" Id="rId11"/><Relationship Target="worksheets/sheet7.xml" Type="http://schemas.openxmlformats.org/officeDocument/2006/relationships/worksheet" Id="rId9"/><Relationship Target="worksheets/sheet4.xml" Type="http://schemas.openxmlformats.org/officeDocument/2006/relationships/worksheet" Id="rId6"/><Relationship Target="worksheets/sheet3.xml" Type="http://schemas.openxmlformats.org/officeDocument/2006/relationships/worksheet" Id="rId5"/><Relationship Target="worksheets/sheet6.xml" Type="http://schemas.openxmlformats.org/officeDocument/2006/relationships/worksheet" Id="rId8"/><Relationship Target="worksheets/sheet5.xml" Type="http://schemas.openxmlformats.org/officeDocument/2006/relationships/worksheet" Id="rId7"/></Relationships>
</file>

<file path=xl/worksheets/_rels/sheet4.xml.rels><?xml version="1.0" encoding="UTF-8" standalone="yes"?><Relationships xmlns="http://schemas.openxmlformats.org/package/2006/relationships"><Relationship Target="../drawings/vmlDrawing1.vml" Type="http://schemas.openxmlformats.org/officeDocument/2006/relationships/vmlDrawing" Id="rId2"/><Relationship Target="../comments1.xml" Type="http://schemas.openxmlformats.org/officeDocument/2006/relationships/comments" Id="rId1"/></Relationships>
</file>

<file path=xl/worksheets/_rels/sheet6.xml.rels><?xml version="1.0" encoding="UTF-8" standalone="yes"?><Relationships xmlns="http://schemas.openxmlformats.org/package/2006/relationships"><Relationship Target="../drawings/vmlDrawing2.vml" Type="http://schemas.openxmlformats.org/officeDocument/2006/relationships/vmlDrawing" Id="rId2"/><Relationship Target="../comments2.xml" Type="http://schemas.openxmlformats.org/officeDocument/2006/relationships/comments" Id="rId1"/></Relationships>
</file>

<file path=xl/worksheets/_rels/sheet8.xml.rels><?xml version="1.0" encoding="UTF-8" standalone="yes"?><Relationships xmlns="http://schemas.openxmlformats.org/package/2006/relationships"><Relationship Target="../drawings/vmlDrawing3.vml" Type="http://schemas.openxmlformats.org/officeDocument/2006/relationships/vmlDrawing" Id="rId2"/><Relationship Target="../comments3.xml" Type="http://schemas.openxmlformats.org/officeDocument/2006/relationships/comments" Id="rId1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9.14" defaultRowHeight="12.75"/>
  <cols>
    <col min="1" customWidth="1" max="1" width="20.0"/>
    <col min="3" customWidth="1" max="3" width="14.0"/>
    <col min="5" customWidth="1" max="5" width="16.86"/>
  </cols>
  <sheetData>
    <row r="1">
      <c t="s" s="13" r="A1">
        <v>0</v>
      </c>
      <c t="s" s="13" r="B1">
        <v>1</v>
      </c>
      <c t="s" s="13" r="C1">
        <v>2</v>
      </c>
      <c t="s" s="13" r="D1">
        <v>3</v>
      </c>
      <c s="13" r="E1"/>
    </row>
    <row r="2">
      <c t="s" s="10" r="A2">
        <v>4</v>
      </c>
      <c r="B2">
        <v>1</v>
      </c>
      <c r="C2">
        <v>30</v>
      </c>
      <c r="D2">
        <v>175</v>
      </c>
      <c t="s" r="E2">
        <v>5</v>
      </c>
    </row>
    <row r="3">
      <c t="s" s="10" r="A3">
        <v>4</v>
      </c>
      <c r="B3">
        <v>2</v>
      </c>
      <c r="C3">
        <v>40</v>
      </c>
      <c r="D3">
        <v>285</v>
      </c>
      <c t="s" r="E3">
        <v>5</v>
      </c>
    </row>
    <row r="4">
      <c t="s" s="10" r="A4">
        <v>4</v>
      </c>
      <c r="B4">
        <v>3</v>
      </c>
      <c r="C4">
        <v>50</v>
      </c>
      <c r="D4">
        <v>395</v>
      </c>
      <c t="s" r="E4">
        <v>5</v>
      </c>
    </row>
    <row r="5">
      <c t="s" s="10" r="A5">
        <v>4</v>
      </c>
      <c r="B5">
        <v>4</v>
      </c>
      <c r="C5">
        <v>60</v>
      </c>
      <c r="D5">
        <v>505</v>
      </c>
      <c t="s" r="E5">
        <v>5</v>
      </c>
    </row>
    <row r="6">
      <c t="s" s="10" r="A6">
        <v>4</v>
      </c>
      <c r="B6">
        <v>5</v>
      </c>
      <c r="C6">
        <v>70</v>
      </c>
      <c r="D6">
        <v>610</v>
      </c>
      <c t="s" r="E6">
        <v>5</v>
      </c>
    </row>
    <row r="7">
      <c t="s" s="10" r="A7">
        <v>6</v>
      </c>
      <c r="B7">
        <v>1</v>
      </c>
      <c r="C7">
        <v>50</v>
      </c>
      <c r="D7">
        <v>158</v>
      </c>
      <c t="s" r="E7">
        <v>7</v>
      </c>
    </row>
    <row r="8">
      <c t="s" s="10" r="A8">
        <v>6</v>
      </c>
      <c r="B8">
        <v>2</v>
      </c>
      <c r="C8">
        <v>58</v>
      </c>
      <c r="D8">
        <v>205</v>
      </c>
      <c t="s" r="E8">
        <v>7</v>
      </c>
    </row>
    <row r="9">
      <c t="s" s="10" r="A9">
        <v>6</v>
      </c>
      <c r="B9">
        <v>3</v>
      </c>
      <c r="C9">
        <v>68</v>
      </c>
      <c r="D9">
        <v>264</v>
      </c>
      <c t="s" r="E9">
        <v>7</v>
      </c>
    </row>
    <row r="10">
      <c t="s" s="10" r="A10">
        <v>8</v>
      </c>
      <c r="B10">
        <v>1</v>
      </c>
      <c r="C10">
        <v>20</v>
      </c>
      <c r="D10">
        <v>197</v>
      </c>
      <c t="s" r="E10">
        <v>9</v>
      </c>
    </row>
    <row r="11">
      <c t="s" s="10" r="A11">
        <v>8</v>
      </c>
      <c r="B11">
        <v>2</v>
      </c>
      <c r="C11">
        <v>28</v>
      </c>
      <c r="D11">
        <v>335</v>
      </c>
      <c t="s" r="E11">
        <v>9</v>
      </c>
    </row>
    <row r="12">
      <c t="s" s="10" r="A12">
        <v>8</v>
      </c>
      <c r="B12">
        <v>3</v>
      </c>
      <c r="C12">
        <v>36</v>
      </c>
      <c r="D12">
        <v>438</v>
      </c>
      <c t="s" r="E12">
        <v>9</v>
      </c>
    </row>
    <row r="13">
      <c t="s" s="10" r="A13">
        <v>8</v>
      </c>
      <c r="B13">
        <v>4</v>
      </c>
      <c r="C13">
        <v>44</v>
      </c>
      <c r="D13">
        <v>678</v>
      </c>
      <c t="s" r="E13">
        <v>9</v>
      </c>
    </row>
    <row r="14">
      <c t="s" s="10" r="A14">
        <v>8</v>
      </c>
      <c r="B14">
        <v>5</v>
      </c>
      <c r="C14">
        <v>52</v>
      </c>
      <c r="D14">
        <v>961</v>
      </c>
      <c t="s" r="E14">
        <v>9</v>
      </c>
    </row>
    <row r="15">
      <c t="s" s="10" r="A15">
        <v>8</v>
      </c>
      <c r="B15">
        <v>6</v>
      </c>
      <c r="C15">
        <v>60</v>
      </c>
      <c r="D15">
        <v>1347</v>
      </c>
      <c t="s" r="E15">
        <v>9</v>
      </c>
    </row>
    <row r="16">
      <c t="s" s="10" r="A16">
        <v>8</v>
      </c>
      <c r="B16">
        <v>7</v>
      </c>
      <c r="C16">
        <v>67</v>
      </c>
      <c r="D16">
        <v>1562</v>
      </c>
      <c t="s" r="E16">
        <v>9</v>
      </c>
    </row>
    <row r="17">
      <c t="s" s="10" r="A17">
        <v>10</v>
      </c>
      <c r="B17">
        <v>1</v>
      </c>
      <c r="C17">
        <v>22</v>
      </c>
      <c r="D17">
        <v>54</v>
      </c>
      <c t="s" r="E17">
        <v>7</v>
      </c>
    </row>
    <row r="18">
      <c t="s" s="10" r="A18">
        <v>10</v>
      </c>
      <c r="B18">
        <v>2</v>
      </c>
      <c r="C18">
        <v>30</v>
      </c>
      <c r="D18">
        <v>72</v>
      </c>
      <c t="s" r="E18">
        <v>7</v>
      </c>
    </row>
    <row r="19">
      <c t="s" s="10" r="A19">
        <v>10</v>
      </c>
      <c r="B19">
        <v>3</v>
      </c>
      <c r="C19">
        <v>38</v>
      </c>
      <c r="D19">
        <v>99</v>
      </c>
      <c t="s" r="E19">
        <v>7</v>
      </c>
    </row>
    <row r="20">
      <c t="s" s="10" r="A20">
        <v>10</v>
      </c>
      <c r="B20">
        <v>4</v>
      </c>
      <c r="C20">
        <v>46</v>
      </c>
      <c r="D20">
        <v>144</v>
      </c>
      <c t="s" r="E20">
        <v>7</v>
      </c>
    </row>
    <row r="21">
      <c t="s" s="10" r="A21">
        <v>10</v>
      </c>
      <c r="B21">
        <v>5</v>
      </c>
      <c r="C21">
        <v>54</v>
      </c>
      <c r="D21">
        <v>180</v>
      </c>
      <c t="s" r="E21">
        <v>7</v>
      </c>
    </row>
    <row r="22">
      <c t="s" s="10" r="A22">
        <v>10</v>
      </c>
      <c r="B22">
        <v>6</v>
      </c>
      <c r="C22">
        <v>61</v>
      </c>
      <c r="D22">
        <v>236</v>
      </c>
      <c t="s" r="E22">
        <v>7</v>
      </c>
    </row>
    <row r="23">
      <c t="s" s="10" r="A23">
        <v>10</v>
      </c>
      <c r="B23">
        <v>7</v>
      </c>
      <c r="C23">
        <v>70</v>
      </c>
      <c r="D23">
        <v>405</v>
      </c>
      <c t="s" r="E23">
        <v>7</v>
      </c>
    </row>
    <row r="24">
      <c t="s" s="2" r="A24">
        <v>11</v>
      </c>
      <c s="2" r="B24"/>
      <c s="2" r="C24"/>
      <c s="2" r="D24"/>
      <c s="2" r="E24"/>
    </row>
  </sheetData>
  <mergeCells count="2">
    <mergeCell ref="D1:E1"/>
    <mergeCell ref="A24:E24"/>
  </mergeCell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9.14" defaultRowHeight="12.75"/>
  <cols>
    <col min="1" customWidth="1" max="1" width="20.86"/>
    <col min="3" customWidth="1" max="3" width="65.43"/>
  </cols>
  <sheetData>
    <row r="1">
      <c t="s" s="8" r="A1">
        <v>12</v>
      </c>
      <c t="s" s="8" r="B1">
        <v>13</v>
      </c>
    </row>
    <row r="2">
      <c t="s" s="10" r="A2">
        <v>14</v>
      </c>
      <c t="s" s="3" r="B2">
        <v>15</v>
      </c>
      <c t="s" r="C2">
        <v>16</v>
      </c>
    </row>
    <row r="3">
      <c t="s" s="10" r="A3">
        <v>17</v>
      </c>
      <c s="3" r="B3">
        <v>70</v>
      </c>
    </row>
    <row r="4">
      <c t="s" s="10" r="A4">
        <v>18</v>
      </c>
      <c s="3" r="B4">
        <v>73</v>
      </c>
    </row>
    <row r="5">
      <c t="s" s="10" r="A5">
        <v>19</v>
      </c>
      <c s="2" r="B5">
        <f>B4-B3</f>
        <v>3</v>
      </c>
    </row>
    <row r="6">
      <c t="s" s="10" r="A6">
        <v>20</v>
      </c>
      <c s="22" r="B6">
        <f>B5*5</f>
        <v>15</v>
      </c>
    </row>
    <row r="7">
      <c t="s" s="10" r="A7">
        <v>21</v>
      </c>
      <c t="s" s="25" r="B7">
        <v>22</v>
      </c>
      <c t="s" r="C7">
        <v>23</v>
      </c>
    </row>
    <row r="8">
      <c t="s" s="10" r="A8">
        <v>24</v>
      </c>
      <c s="3" r="B8">
        <v>0.8</v>
      </c>
      <c t="s" r="C8">
        <v>25</v>
      </c>
    </row>
    <row r="9">
      <c t="s" s="10" r="A9">
        <v>26</v>
      </c>
      <c s="3" r="B9">
        <v>0.82</v>
      </c>
      <c t="s" r="C9">
        <v>27</v>
      </c>
    </row>
    <row r="10">
      <c t="s" s="10" r="A10">
        <v>28</v>
      </c>
      <c s="3" r="B10">
        <v>1.05</v>
      </c>
      <c t="s" r="C10">
        <v>29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9.14" defaultRowHeight="12.75"/>
  <cols>
    <col min="1" customWidth="1" max="1" width="16.14"/>
    <col min="4" customWidth="1" max="4" width="16.57"/>
    <col min="5" customWidth="1" max="5" width="46.71"/>
    <col min="6" customWidth="1" max="6" width="13.43"/>
    <col min="7" customWidth="1" max="7" width="10.14"/>
    <col min="8" customWidth="1" max="8" width="19.0"/>
    <col min="9" customWidth="1" max="9" width="25.14"/>
  </cols>
  <sheetData>
    <row customHeight="1" r="1" ht="12.0">
      <c t="s" s="13" r="A1">
        <v>0</v>
      </c>
      <c t="s" s="13" r="B1">
        <v>1</v>
      </c>
      <c t="s" s="13" r="C1">
        <v>3</v>
      </c>
      <c s="13" r="D1"/>
      <c t="s" s="6" r="F1">
        <v>30</v>
      </c>
      <c t="s" s="6" r="G1">
        <v>31</v>
      </c>
      <c t="s" s="6" r="H1">
        <v>32</v>
      </c>
      <c t="s" s="6" r="I1">
        <v>33</v>
      </c>
    </row>
    <row r="2">
      <c t="s" s="10" r="A2">
        <v>4</v>
      </c>
      <c r="B2">
        <f>N(MATCH(basic!B3,INDIRECT(H2),1))</f>
        <v>5</v>
      </c>
      <c r="C2">
        <f>IF(ISNA(B2),0,INDEX(INDIRECT(I2),B2,1))</f>
        <v>610</v>
      </c>
      <c t="str" r="D2">
        <f>IF(ISNA(B2),"",INDEX(INDIRECT(I2),B2,2))</f>
        <v>Armor reduction</v>
      </c>
      <c s="6" r="F2">
        <f>MATCH(A2,'spell data'!A:A,0)</f>
        <v>2</v>
      </c>
      <c s="6" r="G2">
        <f>(MATCH(A2,INDIRECT(CONCATENATE("'Spell Data'!A",(F2-1),":A999"),1),1)+F2)-2</f>
        <v>6</v>
      </c>
      <c t="str" s="6" r="H2">
        <f>CONCATENATE("'Spell Data'!C",F2,":C",G2)</f>
        <v>'Spell Data'!C2:C6</v>
      </c>
      <c t="str" s="6" r="I2">
        <f>CONCATENATE("'Spell Data'!D",F2,":E",G2)</f>
        <v>'Spell Data'!D2:E6</v>
      </c>
    </row>
    <row r="3">
      <c t="s" s="10" r="A3">
        <v>6</v>
      </c>
      <c r="B3">
        <f>N(MATCH(basic!B3,INDIRECT(H3),1))</f>
        <v>3</v>
      </c>
      <c r="C3">
        <f>IF(ISNA(B3),0,INDEX(INDIRECT(I3),B3,1))</f>
        <v>264</v>
      </c>
      <c t="str" r="D3">
        <f>IF(ISNA(B3),"",INDEX(INDIRECT(I3),B3,2))</f>
        <v>Extra damage</v>
      </c>
      <c s="6" r="F3">
        <f>MATCH(A3,'spell data'!A:A,0)</f>
        <v>7</v>
      </c>
      <c s="6" r="G3">
        <f>(MATCH(A3,INDIRECT(CONCATENATE("'Spell Data'!A",F3,":A999"),1))+F3)-1</f>
        <v>9</v>
      </c>
      <c t="str" s="6" r="H3">
        <f>CONCATENATE("'Spell Data'!C",F3,":C",G3)</f>
        <v>'Spell Data'!C7:C9</v>
      </c>
      <c t="str" s="6" r="I3">
        <f>CONCATENATE("'Spell Data'!D",F3,":E",G3)</f>
        <v>'Spell Data'!D7:E9</v>
      </c>
    </row>
    <row r="4">
      <c t="s" s="10" r="A4">
        <v>8</v>
      </c>
      <c r="B4">
        <f>N(MATCH(basic!B3,INDIRECT(H4),1))</f>
        <v>7</v>
      </c>
      <c r="C4">
        <f>IF(ISNA(B4),0,INDEX(INDIRECT(I4),B4,1))</f>
        <v>1562</v>
      </c>
      <c t="str" r="D4">
        <f>IF(ISNA(B4),"",INDEX(INDIRECT(I4),B4,2))</f>
        <v>Base dot</v>
      </c>
      <c s="6" r="F4">
        <f>MATCH(A4,'spell data'!A:A,0)</f>
        <v>10</v>
      </c>
      <c s="6" r="G4">
        <f>(MATCH(A4,INDIRECT(CONCATENATE("'Spell Data'!A",F4,":A999"),1))+F4)-1</f>
        <v>16</v>
      </c>
      <c t="str" s="6" r="H4">
        <f>CONCATENATE("'Spell Data'!C",F4,":C",G4)</f>
        <v>'Spell Data'!C10:C16</v>
      </c>
      <c t="str" s="6" r="I4">
        <f>CONCATENATE("'Spell Data'!D",F4,":E",G4)</f>
        <v>'Spell Data'!D10:E16</v>
      </c>
    </row>
    <row r="5">
      <c t="s" s="10" r="A5">
        <v>10</v>
      </c>
      <c r="B5">
        <f>N(MATCH(basic!B3,INDIRECT(H5),1))</f>
        <v>7</v>
      </c>
      <c r="C5">
        <f>IF(ISNA(B5),0,INDEX(INDIRECT(I5),B5,1))</f>
        <v>405</v>
      </c>
      <c t="str" r="D5">
        <f>IF(ISNA(B5),"",INDEX(INDIRECT(I5),B5,2))</f>
        <v>Extra damage</v>
      </c>
      <c s="6" r="F5">
        <f>MATCH(A5,'spell data'!A:A,0)</f>
        <v>17</v>
      </c>
      <c s="6" r="G5">
        <f>(MATCH(A5,INDIRECT(CONCATENATE("'Spell Data'!A",F5,":A999"),1))+F5)-1</f>
        <v>23</v>
      </c>
      <c t="str" s="6" r="H5">
        <f>CONCATENATE("'Spell Data'!C",F5,":C",G5)</f>
        <v>'Spell Data'!C17:C23</v>
      </c>
      <c t="str" s="6" r="I5">
        <f>CONCATENATE("'Spell Data'!D",F5,":E",G5)</f>
        <v>'Spell Data'!D17:E23</v>
      </c>
    </row>
    <row r="6">
      <c s="6" r="F6"/>
      <c s="6" r="G6"/>
      <c s="6" r="H6"/>
      <c s="6" r="I6"/>
    </row>
    <row r="7">
      <c s="6" r="F7"/>
      <c s="6" r="G7"/>
      <c s="6" r="H7"/>
      <c s="6" r="I7"/>
    </row>
    <row r="8">
      <c s="6" r="F8"/>
      <c s="6" r="G8"/>
      <c s="6" r="H8"/>
      <c s="6" r="I8"/>
    </row>
    <row r="9">
      <c s="6" r="F9"/>
      <c s="6" r="G9"/>
      <c s="6" r="H9"/>
      <c s="6" r="I9"/>
    </row>
    <row r="10">
      <c s="6" r="F10"/>
      <c s="6" r="G10"/>
      <c s="6" r="H10"/>
      <c s="6" r="I10"/>
    </row>
    <row r="11">
      <c s="6" r="F11"/>
      <c s="6" r="G11"/>
      <c s="6" r="H11"/>
      <c s="6" r="I11"/>
    </row>
    <row r="12">
      <c s="6" r="F12"/>
      <c s="6" r="G12"/>
      <c s="6" r="H12"/>
      <c s="6" r="I12"/>
    </row>
    <row r="13">
      <c s="6" r="F13"/>
      <c s="6" r="G13"/>
      <c s="6" r="H13"/>
      <c s="6" r="I13"/>
    </row>
    <row r="14">
      <c s="6" r="F14"/>
      <c s="6" r="G14"/>
      <c s="6" r="H14"/>
      <c s="6" r="I14"/>
    </row>
    <row r="15">
      <c s="6" r="F15"/>
      <c s="6" r="G15"/>
      <c s="6" r="H15"/>
      <c s="6" r="I15"/>
    </row>
    <row r="16">
      <c s="6" r="F16"/>
      <c s="6" r="G16"/>
      <c s="6" r="H16"/>
      <c s="6" r="I16"/>
    </row>
    <row r="17">
      <c s="6" r="F17"/>
      <c s="6" r="G17"/>
      <c s="6" r="H17"/>
      <c s="6" r="I17"/>
    </row>
    <row r="18">
      <c s="6" r="F18"/>
      <c s="6" r="G18"/>
      <c s="6" r="H18"/>
      <c s="6" r="I18"/>
    </row>
    <row r="19">
      <c s="6" r="F19"/>
      <c s="6" r="G19"/>
      <c s="6" r="H19"/>
      <c s="6" r="I19"/>
    </row>
    <row r="20">
      <c s="6" r="F20"/>
      <c s="6" r="G20"/>
      <c s="6" r="H20"/>
      <c s="6" r="I20"/>
    </row>
    <row r="21">
      <c s="6" r="F21"/>
      <c s="6" r="G21"/>
      <c s="6" r="H21"/>
      <c s="6" r="I21"/>
    </row>
    <row r="22">
      <c s="6" r="F22"/>
      <c s="6" r="G22"/>
      <c s="6" r="H22"/>
      <c s="6" r="I22"/>
    </row>
    <row r="23">
      <c s="6" r="F23"/>
      <c s="6" r="G23"/>
      <c s="6" r="H23"/>
      <c s="6" r="I23"/>
    </row>
    <row r="24">
      <c s="6" r="F24"/>
      <c s="6" r="G24"/>
      <c s="6" r="H24"/>
      <c s="6" r="I24"/>
    </row>
    <row r="25">
      <c s="6" r="F25"/>
      <c s="6" r="G25"/>
      <c s="6" r="H25"/>
      <c s="6" r="I25"/>
    </row>
    <row r="26">
      <c s="6" r="F26"/>
      <c s="6" r="G26"/>
      <c s="6" r="H26"/>
      <c s="6" r="I26"/>
    </row>
    <row r="27">
      <c s="6" r="F27"/>
      <c s="6" r="G27"/>
      <c s="6" r="H27"/>
      <c s="6" r="I27"/>
    </row>
    <row r="28">
      <c s="6" r="F28"/>
      <c s="6" r="G28"/>
      <c s="6" r="H28"/>
      <c s="6" r="I28"/>
    </row>
    <row r="29">
      <c s="6" r="F29"/>
      <c s="6" r="G29"/>
      <c s="6" r="H29"/>
      <c s="6" r="I29"/>
    </row>
    <row r="30">
      <c s="6" r="F30"/>
      <c s="6" r="G30"/>
      <c s="6" r="H30"/>
      <c s="6" r="I30"/>
    </row>
    <row r="31">
      <c s="6" r="F31"/>
      <c s="6" r="G31"/>
      <c s="6" r="H31"/>
      <c s="6" r="I31"/>
    </row>
    <row r="32">
      <c s="6" r="F32"/>
      <c s="6" r="G32"/>
      <c s="6" r="H32"/>
      <c s="6" r="I32"/>
    </row>
    <row r="33">
      <c s="6" r="F33"/>
      <c s="6" r="G33"/>
      <c s="6" r="H33"/>
      <c s="6" r="I33"/>
    </row>
    <row r="34">
      <c s="6" r="F34"/>
      <c s="6" r="G34"/>
      <c s="6" r="H34"/>
      <c s="6" r="I34"/>
    </row>
    <row r="35">
      <c s="6" r="F35"/>
      <c s="6" r="G35"/>
      <c s="6" r="H35"/>
      <c s="6" r="I35"/>
    </row>
    <row r="36">
      <c s="6" r="F36"/>
      <c s="6" r="G36"/>
      <c s="6" r="H36"/>
      <c s="6" r="I36"/>
    </row>
    <row r="37">
      <c s="6" r="F37"/>
      <c s="6" r="G37"/>
      <c s="6" r="H37"/>
      <c s="6" r="I37"/>
    </row>
    <row r="38">
      <c s="6" r="F38"/>
      <c s="6" r="G38"/>
      <c s="6" r="H38"/>
      <c s="6" r="I38"/>
    </row>
    <row r="39">
      <c s="6" r="F39"/>
      <c s="6" r="G39"/>
      <c s="6" r="H39"/>
      <c s="6" r="I39"/>
    </row>
    <row r="40">
      <c s="6" r="F40"/>
      <c s="6" r="G40"/>
      <c s="6" r="H40"/>
      <c s="6" r="I40"/>
    </row>
    <row r="41">
      <c s="6" r="F41"/>
      <c s="6" r="G41"/>
      <c s="6" r="H41"/>
      <c s="6" r="I41"/>
    </row>
    <row r="42">
      <c s="6" r="F42"/>
      <c s="6" r="G42"/>
      <c s="6" r="H42"/>
      <c s="6" r="I42"/>
    </row>
    <row r="43">
      <c s="6" r="F43"/>
      <c s="6" r="G43"/>
      <c s="6" r="H43"/>
      <c s="6" r="I43"/>
    </row>
    <row r="44">
      <c s="6" r="F44"/>
      <c s="6" r="G44"/>
      <c s="6" r="H44"/>
      <c s="6" r="I44"/>
    </row>
    <row r="45">
      <c s="6" r="F45"/>
      <c s="6" r="G45"/>
      <c s="6" r="H45"/>
      <c s="6" r="I45"/>
    </row>
    <row r="46">
      <c s="6" r="F46"/>
      <c s="6" r="G46"/>
      <c s="6" r="H46"/>
      <c s="6" r="I46"/>
    </row>
    <row r="47">
      <c s="6" r="F47"/>
      <c s="6" r="G47"/>
      <c s="6" r="H47"/>
      <c s="6" r="I47"/>
    </row>
    <row r="48">
      <c s="6" r="F48"/>
      <c s="6" r="G48"/>
      <c s="6" r="H48"/>
      <c s="6" r="I48"/>
    </row>
    <row r="49">
      <c s="6" r="F49"/>
      <c s="6" r="G49"/>
      <c s="6" r="H49"/>
      <c s="6" r="I49"/>
    </row>
    <row r="50">
      <c s="6" r="F50"/>
      <c s="6" r="G50"/>
      <c s="6" r="H50"/>
      <c s="6" r="I50"/>
    </row>
    <row r="51">
      <c s="6" r="F51"/>
      <c s="6" r="G51"/>
      <c s="6" r="H51"/>
      <c s="6" r="I51"/>
    </row>
    <row r="52">
      <c s="6" r="F52"/>
      <c s="6" r="G52"/>
      <c s="6" r="H52"/>
      <c s="6" r="I52"/>
    </row>
    <row r="53">
      <c s="6" r="F53"/>
      <c s="6" r="G53"/>
      <c s="6" r="H53"/>
      <c s="6" r="I53"/>
    </row>
    <row r="54">
      <c s="6" r="F54"/>
      <c s="6" r="G54"/>
      <c s="6" r="H54"/>
      <c s="6" r="I54"/>
    </row>
    <row r="55">
      <c s="6" r="F55"/>
      <c s="6" r="G55"/>
      <c s="6" r="H55"/>
      <c s="6" r="I55"/>
    </row>
    <row r="56">
      <c s="6" r="F56"/>
      <c s="6" r="G56"/>
      <c s="6" r="H56"/>
      <c s="6" r="I56"/>
    </row>
    <row r="57">
      <c s="6" r="F57"/>
      <c s="6" r="G57"/>
      <c s="6" r="H57"/>
      <c s="6" r="I57"/>
    </row>
    <row r="58">
      <c s="6" r="F58"/>
      <c s="6" r="G58"/>
      <c s="6" r="H58"/>
      <c s="6" r="I58"/>
    </row>
    <row r="59">
      <c s="6" r="F59"/>
      <c s="6" r="G59"/>
      <c s="6" r="H59"/>
      <c s="6" r="I59"/>
    </row>
    <row r="60">
      <c s="6" r="F60"/>
      <c s="6" r="G60"/>
      <c s="6" r="H60"/>
      <c s="6" r="I60"/>
    </row>
    <row r="61">
      <c s="6" r="F61"/>
      <c s="6" r="G61"/>
      <c s="6" r="H61"/>
      <c s="6" r="I61"/>
    </row>
    <row r="62">
      <c s="6" r="F62"/>
      <c s="6" r="G62"/>
      <c s="6" r="H62"/>
      <c s="6" r="I62"/>
    </row>
    <row r="63">
      <c s="6" r="F63"/>
      <c s="6" r="G63"/>
      <c s="6" r="H63"/>
      <c s="6" r="I63"/>
    </row>
    <row r="64">
      <c s="6" r="F64"/>
      <c s="6" r="G64"/>
      <c s="6" r="H64"/>
      <c s="6" r="I64"/>
    </row>
    <row r="65">
      <c s="6" r="F65"/>
      <c s="6" r="G65"/>
      <c s="6" r="H65"/>
      <c s="6" r="I65"/>
    </row>
    <row r="66">
      <c s="6" r="F66"/>
      <c s="6" r="G66"/>
      <c s="6" r="H66"/>
      <c s="6" r="I66"/>
    </row>
    <row r="67">
      <c s="6" r="F67"/>
      <c s="6" r="G67"/>
      <c s="6" r="H67"/>
      <c s="6" r="I67"/>
    </row>
    <row r="68">
      <c s="6" r="F68"/>
      <c s="6" r="G68"/>
      <c s="6" r="H68"/>
      <c s="6" r="I68"/>
    </row>
    <row r="69">
      <c s="6" r="F69"/>
      <c s="6" r="G69"/>
      <c s="6" r="H69"/>
      <c s="6" r="I69"/>
    </row>
    <row r="70">
      <c s="6" r="F70"/>
      <c s="6" r="G70"/>
      <c s="6" r="H70"/>
      <c s="6" r="I70"/>
    </row>
    <row r="71">
      <c s="6" r="F71"/>
      <c s="6" r="G71"/>
      <c s="6" r="H71"/>
      <c s="6" r="I71"/>
    </row>
    <row r="72">
      <c s="6" r="F72"/>
      <c s="6" r="G72"/>
      <c s="6" r="H72"/>
      <c s="6" r="I72"/>
    </row>
    <row r="73">
      <c s="6" r="F73"/>
      <c s="6" r="G73"/>
      <c s="6" r="H73"/>
      <c s="6" r="I73"/>
    </row>
    <row r="74">
      <c s="6" r="F74"/>
      <c s="6" r="G74"/>
      <c s="6" r="H74"/>
      <c s="6" r="I74"/>
    </row>
    <row r="75">
      <c s="6" r="F75"/>
      <c s="6" r="G75"/>
      <c s="6" r="H75"/>
      <c s="6" r="I75"/>
    </row>
    <row r="76">
      <c s="6" r="F76"/>
      <c s="6" r="G76"/>
      <c s="6" r="H76"/>
      <c s="6" r="I76"/>
    </row>
    <row r="77">
      <c s="6" r="F77"/>
      <c s="6" r="G77"/>
      <c s="6" r="H77"/>
      <c s="6" r="I77"/>
    </row>
    <row r="78">
      <c s="6" r="F78"/>
      <c s="6" r="G78"/>
      <c s="6" r="H78"/>
      <c s="6" r="I78"/>
    </row>
    <row r="79">
      <c s="6" r="F79"/>
      <c s="6" r="G79"/>
      <c s="6" r="H79"/>
      <c s="6" r="I79"/>
    </row>
    <row r="80">
      <c s="6" r="F80"/>
      <c s="6" r="G80"/>
      <c s="6" r="H80"/>
      <c s="6" r="I80"/>
    </row>
    <row r="81">
      <c s="6" r="F81"/>
      <c s="6" r="G81"/>
      <c s="6" r="H81"/>
      <c s="6" r="I81"/>
    </row>
    <row r="82">
      <c s="6" r="F82"/>
      <c s="6" r="G82"/>
      <c s="6" r="H82"/>
      <c s="6" r="I82"/>
    </row>
    <row r="83">
      <c s="6" r="F83"/>
      <c s="6" r="G83"/>
      <c s="6" r="H83"/>
      <c s="6" r="I83"/>
    </row>
    <row r="84">
      <c s="6" r="F84"/>
      <c s="6" r="G84"/>
      <c s="6" r="H84"/>
      <c s="6" r="I84"/>
    </row>
    <row r="85">
      <c s="6" r="F85"/>
      <c s="6" r="G85"/>
      <c s="6" r="H85"/>
      <c s="6" r="I85"/>
    </row>
    <row r="86">
      <c s="6" r="F86"/>
      <c s="6" r="G86"/>
      <c s="6" r="H86"/>
      <c s="6" r="I86"/>
    </row>
    <row r="87">
      <c s="6" r="F87"/>
      <c s="6" r="G87"/>
      <c s="6" r="H87"/>
      <c s="6" r="I87"/>
    </row>
    <row r="88">
      <c s="6" r="F88"/>
      <c s="6" r="G88"/>
      <c s="6" r="H88"/>
      <c s="6" r="I88"/>
    </row>
    <row r="89">
      <c s="6" r="F89"/>
      <c s="6" r="G89"/>
      <c s="6" r="H89"/>
      <c s="6" r="I89"/>
    </row>
    <row r="90">
      <c s="6" r="F90"/>
      <c s="6" r="G90"/>
      <c s="6" r="H90"/>
      <c s="6" r="I90"/>
    </row>
    <row r="91">
      <c s="6" r="F91"/>
      <c s="6" r="G91"/>
      <c s="6" r="H91"/>
      <c s="6" r="I91"/>
    </row>
    <row r="92">
      <c s="6" r="F92"/>
      <c s="6" r="G92"/>
      <c s="6" r="H92"/>
      <c s="6" r="I92"/>
    </row>
    <row r="93">
      <c s="6" r="F93"/>
      <c s="6" r="G93"/>
      <c s="6" r="H93"/>
      <c s="6" r="I93"/>
    </row>
    <row r="94">
      <c s="6" r="F94"/>
      <c s="6" r="G94"/>
      <c s="6" r="H94"/>
      <c s="6" r="I94"/>
    </row>
    <row r="95">
      <c s="6" r="F95"/>
      <c s="6" r="G95"/>
      <c s="6" r="H95"/>
      <c s="6" r="I95"/>
    </row>
    <row r="96">
      <c s="6" r="F96"/>
      <c s="6" r="G96"/>
      <c s="6" r="H96"/>
      <c s="6" r="I96"/>
    </row>
    <row r="97">
      <c s="6" r="F97"/>
      <c s="6" r="G97"/>
      <c s="6" r="H97"/>
      <c s="6" r="I97"/>
    </row>
    <row r="98">
      <c s="6" r="F98"/>
      <c s="6" r="G98"/>
      <c s="6" r="H98"/>
      <c s="6" r="I98"/>
    </row>
    <row r="99">
      <c s="6" r="F99"/>
      <c s="6" r="G99"/>
      <c s="6" r="H99"/>
      <c s="6" r="I99"/>
    </row>
    <row r="100">
      <c s="6" r="F100"/>
      <c s="6" r="G100"/>
      <c s="6" r="H100"/>
      <c s="6" r="I100"/>
    </row>
  </sheetData>
  <mergeCells count="1">
    <mergeCell ref="C1:D1"/>
  </mergeCell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9.14" defaultRowHeight="12.75"/>
  <cols>
    <col min="1" customWidth="1" max="1" width="16.14"/>
    <col min="2" customWidth="1" max="2" width="53.0"/>
    <col min="3" customWidth="1" max="11" width="5.43"/>
    <col min="13" customWidth="1" max="13" width="5.43"/>
    <col min="14" customWidth="1" max="14" width="16.14"/>
    <col min="15" customWidth="1" max="15" width="3.0"/>
    <col min="16" customWidth="1" max="16" width="3.57"/>
    <col min="17" customWidth="1" max="17" width="2.86"/>
    <col min="18" customWidth="1" max="18" width="3.57"/>
    <col min="19" customWidth="1" max="19" width="3.43"/>
  </cols>
  <sheetData>
    <row r="1">
      <c t="s" s="8" r="A1">
        <v>34</v>
      </c>
      <c t="s" s="8" r="B1">
        <v>35</v>
      </c>
      <c t="s" s="8" r="C1">
        <v>36</v>
      </c>
      <c t="s" s="8" r="D1">
        <v>37</v>
      </c>
      <c t="s" s="8" r="E1">
        <v>38</v>
      </c>
      <c t="s" s="8" r="F1">
        <v>39</v>
      </c>
      <c t="s" s="8" r="G1">
        <v>40</v>
      </c>
      <c t="s" s="8" r="H1">
        <v>41</v>
      </c>
      <c t="s" s="8" r="I1">
        <v>42</v>
      </c>
      <c t="s" s="8" r="J1">
        <v>43</v>
      </c>
      <c t="s" s="8" r="K1">
        <v>44</v>
      </c>
      <c t="s" s="8" r="L1">
        <v>45</v>
      </c>
      <c t="s" s="8" r="M1">
        <v>46</v>
      </c>
      <c t="s" s="8" r="N1">
        <v>47</v>
      </c>
      <c s="2" r="O1"/>
      <c s="2" r="P1"/>
      <c s="2" r="Q1"/>
      <c s="2" r="R1"/>
      <c s="2" r="S1"/>
    </row>
    <row r="2">
      <c t="s" s="10" r="A2">
        <v>48</v>
      </c>
      <c t="s" s="3" r="B2">
        <v>49</v>
      </c>
      <c s="3" r="C2">
        <v>53</v>
      </c>
      <c s="3" r="D2">
        <v>55</v>
      </c>
      <c s="3" r="E2">
        <v>49</v>
      </c>
      <c s="3" r="F2">
        <v>20</v>
      </c>
      <c s="3" r="G2"/>
      <c s="3" r="H2"/>
      <c s="3" r="I2">
        <v>4</v>
      </c>
      <c s="3" r="J2"/>
      <c s="3" r="K2"/>
      <c s="3" r="L2"/>
      <c s="3" r="M2"/>
      <c t="s" s="3" r="N2">
        <v>50</v>
      </c>
      <c t="str" s="2" r="O2">
        <f>IF(ISNUMBER(SEARCH(" ",$N2)),LEFT($N2,(SEARCH(" ",$N2)-1)),$N2)</f>
        <v>relentless</v>
      </c>
      <c t="str" s="2" r="P2">
        <f>IF((LEN($N2)=((LEN(CONCATENATE($O2:O2))+COUNTA($O2:O2))-1)), "", IF( ISNUMBER(SEARCH(" ",$N2,((1+COUNTA($O2:O2))+LEN(CONCATENATE($O2:O2))))), MID($N2,((1+COUNTA($O2:O2))+LEN(CONCATENATE($O2:O2))),(((SEARCH(" ",$N2,((1+COUNTA($O2:O2))+LEN(CONCATENATE($O2:O2))))-1)-COUNTA($O2:O2))-LEN(CONCATENATE($O2:O2)))), RIGHT($N2,((((1+LEN($N2))-1)-COUNTA($O2:O2))-LEN(CONCATENATE($O2:O2))))))</f>
        <v/>
      </c>
      <c t="str" s="2" r="Q2">
        <f>IF((LEN($N2)=((LEN(CONCATENATE($O2:P2))+COUNTA($O2:P2))-1)), "", IF( ISNUMBER(SEARCH(" ",$N2,((1+COUNTA($O2:P2))+LEN(CONCATENATE($O2:P2))))), MID($N2,((1+COUNTA($O2:P2))+LEN(CONCATENATE($O2:P2))),(((SEARCH(" ",$N2,((1+COUNTA($O2:P2))+LEN(CONCATENATE($O2:P2))))-1)-COUNTA($O2:P2))-LEN(CONCATENATE($O2:P2)))), RIGHT($N2,((((1+LEN($N2))-1)-COUNTA($O2:P2))-LEN(CONCATENATE($O2:P2))))))</f>
        <v/>
      </c>
      <c t="str" s="2" r="R2">
        <f>IF((LEN($N2)=((LEN(CONCATENATE($O2:Q2))+COUNTA($O2:Q2))-1)), "", IF( ISNUMBER(SEARCH(" ",$N2,((1+COUNTA($O2:Q2))+LEN(CONCATENATE($O2:Q2))))), MID($N2,((1+COUNTA($O2:Q2))+LEN(CONCATENATE($O2:Q2))),(((SEARCH(" ",$N2,((1+COUNTA($O2:Q2))+LEN(CONCATENATE($O2:Q2))))-1)-COUNTA($O2:Q2))-LEN(CONCATENATE($O2:Q2)))), RIGHT($N2,((((1+LEN($N2))-1)-COUNTA($O2:Q2))-LEN(CONCATENATE($O2:Q2))))))</f>
        <v/>
      </c>
      <c t="str" s="2" r="S2">
        <f>IF((LEN($N2)=((LEN(CONCATENATE($O2:R2))+COUNTA($O2:R2))-1)), "", IF( ISNUMBER(SEARCH(" ",$N2,((1+COUNTA($O2:R2))+LEN(CONCATENATE($O2:R2))))), MID($N2,((1+COUNTA($O2:R2))+LEN(CONCATENATE($O2:R2))),(((SEARCH(" ",$N2,((1+COUNTA($O2:R2))+LEN(CONCATENATE($O2:R2))))-1)-COUNTA($O2:R2))-LEN(CONCATENATE($O2:R2)))), RIGHT($N2,((((1+LEN($N2))-1)-COUNTA($O2:R2))-LEN(CONCATENATE($O2:R2))))))</f>
        <v/>
      </c>
    </row>
    <row r="3">
      <c t="s" s="10" r="A3">
        <v>51</v>
      </c>
      <c t="s" s="3" r="B3">
        <v>52</v>
      </c>
      <c s="3" r="C3"/>
      <c s="3" r="D3"/>
      <c s="3" r="E3"/>
      <c s="3" r="F3"/>
      <c s="3" r="G3"/>
      <c s="3" r="H3">
        <v>34</v>
      </c>
      <c s="3" r="I3">
        <v>16</v>
      </c>
      <c s="3" r="J3"/>
      <c s="3" r="K3"/>
      <c s="3" r="L3"/>
      <c s="3" r="M3"/>
      <c s="3" r="N3"/>
      <c t="str" s="2" r="O3">
        <f>IF(ISNUMBER(SEARCH(" ",$N3)),LEFT($N3,(SEARCH(" ",$N3)-1)),$N3)</f>
        <v/>
      </c>
      <c t="str" s="2" r="P3">
        <f>IF((LEN($N3)=((LEN(CONCATENATE($O3:O3))+COUNTA($O3:O3))-1)), "", IF( ISNUMBER(SEARCH(" ",$N3,((1+COUNTA($O3:O3))+LEN(CONCATENATE($O3:O3))))), MID($N3,((1+COUNTA($O3:O3))+LEN(CONCATENATE($O3:O3))),(((SEARCH(" ",$N3,((1+COUNTA($O3:O3))+LEN(CONCATENATE($O3:O3))))-1)-COUNTA($O3:O3))-LEN(CONCATENATE($O3:O3)))), RIGHT($N3,((((1+LEN($N3))-1)-COUNTA($O3:O3))-LEN(CONCATENATE($O3:O3))))))</f>
        <v/>
      </c>
      <c t="str" s="2" r="Q3">
        <f>IF((LEN($N3)=((LEN(CONCATENATE($O3:P3))+COUNTA($O3:P3))-1)), "", IF( ISNUMBER(SEARCH(" ",$N3,((1+COUNTA($O3:P3))+LEN(CONCATENATE($O3:P3))))), MID($N3,((1+COUNTA($O3:P3))+LEN(CONCATENATE($O3:P3))),(((SEARCH(" ",$N3,((1+COUNTA($O3:P3))+LEN(CONCATENATE($O3:P3))))-1)-COUNTA($O3:P3))-LEN(CONCATENATE($O3:P3)))), RIGHT($N3,((((1+LEN($N3))-1)-COUNTA($O3:P3))-LEN(CONCATENATE($O3:P3))))))</f>
        <v/>
      </c>
      <c t="str" s="2" r="R3">
        <f>IF((LEN($N3)=((LEN(CONCATENATE($O3:Q3))+COUNTA($O3:Q3))-1)), "", IF( ISNUMBER(SEARCH(" ",$N3,((1+COUNTA($O3:Q3))+LEN(CONCATENATE($O3:Q3))))), MID($N3,((1+COUNTA($O3:Q3))+LEN(CONCATENATE($O3:Q3))),(((SEARCH(" ",$N3,((1+COUNTA($O3:Q3))+LEN(CONCATENATE($O3:Q3))))-1)-COUNTA($O3:Q3))-LEN(CONCATENATE($O3:Q3)))), RIGHT($N3,((((1+LEN($N3))-1)-COUNTA($O3:Q3))-LEN(CONCATENATE($O3:Q3))))))</f>
        <v/>
      </c>
      <c t="str" s="2" r="S3">
        <f>IF((LEN($N3)=((LEN(CONCATENATE($O3:R3))+COUNTA($O3:R3))-1)), "", IF( ISNUMBER(SEARCH(" ",$N3,((1+COUNTA($O3:R3))+LEN(CONCATENATE($O3:R3))))), MID($N3,((1+COUNTA($O3:R3))+LEN(CONCATENATE($O3:R3))),(((SEARCH(" ",$N3,((1+COUNTA($O3:R3))+LEN(CONCATENATE($O3:R3))))-1)-COUNTA($O3:R3))-LEN(CONCATENATE($O3:R3)))), RIGHT($N3,((((1+LEN($N3))-1)-COUNTA($O3:R3))-LEN(CONCATENATE($O3:R3))))))</f>
        <v/>
      </c>
    </row>
    <row r="4">
      <c t="s" s="10" r="A4">
        <v>53</v>
      </c>
      <c t="s" s="3" r="B4">
        <v>54</v>
      </c>
      <c s="3" r="C4">
        <v>28</v>
      </c>
      <c s="3" r="D4">
        <v>22</v>
      </c>
      <c s="3" r="E4">
        <v>22</v>
      </c>
      <c s="3" r="F4"/>
      <c s="3" r="G4"/>
      <c s="3" r="H4"/>
      <c s="3" r="I4"/>
      <c s="3" r="J4"/>
      <c s="3" r="K4"/>
      <c s="3" r="L4"/>
      <c s="3" r="M4"/>
      <c s="3" r="N4"/>
      <c t="str" s="2" r="O4">
        <f>IF(ISNUMBER(SEARCH(" ",$N4)),LEFT($N4,(SEARCH(" ",$N4)-1)),$N4)</f>
        <v/>
      </c>
      <c t="str" s="2" r="P4">
        <f>IF((LEN($N4)=((LEN(CONCATENATE($O4:O4))+COUNTA($O4:O4))-1)), "", IF( ISNUMBER(SEARCH(" ",$N4,((1+COUNTA($O4:O4))+LEN(CONCATENATE($O4:O4))))), MID($N4,((1+COUNTA($O4:O4))+LEN(CONCATENATE($O4:O4))),(((SEARCH(" ",$N4,((1+COUNTA($O4:O4))+LEN(CONCATENATE($O4:O4))))-1)-COUNTA($O4:O4))-LEN(CONCATENATE($O4:O4)))), RIGHT($N4,((((1+LEN($N4))-1)-COUNTA($O4:O4))-LEN(CONCATENATE($O4:O4))))))</f>
        <v/>
      </c>
      <c t="str" s="2" r="Q4">
        <f>IF((LEN($N4)=((LEN(CONCATENATE($O4:P4))+COUNTA($O4:P4))-1)), "", IF( ISNUMBER(SEARCH(" ",$N4,((1+COUNTA($O4:P4))+LEN(CONCATENATE($O4:P4))))), MID($N4,((1+COUNTA($O4:P4))+LEN(CONCATENATE($O4:P4))),(((SEARCH(" ",$N4,((1+COUNTA($O4:P4))+LEN(CONCATENATE($O4:P4))))-1)-COUNTA($O4:P4))-LEN(CONCATENATE($O4:P4)))), RIGHT($N4,((((1+LEN($N4))-1)-COUNTA($O4:P4))-LEN(CONCATENATE($O4:P4))))))</f>
        <v/>
      </c>
      <c t="str" s="2" r="R4">
        <f>IF((LEN($N4)=((LEN(CONCATENATE($O4:Q4))+COUNTA($O4:Q4))-1)), "", IF( ISNUMBER(SEARCH(" ",$N4,((1+COUNTA($O4:Q4))+LEN(CONCATENATE($O4:Q4))))), MID($N4,((1+COUNTA($O4:Q4))+LEN(CONCATENATE($O4:Q4))),(((SEARCH(" ",$N4,((1+COUNTA($O4:Q4))+LEN(CONCATENATE($O4:Q4))))-1)-COUNTA($O4:Q4))-LEN(CONCATENATE($O4:Q4)))), RIGHT($N4,((((1+LEN($N4))-1)-COUNTA($O4:Q4))-LEN(CONCATENATE($O4:Q4))))))</f>
        <v/>
      </c>
      <c t="str" s="2" r="S4">
        <f>IF((LEN($N4)=((LEN(CONCATENATE($O4:R4))+COUNTA($O4:R4))-1)), "", IF( ISNUMBER(SEARCH(" ",$N4,((1+COUNTA($O4:R4))+LEN(CONCATENATE($O4:R4))))), MID($N4,((1+COUNTA($O4:R4))+LEN(CONCATENATE($O4:R4))),(((SEARCH(" ",$N4,((1+COUNTA($O4:R4))+LEN(CONCATENATE($O4:R4))))-1)-COUNTA($O4:R4))-LEN(CONCATENATE($O4:R4)))), RIGHT($N4,((((1+LEN($N4))-1)-COUNTA($O4:R4))-LEN(CONCATENATE($O4:R4))))))</f>
        <v/>
      </c>
    </row>
    <row r="5">
      <c t="s" s="10" r="A5">
        <v>55</v>
      </c>
      <c t="s" s="3" r="B5">
        <v>56</v>
      </c>
      <c s="3" r="C5">
        <v>39</v>
      </c>
      <c s="3" r="D5">
        <v>44</v>
      </c>
      <c s="3" r="E5">
        <v>40</v>
      </c>
      <c s="3" r="F5">
        <v>12</v>
      </c>
      <c s="3" r="G5"/>
      <c s="3" r="H5"/>
      <c s="3" r="I5">
        <v>4</v>
      </c>
      <c s="3" r="J5"/>
      <c s="3" r="K5"/>
      <c s="3" r="L5"/>
      <c s="3" r="M5"/>
      <c s="3" r="N5"/>
      <c t="str" s="2" r="O5">
        <f>IF(ISNUMBER(SEARCH(" ",$N5)),LEFT($N5,(SEARCH(" ",$N5)-1)),$N5)</f>
        <v/>
      </c>
      <c t="str" s="2" r="P5">
        <f>IF((LEN($N5)=((LEN(CONCATENATE($O5:O5))+COUNTA($O5:O5))-1)), "", IF( ISNUMBER(SEARCH(" ",$N5,((1+COUNTA($O5:O5))+LEN(CONCATENATE($O5:O5))))), MID($N5,((1+COUNTA($O5:O5))+LEN(CONCATENATE($O5:O5))),(((SEARCH(" ",$N5,((1+COUNTA($O5:O5))+LEN(CONCATENATE($O5:O5))))-1)-COUNTA($O5:O5))-LEN(CONCATENATE($O5:O5)))), RIGHT($N5,((((1+LEN($N5))-1)-COUNTA($O5:O5))-LEN(CONCATENATE($O5:O5))))))</f>
        <v/>
      </c>
      <c t="str" s="2" r="Q5">
        <f>IF((LEN($N5)=((LEN(CONCATENATE($O5:P5))+COUNTA($O5:P5))-1)), "", IF( ISNUMBER(SEARCH(" ",$N5,((1+COUNTA($O5:P5))+LEN(CONCATENATE($O5:P5))))), MID($N5,((1+COUNTA($O5:P5))+LEN(CONCATENATE($O5:P5))),(((SEARCH(" ",$N5,((1+COUNTA($O5:P5))+LEN(CONCATENATE($O5:P5))))-1)-COUNTA($O5:P5))-LEN(CONCATENATE($O5:P5)))), RIGHT($N5,((((1+LEN($N5))-1)-COUNTA($O5:P5))-LEN(CONCATENATE($O5:P5))))))</f>
        <v/>
      </c>
      <c t="str" s="2" r="R5">
        <f>IF((LEN($N5)=((LEN(CONCATENATE($O5:Q5))+COUNTA($O5:Q5))-1)), "", IF( ISNUMBER(SEARCH(" ",$N5,((1+COUNTA($O5:Q5))+LEN(CONCATENATE($O5:Q5))))), MID($N5,((1+COUNTA($O5:Q5))+LEN(CONCATENATE($O5:Q5))),(((SEARCH(" ",$N5,((1+COUNTA($O5:Q5))+LEN(CONCATENATE($O5:Q5))))-1)-COUNTA($O5:Q5))-LEN(CONCATENATE($O5:Q5)))), RIGHT($N5,((((1+LEN($N5))-1)-COUNTA($O5:Q5))-LEN(CONCATENATE($O5:Q5))))))</f>
        <v/>
      </c>
      <c t="str" s="2" r="S5">
        <f>IF((LEN($N5)=((LEN(CONCATENATE($O5:R5))+COUNTA($O5:R5))-1)), "", IF( ISNUMBER(SEARCH(" ",$N5,((1+COUNTA($O5:R5))+LEN(CONCATENATE($O5:R5))))), MID($N5,((1+COUNTA($O5:R5))+LEN(CONCATENATE($O5:R5))),(((SEARCH(" ",$N5,((1+COUNTA($O5:R5))+LEN(CONCATENATE($O5:R5))))-1)-COUNTA($O5:R5))-LEN(CONCATENATE($O5:R5)))), RIGHT($N5,((((1+LEN($N5))-1)-COUNTA($O5:R5))-LEN(CONCATENATE($O5:R5))))))</f>
        <v/>
      </c>
    </row>
    <row r="6">
      <c t="s" s="10" r="A6">
        <v>57</v>
      </c>
      <c t="s" s="3" r="B6">
        <v>58</v>
      </c>
      <c s="3" r="C6"/>
      <c s="3" r="D6"/>
      <c s="3" r="E6"/>
      <c s="3" r="F6"/>
      <c s="3" r="G6"/>
      <c s="3" r="H6">
        <v>30</v>
      </c>
      <c s="3" r="I6"/>
      <c s="3" r="J6">
        <v>10</v>
      </c>
      <c s="3" r="K6"/>
      <c s="3" r="L6"/>
      <c s="3" r="M6"/>
      <c s="3" r="N6"/>
      <c t="str" s="2" r="O6">
        <f>IF(ISNUMBER(SEARCH(" ",$N6)),LEFT($N6,(SEARCH(" ",$N6)-1)),$N6)</f>
        <v/>
      </c>
      <c t="str" s="2" r="P6">
        <f>IF((LEN($N6)=((LEN(CONCATENATE($O6:O6))+COUNTA($O6:O6))-1)), "", IF( ISNUMBER(SEARCH(" ",$N6,((1+COUNTA($O6:O6))+LEN(CONCATENATE($O6:O6))))), MID($N6,((1+COUNTA($O6:O6))+LEN(CONCATENATE($O6:O6))),(((SEARCH(" ",$N6,((1+COUNTA($O6:O6))+LEN(CONCATENATE($O6:O6))))-1)-COUNTA($O6:O6))-LEN(CONCATENATE($O6:O6)))), RIGHT($N6,((((1+LEN($N6))-1)-COUNTA($O6:O6))-LEN(CONCATENATE($O6:O6))))))</f>
        <v/>
      </c>
      <c t="str" s="2" r="Q6">
        <f>IF((LEN($N6)=((LEN(CONCATENATE($O6:P6))+COUNTA($O6:P6))-1)), "", IF( ISNUMBER(SEARCH(" ",$N6,((1+COUNTA($O6:P6))+LEN(CONCATENATE($O6:P6))))), MID($N6,((1+COUNTA($O6:P6))+LEN(CONCATENATE($O6:P6))),(((SEARCH(" ",$N6,((1+COUNTA($O6:P6))+LEN(CONCATENATE($O6:P6))))-1)-COUNTA($O6:P6))-LEN(CONCATENATE($O6:P6)))), RIGHT($N6,((((1+LEN($N6))-1)-COUNTA($O6:P6))-LEN(CONCATENATE($O6:P6))))))</f>
        <v/>
      </c>
      <c t="str" s="2" r="R6">
        <f>IF((LEN($N6)=((LEN(CONCATENATE($O6:Q6))+COUNTA($O6:Q6))-1)), "", IF( ISNUMBER(SEARCH(" ",$N6,((1+COUNTA($O6:Q6))+LEN(CONCATENATE($O6:Q6))))), MID($N6,((1+COUNTA($O6:Q6))+LEN(CONCATENATE($O6:Q6))),(((SEARCH(" ",$N6,((1+COUNTA($O6:Q6))+LEN(CONCATENATE($O6:Q6))))-1)-COUNTA($O6:Q6))-LEN(CONCATENATE($O6:Q6)))), RIGHT($N6,((((1+LEN($N6))-1)-COUNTA($O6:Q6))-LEN(CONCATENATE($O6:Q6))))))</f>
        <v/>
      </c>
      <c t="str" s="2" r="S6">
        <f>IF((LEN($N6)=((LEN(CONCATENATE($O6:R6))+COUNTA($O6:R6))-1)), "", IF( ISNUMBER(SEARCH(" ",$N6,((1+COUNTA($O6:R6))+LEN(CONCATENATE($O6:R6))))), MID($N6,((1+COUNTA($O6:R6))+LEN(CONCATENATE($O6:R6))),(((SEARCH(" ",$N6,((1+COUNTA($O6:R6))+LEN(CONCATENATE($O6:R6))))-1)-COUNTA($O6:R6))-LEN(CONCATENATE($O6:R6)))), RIGHT($N6,((((1+LEN($N6))-1)-COUNTA($O6:R6))-LEN(CONCATENATE($O6:R6))))))</f>
        <v/>
      </c>
    </row>
    <row r="7">
      <c t="s" s="10" r="A7">
        <v>59</v>
      </c>
      <c t="s" s="3" r="B7">
        <v>60</v>
      </c>
      <c s="3" r="C7"/>
      <c s="3" r="D7">
        <v>8</v>
      </c>
      <c s="3" r="E7"/>
      <c s="3" r="F7"/>
      <c s="3" r="G7"/>
      <c s="3" r="H7">
        <v>52</v>
      </c>
      <c s="3" r="I7">
        <v>2</v>
      </c>
      <c s="3" r="J7">
        <v>23</v>
      </c>
      <c s="3" r="K7"/>
      <c s="3" r="L7"/>
      <c s="3" r="M7"/>
      <c s="3" r="N7"/>
      <c t="str" s="2" r="O7">
        <f>IF(ISNUMBER(SEARCH(" ",$N7)),LEFT($N7,(SEARCH(" ",$N7)-1)),$N7)</f>
        <v/>
      </c>
      <c t="str" s="2" r="P7">
        <f>IF((LEN($N7)=((LEN(CONCATENATE($O7:O7))+COUNTA($O7:O7))-1)), "", IF( ISNUMBER(SEARCH(" ",$N7,((1+COUNTA($O7:O7))+LEN(CONCATENATE($O7:O7))))), MID($N7,((1+COUNTA($O7:O7))+LEN(CONCATENATE($O7:O7))),(((SEARCH(" ",$N7,((1+COUNTA($O7:O7))+LEN(CONCATENATE($O7:O7))))-1)-COUNTA($O7:O7))-LEN(CONCATENATE($O7:O7)))), RIGHT($N7,((((1+LEN($N7))-1)-COUNTA($O7:O7))-LEN(CONCATENATE($O7:O7))))))</f>
        <v/>
      </c>
      <c t="str" s="2" r="Q7">
        <f>IF((LEN($N7)=((LEN(CONCATENATE($O7:P7))+COUNTA($O7:P7))-1)), "", IF( ISNUMBER(SEARCH(" ",$N7,((1+COUNTA($O7:P7))+LEN(CONCATENATE($O7:P7))))), MID($N7,((1+COUNTA($O7:P7))+LEN(CONCATENATE($O7:P7))),(((SEARCH(" ",$N7,((1+COUNTA($O7:P7))+LEN(CONCATENATE($O7:P7))))-1)-COUNTA($O7:P7))-LEN(CONCATENATE($O7:P7)))), RIGHT($N7,((((1+LEN($N7))-1)-COUNTA($O7:P7))-LEN(CONCATENATE($O7:P7))))))</f>
        <v/>
      </c>
      <c t="str" s="2" r="R7">
        <f>IF((LEN($N7)=((LEN(CONCATENATE($O7:Q7))+COUNTA($O7:Q7))-1)), "", IF( ISNUMBER(SEARCH(" ",$N7,((1+COUNTA($O7:Q7))+LEN(CONCATENATE($O7:Q7))))), MID($N7,((1+COUNTA($O7:Q7))+LEN(CONCATENATE($O7:Q7))),(((SEARCH(" ",$N7,((1+COUNTA($O7:Q7))+LEN(CONCATENATE($O7:Q7))))-1)-COUNTA($O7:Q7))-LEN(CONCATENATE($O7:Q7)))), RIGHT($N7,((((1+LEN($N7))-1)-COUNTA($O7:Q7))-LEN(CONCATENATE($O7:Q7))))))</f>
        <v/>
      </c>
      <c t="str" s="2" r="S7">
        <f>IF((LEN($N7)=((LEN(CONCATENATE($O7:R7))+COUNTA($O7:R7))-1)), "", IF( ISNUMBER(SEARCH(" ",$N7,((1+COUNTA($O7:R7))+LEN(CONCATENATE($O7:R7))))), MID($N7,((1+COUNTA($O7:R7))+LEN(CONCATENATE($O7:R7))),(((SEARCH(" ",$N7,((1+COUNTA($O7:R7))+LEN(CONCATENATE($O7:R7))))-1)-COUNTA($O7:R7))-LEN(CONCATENATE($O7:R7)))), RIGHT($N7,((((1+LEN($N7))-1)-COUNTA($O7:R7))-LEN(CONCATENATE($O7:R7))))))</f>
        <v/>
      </c>
    </row>
    <row r="8">
      <c t="s" s="10" r="A8">
        <v>61</v>
      </c>
      <c t="s" s="3" r="B8">
        <v>62</v>
      </c>
      <c s="3" r="C8"/>
      <c s="3" r="D8">
        <v>12</v>
      </c>
      <c s="3" r="E8"/>
      <c s="3" r="F8"/>
      <c s="3" r="G8"/>
      <c s="3" r="H8"/>
      <c s="3" r="I8"/>
      <c s="3" r="J8"/>
      <c s="3" r="K8"/>
      <c s="3" r="L8"/>
      <c s="3" r="M8"/>
      <c s="3" r="N8"/>
      <c t="str" s="2" r="O8">
        <f>IF(ISNUMBER(SEARCH(" ",$N8)),LEFT($N8,(SEARCH(" ",$N8)-1)),$N8)</f>
        <v/>
      </c>
      <c t="str" s="2" r="P8">
        <f>IF((LEN($N8)=((LEN(CONCATENATE($O8:O8))+COUNTA($O8:O8))-1)), "", IF( ISNUMBER(SEARCH(" ",$N8,((1+COUNTA($O8:O8))+LEN(CONCATENATE($O8:O8))))), MID($N8,((1+COUNTA($O8:O8))+LEN(CONCATENATE($O8:O8))),(((SEARCH(" ",$N8,((1+COUNTA($O8:O8))+LEN(CONCATENATE($O8:O8))))-1)-COUNTA($O8:O8))-LEN(CONCATENATE($O8:O8)))), RIGHT($N8,((((1+LEN($N8))-1)-COUNTA($O8:O8))-LEN(CONCATENATE($O8:O8))))))</f>
        <v/>
      </c>
      <c t="str" s="2" r="Q8">
        <f>IF((LEN($N8)=((LEN(CONCATENATE($O8:P8))+COUNTA($O8:P8))-1)), "", IF( ISNUMBER(SEARCH(" ",$N8,((1+COUNTA($O8:P8))+LEN(CONCATENATE($O8:P8))))), MID($N8,((1+COUNTA($O8:P8))+LEN(CONCATENATE($O8:P8))),(((SEARCH(" ",$N8,((1+COUNTA($O8:P8))+LEN(CONCATENATE($O8:P8))))-1)-COUNTA($O8:P8))-LEN(CONCATENATE($O8:P8)))), RIGHT($N8,((((1+LEN($N8))-1)-COUNTA($O8:P8))-LEN(CONCATENATE($O8:P8))))))</f>
        <v/>
      </c>
      <c t="str" s="2" r="R8">
        <f>IF((LEN($N8)=((LEN(CONCATENATE($O8:Q8))+COUNTA($O8:Q8))-1)), "", IF( ISNUMBER(SEARCH(" ",$N8,((1+COUNTA($O8:Q8))+LEN(CONCATENATE($O8:Q8))))), MID($N8,((1+COUNTA($O8:Q8))+LEN(CONCATENATE($O8:Q8))),(((SEARCH(" ",$N8,((1+COUNTA($O8:Q8))+LEN(CONCATENATE($O8:Q8))))-1)-COUNTA($O8:Q8))-LEN(CONCATENATE($O8:Q8)))), RIGHT($N8,((((1+LEN($N8))-1)-COUNTA($O8:Q8))-LEN(CONCATENATE($O8:Q8))))))</f>
        <v/>
      </c>
      <c t="str" s="2" r="S8">
        <f>IF((LEN($N8)=((LEN(CONCATENATE($O8:R8))+COUNTA($O8:R8))-1)), "", IF( ISNUMBER(SEARCH(" ",$N8,((1+COUNTA($O8:R8))+LEN(CONCATENATE($O8:R8))))), MID($N8,((1+COUNTA($O8:R8))+LEN(CONCATENATE($O8:R8))),(((SEARCH(" ",$N8,((1+COUNTA($O8:R8))+LEN(CONCATENATE($O8:R8))))-1)-COUNTA($O8:R8))-LEN(CONCATENATE($O8:R8)))), RIGHT($N8,((((1+LEN($N8))-1)-COUNTA($O8:R8))-LEN(CONCATENATE($O8:R8))))))</f>
        <v/>
      </c>
    </row>
    <row r="9">
      <c t="s" s="10" r="A9">
        <v>63</v>
      </c>
      <c t="s" s="3" r="B9">
        <v>64</v>
      </c>
      <c s="3" r="C9"/>
      <c s="3" r="D9">
        <v>38</v>
      </c>
      <c s="3" r="E9">
        <v>39</v>
      </c>
      <c s="3" r="F9"/>
      <c s="3" r="G9"/>
      <c s="3" r="H9">
        <v>108</v>
      </c>
      <c s="3" r="I9">
        <v>12</v>
      </c>
      <c s="3" r="J9"/>
      <c s="3" r="K9"/>
      <c s="3" r="L9"/>
      <c s="3" r="M9"/>
      <c t="s" s="3" r="N9">
        <v>65</v>
      </c>
      <c t="str" s="2" r="O9">
        <f>IF(ISNUMBER(SEARCH(" ",$N9)),LEFT($N9,(SEARCH(" ",$N9)-1)),$N9)</f>
        <v>primalstrike</v>
      </c>
      <c t="str" s="2" r="P9">
        <f>IF((LEN($N9)=((LEN(CONCATENATE($O9:O9))+COUNTA($O9:O9))-1)), "", IF( ISNUMBER(SEARCH(" ",$N9,((1+COUNTA($O9:O9))+LEN(CONCATENATE($O9:O9))))), MID($N9,((1+COUNTA($O9:O9))+LEN(CONCATENATE($O9:O9))),(((SEARCH(" ",$N9,((1+COUNTA($O9:O9))+LEN(CONCATENATE($O9:O9))))-1)-COUNTA($O9:O9))-LEN(CONCATENATE($O9:O9)))), RIGHT($N9,((((1+LEN($N9))-1)-COUNTA($O9:O9))-LEN(CONCATENATE($O9:O9))))))</f>
        <v/>
      </c>
      <c t="str" s="2" r="Q9">
        <f>IF((LEN($N9)=((LEN(CONCATENATE($O9:P9))+COUNTA($O9:P9))-1)), "", IF( ISNUMBER(SEARCH(" ",$N9,((1+COUNTA($O9:P9))+LEN(CONCATENATE($O9:P9))))), MID($N9,((1+COUNTA($O9:P9))+LEN(CONCATENATE($O9:P9))),(((SEARCH(" ",$N9,((1+COUNTA($O9:P9))+LEN(CONCATENATE($O9:P9))))-1)-COUNTA($O9:P9))-LEN(CONCATENATE($O9:P9)))), RIGHT($N9,((((1+LEN($N9))-1)-COUNTA($O9:P9))-LEN(CONCATENATE($O9:P9))))))</f>
        <v/>
      </c>
      <c t="str" s="2" r="R9">
        <f>IF((LEN($N9)=((LEN(CONCATENATE($O9:Q9))+COUNTA($O9:Q9))-1)), "", IF( ISNUMBER(SEARCH(" ",$N9,((1+COUNTA($O9:Q9))+LEN(CONCATENATE($O9:Q9))))), MID($N9,((1+COUNTA($O9:Q9))+LEN(CONCATENATE($O9:Q9))),(((SEARCH(" ",$N9,((1+COUNTA($O9:Q9))+LEN(CONCATENATE($O9:Q9))))-1)-COUNTA($O9:Q9))-LEN(CONCATENATE($O9:Q9)))), RIGHT($N9,((((1+LEN($N9))-1)-COUNTA($O9:Q9))-LEN(CONCATENATE($O9:Q9))))))</f>
        <v/>
      </c>
      <c t="str" s="2" r="S9">
        <f>IF((LEN($N9)=((LEN(CONCATENATE($O9:R9))+COUNTA($O9:R9))-1)), "", IF( ISNUMBER(SEARCH(" ",$N9,((1+COUNTA($O9:R9))+LEN(CONCATENATE($O9:R9))))), MID($N9,((1+COUNTA($O9:R9))+LEN(CONCATENATE($O9:R9))),(((SEARCH(" ",$N9,((1+COUNTA($O9:R9))+LEN(CONCATENATE($O9:R9))))-1)-COUNTA($O9:R9))-LEN(CONCATENATE($O9:R9)))), RIGHT($N9,((((1+LEN($N9))-1)-COUNTA($O9:R9))-LEN(CONCATENATE($O9:R9))))))</f>
        <v/>
      </c>
    </row>
    <row r="10">
      <c t="s" s="10" r="A10">
        <v>66</v>
      </c>
      <c t="s" s="3" r="B10">
        <v>67</v>
      </c>
      <c s="3" r="C10">
        <v>6</v>
      </c>
      <c s="3" r="D10">
        <v>6</v>
      </c>
      <c s="3" r="E10">
        <v>6</v>
      </c>
      <c s="3" r="F10">
        <v>6</v>
      </c>
      <c s="3" r="G10">
        <v>6</v>
      </c>
      <c s="3" r="H10">
        <v>6</v>
      </c>
      <c s="3" r="I10"/>
      <c s="3" r="J10"/>
      <c s="3" r="K10"/>
      <c s="3" r="L10"/>
      <c s="3" r="M10"/>
      <c s="3" r="N10"/>
      <c t="str" s="2" r="O10">
        <f>IF(ISNUMBER(SEARCH(" ",$N10)),LEFT($N10,(SEARCH(" ",$N10)-1)),$N10)</f>
        <v/>
      </c>
      <c t="str" s="2" r="P10">
        <f>IF((LEN($N10)=((LEN(CONCATENATE($O10:O10))+COUNTA($O10:O10))-1)), "", IF( ISNUMBER(SEARCH(" ",$N10,((1+COUNTA($O10:O10))+LEN(CONCATENATE($O10:O10))))), MID($N10,((1+COUNTA($O10:O10))+LEN(CONCATENATE($O10:O10))),(((SEARCH(" ",$N10,((1+COUNTA($O10:O10))+LEN(CONCATENATE($O10:O10))))-1)-COUNTA($O10:O10))-LEN(CONCATENATE($O10:O10)))), RIGHT($N10,((((1+LEN($N10))-1)-COUNTA($O10:O10))-LEN(CONCATENATE($O10:O10))))))</f>
        <v/>
      </c>
      <c t="str" s="2" r="Q10">
        <f>IF((LEN($N10)=((LEN(CONCATENATE($O10:P10))+COUNTA($O10:P10))-1)), "", IF( ISNUMBER(SEARCH(" ",$N10,((1+COUNTA($O10:P10))+LEN(CONCATENATE($O10:P10))))), MID($N10,((1+COUNTA($O10:P10))+LEN(CONCATENATE($O10:P10))),(((SEARCH(" ",$N10,((1+COUNTA($O10:P10))+LEN(CONCATENATE($O10:P10))))-1)-COUNTA($O10:P10))-LEN(CONCATENATE($O10:P10)))), RIGHT($N10,((((1+LEN($N10))-1)-COUNTA($O10:P10))-LEN(CONCATENATE($O10:P10))))))</f>
        <v/>
      </c>
      <c t="str" s="2" r="R10">
        <f>IF((LEN($N10)=((LEN(CONCATENATE($O10:Q10))+COUNTA($O10:Q10))-1)), "", IF( ISNUMBER(SEARCH(" ",$N10,((1+COUNTA($O10:Q10))+LEN(CONCATENATE($O10:Q10))))), MID($N10,((1+COUNTA($O10:Q10))+LEN(CONCATENATE($O10:Q10))),(((SEARCH(" ",$N10,((1+COUNTA($O10:Q10))+LEN(CONCATENATE($O10:Q10))))-1)-COUNTA($O10:Q10))-LEN(CONCATENATE($O10:Q10)))), RIGHT($N10,((((1+LEN($N10))-1)-COUNTA($O10:Q10))-LEN(CONCATENATE($O10:Q10))))))</f>
        <v/>
      </c>
      <c t="str" s="2" r="S10">
        <f>IF((LEN($N10)=((LEN(CONCATENATE($O10:R10))+COUNTA($O10:R10))-1)), "", IF( ISNUMBER(SEARCH(" ",$N10,((1+COUNTA($O10:R10))+LEN(CONCATENATE($O10:R10))))), MID($N10,((1+COUNTA($O10:R10))+LEN(CONCATENATE($O10:R10))),(((SEARCH(" ",$N10,((1+COUNTA($O10:R10))+LEN(CONCATENATE($O10:R10))))-1)-COUNTA($O10:R10))-LEN(CONCATENATE($O10:R10)))), RIGHT($N10,((((1+LEN($N10))-1)-COUNTA($O10:R10))-LEN(CONCATENATE($O10:R10))))))</f>
        <v/>
      </c>
    </row>
    <row r="11">
      <c t="s" s="10" r="A11">
        <v>68</v>
      </c>
      <c t="s" s="3" r="B11">
        <v>69</v>
      </c>
      <c s="3" r="C11"/>
      <c s="3" r="D11">
        <v>15</v>
      </c>
      <c s="3" r="E11">
        <v>21</v>
      </c>
      <c s="3" r="F11"/>
      <c s="3" r="G11"/>
      <c s="3" r="H11">
        <v>64</v>
      </c>
      <c s="3" r="I11"/>
      <c s="3" r="J11"/>
      <c s="3" r="K11"/>
      <c s="3" r="L11"/>
      <c s="3" r="M11"/>
      <c t="s" s="3" r="N11">
        <v>65</v>
      </c>
      <c t="str" s="2" r="O11">
        <f>IF(ISNUMBER(SEARCH(" ",$N11)),LEFT($N11,(SEARCH(" ",$N11)-1)),$N11)</f>
        <v>primalstrike</v>
      </c>
      <c t="str" s="2" r="P11">
        <f>IF((LEN($N11)=((LEN(CONCATENATE($O11:O11))+COUNTA($O11:O11))-1)), "", IF( ISNUMBER(SEARCH(" ",$N11,((1+COUNTA($O11:O11))+LEN(CONCATENATE($O11:O11))))), MID($N11,((1+COUNTA($O11:O11))+LEN(CONCATENATE($O11:O11))),(((SEARCH(" ",$N11,((1+COUNTA($O11:O11))+LEN(CONCATENATE($O11:O11))))-1)-COUNTA($O11:O11))-LEN(CONCATENATE($O11:O11)))), RIGHT($N11,((((1+LEN($N11))-1)-COUNTA($O11:O11))-LEN(CONCATENATE($O11:O11))))))</f>
        <v/>
      </c>
      <c t="str" s="2" r="Q11">
        <f>IF((LEN($N11)=((LEN(CONCATENATE($O11:P11))+COUNTA($O11:P11))-1)), "", IF( ISNUMBER(SEARCH(" ",$N11,((1+COUNTA($O11:P11))+LEN(CONCATENATE($O11:P11))))), MID($N11,((1+COUNTA($O11:P11))+LEN(CONCATENATE($O11:P11))),(((SEARCH(" ",$N11,((1+COUNTA($O11:P11))+LEN(CONCATENATE($O11:P11))))-1)-COUNTA($O11:P11))-LEN(CONCATENATE($O11:P11)))), RIGHT($N11,((((1+LEN($N11))-1)-COUNTA($O11:P11))-LEN(CONCATENATE($O11:P11))))))</f>
        <v/>
      </c>
      <c t="str" s="2" r="R11">
        <f>IF((LEN($N11)=((LEN(CONCATENATE($O11:Q11))+COUNTA($O11:Q11))-1)), "", IF( ISNUMBER(SEARCH(" ",$N11,((1+COUNTA($O11:Q11))+LEN(CONCATENATE($O11:Q11))))), MID($N11,((1+COUNTA($O11:Q11))+LEN(CONCATENATE($O11:Q11))),(((SEARCH(" ",$N11,((1+COUNTA($O11:Q11))+LEN(CONCATENATE($O11:Q11))))-1)-COUNTA($O11:Q11))-LEN(CONCATENATE($O11:Q11)))), RIGHT($N11,((((1+LEN($N11))-1)-COUNTA($O11:Q11))-LEN(CONCATENATE($O11:Q11))))))</f>
        <v/>
      </c>
      <c t="str" s="2" r="S11">
        <f>IF((LEN($N11)=((LEN(CONCATENATE($O11:R11))+COUNTA($O11:R11))-1)), "", IF( ISNUMBER(SEARCH(" ",$N11,((1+COUNTA($O11:R11))+LEN(CONCATENATE($O11:R11))))), MID($N11,((1+COUNTA($O11:R11))+LEN(CONCATENATE($O11:R11))),(((SEARCH(" ",$N11,((1+COUNTA($O11:R11))+LEN(CONCATENATE($O11:R11))))-1)-COUNTA($O11:R11))-LEN(CONCATENATE($O11:R11)))), RIGHT($N11,((((1+LEN($N11))-1)-COUNTA($O11:R11))-LEN(CONCATENATE($O11:R11))))))</f>
        <v/>
      </c>
    </row>
    <row r="12">
      <c t="s" s="10" r="A12">
        <v>70</v>
      </c>
      <c t="s" s="3" r="B12">
        <v>71</v>
      </c>
      <c s="3" r="C12">
        <v>12</v>
      </c>
      <c s="3" r="D12"/>
      <c s="3" r="E12"/>
      <c s="3" r="F12"/>
      <c s="3" r="G12"/>
      <c s="3" r="H12"/>
      <c s="3" r="I12"/>
      <c s="3" r="J12"/>
      <c s="3" r="K12"/>
      <c s="3" r="L12"/>
      <c s="3" r="M12"/>
      <c s="3" r="N12"/>
      <c t="str" s="2" r="O12">
        <f>IF(ISNUMBER(SEARCH(" ",$N12)),LEFT($N12,(SEARCH(" ",$N12)-1)),$N12)</f>
        <v/>
      </c>
      <c t="str" s="2" r="P12">
        <f>IF((LEN($N12)=((LEN(CONCATENATE($O12:O12))+COUNTA($O12:O12))-1)), "", IF( ISNUMBER(SEARCH(" ",$N12,((1+COUNTA($O12:O12))+LEN(CONCATENATE($O12:O12))))), MID($N12,((1+COUNTA($O12:O12))+LEN(CONCATENATE($O12:O12))),(((SEARCH(" ",$N12,((1+COUNTA($O12:O12))+LEN(CONCATENATE($O12:O12))))-1)-COUNTA($O12:O12))-LEN(CONCATENATE($O12:O12)))), RIGHT($N12,((((1+LEN($N12))-1)-COUNTA($O12:O12))-LEN(CONCATENATE($O12:O12))))))</f>
        <v/>
      </c>
      <c t="str" s="2" r="Q12">
        <f>IF((LEN($N12)=((LEN(CONCATENATE($O12:P12))+COUNTA($O12:P12))-1)), "", IF( ISNUMBER(SEARCH(" ",$N12,((1+COUNTA($O12:P12))+LEN(CONCATENATE($O12:P12))))), MID($N12,((1+COUNTA($O12:P12))+LEN(CONCATENATE($O12:P12))),(((SEARCH(" ",$N12,((1+COUNTA($O12:P12))+LEN(CONCATENATE($O12:P12))))-1)-COUNTA($O12:P12))-LEN(CONCATENATE($O12:P12)))), RIGHT($N12,((((1+LEN($N12))-1)-COUNTA($O12:P12))-LEN(CONCATENATE($O12:P12))))))</f>
        <v/>
      </c>
      <c t="str" s="2" r="R12">
        <f>IF((LEN($N12)=((LEN(CONCATENATE($O12:Q12))+COUNTA($O12:Q12))-1)), "", IF( ISNUMBER(SEARCH(" ",$N12,((1+COUNTA($O12:Q12))+LEN(CONCATENATE($O12:Q12))))), MID($N12,((1+COUNTA($O12:Q12))+LEN(CONCATENATE($O12:Q12))),(((SEARCH(" ",$N12,((1+COUNTA($O12:Q12))+LEN(CONCATENATE($O12:Q12))))-1)-COUNTA($O12:Q12))-LEN(CONCATENATE($O12:Q12)))), RIGHT($N12,((((1+LEN($N12))-1)-COUNTA($O12:Q12))-LEN(CONCATENATE($O12:Q12))))))</f>
        <v/>
      </c>
      <c t="str" s="2" r="S12">
        <f>IF((LEN($N12)=((LEN(CONCATENATE($O12:R12))+COUNTA($O12:R12))-1)), "", IF( ISNUMBER(SEARCH(" ",$N12,((1+COUNTA($O12:R12))+LEN(CONCATENATE($O12:R12))))), MID($N12,((1+COUNTA($O12:R12))+LEN(CONCATENATE($O12:R12))),(((SEARCH(" ",$N12,((1+COUNTA($O12:R12))+LEN(CONCATENATE($O12:R12))))-1)-COUNTA($O12:R12))-LEN(CONCATENATE($O12:R12)))), RIGHT($N12,((((1+LEN($N12))-1)-COUNTA($O12:R12))-LEN(CONCATENATE($O12:R12))))))</f>
        <v/>
      </c>
    </row>
    <row r="13">
      <c t="s" s="10" r="A13">
        <v>72</v>
      </c>
      <c t="s" s="3" r="B13">
        <v>73</v>
      </c>
      <c s="3" r="C13"/>
      <c s="3" r="D13">
        <v>43</v>
      </c>
      <c s="3" r="E13">
        <v>28</v>
      </c>
      <c s="3" r="F13"/>
      <c s="3" r="G13"/>
      <c s="3" r="H13">
        <v>42</v>
      </c>
      <c s="3" r="I13">
        <v>4</v>
      </c>
      <c s="3" r="J13">
        <v>3</v>
      </c>
      <c s="3" r="K13"/>
      <c s="3" r="L13"/>
      <c s="3" r="M13"/>
      <c s="3" r="N13"/>
      <c t="str" s="2" r="O13">
        <f>IF(ISNUMBER(SEARCH(" ",$N13)),LEFT($N13,(SEARCH(" ",$N13)-1)),$N13)</f>
        <v/>
      </c>
      <c t="str" s="2" r="P13">
        <f>IF((LEN($N13)=((LEN(CONCATENATE($O13:O13))+COUNTA($O13:O13))-1)), "", IF( ISNUMBER(SEARCH(" ",$N13,((1+COUNTA($O13:O13))+LEN(CONCATENATE($O13:O13))))), MID($N13,((1+COUNTA($O13:O13))+LEN(CONCATENATE($O13:O13))),(((SEARCH(" ",$N13,((1+COUNTA($O13:O13))+LEN(CONCATENATE($O13:O13))))-1)-COUNTA($O13:O13))-LEN(CONCATENATE($O13:O13)))), RIGHT($N13,((((1+LEN($N13))-1)-COUNTA($O13:O13))-LEN(CONCATENATE($O13:O13))))))</f>
        <v/>
      </c>
      <c t="str" s="2" r="Q13">
        <f>IF((LEN($N13)=((LEN(CONCATENATE($O13:P13))+COUNTA($O13:P13))-1)), "", IF( ISNUMBER(SEARCH(" ",$N13,((1+COUNTA($O13:P13))+LEN(CONCATENATE($O13:P13))))), MID($N13,((1+COUNTA($O13:P13))+LEN(CONCATENATE($O13:P13))),(((SEARCH(" ",$N13,((1+COUNTA($O13:P13))+LEN(CONCATENATE($O13:P13))))-1)-COUNTA($O13:P13))-LEN(CONCATENATE($O13:P13)))), RIGHT($N13,((((1+LEN($N13))-1)-COUNTA($O13:P13))-LEN(CONCATENATE($O13:P13))))))</f>
        <v/>
      </c>
      <c t="str" s="2" r="R13">
        <f>IF((LEN($N13)=((LEN(CONCATENATE($O13:Q13))+COUNTA($O13:Q13))-1)), "", IF( ISNUMBER(SEARCH(" ",$N13,((1+COUNTA($O13:Q13))+LEN(CONCATENATE($O13:Q13))))), MID($N13,((1+COUNTA($O13:Q13))+LEN(CONCATENATE($O13:Q13))),(((SEARCH(" ",$N13,((1+COUNTA($O13:Q13))+LEN(CONCATENATE($O13:Q13))))-1)-COUNTA($O13:Q13))-LEN(CONCATENATE($O13:Q13)))), RIGHT($N13,((((1+LEN($N13))-1)-COUNTA($O13:Q13))-LEN(CONCATENATE($O13:Q13))))))</f>
        <v/>
      </c>
      <c t="str" s="2" r="S13">
        <f>IF((LEN($N13)=((LEN(CONCATENATE($O13:R13))+COUNTA($O13:R13))-1)), "", IF( ISNUMBER(SEARCH(" ",$N13,((1+COUNTA($O13:R13))+LEN(CONCATENATE($O13:R13))))), MID($N13,((1+COUNTA($O13:R13))+LEN(CONCATENATE($O13:R13))),(((SEARCH(" ",$N13,((1+COUNTA($O13:R13))+LEN(CONCATENATE($O13:R13))))-1)-COUNTA($O13:R13))-LEN(CONCATENATE($O13:R13)))), RIGHT($N13,((((1+LEN($N13))-1)-COUNTA($O13:R13))-LEN(CONCATENATE($O13:R13))))))</f>
        <v/>
      </c>
    </row>
    <row r="14">
      <c t="s" s="10" r="A14">
        <v>74</v>
      </c>
      <c t="s" s="3" r="B14">
        <v>75</v>
      </c>
      <c s="3" r="C14"/>
      <c s="3" r="D14">
        <v>15</v>
      </c>
      <c s="3" r="E14"/>
      <c s="3" r="F14"/>
      <c s="3" r="G14"/>
      <c s="3" r="H14"/>
      <c s="3" r="I14"/>
      <c s="3" r="J14"/>
      <c s="3" r="K14"/>
      <c s="3" r="L14"/>
      <c s="3" r="M14"/>
      <c s="3" r="N14"/>
      <c t="str" s="2" r="O14">
        <f>IF(ISNUMBER(SEARCH(" ",$N14)),LEFT($N14,(SEARCH(" ",$N14)-1)),$N14)</f>
        <v/>
      </c>
      <c t="str" s="2" r="P14">
        <f>IF((LEN($N14)=((LEN(CONCATENATE($O14:O14))+COUNTA($O14:O14))-1)), "", IF( ISNUMBER(SEARCH(" ",$N14,((1+COUNTA($O14:O14))+LEN(CONCATENATE($O14:O14))))), MID($N14,((1+COUNTA($O14:O14))+LEN(CONCATENATE($O14:O14))),(((SEARCH(" ",$N14,((1+COUNTA($O14:O14))+LEN(CONCATENATE($O14:O14))))-1)-COUNTA($O14:O14))-LEN(CONCATENATE($O14:O14)))), RIGHT($N14,((((1+LEN($N14))-1)-COUNTA($O14:O14))-LEN(CONCATENATE($O14:O14))))))</f>
        <v/>
      </c>
      <c t="str" s="2" r="Q14">
        <f>IF((LEN($N14)=((LEN(CONCATENATE($O14:P14))+COUNTA($O14:P14))-1)), "", IF( ISNUMBER(SEARCH(" ",$N14,((1+COUNTA($O14:P14))+LEN(CONCATENATE($O14:P14))))), MID($N14,((1+COUNTA($O14:P14))+LEN(CONCATENATE($O14:P14))),(((SEARCH(" ",$N14,((1+COUNTA($O14:P14))+LEN(CONCATENATE($O14:P14))))-1)-COUNTA($O14:P14))-LEN(CONCATENATE($O14:P14)))), RIGHT($N14,((((1+LEN($N14))-1)-COUNTA($O14:P14))-LEN(CONCATENATE($O14:P14))))))</f>
        <v/>
      </c>
      <c t="str" s="2" r="R14">
        <f>IF((LEN($N14)=((LEN(CONCATENATE($O14:Q14))+COUNTA($O14:Q14))-1)), "", IF( ISNUMBER(SEARCH(" ",$N14,((1+COUNTA($O14:Q14))+LEN(CONCATENATE($O14:Q14))))), MID($N14,((1+COUNTA($O14:Q14))+LEN(CONCATENATE($O14:Q14))),(((SEARCH(" ",$N14,((1+COUNTA($O14:Q14))+LEN(CONCATENATE($O14:Q14))))-1)-COUNTA($O14:Q14))-LEN(CONCATENATE($O14:Q14)))), RIGHT($N14,((((1+LEN($N14))-1)-COUNTA($O14:Q14))-LEN(CONCATENATE($O14:Q14))))))</f>
        <v/>
      </c>
      <c t="str" s="2" r="S14">
        <f>IF((LEN($N14)=((LEN(CONCATENATE($O14:R14))+COUNTA($O14:R14))-1)), "", IF( ISNUMBER(SEARCH(" ",$N14,((1+COUNTA($O14:R14))+LEN(CONCATENATE($O14:R14))))), MID($N14,((1+COUNTA($O14:R14))+LEN(CONCATENATE($O14:R14))),(((SEARCH(" ",$N14,((1+COUNTA($O14:R14))+LEN(CONCATENATE($O14:R14))))-1)-COUNTA($O14:R14))-LEN(CONCATENATE($O14:R14)))), RIGHT($N14,((((1+LEN($N14))-1)-COUNTA($O14:R14))-LEN(CONCATENATE($O14:R14))))))</f>
        <v/>
      </c>
    </row>
    <row r="15">
      <c t="s" s="10" r="A15">
        <v>76</v>
      </c>
      <c t="s" s="3" r="B15">
        <v>77</v>
      </c>
      <c s="3" r="C15"/>
      <c s="3" r="D15">
        <v>20</v>
      </c>
      <c s="3" r="E15">
        <v>32</v>
      </c>
      <c s="3" r="F15"/>
      <c s="3" r="G15"/>
      <c s="3" r="H15">
        <v>58</v>
      </c>
      <c s="3" r="I15">
        <v>84</v>
      </c>
      <c s="3" r="J15"/>
      <c s="3" r="K15"/>
      <c s="3" r="L15"/>
      <c s="3" r="M15"/>
      <c t="s" s="3" r="N15">
        <v>65</v>
      </c>
      <c t="str" s="2" r="O15">
        <f>IF(ISNUMBER(SEARCH(" ",$N15)),LEFT($N15,(SEARCH(" ",$N15)-1)),$N15)</f>
        <v>primalstrike</v>
      </c>
      <c t="str" s="2" r="P15">
        <f>IF((LEN($N15)=((LEN(CONCATENATE($O15:O15))+COUNTA($O15:O15))-1)), "", IF( ISNUMBER(SEARCH(" ",$N15,((1+COUNTA($O15:O15))+LEN(CONCATENATE($O15:O15))))), MID($N15,((1+COUNTA($O15:O15))+LEN(CONCATENATE($O15:O15))),(((SEARCH(" ",$N15,((1+COUNTA($O15:O15))+LEN(CONCATENATE($O15:O15))))-1)-COUNTA($O15:O15))-LEN(CONCATENATE($O15:O15)))), RIGHT($N15,((((1+LEN($N15))-1)-COUNTA($O15:O15))-LEN(CONCATENATE($O15:O15))))))</f>
        <v/>
      </c>
      <c t="str" s="2" r="Q15">
        <f>IF((LEN($N15)=((LEN(CONCATENATE($O15:P15))+COUNTA($O15:P15))-1)), "", IF( ISNUMBER(SEARCH(" ",$N15,((1+COUNTA($O15:P15))+LEN(CONCATENATE($O15:P15))))), MID($N15,((1+COUNTA($O15:P15))+LEN(CONCATENATE($O15:P15))),(((SEARCH(" ",$N15,((1+COUNTA($O15:P15))+LEN(CONCATENATE($O15:P15))))-1)-COUNTA($O15:P15))-LEN(CONCATENATE($O15:P15)))), RIGHT($N15,((((1+LEN($N15))-1)-COUNTA($O15:P15))-LEN(CONCATENATE($O15:P15))))))</f>
        <v/>
      </c>
      <c t="str" s="2" r="R15">
        <f>IF((LEN($N15)=((LEN(CONCATENATE($O15:Q15))+COUNTA($O15:Q15))-1)), "", IF( ISNUMBER(SEARCH(" ",$N15,((1+COUNTA($O15:Q15))+LEN(CONCATENATE($O15:Q15))))), MID($N15,((1+COUNTA($O15:Q15))+LEN(CONCATENATE($O15:Q15))),(((SEARCH(" ",$N15,((1+COUNTA($O15:Q15))+LEN(CONCATENATE($O15:Q15))))-1)-COUNTA($O15:Q15))-LEN(CONCATENATE($O15:Q15)))), RIGHT($N15,((((1+LEN($N15))-1)-COUNTA($O15:Q15))-LEN(CONCATENATE($O15:Q15))))))</f>
        <v/>
      </c>
      <c t="str" s="2" r="S15">
        <f>IF((LEN($N15)=((LEN(CONCATENATE($O15:R15))+COUNTA($O15:R15))-1)), "", IF( ISNUMBER(SEARCH(" ",$N15,((1+COUNTA($O15:R15))+LEN(CONCATENATE($O15:R15))))), MID($N15,((1+COUNTA($O15:R15))+LEN(CONCATENATE($O15:R15))),(((SEARCH(" ",$N15,((1+COUNTA($O15:R15))+LEN(CONCATENATE($O15:R15))))-1)-COUNTA($O15:R15))-LEN(CONCATENATE($O15:R15)))), RIGHT($N15,((((1+LEN($N15))-1)-COUNTA($O15:R15))-LEN(CONCATENATE($O15:R15))))))</f>
        <v/>
      </c>
    </row>
    <row r="16">
      <c t="s" s="10" r="A16">
        <v>78</v>
      </c>
      <c t="s" s="3" r="B16">
        <v>79</v>
      </c>
      <c s="3" r="C16">
        <v>30</v>
      </c>
      <c s="3" r="D16">
        <v>30</v>
      </c>
      <c s="3" r="E16">
        <v>24</v>
      </c>
      <c s="3" r="F16"/>
      <c s="3" r="G16"/>
      <c s="3" r="H16"/>
      <c s="3" r="I16">
        <v>17</v>
      </c>
      <c s="3" r="J16"/>
      <c s="3" r="K16">
        <v>18</v>
      </c>
      <c s="3" r="L16"/>
      <c s="3" r="M16"/>
      <c s="3" r="N16"/>
      <c t="str" s="2" r="O16">
        <f>IF(ISNUMBER(SEARCH(" ",$N16)),LEFT($N16,(SEARCH(" ",$N16)-1)),$N16)</f>
        <v/>
      </c>
      <c t="str" s="2" r="P16">
        <f>IF((LEN($N16)=((LEN(CONCATENATE($O16:O16))+COUNTA($O16:O16))-1)), "", IF( ISNUMBER(SEARCH(" ",$N16,((1+COUNTA($O16:O16))+LEN(CONCATENATE($O16:O16))))), MID($N16,((1+COUNTA($O16:O16))+LEN(CONCATENATE($O16:O16))),(((SEARCH(" ",$N16,((1+COUNTA($O16:O16))+LEN(CONCATENATE($O16:O16))))-1)-COUNTA($O16:O16))-LEN(CONCATENATE($O16:O16)))), RIGHT($N16,((((1+LEN($N16))-1)-COUNTA($O16:O16))-LEN(CONCATENATE($O16:O16))))))</f>
        <v/>
      </c>
      <c t="str" s="2" r="Q16">
        <f>IF((LEN($N16)=((LEN(CONCATENATE($O16:P16))+COUNTA($O16:P16))-1)), "", IF( ISNUMBER(SEARCH(" ",$N16,((1+COUNTA($O16:P16))+LEN(CONCATENATE($O16:P16))))), MID($N16,((1+COUNTA($O16:P16))+LEN(CONCATENATE($O16:P16))),(((SEARCH(" ",$N16,((1+COUNTA($O16:P16))+LEN(CONCATENATE($O16:P16))))-1)-COUNTA($O16:P16))-LEN(CONCATENATE($O16:P16)))), RIGHT($N16,((((1+LEN($N16))-1)-COUNTA($O16:P16))-LEN(CONCATENATE($O16:P16))))))</f>
        <v/>
      </c>
      <c t="str" s="2" r="R16">
        <f>IF((LEN($N16)=((LEN(CONCATENATE($O16:Q16))+COUNTA($O16:Q16))-1)), "", IF( ISNUMBER(SEARCH(" ",$N16,((1+COUNTA($O16:Q16))+LEN(CONCATENATE($O16:Q16))))), MID($N16,((1+COUNTA($O16:Q16))+LEN(CONCATENATE($O16:Q16))),(((SEARCH(" ",$N16,((1+COUNTA($O16:Q16))+LEN(CONCATENATE($O16:Q16))))-1)-COUNTA($O16:Q16))-LEN(CONCATENATE($O16:Q16)))), RIGHT($N16,((((1+LEN($N16))-1)-COUNTA($O16:Q16))-LEN(CONCATENATE($O16:Q16))))))</f>
        <v/>
      </c>
      <c t="str" s="2" r="S16">
        <f>IF((LEN($N16)=((LEN(CONCATENATE($O16:R16))+COUNTA($O16:R16))-1)), "", IF( ISNUMBER(SEARCH(" ",$N16,((1+COUNTA($O16:R16))+LEN(CONCATENATE($O16:R16))))), MID($N16,((1+COUNTA($O16:R16))+LEN(CONCATENATE($O16:R16))),(((SEARCH(" ",$N16,((1+COUNTA($O16:R16))+LEN(CONCATENATE($O16:R16))))-1)-COUNTA($O16:R16))-LEN(CONCATENATE($O16:R16)))), RIGHT($N16,((((1+LEN($N16))-1)-COUNTA($O16:R16))-LEN(CONCATENATE($O16:R16))))))</f>
        <v/>
      </c>
    </row>
    <row r="17">
      <c t="s" s="10" r="A17">
        <v>80</v>
      </c>
      <c t="s" s="3" r="B17">
        <v>81</v>
      </c>
      <c s="3" r="C17"/>
      <c s="3" r="D17"/>
      <c s="3" r="E17"/>
      <c s="3" r="F17"/>
      <c s="3" r="G17"/>
      <c s="3" r="H17">
        <v>40</v>
      </c>
      <c s="3" r="I17"/>
      <c s="3" r="J17">
        <v>10</v>
      </c>
      <c s="3" r="K17"/>
      <c s="3" r="L17"/>
      <c s="3" r="M17"/>
      <c s="3" r="N17"/>
      <c t="str" s="2" r="O17">
        <f>IF(ISNUMBER(SEARCH(" ",$N17)),LEFT($N17,(SEARCH(" ",$N17)-1)),$N17)</f>
        <v/>
      </c>
      <c t="str" s="2" r="P17">
        <f>IF((LEN($N17)=((LEN(CONCATENATE($O17:O17))+COUNTA($O17:O17))-1)), "", IF( ISNUMBER(SEARCH(" ",$N17,((1+COUNTA($O17:O17))+LEN(CONCATENATE($O17:O17))))), MID($N17,((1+COUNTA($O17:O17))+LEN(CONCATENATE($O17:O17))),(((SEARCH(" ",$N17,((1+COUNTA($O17:O17))+LEN(CONCATENATE($O17:O17))))-1)-COUNTA($O17:O17))-LEN(CONCATENATE($O17:O17)))), RIGHT($N17,((((1+LEN($N17))-1)-COUNTA($O17:O17))-LEN(CONCATENATE($O17:O17))))))</f>
        <v/>
      </c>
      <c t="str" s="2" r="Q17">
        <f>IF((LEN($N17)=((LEN(CONCATENATE($O17:P17))+COUNTA($O17:P17))-1)), "", IF( ISNUMBER(SEARCH(" ",$N17,((1+COUNTA($O17:P17))+LEN(CONCATENATE($O17:P17))))), MID($N17,((1+COUNTA($O17:P17))+LEN(CONCATENATE($O17:P17))),(((SEARCH(" ",$N17,((1+COUNTA($O17:P17))+LEN(CONCATENATE($O17:P17))))-1)-COUNTA($O17:P17))-LEN(CONCATENATE($O17:P17)))), RIGHT($N17,((((1+LEN($N17))-1)-COUNTA($O17:P17))-LEN(CONCATENATE($O17:P17))))))</f>
        <v/>
      </c>
      <c t="str" s="2" r="R17">
        <f>IF((LEN($N17)=((LEN(CONCATENATE($O17:Q17))+COUNTA($O17:Q17))-1)), "", IF( ISNUMBER(SEARCH(" ",$N17,((1+COUNTA($O17:Q17))+LEN(CONCATENATE($O17:Q17))))), MID($N17,((1+COUNTA($O17:Q17))+LEN(CONCATENATE($O17:Q17))),(((SEARCH(" ",$N17,((1+COUNTA($O17:Q17))+LEN(CONCATENATE($O17:Q17))))-1)-COUNTA($O17:Q17))-LEN(CONCATENATE($O17:Q17)))), RIGHT($N17,((((1+LEN($N17))-1)-COUNTA($O17:Q17))-LEN(CONCATENATE($O17:Q17))))))</f>
        <v/>
      </c>
      <c t="str" s="2" r="S17">
        <f>IF((LEN($N17)=((LEN(CONCATENATE($O17:R17))+COUNTA($O17:R17))-1)), "", IF( ISNUMBER(SEARCH(" ",$N17,((1+COUNTA($O17:R17))+LEN(CONCATENATE($O17:R17))))), MID($N17,((1+COUNTA($O17:R17))+LEN(CONCATENATE($O17:R17))),(((SEARCH(" ",$N17,((1+COUNTA($O17:R17))+LEN(CONCATENATE($O17:R17))))-1)-COUNTA($O17:R17))-LEN(CONCATENATE($O17:R17)))), RIGHT($N17,((((1+LEN($N17))-1)-COUNTA($O17:R17))-LEN(CONCATENATE($O17:R17))))))</f>
        <v/>
      </c>
    </row>
    <row r="18">
      <c t="s" s="10" r="A18">
        <v>82</v>
      </c>
      <c t="s" s="3" r="B18">
        <v>83</v>
      </c>
      <c s="3" r="C18">
        <v>33</v>
      </c>
      <c s="3" r="D18">
        <v>26</v>
      </c>
      <c s="3" r="E18">
        <v>37</v>
      </c>
      <c s="3" r="F18">
        <v>13</v>
      </c>
      <c s="3" r="G18"/>
      <c s="3" r="H18"/>
      <c s="3" r="I18">
        <v>14</v>
      </c>
      <c s="3" r="J18"/>
      <c s="3" r="K18"/>
      <c s="3" r="L18"/>
      <c s="3" r="M18"/>
      <c s="3" r="N18"/>
      <c t="str" s="2" r="O18">
        <f>IF(ISNUMBER(SEARCH(" ",$N18)),LEFT($N18,(SEARCH(" ",$N18)-1)),$N18)</f>
        <v/>
      </c>
      <c t="str" s="2" r="P18">
        <f>IF((LEN($N18)=((LEN(CONCATENATE($O18:O18))+COUNTA($O18:O18))-1)), "", IF( ISNUMBER(SEARCH(" ",$N18,((1+COUNTA($O18:O18))+LEN(CONCATENATE($O18:O18))))), MID($N18,((1+COUNTA($O18:O18))+LEN(CONCATENATE($O18:O18))),(((SEARCH(" ",$N18,((1+COUNTA($O18:O18))+LEN(CONCATENATE($O18:O18))))-1)-COUNTA($O18:O18))-LEN(CONCATENATE($O18:O18)))), RIGHT($N18,((((1+LEN($N18))-1)-COUNTA($O18:O18))-LEN(CONCATENATE($O18:O18))))))</f>
        <v/>
      </c>
      <c t="str" s="2" r="Q18">
        <f>IF((LEN($N18)=((LEN(CONCATENATE($O18:P18))+COUNTA($O18:P18))-1)), "", IF( ISNUMBER(SEARCH(" ",$N18,((1+COUNTA($O18:P18))+LEN(CONCATENATE($O18:P18))))), MID($N18,((1+COUNTA($O18:P18))+LEN(CONCATENATE($O18:P18))),(((SEARCH(" ",$N18,((1+COUNTA($O18:P18))+LEN(CONCATENATE($O18:P18))))-1)-COUNTA($O18:P18))-LEN(CONCATENATE($O18:P18)))), RIGHT($N18,((((1+LEN($N18))-1)-COUNTA($O18:P18))-LEN(CONCATENATE($O18:P18))))))</f>
        <v/>
      </c>
      <c t="str" s="2" r="R18">
        <f>IF((LEN($N18)=((LEN(CONCATENATE($O18:Q18))+COUNTA($O18:Q18))-1)), "", IF( ISNUMBER(SEARCH(" ",$N18,((1+COUNTA($O18:Q18))+LEN(CONCATENATE($O18:Q18))))), MID($N18,((1+COUNTA($O18:Q18))+LEN(CONCATENATE($O18:Q18))),(((SEARCH(" ",$N18,((1+COUNTA($O18:Q18))+LEN(CONCATENATE($O18:Q18))))-1)-COUNTA($O18:Q18))-LEN(CONCATENATE($O18:Q18)))), RIGHT($N18,((((1+LEN($N18))-1)-COUNTA($O18:Q18))-LEN(CONCATENATE($O18:Q18))))))</f>
        <v/>
      </c>
      <c t="str" s="2" r="S18">
        <f>IF((LEN($N18)=((LEN(CONCATENATE($O18:R18))+COUNTA($O18:R18))-1)), "", IF( ISNUMBER(SEARCH(" ",$N18,((1+COUNTA($O18:R18))+LEN(CONCATENATE($O18:R18))))), MID($N18,((1+COUNTA($O18:R18))+LEN(CONCATENATE($O18:R18))),(((SEARCH(" ",$N18,((1+COUNTA($O18:R18))+LEN(CONCATENATE($O18:R18))))-1)-COUNTA($O18:R18))-LEN(CONCATENATE($O18:R18)))), RIGHT($N18,((((1+LEN($N18))-1)-COUNTA($O18:R18))-LEN(CONCATENATE($O18:R18))))))</f>
        <v/>
      </c>
    </row>
    <row r="19">
      <c t="s" s="10" r="A19">
        <v>84</v>
      </c>
      <c t="s" s="3" r="B19">
        <v>85</v>
      </c>
      <c s="3" r="C19"/>
      <c s="3" r="D19">
        <v>12</v>
      </c>
      <c s="3" r="E19"/>
      <c s="3" r="F19"/>
      <c s="3" r="G19"/>
      <c s="3" r="H19"/>
      <c s="3" r="I19"/>
      <c s="3" r="J19"/>
      <c s="3" r="K19"/>
      <c s="3" r="L19"/>
      <c s="3" r="M19"/>
      <c s="3" r="N19"/>
      <c t="str" s="2" r="O19">
        <f>IF(ISNUMBER(SEARCH(" ",$N19)),LEFT($N19,(SEARCH(" ",$N19)-1)),$N19)</f>
        <v/>
      </c>
      <c t="str" s="2" r="P19">
        <f>IF((LEN($N19)=((LEN(CONCATENATE($O19:O19))+COUNTA($O19:O19))-1)), "", IF( ISNUMBER(SEARCH(" ",$N19,((1+COUNTA($O19:O19))+LEN(CONCATENATE($O19:O19))))), MID($N19,((1+COUNTA($O19:O19))+LEN(CONCATENATE($O19:O19))),(((SEARCH(" ",$N19,((1+COUNTA($O19:O19))+LEN(CONCATENATE($O19:O19))))-1)-COUNTA($O19:O19))-LEN(CONCATENATE($O19:O19)))), RIGHT($N19,((((1+LEN($N19))-1)-COUNTA($O19:O19))-LEN(CONCATENATE($O19:O19))))))</f>
        <v/>
      </c>
      <c t="str" s="2" r="Q19">
        <f>IF((LEN($N19)=((LEN(CONCATENATE($O19:P19))+COUNTA($O19:P19))-1)), "", IF( ISNUMBER(SEARCH(" ",$N19,((1+COUNTA($O19:P19))+LEN(CONCATENATE($O19:P19))))), MID($N19,((1+COUNTA($O19:P19))+LEN(CONCATENATE($O19:P19))),(((SEARCH(" ",$N19,((1+COUNTA($O19:P19))+LEN(CONCATENATE($O19:P19))))-1)-COUNTA($O19:P19))-LEN(CONCATENATE($O19:P19)))), RIGHT($N19,((((1+LEN($N19))-1)-COUNTA($O19:P19))-LEN(CONCATENATE($O19:P19))))))</f>
        <v/>
      </c>
      <c t="str" s="2" r="R19">
        <f>IF((LEN($N19)=((LEN(CONCATENATE($O19:Q19))+COUNTA($O19:Q19))-1)), "", IF( ISNUMBER(SEARCH(" ",$N19,((1+COUNTA($O19:Q19))+LEN(CONCATENATE($O19:Q19))))), MID($N19,((1+COUNTA($O19:Q19))+LEN(CONCATENATE($O19:Q19))),(((SEARCH(" ",$N19,((1+COUNTA($O19:Q19))+LEN(CONCATENATE($O19:Q19))))-1)-COUNTA($O19:Q19))-LEN(CONCATENATE($O19:Q19)))), RIGHT($N19,((((1+LEN($N19))-1)-COUNTA($O19:Q19))-LEN(CONCATENATE($O19:Q19))))))</f>
        <v/>
      </c>
      <c t="str" s="2" r="S19">
        <f>IF((LEN($N19)=((LEN(CONCATENATE($O19:R19))+COUNTA($O19:R19))-1)), "", IF( ISNUMBER(SEARCH(" ",$N19,((1+COUNTA($O19:R19))+LEN(CONCATENATE($O19:R19))))), MID($N19,((1+COUNTA($O19:R19))+LEN(CONCATENATE($O19:R19))),(((SEARCH(" ",$N19,((1+COUNTA($O19:R19))+LEN(CONCATENATE($O19:R19))))-1)-COUNTA($O19:R19))-LEN(CONCATENATE($O19:R19)))), RIGHT($N19,((((1+LEN($N19))-1)-COUNTA($O19:R19))-LEN(CONCATENATE($O19:R19))))))</f>
        <v/>
      </c>
    </row>
    <row r="20">
      <c t="s" s="10" r="A20">
        <v>86</v>
      </c>
      <c t="s" s="3" r="B20">
        <v>87</v>
      </c>
      <c s="3" r="C20">
        <v>29</v>
      </c>
      <c s="3" r="D20">
        <v>16</v>
      </c>
      <c s="3" r="E20">
        <v>18</v>
      </c>
      <c s="3" r="F20"/>
      <c s="3" r="G20"/>
      <c s="3" r="H20"/>
      <c s="3" r="I20"/>
      <c s="3" r="J20"/>
      <c s="3" r="K20"/>
      <c s="3" r="L20"/>
      <c s="3" r="M20"/>
      <c s="3" r="N20"/>
      <c t="str" s="2" r="O20">
        <f>IF(ISNUMBER(SEARCH(" ",$N20)),LEFT($N20,(SEARCH(" ",$N20)-1)),$N20)</f>
        <v/>
      </c>
      <c t="str" s="2" r="P20">
        <f>IF((LEN($N20)=((LEN(CONCATENATE($O20:O20))+COUNTA($O20:O20))-1)), "", IF( ISNUMBER(SEARCH(" ",$N20,((1+COUNTA($O20:O20))+LEN(CONCATENATE($O20:O20))))), MID($N20,((1+COUNTA($O20:O20))+LEN(CONCATENATE($O20:O20))),(((SEARCH(" ",$N20,((1+COUNTA($O20:O20))+LEN(CONCATENATE($O20:O20))))-1)-COUNTA($O20:O20))-LEN(CONCATENATE($O20:O20)))), RIGHT($N20,((((1+LEN($N20))-1)-COUNTA($O20:O20))-LEN(CONCATENATE($O20:O20))))))</f>
        <v/>
      </c>
      <c t="str" s="2" r="Q20">
        <f>IF((LEN($N20)=((LEN(CONCATENATE($O20:P20))+COUNTA($O20:P20))-1)), "", IF( ISNUMBER(SEARCH(" ",$N20,((1+COUNTA($O20:P20))+LEN(CONCATENATE($O20:P20))))), MID($N20,((1+COUNTA($O20:P20))+LEN(CONCATENATE($O20:P20))),(((SEARCH(" ",$N20,((1+COUNTA($O20:P20))+LEN(CONCATENATE($O20:P20))))-1)-COUNTA($O20:P20))-LEN(CONCATENATE($O20:P20)))), RIGHT($N20,((((1+LEN($N20))-1)-COUNTA($O20:P20))-LEN(CONCATENATE($O20:P20))))))</f>
        <v/>
      </c>
      <c t="str" s="2" r="R20">
        <f>IF((LEN($N20)=((LEN(CONCATENATE($O20:Q20))+COUNTA($O20:Q20))-1)), "", IF( ISNUMBER(SEARCH(" ",$N20,((1+COUNTA($O20:Q20))+LEN(CONCATENATE($O20:Q20))))), MID($N20,((1+COUNTA($O20:Q20))+LEN(CONCATENATE($O20:Q20))),(((SEARCH(" ",$N20,((1+COUNTA($O20:Q20))+LEN(CONCATENATE($O20:Q20))))-1)-COUNTA($O20:Q20))-LEN(CONCATENATE($O20:Q20)))), RIGHT($N20,((((1+LEN($N20))-1)-COUNTA($O20:Q20))-LEN(CONCATENATE($O20:Q20))))))</f>
        <v/>
      </c>
      <c t="str" s="2" r="S20">
        <f>IF((LEN($N20)=((LEN(CONCATENATE($O20:R20))+COUNTA($O20:R20))-1)), "", IF( ISNUMBER(SEARCH(" ",$N20,((1+COUNTA($O20:R20))+LEN(CONCATENATE($O20:R20))))), MID($N20,((1+COUNTA($O20:R20))+LEN(CONCATENATE($O20:R20))),(((SEARCH(" ",$N20,((1+COUNTA($O20:R20))+LEN(CONCATENATE($O20:R20))))-1)-COUNTA($O20:R20))-LEN(CONCATENATE($O20:R20)))), RIGHT($N20,((((1+LEN($N20))-1)-COUNTA($O20:R20))-LEN(CONCATENATE($O20:R20))))))</f>
        <v/>
      </c>
    </row>
    <row r="21">
      <c t="s" s="10" r="A21">
        <v>88</v>
      </c>
      <c s="3" r="B21"/>
      <c s="3" r="C21"/>
      <c s="3" r="D21"/>
      <c s="3" r="E21"/>
      <c s="3" r="F21"/>
      <c s="3" r="G21"/>
      <c s="3" r="H21"/>
      <c s="3" r="I21"/>
      <c s="3" r="J21"/>
      <c s="3" r="K21"/>
      <c s="3" r="L21"/>
      <c s="3" r="M21"/>
      <c s="3" r="N21"/>
      <c t="str" s="2" r="O21">
        <f>IF(ISNUMBER(SEARCH(" ",$N21)),LEFT($N21,(SEARCH(" ",$N21)-1)),$N21)</f>
        <v/>
      </c>
      <c t="str" s="2" r="P21">
        <f>IF((LEN($N21)=((LEN(CONCATENATE($O21:O21))+COUNTA($O21:O21))-1)), "", IF( ISNUMBER(SEARCH(" ",$N21,((1+COUNTA($O21:O21))+LEN(CONCATENATE($O21:O21))))), MID($N21,((1+COUNTA($O21:O21))+LEN(CONCATENATE($O21:O21))),(((SEARCH(" ",$N21,((1+COUNTA($O21:O21))+LEN(CONCATENATE($O21:O21))))-1)-COUNTA($O21:O21))-LEN(CONCATENATE($O21:O21)))), RIGHT($N21,((((1+LEN($N21))-1)-COUNTA($O21:O21))-LEN(CONCATENATE($O21:O21))))))</f>
        <v/>
      </c>
      <c t="str" s="2" r="Q21">
        <f>IF((LEN($N21)=((LEN(CONCATENATE($O21:P21))+COUNTA($O21:P21))-1)), "", IF( ISNUMBER(SEARCH(" ",$N21,((1+COUNTA($O21:P21))+LEN(CONCATENATE($O21:P21))))), MID($N21,((1+COUNTA($O21:P21))+LEN(CONCATENATE($O21:P21))),(((SEARCH(" ",$N21,((1+COUNTA($O21:P21))+LEN(CONCATENATE($O21:P21))))-1)-COUNTA($O21:P21))-LEN(CONCATENATE($O21:P21)))), RIGHT($N21,((((1+LEN($N21))-1)-COUNTA($O21:P21))-LEN(CONCATENATE($O21:P21))))))</f>
        <v/>
      </c>
      <c t="str" s="2" r="R21">
        <f>IF((LEN($N21)=((LEN(CONCATENATE($O21:Q21))+COUNTA($O21:Q21))-1)), "", IF( ISNUMBER(SEARCH(" ",$N21,((1+COUNTA($O21:Q21))+LEN(CONCATENATE($O21:Q21))))), MID($N21,((1+COUNTA($O21:Q21))+LEN(CONCATENATE($O21:Q21))),(((SEARCH(" ",$N21,((1+COUNTA($O21:Q21))+LEN(CONCATENATE($O21:Q21))))-1)-COUNTA($O21:Q21))-LEN(CONCATENATE($O21:Q21)))), RIGHT($N21,((((1+LEN($N21))-1)-COUNTA($O21:Q21))-LEN(CONCATENATE($O21:Q21))))))</f>
        <v/>
      </c>
      <c t="str" s="2" r="S21">
        <f>IF((LEN($N21)=((LEN(CONCATENATE($O21:R21))+COUNTA($O21:R21))-1)), "", IF( ISNUMBER(SEARCH(" ",$N21,((1+COUNTA($O21:R21))+LEN(CONCATENATE($O21:R21))))), MID($N21,((1+COUNTA($O21:R21))+LEN(CONCATENATE($O21:R21))),(((SEARCH(" ",$N21,((1+COUNTA($O21:R21))+LEN(CONCATENATE($O21:R21))))-1)-COUNTA($O21:R21))-LEN(CONCATENATE($O21:R21)))), RIGHT($N21,((((1+LEN($N21))-1)-COUNTA($O21:R21))-LEN(CONCATENATE($O21:R21))))))</f>
        <v/>
      </c>
    </row>
    <row r="22">
      <c t="s" s="10" r="A22">
        <v>89</v>
      </c>
      <c t="s" s="3" r="B22">
        <v>90</v>
      </c>
      <c s="3" r="C22">
        <v>32</v>
      </c>
      <c s="3" r="D22">
        <v>21</v>
      </c>
      <c s="3" r="E22">
        <v>30</v>
      </c>
      <c s="3" r="F22"/>
      <c s="3" r="G22"/>
      <c s="3" r="H22"/>
      <c s="3" r="I22"/>
      <c s="3" r="J22"/>
      <c s="3" r="K22"/>
      <c s="3" r="L22"/>
      <c s="3" r="M22"/>
      <c s="3" r="N22"/>
      <c t="str" s="2" r="O22">
        <f>IF(ISNUMBER(SEARCH(" ",$N22)),LEFT($N22,(SEARCH(" ",$N22)-1)),$N22)</f>
        <v/>
      </c>
      <c t="str" s="2" r="P22">
        <f>IF((LEN($N22)=((LEN(CONCATENATE($O22:O22))+COUNTA($O22:O22))-1)), "", IF( ISNUMBER(SEARCH(" ",$N22,((1+COUNTA($O22:O22))+LEN(CONCATENATE($O22:O22))))), MID($N22,((1+COUNTA($O22:O22))+LEN(CONCATENATE($O22:O22))),(((SEARCH(" ",$N22,((1+COUNTA($O22:O22))+LEN(CONCATENATE($O22:O22))))-1)-COUNTA($O22:O22))-LEN(CONCATENATE($O22:O22)))), RIGHT($N22,((((1+LEN($N22))-1)-COUNTA($O22:O22))-LEN(CONCATENATE($O22:O22))))))</f>
        <v/>
      </c>
      <c t="str" s="2" r="Q22">
        <f>IF((LEN($N22)=((LEN(CONCATENATE($O22:P22))+COUNTA($O22:P22))-1)), "", IF( ISNUMBER(SEARCH(" ",$N22,((1+COUNTA($O22:P22))+LEN(CONCATENATE($O22:P22))))), MID($N22,((1+COUNTA($O22:P22))+LEN(CONCATENATE($O22:P22))),(((SEARCH(" ",$N22,((1+COUNTA($O22:P22))+LEN(CONCATENATE($O22:P22))))-1)-COUNTA($O22:P22))-LEN(CONCATENATE($O22:P22)))), RIGHT($N22,((((1+LEN($N22))-1)-COUNTA($O22:P22))-LEN(CONCATENATE($O22:P22))))))</f>
        <v/>
      </c>
      <c t="str" s="2" r="R22">
        <f>IF((LEN($N22)=((LEN(CONCATENATE($O22:Q22))+COUNTA($O22:Q22))-1)), "", IF( ISNUMBER(SEARCH(" ",$N22,((1+COUNTA($O22:Q22))+LEN(CONCATENATE($O22:Q22))))), MID($N22,((1+COUNTA($O22:Q22))+LEN(CONCATENATE($O22:Q22))),(((SEARCH(" ",$N22,((1+COUNTA($O22:Q22))+LEN(CONCATENATE($O22:Q22))))-1)-COUNTA($O22:Q22))-LEN(CONCATENATE($O22:Q22)))), RIGHT($N22,((((1+LEN($N22))-1)-COUNTA($O22:Q22))-LEN(CONCATENATE($O22:Q22))))))</f>
        <v/>
      </c>
      <c t="str" s="2" r="S22">
        <f>IF((LEN($N22)=((LEN(CONCATENATE($O22:R22))+COUNTA($O22:R22))-1)), "", IF( ISNUMBER(SEARCH(" ",$N22,((1+COUNTA($O22:R22))+LEN(CONCATENATE($O22:R22))))), MID($N22,((1+COUNTA($O22:R22))+LEN(CONCATENATE($O22:R22))),(((SEARCH(" ",$N22,((1+COUNTA($O22:R22))+LEN(CONCATENATE($O22:R22))))-1)-COUNTA($O22:R22))-LEN(CONCATENATE($O22:R22)))), RIGHT($N22,((((1+LEN($N22))-1)-COUNTA($O22:R22))-LEN(CONCATENATE($O22:R22))))))</f>
        <v/>
      </c>
    </row>
    <row r="23">
      <c t="s" s="10" r="A23">
        <v>91</v>
      </c>
      <c s="3" r="B23"/>
      <c s="3" r="C23"/>
      <c s="3" r="D23"/>
      <c s="3" r="E23"/>
      <c s="3" r="F23"/>
      <c s="3" r="G23"/>
      <c s="3" r="H23"/>
      <c s="3" r="I23"/>
      <c s="3" r="J23"/>
      <c s="3" r="K23"/>
      <c s="3" r="L23"/>
      <c s="3" r="M23"/>
      <c s="3" r="N23"/>
      <c t="str" s="2" r="O23">
        <f>IF(ISNUMBER(SEARCH(" ",$N23)),LEFT($N23,(SEARCH(" ",$N23)-1)),$N23)</f>
        <v/>
      </c>
      <c t="str" s="2" r="P23">
        <f>IF((LEN($N23)=((LEN(CONCATENATE($O23:O23))+COUNTA($O23:O23))-1)), "", IF( ISNUMBER(SEARCH(" ",$N23,((1+COUNTA($O23:O23))+LEN(CONCATENATE($O23:O23))))), MID($N23,((1+COUNTA($O23:O23))+LEN(CONCATENATE($O23:O23))),(((SEARCH(" ",$N23,((1+COUNTA($O23:O23))+LEN(CONCATENATE($O23:O23))))-1)-COUNTA($O23:O23))-LEN(CONCATENATE($O23:O23)))), RIGHT($N23,((((1+LEN($N23))-1)-COUNTA($O23:O23))-LEN(CONCATENATE($O23:O23))))))</f>
        <v/>
      </c>
      <c t="str" s="2" r="Q23">
        <f>IF((LEN($N23)=((LEN(CONCATENATE($O23:P23))+COUNTA($O23:P23))-1)), "", IF( ISNUMBER(SEARCH(" ",$N23,((1+COUNTA($O23:P23))+LEN(CONCATENATE($O23:P23))))), MID($N23,((1+COUNTA($O23:P23))+LEN(CONCATENATE($O23:P23))),(((SEARCH(" ",$N23,((1+COUNTA($O23:P23))+LEN(CONCATENATE($O23:P23))))-1)-COUNTA($O23:P23))-LEN(CONCATENATE($O23:P23)))), RIGHT($N23,((((1+LEN($N23))-1)-COUNTA($O23:P23))-LEN(CONCATENATE($O23:P23))))))</f>
        <v/>
      </c>
      <c t="str" s="2" r="R23">
        <f>IF((LEN($N23)=((LEN(CONCATENATE($O23:Q23))+COUNTA($O23:Q23))-1)), "", IF( ISNUMBER(SEARCH(" ",$N23,((1+COUNTA($O23:Q23))+LEN(CONCATENATE($O23:Q23))))), MID($N23,((1+COUNTA($O23:Q23))+LEN(CONCATENATE($O23:Q23))),(((SEARCH(" ",$N23,((1+COUNTA($O23:Q23))+LEN(CONCATENATE($O23:Q23))))-1)-COUNTA($O23:Q23))-LEN(CONCATENATE($O23:Q23)))), RIGHT($N23,((((1+LEN($N23))-1)-COUNTA($O23:Q23))-LEN(CONCATENATE($O23:Q23))))))</f>
        <v/>
      </c>
      <c t="str" s="2" r="S23">
        <f>IF((LEN($N23)=((LEN(CONCATENATE($O23:R23))+COUNTA($O23:R23))-1)), "", IF( ISNUMBER(SEARCH(" ",$N23,((1+COUNTA($O23:R23))+LEN(CONCATENATE($O23:R23))))), MID($N23,((1+COUNTA($O23:R23))+LEN(CONCATENATE($O23:R23))),(((SEARCH(" ",$N23,((1+COUNTA($O23:R23))+LEN(CONCATENATE($O23:R23))))-1)-COUNTA($O23:R23))-LEN(CONCATENATE($O23:R23)))), RIGHT($N23,((((1+LEN($N23))-1)-COUNTA($O23:R23))-LEN(CONCATENATE($O23:R23))))))</f>
        <v/>
      </c>
    </row>
    <row r="24">
      <c t="s" s="10" r="A24">
        <v>92</v>
      </c>
      <c t="s" s="3" r="B24">
        <v>93</v>
      </c>
      <c s="3" r="C24"/>
      <c s="3" r="D24"/>
      <c s="3" r="E24"/>
      <c s="3" r="F24"/>
      <c s="3" r="G24"/>
      <c s="3" r="H24">
        <v>36</v>
      </c>
      <c s="3" r="I24"/>
      <c s="3" r="J24"/>
      <c s="3" r="K24"/>
      <c s="3" r="L24"/>
      <c s="3" r="M24">
        <v>7</v>
      </c>
      <c s="3" r="N24"/>
      <c t="str" s="2" r="O24">
        <f>IF(ISNUMBER(SEARCH(" ",$N24)),LEFT($N24,(SEARCH(" ",$N24)-1)),$N24)</f>
        <v/>
      </c>
      <c t="str" s="2" r="P24">
        <f>IF((LEN($N24)=((LEN(CONCATENATE($O24:O24))+COUNTA($O24:O24))-1)), "", IF( ISNUMBER(SEARCH(" ",$N24,((1+COUNTA($O24:O24))+LEN(CONCATENATE($O24:O24))))), MID($N24,((1+COUNTA($O24:O24))+LEN(CONCATENATE($O24:O24))),(((SEARCH(" ",$N24,((1+COUNTA($O24:O24))+LEN(CONCATENATE($O24:O24))))-1)-COUNTA($O24:O24))-LEN(CONCATENATE($O24:O24)))), RIGHT($N24,((((1+LEN($N24))-1)-COUNTA($O24:O24))-LEN(CONCATENATE($O24:O24))))))</f>
        <v/>
      </c>
      <c t="str" s="2" r="Q24">
        <f>IF((LEN($N24)=((LEN(CONCATENATE($O24:P24))+COUNTA($O24:P24))-1)), "", IF( ISNUMBER(SEARCH(" ",$N24,((1+COUNTA($O24:P24))+LEN(CONCATENATE($O24:P24))))), MID($N24,((1+COUNTA($O24:P24))+LEN(CONCATENATE($O24:P24))),(((SEARCH(" ",$N24,((1+COUNTA($O24:P24))+LEN(CONCATENATE($O24:P24))))-1)-COUNTA($O24:P24))-LEN(CONCATENATE($O24:P24)))), RIGHT($N24,((((1+LEN($N24))-1)-COUNTA($O24:P24))-LEN(CONCATENATE($O24:P24))))))</f>
        <v/>
      </c>
      <c t="str" s="2" r="R24">
        <f>IF((LEN($N24)=((LEN(CONCATENATE($O24:Q24))+COUNTA($O24:Q24))-1)), "", IF( ISNUMBER(SEARCH(" ",$N24,((1+COUNTA($O24:Q24))+LEN(CONCATENATE($O24:Q24))))), MID($N24,((1+COUNTA($O24:Q24))+LEN(CONCATENATE($O24:Q24))),(((SEARCH(" ",$N24,((1+COUNTA($O24:Q24))+LEN(CONCATENATE($O24:Q24))))-1)-COUNTA($O24:Q24))-LEN(CONCATENATE($O24:Q24)))), RIGHT($N24,((((1+LEN($N24))-1)-COUNTA($O24:Q24))-LEN(CONCATENATE($O24:Q24))))))</f>
        <v/>
      </c>
      <c t="str" s="2" r="S24">
        <f>IF((LEN($N24)=((LEN(CONCATENATE($O24:R24))+COUNTA($O24:R24))-1)), "", IF( ISNUMBER(SEARCH(" ",$N24,((1+COUNTA($O24:R24))+LEN(CONCATENATE($O24:R24))))), MID($N24,((1+COUNTA($O24:R24))+LEN(CONCATENATE($O24:R24))),(((SEARCH(" ",$N24,((1+COUNTA($O24:R24))+LEN(CONCATENATE($O24:R24))))-1)-COUNTA($O24:R24))-LEN(CONCATENATE($O24:R24)))), RIGHT($N24,((((1+LEN($N24))-1)-COUNTA($O24:R24))-LEN(CONCATENATE($O24:R24))))))</f>
        <v/>
      </c>
    </row>
    <row r="25">
      <c t="s" s="10" r="A25">
        <v>94</v>
      </c>
      <c t="s" s="3" r="B25">
        <v>95</v>
      </c>
      <c s="3" r="C25"/>
      <c s="3" r="D25"/>
      <c s="3" r="E25"/>
      <c s="3" r="F25"/>
      <c s="3" r="G25"/>
      <c s="3" r="H25">
        <f>72+(278/6)</f>
        <v>118.333333333333</v>
      </c>
      <c s="3" r="I25"/>
      <c s="3" r="J25"/>
      <c s="3" r="K25"/>
      <c s="3" r="L25"/>
      <c s="3" r="M25"/>
      <c s="3" r="N25"/>
      <c t="str" s="2" r="O25">
        <f>IF(ISNUMBER(SEARCH(" ",$N25)),LEFT($N25,(SEARCH(" ",$N25)-1)),$N25)</f>
        <v/>
      </c>
      <c t="str" s="2" r="P25">
        <f>IF((LEN($N25)=((LEN(CONCATENATE($O25:O25))+COUNTA($O25:O25))-1)), "", IF( ISNUMBER(SEARCH(" ",$N25,((1+COUNTA($O25:O25))+LEN(CONCATENATE($O25:O25))))), MID($N25,((1+COUNTA($O25:O25))+LEN(CONCATENATE($O25:O25))),(((SEARCH(" ",$N25,((1+COUNTA($O25:O25))+LEN(CONCATENATE($O25:O25))))-1)-COUNTA($O25:O25))-LEN(CONCATENATE($O25:O25)))), RIGHT($N25,((((1+LEN($N25))-1)-COUNTA($O25:O25))-LEN(CONCATENATE($O25:O25))))))</f>
        <v/>
      </c>
      <c t="str" s="2" r="Q25">
        <f>IF((LEN($N25)=((LEN(CONCATENATE($O25:P25))+COUNTA($O25:P25))-1)), "", IF( ISNUMBER(SEARCH(" ",$N25,((1+COUNTA($O25:P25))+LEN(CONCATENATE($O25:P25))))), MID($N25,((1+COUNTA($O25:P25))+LEN(CONCATENATE($O25:P25))),(((SEARCH(" ",$N25,((1+COUNTA($O25:P25))+LEN(CONCATENATE($O25:P25))))-1)-COUNTA($O25:P25))-LEN(CONCATENATE($O25:P25)))), RIGHT($N25,((((1+LEN($N25))-1)-COUNTA($O25:P25))-LEN(CONCATENATE($O25:P25))))))</f>
        <v/>
      </c>
      <c t="str" s="2" r="R25">
        <f>IF((LEN($N25)=((LEN(CONCATENATE($O25:Q25))+COUNTA($O25:Q25))-1)), "", IF( ISNUMBER(SEARCH(" ",$N25,((1+COUNTA($O25:Q25))+LEN(CONCATENATE($O25:Q25))))), MID($N25,((1+COUNTA($O25:Q25))+LEN(CONCATENATE($O25:Q25))),(((SEARCH(" ",$N25,((1+COUNTA($O25:Q25))+LEN(CONCATENATE($O25:Q25))))-1)-COUNTA($O25:Q25))-LEN(CONCATENATE($O25:Q25)))), RIGHT($N25,((((1+LEN($N25))-1)-COUNTA($O25:Q25))-LEN(CONCATENATE($O25:Q25))))))</f>
        <v/>
      </c>
      <c t="str" s="2" r="S25">
        <f>IF((LEN($N25)=((LEN(CONCATENATE($O25:R25))+COUNTA($O25:R25))-1)), "", IF( ISNUMBER(SEARCH(" ",$N25,((1+COUNTA($O25:R25))+LEN(CONCATENATE($O25:R25))))), MID($N25,((1+COUNTA($O25:R25))+LEN(CONCATENATE($O25:R25))),(((SEARCH(" ",$N25,((1+COUNTA($O25:R25))+LEN(CONCATENATE($O25:R25))))-1)-COUNTA($O25:R25))-LEN(CONCATENATE($O25:R25)))), RIGHT($N25,((((1+LEN($N25))-1)-COUNTA($O25:R25))-LEN(CONCATENATE($O25:R25))))))</f>
        <v/>
      </c>
    </row>
    <row r="26">
      <c t="s" s="10" r="A26">
        <v>96</v>
      </c>
      <c t="s" s="3" r="B26">
        <v>97</v>
      </c>
      <c s="3" r="C26">
        <v>42</v>
      </c>
      <c s="3" r="D26"/>
      <c s="3" r="E26">
        <v>55</v>
      </c>
      <c s="3" r="F26"/>
      <c s="3" r="G26"/>
      <c s="3" r="H26">
        <v>788</v>
      </c>
      <c s="3" r="I26">
        <v>18</v>
      </c>
      <c s="3" r="J26">
        <v>42</v>
      </c>
      <c s="3" r="K26"/>
      <c s="3" r="L26"/>
      <c s="3" r="M26"/>
      <c s="3" r="N26"/>
      <c t="str" s="2" r="O26">
        <f>IF(ISNUMBER(SEARCH(" ",$N26)),LEFT($N26,(SEARCH(" ",$N26)-1)),$N26)</f>
        <v/>
      </c>
      <c t="str" s="2" r="P26">
        <f>IF((LEN($N26)=((LEN(CONCATENATE($O26:O26))+COUNTA($O26:O26))-1)), "", IF( ISNUMBER(SEARCH(" ",$N26,((1+COUNTA($O26:O26))+LEN(CONCATENATE($O26:O26))))), MID($N26,((1+COUNTA($O26:O26))+LEN(CONCATENATE($O26:O26))),(((SEARCH(" ",$N26,((1+COUNTA($O26:O26))+LEN(CONCATENATE($O26:O26))))-1)-COUNTA($O26:O26))-LEN(CONCATENATE($O26:O26)))), RIGHT($N26,((((1+LEN($N26))-1)-COUNTA($O26:O26))-LEN(CONCATENATE($O26:O26))))))</f>
        <v/>
      </c>
      <c t="str" s="2" r="Q26">
        <f>IF((LEN($N26)=((LEN(CONCATENATE($O26:P26))+COUNTA($O26:P26))-1)), "", IF( ISNUMBER(SEARCH(" ",$N26,((1+COUNTA($O26:P26))+LEN(CONCATENATE($O26:P26))))), MID($N26,((1+COUNTA($O26:P26))+LEN(CONCATENATE($O26:P26))),(((SEARCH(" ",$N26,((1+COUNTA($O26:P26))+LEN(CONCATENATE($O26:P26))))-1)-COUNTA($O26:P26))-LEN(CONCATENATE($O26:P26)))), RIGHT($N26,((((1+LEN($N26))-1)-COUNTA($O26:P26))-LEN(CONCATENATE($O26:P26))))))</f>
        <v/>
      </c>
      <c t="str" s="2" r="R26">
        <f>IF((LEN($N26)=((LEN(CONCATENATE($O26:Q26))+COUNTA($O26:Q26))-1)), "", IF( ISNUMBER(SEARCH(" ",$N26,((1+COUNTA($O26:Q26))+LEN(CONCATENATE($O26:Q26))))), MID($N26,((1+COUNTA($O26:Q26))+LEN(CONCATENATE($O26:Q26))),(((SEARCH(" ",$N26,((1+COUNTA($O26:Q26))+LEN(CONCATENATE($O26:Q26))))-1)-COUNTA($O26:Q26))-LEN(CONCATENATE($O26:Q26)))), RIGHT($N26,((((1+LEN($N26))-1)-COUNTA($O26:Q26))-LEN(CONCATENATE($O26:Q26))))))</f>
        <v/>
      </c>
      <c t="str" s="2" r="S26">
        <f>IF((LEN($N26)=((LEN(CONCATENATE($O26:R26))+COUNTA($O26:R26))-1)), "", IF( ISNUMBER(SEARCH(" ",$N26,((1+COUNTA($O26:R26))+LEN(CONCATENATE($O26:R26))))), MID($N26,((1+COUNTA($O26:R26))+LEN(CONCATENATE($O26:R26))),(((SEARCH(" ",$N26,((1+COUNTA($O26:R26))+LEN(CONCATENATE($O26:R26))))-1)-COUNTA($O26:R26))-LEN(CONCATENATE($O26:R26)))), RIGHT($N26,((((1+LEN($N26))-1)-COUNTA($O26:R26))-LEN(CONCATENATE($O26:R26))))))</f>
        <v/>
      </c>
    </row>
    <row r="27">
      <c t="s" s="10" r="A27">
        <v>98</v>
      </c>
      <c t="s" s="3" r="B27">
        <v>62</v>
      </c>
      <c s="3" r="C27"/>
      <c s="3" r="D27">
        <v>35</v>
      </c>
      <c s="3" r="E27"/>
      <c s="3" r="F27"/>
      <c s="3" r="G27"/>
      <c s="3" r="H27"/>
      <c s="3" r="I27"/>
      <c s="3" r="J27"/>
      <c s="3" r="K27"/>
      <c s="3" r="L27"/>
      <c s="3" r="M27"/>
      <c s="3" r="N27"/>
      <c t="str" s="2" r="O27">
        <f>IF(ISNUMBER(SEARCH(" ",$N27)),LEFT($N27,(SEARCH(" ",$N27)-1)),$N27)</f>
        <v/>
      </c>
      <c t="str" s="2" r="P27">
        <f>IF((LEN($N27)=((LEN(CONCATENATE($O27:O27))+COUNTA($O27:O27))-1)), "", IF( ISNUMBER(SEARCH(" ",$N27,((1+COUNTA($O27:O27))+LEN(CONCATENATE($O27:O27))))), MID($N27,((1+COUNTA($O27:O27))+LEN(CONCATENATE($O27:O27))),(((SEARCH(" ",$N27,((1+COUNTA($O27:O27))+LEN(CONCATENATE($O27:O27))))-1)-COUNTA($O27:O27))-LEN(CONCATENATE($O27:O27)))), RIGHT($N27,((((1+LEN($N27))-1)-COUNTA($O27:O27))-LEN(CONCATENATE($O27:O27))))))</f>
        <v/>
      </c>
      <c t="str" s="2" r="Q27">
        <f>IF((LEN($N27)=((LEN(CONCATENATE($O27:P27))+COUNTA($O27:P27))-1)), "", IF( ISNUMBER(SEARCH(" ",$N27,((1+COUNTA($O27:P27))+LEN(CONCATENATE($O27:P27))))), MID($N27,((1+COUNTA($O27:P27))+LEN(CONCATENATE($O27:P27))),(((SEARCH(" ",$N27,((1+COUNTA($O27:P27))+LEN(CONCATENATE($O27:P27))))-1)-COUNTA($O27:P27))-LEN(CONCATENATE($O27:P27)))), RIGHT($N27,((((1+LEN($N27))-1)-COUNTA($O27:P27))-LEN(CONCATENATE($O27:P27))))))</f>
        <v/>
      </c>
      <c t="str" s="2" r="R27">
        <f>IF((LEN($N27)=((LEN(CONCATENATE($O27:Q27))+COUNTA($O27:Q27))-1)), "", IF( ISNUMBER(SEARCH(" ",$N27,((1+COUNTA($O27:Q27))+LEN(CONCATENATE($O27:Q27))))), MID($N27,((1+COUNTA($O27:Q27))+LEN(CONCATENATE($O27:Q27))),(((SEARCH(" ",$N27,((1+COUNTA($O27:Q27))+LEN(CONCATENATE($O27:Q27))))-1)-COUNTA($O27:Q27))-LEN(CONCATENATE($O27:Q27)))), RIGHT($N27,((((1+LEN($N27))-1)-COUNTA($O27:Q27))-LEN(CONCATENATE($O27:Q27))))))</f>
        <v/>
      </c>
      <c t="str" s="2" r="S27">
        <f>IF((LEN($N27)=((LEN(CONCATENATE($O27:R27))+COUNTA($O27:R27))-1)), "", IF( ISNUMBER(SEARCH(" ",$N27,((1+COUNTA($O27:R27))+LEN(CONCATENATE($O27:R27))))), MID($N27,((1+COUNTA($O27:R27))+LEN(CONCATENATE($O27:R27))),(((SEARCH(" ",$N27,((1+COUNTA($O27:R27))+LEN(CONCATENATE($O27:R27))))-1)-COUNTA($O27:R27))-LEN(CONCATENATE($O27:R27)))), RIGHT($N27,((((1+LEN($N27))-1)-COUNTA($O27:R27))-LEN(CONCATENATE($O27:R27))))))</f>
        <v/>
      </c>
    </row>
    <row r="28">
      <c t="s" s="10" r="A28">
        <v>99</v>
      </c>
      <c s="3" r="B28"/>
      <c s="3" r="C28"/>
      <c s="3" r="D28"/>
      <c s="3" r="E28"/>
      <c s="3" r="F28"/>
      <c s="3" r="G28"/>
      <c s="3" r="H28"/>
      <c s="3" r="I28"/>
      <c s="3" r="J28"/>
      <c s="3" r="K28"/>
      <c s="3" r="L28"/>
      <c s="3" r="M28"/>
      <c s="3" r="N28"/>
      <c t="str" s="2" r="O28">
        <f>IF(ISNUMBER(SEARCH(" ",$N28)),LEFT($N28,(SEARCH(" ",$N28)-1)),$N28)</f>
        <v/>
      </c>
      <c t="str" s="2" r="P28">
        <f>IF((LEN($N28)=((LEN(CONCATENATE($O28:O28))+COUNTA($O28:O28))-1)), "", IF( ISNUMBER(SEARCH(" ",$N28,((1+COUNTA($O28:O28))+LEN(CONCATENATE($O28:O28))))), MID($N28,((1+COUNTA($O28:O28))+LEN(CONCATENATE($O28:O28))),(((SEARCH(" ",$N28,((1+COUNTA($O28:O28))+LEN(CONCATENATE($O28:O28))))-1)-COUNTA($O28:O28))-LEN(CONCATENATE($O28:O28)))), RIGHT($N28,((((1+LEN($N28))-1)-COUNTA($O28:O28))-LEN(CONCATENATE($O28:O28))))))</f>
        <v/>
      </c>
      <c t="str" s="2" r="Q28">
        <f>IF((LEN($N28)=((LEN(CONCATENATE($O28:P28))+COUNTA($O28:P28))-1)), "", IF( ISNUMBER(SEARCH(" ",$N28,((1+COUNTA($O28:P28))+LEN(CONCATENATE($O28:P28))))), MID($N28,((1+COUNTA($O28:P28))+LEN(CONCATENATE($O28:P28))),(((SEARCH(" ",$N28,((1+COUNTA($O28:P28))+LEN(CONCATENATE($O28:P28))))-1)-COUNTA($O28:P28))-LEN(CONCATENATE($O28:P28)))), RIGHT($N28,((((1+LEN($N28))-1)-COUNTA($O28:P28))-LEN(CONCATENATE($O28:P28))))))</f>
        <v/>
      </c>
      <c t="str" s="2" r="R28">
        <f>IF((LEN($N28)=((LEN(CONCATENATE($O28:Q28))+COUNTA($O28:Q28))-1)), "", IF( ISNUMBER(SEARCH(" ",$N28,((1+COUNTA($O28:Q28))+LEN(CONCATENATE($O28:Q28))))), MID($N28,((1+COUNTA($O28:Q28))+LEN(CONCATENATE($O28:Q28))),(((SEARCH(" ",$N28,((1+COUNTA($O28:Q28))+LEN(CONCATENATE($O28:Q28))))-1)-COUNTA($O28:Q28))-LEN(CONCATENATE($O28:Q28)))), RIGHT($N28,((((1+LEN($N28))-1)-COUNTA($O28:Q28))-LEN(CONCATENATE($O28:Q28))))))</f>
        <v/>
      </c>
      <c t="str" s="2" r="S28">
        <f>IF((LEN($N28)=((LEN(CONCATENATE($O28:R28))+COUNTA($O28:R28))-1)), "", IF( ISNUMBER(SEARCH(" ",$N28,((1+COUNTA($O28:R28))+LEN(CONCATENATE($O28:R28))))), MID($N28,((1+COUNTA($O28:R28))+LEN(CONCATENATE($O28:R28))),(((SEARCH(" ",$N28,((1+COUNTA($O28:R28))+LEN(CONCATENATE($O28:R28))))-1)-COUNTA($O28:R28))-LEN(CONCATENATE($O28:R28)))), RIGHT($N28,((((1+LEN($N28))-1)-COUNTA($O28:R28))-LEN(CONCATENATE($O28:R28))))))</f>
        <v/>
      </c>
    </row>
    <row r="29">
      <c t="s" s="10" r="A29">
        <v>100</v>
      </c>
      <c t="s" s="3" r="B29">
        <v>101</v>
      </c>
      <c s="3" r="C29"/>
      <c s="3" r="D29"/>
      <c s="3" r="E29"/>
      <c s="3" r="F29"/>
      <c s="3" r="G29"/>
      <c s="3" r="H29"/>
      <c s="3" r="I29"/>
      <c s="3" r="J29"/>
      <c s="3" r="K29"/>
      <c s="3" r="L29"/>
      <c s="3" r="M29"/>
      <c t="s" s="3" r="N29">
        <v>102</v>
      </c>
      <c t="str" s="2" r="O29">
        <f>IF(ISNUMBER(SEARCH(" ",$N29)),LEFT($N29,(SEARCH(" ",$N29)-1)),$N29)</f>
        <v>wild</v>
      </c>
      <c t="str" s="2" r="P29">
        <f>IF((LEN($N29)=((LEN(CONCATENATE($O29:O29))+COUNTA($O29:O29))-1)), "", IF( ISNUMBER(SEARCH(" ",$N29,((1+COUNTA($O29:O29))+LEN(CONCATENATE($O29:O29))))), MID($N29,((1+COUNTA($O29:O29))+LEN(CONCATENATE($O29:O29))),(((SEARCH(" ",$N29,((1+COUNTA($O29:O29))+LEN(CONCATENATE($O29:O29))))-1)-COUNTA($O29:O29))-LEN(CONCATENATE($O29:O29)))), RIGHT($N29,((((1+LEN($N29))-1)-COUNTA($O29:O29))-LEN(CONCATENATE($O29:O29))))))</f>
        <v/>
      </c>
      <c t="str" s="2" r="Q29">
        <f>IF((LEN($N29)=((LEN(CONCATENATE($O29:P29))+COUNTA($O29:P29))-1)), "", IF( ISNUMBER(SEARCH(" ",$N29,((1+COUNTA($O29:P29))+LEN(CONCATENATE($O29:P29))))), MID($N29,((1+COUNTA($O29:P29))+LEN(CONCATENATE($O29:P29))),(((SEARCH(" ",$N29,((1+COUNTA($O29:P29))+LEN(CONCATENATE($O29:P29))))-1)-COUNTA($O29:P29))-LEN(CONCATENATE($O29:P29)))), RIGHT($N29,((((1+LEN($N29))-1)-COUNTA($O29:P29))-LEN(CONCATENATE($O29:P29))))))</f>
        <v/>
      </c>
      <c t="str" s="2" r="R29">
        <f>IF((LEN($N29)=((LEN(CONCATENATE($O29:Q29))+COUNTA($O29:Q29))-1)), "", IF( ISNUMBER(SEARCH(" ",$N29,((1+COUNTA($O29:Q29))+LEN(CONCATENATE($O29:Q29))))), MID($N29,((1+COUNTA($O29:Q29))+LEN(CONCATENATE($O29:Q29))),(((SEARCH(" ",$N29,((1+COUNTA($O29:Q29))+LEN(CONCATENATE($O29:Q29))))-1)-COUNTA($O29:Q29))-LEN(CONCATENATE($O29:Q29)))), RIGHT($N29,((((1+LEN($N29))-1)-COUNTA($O29:Q29))-LEN(CONCATENATE($O29:Q29))))))</f>
        <v/>
      </c>
      <c t="str" s="2" r="S29">
        <f>IF((LEN($N29)=((LEN(CONCATENATE($O29:R29))+COUNTA($O29:R29))-1)), "", IF( ISNUMBER(SEARCH(" ",$N29,((1+COUNTA($O29:R29))+LEN(CONCATENATE($O29:R29))))), MID($N29,((1+COUNTA($O29:R29))+LEN(CONCATENATE($O29:R29))),(((SEARCH(" ",$N29,((1+COUNTA($O29:R29))+LEN(CONCATENATE($O29:R29))))-1)-COUNTA($O29:R29))-LEN(CONCATENATE($O29:R29)))), RIGHT($N29,((((1+LEN($N29))-1)-COUNTA($O29:R29))-LEN(CONCATENATE($O29:R29))))))</f>
        <v/>
      </c>
    </row>
    <row r="30">
      <c t="s" s="10" r="A30">
        <v>103</v>
      </c>
      <c t="s" s="2" r="B30">
        <v>104</v>
      </c>
      <c s="2" r="C30">
        <f>'Stat values'!C5*10</f>
        <v>0</v>
      </c>
      <c s="2" r="D30">
        <f>'Stat values'!D5*10</f>
        <v>0</v>
      </c>
      <c s="2" r="E30">
        <f>'Stat values'!E5*10</f>
        <v>0</v>
      </c>
      <c s="2" r="F30"/>
      <c s="2" r="G30"/>
      <c s="2" r="H30">
        <f>'Stat values'!F5*10</f>
        <v>0</v>
      </c>
      <c s="2" r="I30">
        <f>'Stat values'!G5*5</f>
        <v>0</v>
      </c>
      <c s="2" r="J30">
        <f>'Stat values'!H5*10</f>
        <v>0</v>
      </c>
      <c s="2" r="K30">
        <f>'Stat values'!I5*8</f>
        <v>0</v>
      </c>
      <c s="2" r="L30">
        <f>'Stat values'!J5*10</f>
        <v>0</v>
      </c>
      <c s="2" r="M30">
        <f>'stat values'!K5*3</f>
        <v>0</v>
      </c>
      <c t="str" s="2" r="N30">
        <f>'stat values'!L5</f>
        <v/>
      </c>
      <c t="str" s="2" r="O30">
        <f>IF(ISNUMBER(SEARCH(" ",$N30)),LEFT($N30,(SEARCH(" ",$N30)-1)),$N30)</f>
        <v/>
      </c>
      <c t="str" s="2" r="P30">
        <f>IF((LEN($N30)=((LEN(CONCATENATE($O30:O30))+COUNTA($O30:O30))-1)), "", IF( ISNUMBER(SEARCH(" ",$N30,((1+COUNTA($O30:O30))+LEN(CONCATENATE($O30:O30))))), MID($N30,((1+COUNTA($O30:O30))+LEN(CONCATENATE($O30:O30))),(((SEARCH(" ",$N30,((1+COUNTA($O30:O30))+LEN(CONCATENATE($O30:O30))))-1)-COUNTA($O30:O30))-LEN(CONCATENATE($O30:O30)))), RIGHT($N30,((((1+LEN($N30))-1)-COUNTA($O30:O30))-LEN(CONCATENATE($O30:O30))))))</f>
        <v/>
      </c>
      <c t="str" s="2" r="Q30">
        <f>IF((LEN($N30)=((LEN(CONCATENATE($O30:P30))+COUNTA($O30:P30))-1)), "", IF( ISNUMBER(SEARCH(" ",$N30,((1+COUNTA($O30:P30))+LEN(CONCATENATE($O30:P30))))), MID($N30,((1+COUNTA($O30:P30))+LEN(CONCATENATE($O30:P30))),(((SEARCH(" ",$N30,((1+COUNTA($O30:P30))+LEN(CONCATENATE($O30:P30))))-1)-COUNTA($O30:P30))-LEN(CONCATENATE($O30:P30)))), RIGHT($N30,((((1+LEN($N30))-1)-COUNTA($O30:P30))-LEN(CONCATENATE($O30:P30))))))</f>
        <v/>
      </c>
      <c t="str" s="2" r="R30">
        <f>IF((LEN($N30)=((LEN(CONCATENATE($O30:Q30))+COUNTA($O30:Q30))-1)), "", IF( ISNUMBER(SEARCH(" ",$N30,((1+COUNTA($O30:Q30))+LEN(CONCATENATE($O30:Q30))))), MID($N30,((1+COUNTA($O30:Q30))+LEN(CONCATENATE($O30:Q30))),(((SEARCH(" ",$N30,((1+COUNTA($O30:Q30))+LEN(CONCATENATE($O30:Q30))))-1)-COUNTA($O30:Q30))-LEN(CONCATENATE($O30:Q30)))), RIGHT($N30,((((1+LEN($N30))-1)-COUNTA($O30:Q30))-LEN(CONCATENATE($O30:Q30))))))</f>
        <v/>
      </c>
      <c t="str" s="2" r="S30">
        <f>IF((LEN($N30)=((LEN(CONCATENATE($O30:R30))+COUNTA($O30:R30))-1)), "", IF( ISNUMBER(SEARCH(" ",$N30,((1+COUNTA($O30:R30))+LEN(CONCATENATE($O30:R30))))), MID($N30,((1+COUNTA($O30:R30))+LEN(CONCATENATE($O30:R30))),(((SEARCH(" ",$N30,((1+COUNTA($O30:R30))+LEN(CONCATENATE($O30:R30))))-1)-COUNTA($O30:R30))-LEN(CONCATENATE($O30:R30)))), RIGHT($N30,((((1+LEN($N30))-1)-COUNTA($O30:R30))-LEN(CONCATENATE($O30:R30))))))</f>
        <v/>
      </c>
    </row>
    <row r="31">
      <c t="s" r="A31">
        <v>105</v>
      </c>
      <c r="H31">
        <f>if((COUNTIF(misc_gear,"primalstrike")&gt;=3),40,0)</f>
        <v>40</v>
      </c>
    </row>
    <row r="32">
      <c t="s" s="4" r="A32">
        <v>106</v>
      </c>
      <c r="C32">
        <f>SUM(C2:C31)</f>
        <v>304</v>
      </c>
      <c r="D32">
        <f>SUM(D2:D31)</f>
        <v>418</v>
      </c>
      <c r="E32">
        <f>SUM(E2:E31)</f>
        <v>401</v>
      </c>
      <c r="F32">
        <f>SUM(F2:F31)</f>
        <v>51</v>
      </c>
      <c r="G32">
        <f>SUM(G2:G31)</f>
        <v>6</v>
      </c>
      <c r="H32">
        <f>SUM(H2:H31)</f>
        <v>1416.33333333333</v>
      </c>
      <c r="I32">
        <f>SUM(I2:I31)</f>
        <v>175</v>
      </c>
      <c r="J32">
        <f>SUM(J2:J31)</f>
        <v>88</v>
      </c>
      <c r="K32">
        <f>SUM(K2:K31)</f>
        <v>18</v>
      </c>
      <c r="L32">
        <f>SUM(L2:L31)</f>
        <v>0</v>
      </c>
      <c r="M32">
        <f>SUM(M2:M31)</f>
        <v>7</v>
      </c>
    </row>
  </sheetData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9.14" defaultRowHeight="12.75"/>
  <cols>
    <col min="2" customWidth="1" max="2" width="18.71"/>
    <col min="4" customWidth="1" max="4" width="6.86"/>
    <col min="5" customWidth="1" max="5" width="63.43"/>
  </cols>
  <sheetData>
    <row r="1">
      <c t="s" s="8" r="B1">
        <v>107</v>
      </c>
      <c t="s" s="8" r="C1">
        <v>108</v>
      </c>
      <c t="s" s="8" r="D1">
        <v>3</v>
      </c>
      <c s="8" r="E1"/>
    </row>
    <row r="2">
      <c t="s" s="21" r="B2">
        <v>44</v>
      </c>
      <c s="21" r="C2"/>
      <c s="21" r="D2"/>
      <c s="21" r="E2"/>
    </row>
    <row r="3">
      <c t="s" s="10" r="B3">
        <v>109</v>
      </c>
      <c s="3" r="C3">
        <v>5</v>
      </c>
      <c r="D3">
        <f>-C3</f>
        <v>-5</v>
      </c>
      <c t="s" r="E3">
        <v>110</v>
      </c>
    </row>
    <row r="4">
      <c t="s" s="10" r="B4">
        <v>111</v>
      </c>
      <c s="3" r="C4">
        <v>3</v>
      </c>
      <c s="19" r="D4">
        <f>0.02*C4</f>
        <v>0.06</v>
      </c>
      <c t="s" r="E4">
        <v>112</v>
      </c>
    </row>
    <row r="5">
      <c t="s" s="10" r="B5">
        <v>113</v>
      </c>
      <c s="3" r="C5">
        <v>2</v>
      </c>
      <c r="D5">
        <f>-9*C5</f>
        <v>-18</v>
      </c>
      <c t="s" r="E5">
        <v>114</v>
      </c>
    </row>
    <row r="6">
      <c t="s" s="10" r="B6">
        <v>115</v>
      </c>
      <c s="3" r="C6">
        <v>3</v>
      </c>
      <c r="D6">
        <f>(0.5*C6)*basic!B3</f>
        <v>105</v>
      </c>
      <c t="s" r="E6">
        <v>116</v>
      </c>
    </row>
    <row r="7">
      <c t="s" s="10" r="B7">
        <v>117</v>
      </c>
      <c s="3" r="C7">
        <v>2</v>
      </c>
      <c s="19" r="D7">
        <f>0.5*C7</f>
        <v>1</v>
      </c>
      <c t="s" r="E7">
        <v>118</v>
      </c>
    </row>
    <row r="8">
      <c t="s" s="10" r="B8">
        <v>119</v>
      </c>
      <c s="3" r="C8">
        <v>2</v>
      </c>
      <c s="19" r="D8">
        <f>1 +( 0.1*C8)</f>
        <v>1.2</v>
      </c>
      <c t="s" r="E8">
        <v>120</v>
      </c>
    </row>
    <row r="9">
      <c t="s" s="10" r="B9">
        <v>4</v>
      </c>
      <c s="3" r="C9">
        <v>1</v>
      </c>
      <c r="D9">
        <f>-VLOOKUP(B9,'Spell Ranks'!A:C,3,FALSE)</f>
        <v>-610</v>
      </c>
      <c t="s" r="E9">
        <v>121</v>
      </c>
    </row>
    <row r="10">
      <c t="s" s="10" r="B10">
        <v>122</v>
      </c>
      <c s="3" r="C10">
        <v>5</v>
      </c>
      <c s="19" r="D10">
        <f>1 +( 0.04*C10)</f>
        <v>1.2</v>
      </c>
      <c t="s" r="E10">
        <v>123</v>
      </c>
    </row>
    <row r="11">
      <c t="s" s="10" r="B11">
        <v>124</v>
      </c>
      <c s="3" r="C11">
        <v>1</v>
      </c>
      <c s="19" r="D11">
        <f>0.05*C11</f>
        <v>0.05</v>
      </c>
      <c t="s" r="E11">
        <v>112</v>
      </c>
    </row>
    <row r="12">
      <c t="s" s="10" r="B12">
        <v>125</v>
      </c>
      <c s="3" r="C12">
        <v>5</v>
      </c>
      <c s="19" r="D12">
        <f>1 +( 0.02*C12)</f>
        <v>1.1</v>
      </c>
      <c t="s" r="E12">
        <v>126</v>
      </c>
    </row>
    <row r="13">
      <c t="s" s="10" r="B13">
        <v>127</v>
      </c>
      <c s="3" r="C13">
        <v>3</v>
      </c>
      <c r="D13">
        <f>1 +( 0.01*C13)</f>
        <v>1.03</v>
      </c>
      <c t="s" r="E13">
        <v>128</v>
      </c>
    </row>
    <row r="14">
      <c t="s" s="10" r="B14">
        <v>6</v>
      </c>
      <c s="3" r="C14">
        <v>1</v>
      </c>
      <c t="b" r="D14">
        <f>C14&gt;0</f>
        <v>1</v>
      </c>
      <c t="s" r="E14">
        <v>129</v>
      </c>
    </row>
    <row r="15">
      <c t="s" s="23" r="B15">
        <v>130</v>
      </c>
      <c s="23" r="C15"/>
      <c s="23" r="D15"/>
      <c s="23" r="E15"/>
    </row>
    <row r="16">
      <c t="s" s="10" r="B16">
        <v>131</v>
      </c>
      <c s="3" r="C16">
        <v>5</v>
      </c>
      <c s="19" r="D16">
        <f>1+(0.02*C16)</f>
        <v>1.1</v>
      </c>
      <c t="s" r="E16">
        <v>132</v>
      </c>
    </row>
    <row r="17">
      <c t="s" s="10" r="B17">
        <v>133</v>
      </c>
      <c s="3" r="C17">
        <v>1</v>
      </c>
      <c s="1" r="D17">
        <f>C17/30</f>
        <v>0.033333333333333</v>
      </c>
      <c t="s" r="E17">
        <v>134</v>
      </c>
    </row>
  </sheetData>
  <mergeCells count="3">
    <mergeCell ref="D1:E1"/>
    <mergeCell ref="B2:E2"/>
    <mergeCell ref="B15:E15"/>
  </mergeCell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9.14" defaultRowHeight="12.75"/>
  <cols>
    <col min="1" customWidth="1" max="1" width="16.57"/>
  </cols>
  <sheetData>
    <row r="1">
      <c t="s" s="7" r="A1">
        <v>135</v>
      </c>
      <c t="s" s="7" r="B1">
        <v>136</v>
      </c>
      <c t="s" s="7" r="C1">
        <v>137</v>
      </c>
      <c t="s" s="7" r="D1">
        <v>138</v>
      </c>
      <c t="s" s="7" r="E1">
        <v>139</v>
      </c>
      <c t="s" s="7" r="F1">
        <v>106</v>
      </c>
    </row>
    <row r="2">
      <c t="s" s="10" r="A2">
        <v>36</v>
      </c>
      <c r="B2">
        <v>73</v>
      </c>
      <c r="C2">
        <f>gear!C32</f>
        <v>304</v>
      </c>
      <c r="E2">
        <f>(B2+C2)+D2</f>
        <v>377</v>
      </c>
      <c s="17" r="F2">
        <f>((E2*VLOOKUP("Survival of the Fittest",Talents!B:D,3,0))*VLOOKUP("Heart of the Wild",Talents!B:D,3,0))*basic!B10</f>
        <v>489.2706</v>
      </c>
    </row>
    <row r="3">
      <c t="s" s="10" r="A3">
        <v>37</v>
      </c>
      <c r="B3">
        <v>75</v>
      </c>
      <c r="C3">
        <f>gear!D32</f>
        <v>418</v>
      </c>
      <c r="E3">
        <f>(B3+C3)+D3</f>
        <v>493</v>
      </c>
      <c s="17" r="F3">
        <f>(E3*VLOOKUP("Survival of the Fittest",Talents!B:D,3,0))*basic!B10</f>
        <v>533.1795</v>
      </c>
    </row>
    <row r="4">
      <c t="s" s="10" r="A4">
        <v>38</v>
      </c>
      <c r="B4">
        <v>82</v>
      </c>
      <c r="C4">
        <f>gear!E32</f>
        <v>401</v>
      </c>
      <c r="E4">
        <f>(B4+C4)+D4</f>
        <v>483</v>
      </c>
      <c s="17" r="F4">
        <f>(E4*VLOOKUP("Survival of the Fittest",Talents!B:D,3,0))*basic!B10</f>
        <v>522.3645</v>
      </c>
    </row>
    <row r="5">
      <c t="s" s="10" r="A5">
        <v>39</v>
      </c>
      <c r="B5">
        <v>120</v>
      </c>
      <c r="C5">
        <f>gear!F32</f>
        <v>51</v>
      </c>
      <c r="E5">
        <f>(B5+C5)+D5</f>
        <v>171</v>
      </c>
      <c s="17" r="F5">
        <f>((E5*VLOOKUP("Survival of the Fittest",Talents!B:D,3,0))*VLOOKUP("Heart of the Wild",Talents!B:D,3,0))*basic!B10</f>
        <v>221.9238</v>
      </c>
    </row>
    <row r="6">
      <c t="s" s="10" r="A6">
        <v>40</v>
      </c>
      <c r="B6">
        <v>132</v>
      </c>
      <c r="C6">
        <f>gear!G32</f>
        <v>6</v>
      </c>
      <c r="E6">
        <f>(B6+C6)+D6</f>
        <v>138</v>
      </c>
      <c s="17" r="F6">
        <f>(E6*VLOOKUP("Survival of the Fittest",Talents!B:D,3,0))*basic!B10</f>
        <v>149.247</v>
      </c>
    </row>
    <row r="7">
      <c t="s" s="10" r="A7">
        <v>140</v>
      </c>
      <c r="B7">
        <v>-20</v>
      </c>
      <c r="C7">
        <f>gear!H32</f>
        <v>1416.33333333333</v>
      </c>
      <c r="E7">
        <f>(B7+C7)+D7</f>
        <v>1396.33333333333</v>
      </c>
      <c s="17" r="F7">
        <f>(E7+VLOOKUP("Predatory Strikes",Talents!B:D,3,0))+(2*basic!B3)</f>
        <v>1641.33333333333</v>
      </c>
    </row>
    <row r="8">
      <c t="s" s="10" r="A8">
        <v>141</v>
      </c>
      <c r="C8">
        <f>gear!I32</f>
        <v>175</v>
      </c>
      <c r="E8">
        <f>(B8+C8)+D8</f>
        <v>175</v>
      </c>
      <c s="17" r="F8">
        <f>E8</f>
        <v>175</v>
      </c>
    </row>
    <row r="9">
      <c t="s" s="10" r="A9">
        <v>142</v>
      </c>
      <c r="C9">
        <f>gear!J32</f>
        <v>88</v>
      </c>
      <c r="E9">
        <f>(B9+C9)+D9</f>
        <v>88</v>
      </c>
      <c s="17" r="F9">
        <f>E9</f>
        <v>88</v>
      </c>
    </row>
    <row r="10">
      <c t="s" s="10" r="A10">
        <v>143</v>
      </c>
      <c r="C10">
        <f>gear!K32</f>
        <v>18</v>
      </c>
      <c r="E10">
        <f>(B10+C10)+D10</f>
        <v>18</v>
      </c>
      <c s="17" r="F10">
        <f>E10</f>
        <v>18</v>
      </c>
    </row>
    <row r="11">
      <c t="s" s="10" r="A11">
        <v>144</v>
      </c>
      <c r="C11">
        <f>gear!L32</f>
        <v>0</v>
      </c>
      <c r="E11">
        <f>(B11+C11)+D11</f>
        <v>0</v>
      </c>
      <c s="17" r="F11">
        <f>E11</f>
        <v>0</v>
      </c>
    </row>
    <row r="12">
      <c t="s" s="10" r="A12">
        <v>145</v>
      </c>
      <c r="B12">
        <v>55</v>
      </c>
      <c r="C12">
        <f>gear!M32</f>
        <v>7</v>
      </c>
      <c r="E12">
        <f>(B12+C12)+D12</f>
        <v>62</v>
      </c>
      <c r="F12">
        <f>E12</f>
        <v>62</v>
      </c>
    </row>
    <row r="13">
      <c t="s" s="10" r="A13">
        <v>146</v>
      </c>
      <c r="B13">
        <f>1*VLOOKUP("Predatory Instincts",talents!B:D,3,0)</f>
        <v>1.1</v>
      </c>
      <c r="C13">
        <f>1+(COUNTIF(Misc_gear,"relentless")*0.03)</f>
        <v>1.03</v>
      </c>
      <c r="D13">
        <v>1</v>
      </c>
      <c r="E13">
        <f>(B13*C13)*D13</f>
        <v>1.133</v>
      </c>
      <c r="F13">
        <f>E13</f>
        <v>1.133</v>
      </c>
    </row>
    <row r="14">
      <c t="s" s="10" r="A14">
        <v>147</v>
      </c>
      <c r="B14">
        <f>VLOOKUP("Shred",'spell ranks'!A:C,3,0)</f>
        <v>405</v>
      </c>
      <c r="C14">
        <f>COUNTIF(gear!N:N,"everbloom")*88</f>
        <v>0</v>
      </c>
      <c r="E14">
        <f>(B14+C14)+D14</f>
        <v>405</v>
      </c>
      <c r="F14">
        <f>E14</f>
        <v>405</v>
      </c>
    </row>
    <row r="15">
      <c t="s" s="10" r="A15">
        <v>148</v>
      </c>
      <c r="B15">
        <f>VLOOKUP("Rip",'spell ranks'!A:C,3,0)</f>
        <v>1562</v>
      </c>
      <c r="C15">
        <f>COUNTIF(Misc_gear,"shadows")*12</f>
        <v>0</v>
      </c>
      <c r="E15">
        <f>(B15+C15)+D15</f>
        <v>1562</v>
      </c>
      <c r="F15">
        <f>E15</f>
        <v>1562</v>
      </c>
    </row>
    <row r="16">
      <c t="s" s="10" r="A16">
        <v>149</v>
      </c>
      <c r="B16">
        <f>VLOOKUP("Mangle",'spell ranks'!A:C,3,0)</f>
        <v>264</v>
      </c>
      <c r="C16">
        <f>COUNTIF(Misc_gear,"wild")*54</f>
        <v>54</v>
      </c>
      <c r="E16">
        <f>(B16+C16)+D16</f>
        <v>318</v>
      </c>
      <c r="F16">
        <f>E16</f>
        <v>318</v>
      </c>
    </row>
    <row r="17">
      <c t="s" s="11" r="A17">
        <v>150</v>
      </c>
      <c s="11" r="B17"/>
      <c s="11" r="C17"/>
      <c s="11" r="D17"/>
      <c s="11" r="E17"/>
      <c s="11" r="F17"/>
    </row>
    <row r="18">
      <c t="s" s="10" r="A18">
        <v>151</v>
      </c>
      <c s="9" r="B18">
        <f>TRUNC((F10/3.94))</f>
        <v>4</v>
      </c>
      <c r="C18">
        <f>MAX(0,MIN((basic!B6-10),B18))</f>
        <v>4</v>
      </c>
      <c r="D18">
        <f>MAX(0,MIN(basic!B6,(B18-C18)))</f>
        <v>0</v>
      </c>
      <c r="E18">
        <f>(B18-C18)-D18</f>
        <v>0</v>
      </c>
    </row>
    <row r="19">
      <c t="s" s="10" r="A19">
        <v>20</v>
      </c>
      <c r="B19">
        <f>basic!B6-B18</f>
        <v>11</v>
      </c>
    </row>
    <row r="20">
      <c t="s" s="10" r="A20">
        <v>152</v>
      </c>
      <c r="B20">
        <f>TRUNC(((F7+(2*F2))+F3))</f>
        <v>3153</v>
      </c>
    </row>
    <row r="21">
      <c t="s" s="10" r="A21">
        <v>153</v>
      </c>
      <c s="1" r="B21">
        <f>((F8/1577) +( 0.002*C18)) +( 0.001*D18)</f>
        <v>0.11897019657578</v>
      </c>
    </row>
    <row r="22">
      <c t="s" s="10" r="A22">
        <v>154</v>
      </c>
      <c s="1" r="B22">
        <f>((((-0.0404 +( F9/2208)) +( F3/2500)) + VLOOKUP("Leader of the Pack",talents!B:D,3,0)) + VLOOKUP("Sharpened Claws",talents!B:D,3,0)) + IF((basic!B5&gt;0),(0.001*B18),0)</f>
        <v>0.326726872463768</v>
      </c>
    </row>
    <row r="23">
      <c t="s" s="10" r="A23">
        <v>145</v>
      </c>
      <c s="9" r="B23">
        <f>(B20/14) + F12</f>
        <v>287.214285714286</v>
      </c>
    </row>
    <row r="24">
      <c t="s" s="10" r="A24">
        <v>155</v>
      </c>
      <c r="B24">
        <f>(0.04*20)*IF((COUNTIF(Misc_gear,"malorne")&gt;=2),1,0)</f>
        <v>0</v>
      </c>
    </row>
    <row r="25">
      <c t="s" r="A25">
        <v>156</v>
      </c>
      <c r="B25">
        <f>1/(1+(F11/1577))</f>
        <v>1</v>
      </c>
    </row>
  </sheetData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9.14" defaultRowHeight="12.75"/>
  <sheetData>
    <row r="1">
      <c t="s" s="8" r="A1">
        <v>157</v>
      </c>
      <c t="s" s="8" r="B1">
        <v>158</v>
      </c>
      <c t="s" s="8" r="C1">
        <v>159</v>
      </c>
      <c t="s" s="8" r="D1">
        <v>160</v>
      </c>
      <c t="s" s="8" r="E1">
        <v>161</v>
      </c>
      <c t="s" s="8" r="F1">
        <v>162</v>
      </c>
    </row>
    <row r="2">
      <c t="s" s="10" r="A2">
        <v>163</v>
      </c>
      <c s="1" r="B2">
        <f>0.05 * basic!B5</f>
        <v>0.15</v>
      </c>
      <c s="1" r="C2">
        <f>IF((basic!B5&gt;=3),B2,0)</f>
        <v>0.15</v>
      </c>
      <c s="1" r="D2">
        <v>0</v>
      </c>
      <c s="1" r="E2">
        <v>0</v>
      </c>
      <c s="1" r="F2">
        <v>1</v>
      </c>
    </row>
    <row r="3">
      <c t="s" s="10" r="A3">
        <v>164</v>
      </c>
      <c s="1" r="B3">
        <f>0.05 +( 0.0004 * stats!B19)</f>
        <v>0.0544</v>
      </c>
      <c s="1" r="C3">
        <f>B3</f>
        <v>0.0544</v>
      </c>
      <c s="1" r="D3">
        <f>B3</f>
        <v>0.0544</v>
      </c>
      <c s="1" r="E3">
        <f>B3</f>
        <v>0.0544</v>
      </c>
      <c s="1" r="F3">
        <v>0.18</v>
      </c>
    </row>
    <row r="4">
      <c t="s" s="10" r="A4">
        <v>165</v>
      </c>
      <c s="1" r="B4">
        <f>0.05 +( 0.0004 * stats!B19)</f>
        <v>0.0544</v>
      </c>
      <c s="1" r="C4">
        <f>IF((basic!B7&gt;0),0,B4)</f>
        <v>0</v>
      </c>
      <c s="1" r="D4">
        <f>IF((basic!B7&gt;0),0,B4)</f>
        <v>0</v>
      </c>
      <c s="1" r="E4">
        <f>IF((basic!B7&gt;0),0,B4)</f>
        <v>0</v>
      </c>
      <c s="1" r="F4">
        <v>0.18</v>
      </c>
    </row>
    <row r="5">
      <c t="s" s="10" r="A5">
        <v>166</v>
      </c>
      <c s="1" r="B5">
        <f>(0.08 +( 0.0004 * stats!B19)) - stats!B21</f>
        <v>-0.034570196575777</v>
      </c>
      <c s="1" r="C5">
        <f>MAX(0,MIN(B5,(1-SUM(C2:C4))))</f>
        <v>0</v>
      </c>
      <c s="1" r="D5">
        <f>MAX(0,MIN(B5,(1-SUM(D2:D4))))</f>
        <v>0</v>
      </c>
      <c s="1" r="E5">
        <f>MAX(0,MIN(B5,(1-SUM(E2:E4))))</f>
        <v>0</v>
      </c>
      <c s="1" r="F5">
        <v>0.18</v>
      </c>
    </row>
    <row r="6">
      <c t="s" s="10" r="A6">
        <v>43</v>
      </c>
      <c s="1" r="B6">
        <f>(0.05 -( 0.0004 * stats!B19)) + stats!B22</f>
        <v>0.372326872463768</v>
      </c>
      <c s="1" r="C6">
        <f>MAX(0,MIN(B6,(1-SUM(C2:C5))))</f>
        <v>0.37232687246377</v>
      </c>
      <c s="1" r="D6">
        <f>B6*D9</f>
        <v>0.352072290601739</v>
      </c>
      <c s="1" r="E6">
        <v>0</v>
      </c>
      <c s="1" r="F6">
        <v>1</v>
      </c>
    </row>
    <row r="7">
      <c t="s" s="10" r="A7">
        <v>42</v>
      </c>
      <c s="1" r="B7">
        <v>1</v>
      </c>
      <c s="1" r="C7">
        <f>MAX(0,MIN(B7,(1-SUM(C2:C6))))</f>
        <v>0.42327312753623</v>
      </c>
      <c s="1" r="D7">
        <f>MAX(0,MIN(B7,(1-SUM(D2:D6))))</f>
        <v>0.59352770939826</v>
      </c>
      <c s="1" r="E7">
        <f>MAX(0,MIN(B7,(1-SUM(E2:E6))))</f>
        <v>0.9456</v>
      </c>
      <c s="1" r="F7">
        <v>1</v>
      </c>
    </row>
    <row r="9">
      <c t="s" r="A9">
        <v>167</v>
      </c>
      <c s="1" r="C9">
        <f>(C2+C6)+C7</f>
        <v>0.9456</v>
      </c>
      <c s="1" r="D9">
        <f>1-SUM(D2:D5)</f>
        <v>0.9456</v>
      </c>
      <c s="1" r="E9">
        <f>(E2+E6)+E7</f>
        <v>0.9456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9.14" defaultRowHeight="12.75"/>
  <sheetData>
    <row r="1">
      <c t="s" s="8" r="A1">
        <v>168</v>
      </c>
      <c t="s" s="8" r="B1">
        <v>169</v>
      </c>
      <c t="s" s="8" r="C1">
        <v>170</v>
      </c>
      <c t="s" s="8" r="D1">
        <v>171</v>
      </c>
      <c t="s" s="8" r="E1">
        <v>172</v>
      </c>
      <c t="s" s="8" r="F1">
        <v>173</v>
      </c>
      <c t="s" s="8" r="G1">
        <v>174</v>
      </c>
      <c t="s" s="8" r="H1">
        <v>175</v>
      </c>
      <c t="s" s="8" r="I1">
        <v>176</v>
      </c>
      <c t="s" s="8" r="J1">
        <v>177</v>
      </c>
      <c t="s" s="8" r="K1">
        <v>178</v>
      </c>
      <c t="s" s="8" r="L1">
        <v>179</v>
      </c>
      <c t="s" s="8" r="M1">
        <v>180</v>
      </c>
      <c t="s" s="8" r="N1">
        <v>181</v>
      </c>
      <c t="s" s="8" r="O1">
        <v>182</v>
      </c>
      <c t="s" s="8" r="P1">
        <v>183</v>
      </c>
      <c t="s" s="8" r="Q1">
        <v>184</v>
      </c>
      <c t="s" s="8" r="R1">
        <v>185</v>
      </c>
      <c t="s" s="8" r="S1">
        <v>186</v>
      </c>
    </row>
    <row r="2">
      <c t="s" s="10" r="A2">
        <v>187</v>
      </c>
      <c r="B2">
        <v>0</v>
      </c>
      <c r="C2">
        <v>0</v>
      </c>
      <c s="1" r="D2">
        <f>'combat table'!C6</f>
        <v>0.372326872463768</v>
      </c>
      <c s="1" r="E2">
        <f>'combat table'!C7</f>
        <v>0.423273127536232</v>
      </c>
      <c r="F2">
        <f>'combat table'!C2</f>
        <v>0.15</v>
      </c>
      <c s="2" r="G2"/>
      <c s="2" r="H2"/>
      <c s="2" r="I2"/>
      <c s="2" r="J2"/>
      <c r="K2">
        <f>(B2*((basic!B9*'combat table'!C9) + (1-basic!B9)))*(1-VLOOKUP("Omen of Clarity",talents!B:D,3,0))</f>
        <v>0</v>
      </c>
      <c s="9" r="L2">
        <f>(D2*(C2+IF((C2&gt;0),VLOOKUP("Primal Fury",talents!B:D,3,0),0))) +( C2 * E2)</f>
        <v>0</v>
      </c>
      <c s="19" r="M2">
        <f>2*stats!E13</f>
        <v>2.266</v>
      </c>
      <c s="19" r="N2">
        <f>VLOOKUP("Naturalist",talents!B:D,3,0)*basic!B8</f>
        <v>0.88</v>
      </c>
      <c r="O2">
        <f>stats!B23</f>
        <v>287.214285714286</v>
      </c>
      <c r="P2">
        <f>(O2*M2)*N2</f>
        <v>572.728262857143</v>
      </c>
      <c r="Q2">
        <f>O2*N2</f>
        <v>252.748571428571</v>
      </c>
      <c r="R2">
        <f>(O2*N2)*0.85</f>
        <v>214.836285714286</v>
      </c>
      <c r="S2">
        <f>((D2*P2)+(E2*Q2))+(F2*R2)</f>
        <v>352.449244047236</v>
      </c>
    </row>
    <row r="3">
      <c t="s" s="10" r="A3">
        <v>6</v>
      </c>
      <c r="B3">
        <f>45 + VLOOKUP("Ferocity",Talents!B:D,3,0)</f>
        <v>40</v>
      </c>
      <c r="C3">
        <v>1</v>
      </c>
      <c s="1" r="D3">
        <f>'combat table'!D6</f>
        <v>0.352072290601739</v>
      </c>
      <c s="1" r="E3">
        <f>'combat table'!D7</f>
        <v>0.593527709398261</v>
      </c>
      <c r="F3">
        <f>'combat table'!D2</f>
        <v>0</v>
      </c>
      <c s="16" r="G3">
        <f>1-POW((1-VLOOKUP("Omen of Clarity",talents!B:D,3,0)),(  1+(('Combat Table'!$C$9*B3)/(10*Stats!B25))))</f>
        <v>0.14967000951205</v>
      </c>
      <c s="15" r="H3">
        <f>($B3*(1-G3))*('Combat Table'!$D$9 +( (1-Basic!$B$9)*(1-'Combat Table'!$D$9)))</f>
        <v>32.4959388108907</v>
      </c>
      <c s="16" r="I3">
        <f>1-POW((1-VLOOKUP("Omen of Clarity",talents!B:D,3,0)),(  1+(('Combat Table'!$C$9*H3)/(10*Stats!B25))))</f>
        <v>0.12896644762987</v>
      </c>
      <c s="16" r="J3">
        <f>AVERAGE(G3,I3)</f>
        <v>0.13931822857096</v>
      </c>
      <c s="9" r="K3">
        <f>(($B3*(1-J3))*('Combat Table'!$D$9 +( (1-Basic!$B$9)*(1-'Combat Table'!$D$9)))) -( 'Combat Table'!D9*stats!B24)</f>
        <v>32.8915391587654</v>
      </c>
      <c s="9" r="L3">
        <f>(D3*(C3+IF((C3&gt;0),VLOOKUP("Primal Fury",talents!B:D,3,0),0))) +( C3 * E3)</f>
        <v>1.29767229060174</v>
      </c>
      <c s="19" r="M3">
        <f>2*stats!E13</f>
        <v>2.266</v>
      </c>
      <c s="19" r="N3">
        <f>(VLOOKUP("Naturalist",talents!B:D,3,0)*VLOOKUP("Savage Fury",talents!B:D,3,0))*basic!B8</f>
        <v>1.056</v>
      </c>
      <c r="O3">
        <f>(1.6*stats!B23)+stats!F16</f>
        <v>777.542857142857</v>
      </c>
      <c r="P3">
        <f>(O3*M3)*N3</f>
        <v>1860.57919268571</v>
      </c>
      <c r="Q3">
        <f>O3*N3</f>
        <v>821.085257142857</v>
      </c>
      <c r="R3">
        <f>(O3*N3)*0.85</f>
        <v>697.922468571429</v>
      </c>
      <c r="S3">
        <f>((D3*P3)+(E3*Q3))+(F3*R3)</f>
        <v>1142.39523010748</v>
      </c>
    </row>
    <row r="4">
      <c t="s" s="10" r="A4">
        <v>10</v>
      </c>
      <c r="B4">
        <f>60+VLOOKUP("Shredding Attacks",Talents!B:D,3,0)</f>
        <v>42</v>
      </c>
      <c r="C4">
        <v>1</v>
      </c>
      <c s="1" r="D4">
        <f>'combat table'!D6</f>
        <v>0.352072290601739</v>
      </c>
      <c s="1" r="E4">
        <f>'combat table'!D7</f>
        <v>0.593527709398261</v>
      </c>
      <c r="F4">
        <f>'combat table'!D2</f>
        <v>0</v>
      </c>
      <c s="16" r="G4">
        <f>1-POW((1-VLOOKUP("Omen of Clarity",talents!B:D,3,0)),(  1+(('Combat Table'!$C$9*B4)/(10*Stats!B25))))</f>
        <v>0.15510442757139</v>
      </c>
      <c s="15" r="H4">
        <f>($B4*(1-G4))*('Combat Table'!$D$9 +( (1-Basic!$B$9)*(1-'Combat Table'!$D$9)))</f>
        <v>33.902671770816</v>
      </c>
      <c s="16" r="I4">
        <f>1-POW((1-VLOOKUP("Omen of Clarity",talents!B:D,3,0)),(  1+(('Combat Table'!$C$9*H4)/(10*Stats!B25))))</f>
        <v>0.13288562308638</v>
      </c>
      <c s="16" r="J4">
        <f>AVERAGE(G4,I4)</f>
        <v>0.14399502532888</v>
      </c>
      <c s="9" r="K4">
        <f>(($B4*(1-J4))*('Combat Table'!$D$9 +( (1-Basic!$B$9)*(1-'Combat Table'!$D$9))))-( 'Combat Table'!D9*stats!B24)</f>
        <v>34.3484527999615</v>
      </c>
      <c s="9" r="L4">
        <f>(D4*(C4+IF((C4&gt;0),VLOOKUP("Primal Fury",talents!B:D,3,0),0))) +( C4 * E4)</f>
        <v>1.29767229060174</v>
      </c>
      <c s="19" r="M4">
        <f>2*stats!E13</f>
        <v>2.266</v>
      </c>
      <c s="19" r="N4">
        <f>(VLOOKUP("Naturalist",talents!B:D,3,0)*(1+(0.3 * cycle!B20)))*basic!B9</f>
        <v>1.1726</v>
      </c>
      <c r="O4">
        <f>(2.25 * stats!B23) + stats!F14</f>
        <v>1051.23214285714</v>
      </c>
      <c r="P4">
        <f>(O4*M4)*N4</f>
        <v>2793.24112107857</v>
      </c>
      <c r="Q4">
        <f>O4*N4</f>
        <v>1232.67481071429</v>
      </c>
      <c r="R4">
        <f>(O4*N4)*0.85</f>
        <v>1047.77358910714</v>
      </c>
      <c r="S4">
        <f>((D4*P4)+(E4*Q4))+(F4*R4)</f>
        <v>1715.04945653729</v>
      </c>
    </row>
    <row r="5">
      <c t="s" s="10" r="A5">
        <v>8</v>
      </c>
      <c r="B5">
        <v>30</v>
      </c>
      <c r="C5">
        <v>0</v>
      </c>
      <c s="1" r="D5">
        <f>'combat table'!E6</f>
        <v>0</v>
      </c>
      <c s="1" r="E5">
        <f>'combat table'!E7</f>
        <v>0.9456</v>
      </c>
      <c r="F5">
        <f>'combat table'!E2</f>
        <v>0</v>
      </c>
      <c s="16" r="G5">
        <f>1-POW((1-VLOOKUP("Omen of Clarity",talents!B:D,3,0)),(  1+(('Combat Table'!$C$9*B5)/(10*Stats!B25))))</f>
        <v>0.12196908342701</v>
      </c>
      <c s="15" r="H5">
        <f>($B5*(1-G5))*('Combat Table'!$D$9 +( (1-Basic!$B$9)*(1-'Combat Table'!$D$9)))</f>
        <v>25.1659114033951</v>
      </c>
      <c s="16" r="I5">
        <f>1-POW((1-VLOOKUP("Omen of Clarity",talents!B:D,3,0)),(  1+(('Combat Table'!$C$9*H5)/(10*Stats!B25))))</f>
        <v>0.10825644944939</v>
      </c>
      <c s="16" r="J5">
        <f>AVERAGE(G5,I5)</f>
        <v>0.1151127664382</v>
      </c>
      <c s="9" r="K5">
        <f>(($B5*(1-J5))*('Combat Table'!$D$9 +( (1-Basic!$B$9)*(1-'Combat Table'!$D$9))))-( 'Combat Table'!D9*stats!B24)</f>
        <v>25.3624255154122</v>
      </c>
      <c s="9" r="L5">
        <f>(D5*(C5+IF((C5&gt;0),VLOOKUP("Primal Fury",talents!B:D,3,0),0))) +( C5 * E5)</f>
        <v>0</v>
      </c>
      <c s="19" r="M5">
        <v>0</v>
      </c>
      <c s="19" r="N5">
        <f>(VLOOKUP("Naturalist",talents!B:D,3,0)*(1+(0.3 * cycle!B19)))*1.15</f>
        <v>1.55433348023414</v>
      </c>
      <c r="O5">
        <f>(0.24 * stats!B20) + stats!F15</f>
        <v>2318.72</v>
      </c>
      <c r="P5">
        <f>(O5*M5)*N5</f>
        <v>0</v>
      </c>
      <c r="Q5">
        <f>O5*N5</f>
        <v>3604.0641272885</v>
      </c>
      <c r="R5">
        <f>(O5*N5)*0.85</f>
        <v>3063.45450819522</v>
      </c>
      <c r="S5">
        <f>((D5*P5)+(E5*Q5))+(F5*R5)</f>
        <v>3408.003038764</v>
      </c>
    </row>
  </sheetData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9.14" defaultRowHeight="12.75"/>
  <cols>
    <col min="1" customWidth="1" max="1" width="37.14"/>
    <col min="3" customWidth="1" max="3" width="21.71"/>
    <col min="4" customWidth="1" max="4" width="11.29"/>
    <col min="6" customWidth="1" max="6" width="12.57"/>
  </cols>
  <sheetData>
    <row r="1">
      <c t="s" s="24" r="A1">
        <v>188</v>
      </c>
      <c s="24" r="B1"/>
      <c s="24" r="C1"/>
      <c s="24" r="D1"/>
      <c s="24" r="E1"/>
    </row>
    <row r="3">
      <c t="s" r="A3">
        <v>189</v>
      </c>
      <c s="9" r="B3">
        <f>1/'Combat Table'!D9</f>
        <v>1.0575296108291</v>
      </c>
    </row>
    <row r="4">
      <c t="s" r="A4">
        <v>190</v>
      </c>
      <c s="9" r="B4">
        <f>B3*attacks!L3</f>
        <v>1.37232687246377</v>
      </c>
    </row>
    <row r="5">
      <c t="s" r="A5">
        <v>191</v>
      </c>
      <c s="9" r="B5">
        <f>(4-B4)/attacks!L4</f>
        <v>2.02491271992697</v>
      </c>
    </row>
    <row r="6">
      <c t="s" r="A6">
        <v>192</v>
      </c>
      <c s="9" r="B6">
        <f>B5+(1/'Combat Table'!D9)</f>
        <v>3.08244233075608</v>
      </c>
    </row>
    <row r="7">
      <c t="s" r="A7">
        <v>193</v>
      </c>
      <c s="9" r="B7">
        <f>1/'Combat Table'!E7</f>
        <v>1.0575296108291</v>
      </c>
    </row>
    <row r="8">
      <c t="s" r="A8">
        <v>194</v>
      </c>
      <c r="B8">
        <f>C14/10</f>
        <v>2.6821515984996</v>
      </c>
    </row>
    <row r="9">
      <c t="s" r="A9">
        <v>195</v>
      </c>
      <c r="B9">
        <f>MAX(0,((C13/10) - 12))</f>
        <v>0</v>
      </c>
      <c t="s" r="C9">
        <v>196</v>
      </c>
    </row>
    <row r="11">
      <c s="8" r="A11"/>
      <c t="s" s="8" r="B11">
        <v>197</v>
      </c>
      <c t="s" s="8" r="C11">
        <v>178</v>
      </c>
      <c t="s" s="8" r="D11">
        <v>186</v>
      </c>
      <c t="s" s="8" r="E11">
        <v>198</v>
      </c>
      <c t="s" s="8" r="F11">
        <v>199</v>
      </c>
    </row>
    <row r="12">
      <c t="s" s="10" r="A12">
        <v>6</v>
      </c>
      <c s="9" r="B12">
        <f>B3</f>
        <v>1.0575296108291</v>
      </c>
      <c s="9" r="C12">
        <f>B12*VLOOKUP(A12,attacks!A:L,11,0)</f>
        <v>34.7837766061394</v>
      </c>
      <c s="17" r="D12">
        <f>B12*VLOOKUP(A12,attacks!A:S,19,0)</f>
        <v>1208.11678310858</v>
      </c>
      <c r="E12">
        <f>D12/C12</f>
        <v>34.732191296771</v>
      </c>
      <c s="1" r="F12">
        <f>D12/D$16</f>
        <v>0.075499621112265</v>
      </c>
    </row>
    <row r="13">
      <c t="s" s="10" r="A13">
        <v>10</v>
      </c>
      <c s="9" r="B13">
        <f>B6</f>
        <v>3.08244233075608</v>
      </c>
      <c s="9" r="C13">
        <f>B13*VLOOKUP(A13,attacks!A:L,11,0)</f>
        <v>105.877124906578</v>
      </c>
      <c s="17" r="D13">
        <f>B13*VLOOKUP(A13,attacks!A:S,19,0)</f>
        <v>5286.54104417074</v>
      </c>
      <c r="E13">
        <f>D13/C13</f>
        <v>49.9309085776117</v>
      </c>
      <c s="1" r="F13">
        <f>D13/D$16</f>
        <v>0.33037521819896</v>
      </c>
    </row>
    <row r="14">
      <c t="s" s="10" r="A14">
        <v>8</v>
      </c>
      <c s="9" r="B14">
        <f>B7</f>
        <v>1.0575296108291</v>
      </c>
      <c s="9" r="C14">
        <f>B14*VLOOKUP(A14,attacks!A:L,11,0)</f>
        <v>26.821515984996</v>
      </c>
      <c s="17" r="D14">
        <f>B14*VLOOKUP(A14,attacks!A:S,19,0)</f>
        <v>3604.0641272885</v>
      </c>
      <c r="E14">
        <f>D14/C14</f>
        <v>134.372126068661</v>
      </c>
      <c s="1" r="F14">
        <f>D14/D$16</f>
        <v>0.2252311033826</v>
      </c>
    </row>
    <row r="15">
      <c t="s" s="10" r="A15">
        <v>187</v>
      </c>
      <c s="9" r="B15">
        <f>B18/Stats!B25</f>
        <v>16.7482417497714</v>
      </c>
      <c s="9" r="C15">
        <v>0</v>
      </c>
      <c s="17" r="D15">
        <f>B15*VLOOKUP(A15,attacks!A:S,19,0)</f>
        <v>5902.90514382728</v>
      </c>
      <c s="1" r="F15">
        <f>D15/D$16</f>
        <v>0.36889405730617</v>
      </c>
    </row>
    <row r="16">
      <c t="s" s="4" r="A16">
        <v>200</v>
      </c>
      <c s="9" r="C16">
        <f>SUM(C12:C15)</f>
        <v>167.482417497714</v>
      </c>
      <c s="17" r="D16">
        <f>SUM(D12:D15)</f>
        <v>16001.6270983951</v>
      </c>
    </row>
    <row r="18">
      <c t="s" s="8" r="A18">
        <v>201</v>
      </c>
      <c s="9" r="B18">
        <f>C16/(10+('Combat Table'!C9*stats!B24))</f>
        <v>16.7482417497714</v>
      </c>
    </row>
    <row r="19">
      <c t="s" s="8" r="A19">
        <v>202</v>
      </c>
      <c s="1" r="B19">
        <f>(1-((1-'Combat Table'!C9)/3)) * ((12-B8)/12)</f>
        <v>0.76240706254054</v>
      </c>
    </row>
    <row r="20">
      <c t="s" s="8" r="A20">
        <v>203</v>
      </c>
      <c s="19" r="B20">
        <f>(12-B9)/12</f>
        <v>1</v>
      </c>
    </row>
    <row r="21">
      <c t="s" s="18" r="A21">
        <v>204</v>
      </c>
      <c s="9" r="B21">
        <f>D16/B18</f>
        <v>955.42131153042</v>
      </c>
    </row>
  </sheetData>
  <mergeCells count="2">
    <mergeCell ref="A1:E1"/>
    <mergeCell ref="C9:E9"/>
  </mergeCell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9.14" defaultRowHeight="12.75"/>
  <cols>
    <col min="1" customWidth="1" max="1" width="22.57"/>
  </cols>
  <sheetData>
    <row r="1">
      <c t="s" s="18" r="A1">
        <v>205</v>
      </c>
      <c s="9" r="B1">
        <f>cycle!B21</f>
        <v>955.42131153042</v>
      </c>
    </row>
    <row r="3">
      <c t="s" r="A3">
        <v>206</v>
      </c>
    </row>
    <row r="4">
      <c t="s" s="13" r="B4">
        <v>136</v>
      </c>
      <c t="s" s="13" r="C4">
        <v>36</v>
      </c>
      <c t="s" s="13" r="D4">
        <v>37</v>
      </c>
      <c t="s" s="13" r="E4">
        <v>38</v>
      </c>
      <c t="s" s="13" r="F4">
        <v>207</v>
      </c>
      <c t="s" s="13" r="G4">
        <v>42</v>
      </c>
      <c t="s" s="13" r="H4">
        <v>43</v>
      </c>
      <c t="s" s="13" r="I4">
        <v>44</v>
      </c>
      <c t="s" s="13" r="J4">
        <v>45</v>
      </c>
      <c t="s" s="13" r="K4">
        <v>46</v>
      </c>
      <c t="s" s="13" r="L4">
        <v>47</v>
      </c>
    </row>
    <row r="5">
      <c t="s" s="10" r="A5">
        <v>208</v>
      </c>
      <c s="2" r="B5"/>
      <c s="3" r="C5"/>
      <c s="3" r="D5"/>
      <c s="2" r="E5"/>
      <c s="3" r="F5"/>
      <c s="3" r="G5"/>
      <c s="3" r="H5"/>
      <c s="3" r="I5"/>
      <c s="3" r="J5"/>
      <c s="3" r="K5"/>
      <c s="3" r="L5"/>
    </row>
    <row r="6">
      <c t="s" s="10" r="A6">
        <v>209</v>
      </c>
      <c s="3" r="B6">
        <v>928.59</v>
      </c>
      <c s="3" r="C6">
        <v>933.04</v>
      </c>
      <c s="3" r="D6">
        <v>933.43</v>
      </c>
      <c s="2" r="E6"/>
      <c s="3" r="F6">
        <v>930.3</v>
      </c>
      <c s="3" r="G6">
        <v>930.24</v>
      </c>
      <c s="3" r="H6">
        <v>931.68</v>
      </c>
      <c s="3" r="I6">
        <v>932.38</v>
      </c>
      <c s="3" r="J6">
        <v>931</v>
      </c>
      <c s="3" r="K6">
        <v>934.89</v>
      </c>
      <c s="3" r="L6"/>
    </row>
    <row r="7">
      <c t="s" s="10" r="A7">
        <v>210</v>
      </c>
      <c s="5" r="B7"/>
      <c s="9" r="C7">
        <f>IF((C6&gt;0),((C6-$B6)/10),0)</f>
        <v>0.44499999999999</v>
      </c>
      <c s="9" r="D7">
        <f>IF((D6&gt;0),((D6-$B6)/10),0)</f>
        <v>0.48399999999999</v>
      </c>
      <c s="15" r="E7"/>
      <c s="9" r="F7">
        <f>IF((F6&gt;0),((F6-$B6)/10),0)</f>
        <v>0.17099999999999</v>
      </c>
      <c s="9" r="G7">
        <f>IF((G6&gt;0),((G6-$B6)/5),0)</f>
        <v>0.33</v>
      </c>
      <c s="9" r="H7">
        <f>IF((H6&gt;0),((H6-$B6)/10),0)</f>
        <v>0.30899999999999</v>
      </c>
      <c s="9" r="I7">
        <f>IF((I6&gt;0),((I6-$B6)/8),0)</f>
        <v>0.47375</v>
      </c>
      <c s="9" r="J7">
        <f>IF((J6&gt;0),((J6-$B6)/10),0)</f>
        <v>0.241</v>
      </c>
      <c s="9" r="K7">
        <f>IF((K6&gt;0),((K6-$B6)/3),0)</f>
        <v>2.09999999999998</v>
      </c>
      <c s="9" r="L7">
        <f>IF((L6&gt;0),(L6-$B6),0)</f>
        <v>0</v>
      </c>
    </row>
    <row r="8">
      <c t="s" s="10" r="A8">
        <v>211</v>
      </c>
      <c s="5" r="B8"/>
      <c s="9" r="C8">
        <f>IF((C7&gt;0),(C7/$F7),0)</f>
        <v>2.60233918128663</v>
      </c>
      <c s="9" r="D8">
        <f>IF((D7&gt;0),(D7/$F7),0)</f>
        <v>2.83040935672523</v>
      </c>
      <c s="12" r="E8">
        <v>1</v>
      </c>
      <c s="9" r="F8">
        <v>1</v>
      </c>
      <c s="9" r="G8">
        <f>IF((G7&gt;0),(G7/$F7),0)</f>
        <v>1.92982456140357</v>
      </c>
      <c s="9" r="H8">
        <f>IF((H7&gt;0),(H7/$F7),0)</f>
        <v>1.80701754385968</v>
      </c>
      <c s="9" r="I8">
        <f>IF((I7&gt;0),(I7/$F7),0)</f>
        <v>2.77046783625741</v>
      </c>
      <c s="9" r="J8">
        <f>IF((J7&gt;0),(J7/$F7),0)</f>
        <v>1.40935672514624</v>
      </c>
      <c s="9" r="K8">
        <f>IF((K7&gt;0),(K7/$F7),0)</f>
        <v>12.2807017543864</v>
      </c>
      <c s="9" r="L8">
        <f>IF((L7&gt;0),(L7/$F7),0)</f>
        <v>0</v>
      </c>
    </row>
    <row r="10">
      <c t="s" s="20" r="A10">
        <v>212</v>
      </c>
      <c t="str" r="B10">
        <f>CONCATENATE("(Pawn: v1: ""DPS (AP)"" ",": Strength=",ROUND(C8,2),", Agility=",ROUND(D8,2),", Stamina=",ROUND(E8,2),", Ap=",ROUND(F8,2),", FeralAp=",ROUND(F8,2),", HitRating=",ROUND(G8,2),", CritRating=",ROUND(H8,2),", FeralRating=",ROUND(I8,2),", HasteRating=",ROUND(J8,2),", RedSocket=",ROUND(Gems!D2,2),", YellowSocket=",ROUND(Gems!D3,2),", BlueSocket=",ROUND(Gems!D4,2),", WeaponDamage=",ROUND(K8,2),", )")</f>
        <v>(Pawn: v1: "DPS (AP)" : Strength=2.6, Agility=2.83, Stamina=1, Ap=1, FeralAp=1, HitRating=1.93, CritRating=1.81, FeralRating=2.77, HasteRating=1.41, RedSocket=22.64, YellowSocket=19.04, BlueSocket=17.32, WeaponDamage=12.28, )</v>
      </c>
    </row>
    <row r="11">
      <c t="s" r="A11">
        <v>213</v>
      </c>
      <c t="s" r="B11">
        <v>214</v>
      </c>
    </row>
  </sheetData>
  <mergeCells count="4">
    <mergeCell ref="A3:L3"/>
    <mergeCell ref="B10:L10"/>
    <mergeCell ref="B11:L11"/>
    <mergeCell ref="B15:L15"/>
  </mergeCells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9.14" defaultRowHeight="12.75"/>
  <cols>
    <col min="1" customWidth="1" max="1" width="23.0"/>
    <col min="2" customWidth="1" max="2" width="21.0"/>
    <col min="3" customWidth="1" max="3" width="20.29"/>
    <col min="4" customWidth="1" max="4" width="20.57"/>
    <col min="6" customWidth="1" max="6" width="7.14"/>
    <col min="7" customWidth="1" max="7" width="10.71"/>
    <col min="8" customWidth="1" max="8" width="7.29"/>
    <col min="12" customWidth="1" max="12" width="17.57"/>
  </cols>
  <sheetData>
    <row r="1">
      <c t="s" s="18" r="A1">
        <v>215</v>
      </c>
      <c t="s" s="18" r="B1">
        <v>216</v>
      </c>
      <c t="s" s="18" r="C1">
        <v>217</v>
      </c>
      <c t="s" s="18" r="D1">
        <v>218</v>
      </c>
    </row>
    <row r="2">
      <c t="s" s="10" r="A2">
        <v>219</v>
      </c>
      <c t="str" r="B2">
        <f>VLOOKUP(C2,I8:L20,4,0)</f>
        <v>Delicate Living Ruby</v>
      </c>
      <c s="9" r="C2">
        <f>MAX(I8:I20)</f>
        <v>22.6432748538018</v>
      </c>
      <c s="9" r="D2">
        <f>MAX(C2,(C$5/1.5))</f>
        <v>22.6432748538018</v>
      </c>
    </row>
    <row r="3">
      <c t="s" s="10" r="A3">
        <v>220</v>
      </c>
      <c t="str" r="B3">
        <f>VLOOKUP(C3,J8:L20,3,0)</f>
        <v>Glinting Noble Topaz</v>
      </c>
      <c s="9" r="C3">
        <f>MAX(J8:J20)</f>
        <v>19.0409356725152</v>
      </c>
      <c s="9" r="D3">
        <f>MAX(C3,(C$5/1.5))</f>
        <v>19.0409356725152</v>
      </c>
    </row>
    <row r="4">
      <c t="s" s="10" r="A4">
        <v>221</v>
      </c>
      <c t="str" r="B4">
        <f>VLOOKUP(C4,K8:L20,2,0)</f>
        <v>Shifting Nightseye</v>
      </c>
      <c s="9" r="C4">
        <f>MAX(K8:K20)</f>
        <v>17.3216374269009</v>
      </c>
      <c s="9" r="D4">
        <f>MAX(C4,(C$5/1.5))</f>
        <v>17.3216374269009</v>
      </c>
    </row>
    <row r="5">
      <c t="s" s="10" r="A5">
        <v>222</v>
      </c>
      <c t="str" r="B5">
        <f>VLOOKUP(C5,H8:L20,5,0)</f>
        <v>Delicate Living Ruby</v>
      </c>
      <c s="9" r="C5">
        <f>MAX(H8:H20)</f>
        <v>22.6432748538018</v>
      </c>
      <c s="5" r="D5"/>
    </row>
    <row r="7">
      <c t="s" s="8" r="A7">
        <v>223</v>
      </c>
      <c t="s" s="8" r="B7">
        <v>36</v>
      </c>
      <c t="s" s="8" r="C7">
        <v>37</v>
      </c>
      <c t="s" s="8" r="D7">
        <v>38</v>
      </c>
      <c t="s" s="8" r="E7">
        <v>207</v>
      </c>
      <c t="s" s="8" r="F7">
        <v>42</v>
      </c>
      <c t="s" s="8" r="G7">
        <v>43</v>
      </c>
      <c t="s" s="8" r="H7">
        <v>217</v>
      </c>
      <c t="s" s="8" r="I7">
        <v>224</v>
      </c>
      <c t="s" s="8" r="J7">
        <v>225</v>
      </c>
      <c t="s" s="8" r="K7">
        <v>226</v>
      </c>
      <c t="s" s="14" r="L7">
        <v>227</v>
      </c>
    </row>
    <row r="8">
      <c t="s" s="10" r="A8">
        <v>228</v>
      </c>
      <c r="B8">
        <v>8</v>
      </c>
      <c s="9" r="H8">
        <f>(((((B8*'Stat values'!$C$8) +( C8*'Stat values'!$D$8)) +( D8*'Stat values'!$E$8)) +( E8*'Stat values'!$F$8))+(F8*'Stat values'!$G$8))+(G8*'Stat values'!$H$8)</f>
        <v>20.818713450293</v>
      </c>
      <c s="9" r="I8">
        <f>H8</f>
        <v>20.818713450293</v>
      </c>
      <c s="9" r="J8"/>
      <c s="9" r="K8"/>
      <c t="str" s="14" r="L8">
        <f>A8</f>
        <v>Bold Living Ruby</v>
      </c>
    </row>
    <row r="9">
      <c t="s" s="10" r="A9">
        <v>229</v>
      </c>
      <c r="C9">
        <v>8</v>
      </c>
      <c s="9" r="H9">
        <f>(((((B9*'Stat values'!$C$8) +( C9*'Stat values'!$D$8)) +( D9*'Stat values'!$E$8)) +( E9*'Stat values'!$F$8))+(F9*'Stat values'!$G$8))+(G9*'Stat values'!$H$8)</f>
        <v>22.6432748538018</v>
      </c>
      <c s="9" r="I9">
        <f>H9</f>
        <v>22.6432748538018</v>
      </c>
      <c s="9" r="J9"/>
      <c s="9" r="K9"/>
      <c t="str" s="14" r="L9">
        <f>A9</f>
        <v>Delicate Living Ruby</v>
      </c>
    </row>
    <row r="10">
      <c t="s" s="10" r="A10">
        <v>230</v>
      </c>
      <c r="E10">
        <v>16</v>
      </c>
      <c s="9" r="H10">
        <f>(((((B10*'Stat values'!$C$8) +( C10*'Stat values'!$D$8)) +( D10*'Stat values'!$E$8)) +( E10*'Stat values'!$F$8))+(F10*'Stat values'!$G$8))+(G10*'Stat values'!$H$8)</f>
        <v>16</v>
      </c>
      <c s="9" r="I10">
        <f>H10</f>
        <v>16</v>
      </c>
      <c s="9" r="J10"/>
      <c s="9" r="K10"/>
      <c t="str" s="14" r="L10">
        <f>A10</f>
        <v>Bright Living Ruby</v>
      </c>
    </row>
    <row r="11">
      <c t="s" s="10" r="A11">
        <v>231</v>
      </c>
      <c r="G11">
        <v>8</v>
      </c>
      <c s="9" r="H11">
        <f>(((((B11*'Stat values'!$C$8) +( C11*'Stat values'!$D$8)) +( D11*'Stat values'!$E$8)) +( E11*'Stat values'!$F$8))+(F11*'Stat values'!$G$8))+(G11*'Stat values'!$H$8)</f>
        <v>14.4561403508775</v>
      </c>
      <c s="9" r="I11"/>
      <c s="9" r="J11">
        <f>H11</f>
        <v>14.4561403508775</v>
      </c>
      <c s="9" r="K11"/>
      <c t="str" s="14" r="L11">
        <f>A11</f>
        <v>Smooth Dawnstone</v>
      </c>
    </row>
    <row r="12">
      <c t="s" s="10" r="A12">
        <v>232</v>
      </c>
      <c r="F12">
        <v>8</v>
      </c>
      <c s="9" r="H12">
        <f>(((((B12*'Stat values'!$C$8) +( C12*'Stat values'!$D$8)) +( D12*'Stat values'!$E$8)) +( E12*'Stat values'!$F$8))+(F12*'Stat values'!$G$8))+(G12*'Stat values'!$H$8)</f>
        <v>15.4385964912286</v>
      </c>
      <c s="9" r="I12"/>
      <c s="9" r="J12">
        <f>H12</f>
        <v>15.4385964912286</v>
      </c>
      <c s="9" r="K12"/>
      <c t="str" s="14" r="L12">
        <f>A12</f>
        <v>Rigid Dawnstone</v>
      </c>
    </row>
    <row r="13">
      <c t="s" s="10" r="A13">
        <v>233</v>
      </c>
      <c r="D13">
        <v>12</v>
      </c>
      <c s="9" r="H13">
        <f>(((((B13*'Stat values'!$C$8) +( C13*'Stat values'!$D$8)) +( D13*'Stat values'!$E$8)) +( E13*'Stat values'!$F$8))+(F13*'Stat values'!$G$8))+(G13*'Stat values'!$H$8)</f>
        <v>12</v>
      </c>
      <c s="9" r="I13"/>
      <c s="9" r="J13"/>
      <c s="9" r="K13">
        <f>H13</f>
        <v>12</v>
      </c>
      <c t="str" s="14" r="L13">
        <f>A13</f>
        <v>Solid Star of Elune</v>
      </c>
    </row>
    <row r="14">
      <c t="s" s="10" r="A14">
        <v>234</v>
      </c>
      <c r="C14">
        <v>4</v>
      </c>
      <c r="F14">
        <v>4</v>
      </c>
      <c s="9" r="H14">
        <f>(((((B14*'Stat values'!$C$8) +( C14*'Stat values'!$D$8)) +( D14*'Stat values'!$E$8)) +( E14*'Stat values'!$F$8))+(F14*'Stat values'!$G$8))+(G14*'Stat values'!$H$8)</f>
        <v>19.0409356725152</v>
      </c>
      <c s="9" r="I14">
        <f>H14</f>
        <v>19.0409356725152</v>
      </c>
      <c s="9" r="J14">
        <f>H14</f>
        <v>19.0409356725152</v>
      </c>
      <c s="9" r="K14"/>
      <c t="str" s="14" r="L14">
        <f>A14</f>
        <v>Glinting Noble Topaz</v>
      </c>
    </row>
    <row r="15">
      <c t="s" s="10" r="A15">
        <v>235</v>
      </c>
      <c r="B15">
        <v>4</v>
      </c>
      <c r="G15">
        <v>4</v>
      </c>
      <c s="9" r="H15">
        <f>(((((B15*'Stat values'!$C$8) +( C15*'Stat values'!$D$8)) +( D15*'Stat values'!$E$8)) +( E15*'Stat values'!$F$8))+(F15*'Stat values'!$G$8))+(G15*'Stat values'!$H$8)</f>
        <v>17.6374269005852</v>
      </c>
      <c s="9" r="I15">
        <f>H15</f>
        <v>17.6374269005852</v>
      </c>
      <c s="9" r="J15">
        <f>H15</f>
        <v>17.6374269005852</v>
      </c>
      <c s="9" r="K15"/>
      <c t="str" s="14" r="L15">
        <f>A15</f>
        <v>Inscribed Noble Topaz</v>
      </c>
    </row>
    <row r="16">
      <c t="s" s="10" r="A16">
        <v>236</v>
      </c>
      <c r="E16">
        <v>8</v>
      </c>
      <c r="G16">
        <v>4</v>
      </c>
      <c s="9" r="H16">
        <f>(((((B16*'Stat values'!$C$8) +( C16*'Stat values'!$D$8)) +( D16*'Stat values'!$E$8)) +( E16*'Stat values'!$F$8))+(F16*'Stat values'!$G$8))+(G16*'Stat values'!$H$8)</f>
        <v>15.2280701754387</v>
      </c>
      <c s="9" r="I16">
        <f>H16</f>
        <v>15.2280701754387</v>
      </c>
      <c s="9" r="J16">
        <f>H16</f>
        <v>15.2280701754387</v>
      </c>
      <c s="9" r="K16"/>
      <c t="str" s="14" r="L16">
        <f>A16</f>
        <v>Wicked Noble Topaz</v>
      </c>
    </row>
    <row r="17">
      <c t="s" s="10" r="A17">
        <v>237</v>
      </c>
      <c r="C17">
        <v>4</v>
      </c>
      <c r="D17">
        <v>6</v>
      </c>
      <c s="9" r="H17">
        <f>(((((B17*'Stat values'!$C$8) +( C17*'Stat values'!$D$8)) +( D17*'Stat values'!$E$8)) +( E17*'Stat values'!$F$8))+(F17*'Stat values'!$G$8))+(G17*'Stat values'!$H$8)</f>
        <v>17.3216374269009</v>
      </c>
      <c s="9" r="I17">
        <f>H17</f>
        <v>17.3216374269009</v>
      </c>
      <c s="9" r="J17"/>
      <c s="9" r="K17">
        <f>H17</f>
        <v>17.3216374269009</v>
      </c>
      <c t="str" s="14" r="L17">
        <f>A17</f>
        <v>Shifting Nightseye</v>
      </c>
    </row>
    <row r="18">
      <c t="s" s="10" r="A18">
        <v>238</v>
      </c>
      <c r="B18">
        <v>4</v>
      </c>
      <c r="D18">
        <v>6</v>
      </c>
      <c s="9" r="H18">
        <f>(((((B18*'Stat values'!$C$8) +( C18*'Stat values'!$D$8)) +( D18*'Stat values'!$E$8)) +( E18*'Stat values'!$F$8))+(F18*'Stat values'!$G$8))+(G18*'Stat values'!$H$8)</f>
        <v>16.4093567251465</v>
      </c>
      <c s="9" r="I18">
        <f>H18</f>
        <v>16.4093567251465</v>
      </c>
      <c s="9" r="J18"/>
      <c s="9" r="K18">
        <f>H18</f>
        <v>16.4093567251465</v>
      </c>
      <c t="str" s="14" r="L18">
        <f>A18</f>
        <v>Sovereign Nightseye</v>
      </c>
    </row>
    <row r="19">
      <c t="s" s="10" r="A19">
        <v>239</v>
      </c>
      <c r="D19">
        <v>6</v>
      </c>
      <c r="E19">
        <v>8</v>
      </c>
      <c s="9" r="H19">
        <f>(((((B19*'Stat values'!$C$8) +( C19*'Stat values'!$D$8)) +( D19*'Stat values'!$E$8)) +( E19*'Stat values'!$F$8))+(F19*'Stat values'!$G$8))+(G19*'Stat values'!$H$8)</f>
        <v>14</v>
      </c>
      <c s="9" r="I19">
        <f>H19</f>
        <v>14</v>
      </c>
      <c s="9" r="J19"/>
      <c s="9" r="K19">
        <f>H19</f>
        <v>14</v>
      </c>
      <c t="str" s="14" r="L19">
        <f>A19</f>
        <v>Balanced Nightseye</v>
      </c>
    </row>
    <row r="20">
      <c t="s" s="10" r="A20">
        <v>240</v>
      </c>
      <c r="D20">
        <v>6</v>
      </c>
      <c r="G20">
        <v>4</v>
      </c>
      <c s="9" r="H20">
        <f>(((((B20*'Stat values'!$C$8) +( C20*'Stat values'!$D$8)) +( D20*'Stat values'!$E$8)) +( E20*'Stat values'!$F$8))+(F20*'Stat values'!$G$8))+(G20*'Stat values'!$H$8)</f>
        <v>13.2280701754387</v>
      </c>
      <c s="9" r="I20"/>
      <c s="9" r="J20">
        <f>H20</f>
        <v>13.2280701754387</v>
      </c>
      <c s="9" r="K20">
        <f>H20</f>
        <v>13.2280701754387</v>
      </c>
      <c t="str" s="14" r="L20">
        <f>A20</f>
        <v>Jagged Talasite</v>
      </c>
    </row>
    <row r="22">
      <c t="s" s="8" r="A22">
        <v>241</v>
      </c>
      <c t="s" s="8" r="B22">
        <v>242</v>
      </c>
      <c t="s" s="8" r="C22">
        <v>243</v>
      </c>
      <c t="s" s="8" r="D22">
        <v>244</v>
      </c>
      <c t="s" s="8" r="E22">
        <v>245</v>
      </c>
      <c s="8" r="F22"/>
      <c t="s" s="8" r="G22">
        <v>246</v>
      </c>
    </row>
    <row r="23">
      <c t="s" s="10" r="A23">
        <v>215</v>
      </c>
      <c t="s" s="3" r="B23">
        <v>220</v>
      </c>
      <c t="s" s="3" r="C23">
        <v>220</v>
      </c>
      <c s="3" r="D23"/>
      <c s="3" r="E23">
        <v>6</v>
      </c>
      <c t="s" s="3" r="F23">
        <v>38</v>
      </c>
    </row>
    <row r="24">
      <c t="s" s="10" r="A24">
        <v>247</v>
      </c>
      <c s="9" r="B24">
        <f>IF((LEN(B23)&gt;0),VLOOKUP(B23,$A$2:$D$4,3,0),"")</f>
        <v>19.0409356725152</v>
      </c>
      <c s="9" r="C24">
        <f>IF((LEN(C23)&gt;0),VLOOKUP(C23,$A$2:$D$4,3,0),"")</f>
        <v>19.0409356725152</v>
      </c>
      <c t="str" s="9" r="D24">
        <f>IF((LEN(D23)&gt;0),VLOOKUP(D23,$A$2:$D$4,3,0),"")</f>
        <v/>
      </c>
      <c s="9" r="E24">
        <f>E23*HLOOKUP(F23,'stat values'!$C$4:$K$8,5,0)</f>
        <v>6</v>
      </c>
      <c s="9" r="F24"/>
      <c s="9" r="G24">
        <f>SUM(B24:E24)</f>
        <v>44.0818713450304</v>
      </c>
    </row>
    <row r="25">
      <c t="s" s="10" r="A25">
        <v>248</v>
      </c>
      <c s="9" r="B25">
        <f>IF((LEN(B23)&gt;0),$C$5,"")</f>
        <v>22.6432748538018</v>
      </c>
      <c s="9" r="C25">
        <f>IF((LEN(C23)&gt;0),$C$5,"")</f>
        <v>22.6432748538018</v>
      </c>
      <c t="str" s="9" r="D25">
        <f>IF((LEN(D23)&gt;0),$C$5,"")</f>
        <v/>
      </c>
      <c s="9" r="E25">
        <v>0</v>
      </c>
      <c s="9" r="F25"/>
      <c s="9" r="G25">
        <f>SUM(B25:E25)</f>
        <v>45.2865497076036</v>
      </c>
    </row>
    <row r="26">
      <c t="s" s="8" r="A26">
        <v>249</v>
      </c>
      <c t="str" r="B26">
        <f>IF((LEN(B23)&gt;0),IF((G24&gt;G25),VLOOKUP(B23,$A$2:$B$4,2,0),$B$5),"")</f>
        <v>Delicate Living Ruby</v>
      </c>
      <c t="str" r="C26">
        <f>IF((LEN(C23)&gt;0),IF((H24&gt;H25),VLOOKUP(C23,$A$2:$B$4,2,0),$B$5),"")</f>
        <v>Delicate Living Ruby</v>
      </c>
      <c t="str" r="D26">
        <f>IF((LEN(D23)&gt;0),IF((I24&gt;I25),VLOOKUP(D23,$A$2:$B$4,2,0),$B$5),"")</f>
        <v/>
      </c>
      <c t="str" r="E26">
        <f>IF((G24&gt;G25),E23,"")</f>
        <v/>
      </c>
      <c t="str" r="F26">
        <f>IF((G24&gt;G25),F23,"")</f>
        <v/>
      </c>
    </row>
  </sheetData>
  <mergeCells count="1">
    <mergeCell ref="E22:F22"/>
  </mergeCells>
</worksheet>
</file>