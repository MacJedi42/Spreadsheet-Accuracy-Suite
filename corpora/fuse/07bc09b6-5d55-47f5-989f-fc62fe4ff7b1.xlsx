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-180" windowWidth="7680" windowHeight="8565"/>
  </bookViews>
  <sheets>
    <sheet name="2010" sheetId="1" r:id="rId1"/>
  </sheets>
  <definedNames>
    <definedName name="_xlnm.Print_Area" localSheetId="0">'2010'!$A$1166:$H$1248</definedName>
    <definedName name="_xlnm.Print_Titles" localSheetId="0">'2010'!$A:$C,'2010'!$1:$7</definedName>
  </definedNames>
  <calcPr calcId="144525"/>
</workbook>
</file>

<file path=xl/calcChain.xml><?xml version="1.0" encoding="utf-8"?>
<calcChain xmlns="http://schemas.openxmlformats.org/spreadsheetml/2006/main">
  <c r="F295" i="1" l="1"/>
  <c r="E876" i="1" l="1"/>
  <c r="D876" i="1"/>
  <c r="F690" i="1" l="1"/>
  <c r="F1000" i="1" l="1"/>
  <c r="F652" i="1" l="1"/>
  <c r="F635" i="1"/>
  <c r="F643" i="1"/>
  <c r="F645" i="1"/>
  <c r="F644" i="1"/>
  <c r="F641" i="1"/>
  <c r="F647" i="1"/>
  <c r="F650" i="1"/>
  <c r="F651" i="1"/>
  <c r="F636" i="1"/>
  <c r="F642" i="1"/>
  <c r="F637" i="1"/>
  <c r="F640" i="1"/>
  <c r="F639" i="1"/>
  <c r="F638" i="1"/>
  <c r="F634" i="1"/>
  <c r="F646" i="1"/>
  <c r="F649" i="1"/>
  <c r="F633" i="1"/>
  <c r="F632" i="1"/>
  <c r="F631" i="1"/>
  <c r="F648" i="1"/>
  <c r="F653" i="1"/>
  <c r="F975" i="1"/>
  <c r="F1020" i="1" l="1"/>
  <c r="F701" i="1" l="1"/>
  <c r="F706" i="1"/>
  <c r="F700" i="1"/>
  <c r="F699" i="1"/>
  <c r="F705" i="1"/>
  <c r="F698" i="1"/>
  <c r="F714" i="1"/>
  <c r="F697" i="1"/>
  <c r="F695" i="1"/>
  <c r="F702" i="1"/>
  <c r="F696" i="1"/>
  <c r="F713" i="1"/>
  <c r="F720" i="1"/>
  <c r="B721" i="1"/>
  <c r="F719" i="1"/>
  <c r="G719" i="1" s="1"/>
  <c r="F694" i="1"/>
  <c r="F704" i="1"/>
  <c r="F691" i="1"/>
  <c r="F709" i="1"/>
  <c r="F712" i="1"/>
  <c r="F718" i="1"/>
  <c r="F707" i="1"/>
  <c r="F703" i="1"/>
  <c r="F693" i="1"/>
  <c r="F708" i="1"/>
  <c r="F717" i="1"/>
  <c r="F684" i="1"/>
  <c r="F692" i="1"/>
  <c r="F683" i="1"/>
  <c r="F711" i="1"/>
  <c r="F716" i="1"/>
  <c r="F687" i="1"/>
  <c r="F710" i="1"/>
  <c r="F715" i="1"/>
  <c r="F688" i="1"/>
  <c r="F686" i="1"/>
  <c r="F685" i="1"/>
  <c r="F682" i="1"/>
  <c r="H719" i="1" l="1"/>
  <c r="F1104" i="1"/>
  <c r="F1105" i="1"/>
  <c r="F1106" i="1"/>
  <c r="G1106" i="1" s="1"/>
  <c r="F1107" i="1"/>
  <c r="F1008" i="1"/>
  <c r="F1004" i="1"/>
  <c r="F1111" i="1"/>
  <c r="H1106" i="1" l="1"/>
  <c r="F967" i="1" l="1"/>
  <c r="F665" i="1"/>
  <c r="F666" i="1"/>
  <c r="F667" i="1"/>
  <c r="F668" i="1"/>
  <c r="F664" i="1"/>
  <c r="F662" i="1"/>
  <c r="F661" i="1"/>
  <c r="F660" i="1"/>
  <c r="F663" i="1"/>
  <c r="F659" i="1"/>
  <c r="F658" i="1"/>
  <c r="F657" i="1"/>
  <c r="F1084" i="1"/>
  <c r="E1085" i="1"/>
  <c r="E1244" i="1" s="1"/>
  <c r="D1085" i="1"/>
  <c r="D1244" i="1" s="1"/>
  <c r="B1085" i="1"/>
  <c r="B1244" i="1" s="1"/>
  <c r="F1085" i="1"/>
  <c r="F1244" i="1" s="1"/>
  <c r="F627" i="1"/>
  <c r="F1016" i="1"/>
  <c r="F1060" i="1"/>
  <c r="E1061" i="1"/>
  <c r="E1238" i="1" s="1"/>
  <c r="D1061" i="1"/>
  <c r="D1238" i="1" s="1"/>
  <c r="B1061" i="1"/>
  <c r="B1238" i="1" s="1"/>
  <c r="F1061" i="1"/>
  <c r="F1238" i="1" s="1"/>
  <c r="F1092" i="1"/>
  <c r="E997" i="1"/>
  <c r="D997" i="1"/>
  <c r="D1222" i="1" s="1"/>
  <c r="B997" i="1"/>
  <c r="E1222" i="1"/>
  <c r="B1222" i="1"/>
  <c r="F996" i="1"/>
  <c r="F995" i="1"/>
  <c r="F622" i="1"/>
  <c r="F623" i="1"/>
  <c r="F621" i="1"/>
  <c r="F617" i="1"/>
  <c r="F613" i="1"/>
  <c r="F614" i="1"/>
  <c r="F616" i="1"/>
  <c r="F612" i="1"/>
  <c r="F615" i="1"/>
  <c r="F611" i="1"/>
  <c r="F997" i="1" l="1"/>
  <c r="F1222" i="1" s="1"/>
  <c r="G668" i="1"/>
  <c r="G664" i="1"/>
  <c r="G1084" i="1"/>
  <c r="G1085" i="1"/>
  <c r="G1244" i="1" s="1"/>
  <c r="G1060" i="1"/>
  <c r="G1061" i="1"/>
  <c r="G1238" i="1" s="1"/>
  <c r="G996" i="1"/>
  <c r="G995" i="1"/>
  <c r="G997" i="1"/>
  <c r="G1222" i="1" s="1"/>
  <c r="H668" i="1" l="1"/>
  <c r="H664" i="1"/>
  <c r="H1244" i="1"/>
  <c r="H1238" i="1"/>
  <c r="H1084" i="1"/>
  <c r="H1085" i="1"/>
  <c r="H1060" i="1"/>
  <c r="H1061" i="1"/>
  <c r="H1222" i="1"/>
  <c r="H996" i="1"/>
  <c r="H995" i="1"/>
  <c r="H997" i="1"/>
  <c r="F1024" i="1" l="1"/>
  <c r="F959" i="1" l="1"/>
  <c r="F1129" i="1"/>
  <c r="F1128" i="1"/>
  <c r="F1161" i="1"/>
  <c r="F1162" i="1"/>
  <c r="F1160" i="1"/>
  <c r="F1159" i="1"/>
  <c r="F602" i="1"/>
  <c r="F606" i="1"/>
  <c r="F600" i="1"/>
  <c r="F605" i="1"/>
  <c r="F603" i="1"/>
  <c r="F599" i="1"/>
  <c r="F604" i="1"/>
  <c r="F598" i="1"/>
  <c r="F597" i="1"/>
  <c r="F607" i="1"/>
  <c r="F596" i="1"/>
  <c r="F601" i="1"/>
  <c r="F591" i="1" l="1"/>
  <c r="F590" i="1"/>
  <c r="F592" i="1"/>
  <c r="F589" i="1"/>
  <c r="F588" i="1"/>
  <c r="F586" i="1"/>
  <c r="F585" i="1"/>
  <c r="F584" i="1"/>
  <c r="F583" i="1"/>
  <c r="F582" i="1"/>
  <c r="F581" i="1"/>
  <c r="F587" i="1"/>
  <c r="F793" i="1" l="1"/>
  <c r="F804" i="1"/>
  <c r="F812" i="1"/>
  <c r="F818" i="1"/>
  <c r="F803" i="1"/>
  <c r="F802" i="1"/>
  <c r="F801" i="1"/>
  <c r="F819" i="1"/>
  <c r="F799" i="1"/>
  <c r="F798" i="1"/>
  <c r="F797" i="1"/>
  <c r="F777" i="1"/>
  <c r="F809" i="1"/>
  <c r="F784" i="1"/>
  <c r="F796" i="1"/>
  <c r="F795" i="1"/>
  <c r="F787" i="1"/>
  <c r="F794" i="1"/>
  <c r="F792" i="1" l="1"/>
  <c r="F791" i="1"/>
  <c r="F790" i="1"/>
  <c r="F815" i="1"/>
  <c r="F814" i="1"/>
  <c r="F813" i="1"/>
  <c r="F808" i="1"/>
  <c r="F789" i="1"/>
  <c r="F811" i="1"/>
  <c r="F788" i="1"/>
  <c r="F807" i="1"/>
  <c r="F786" i="1"/>
  <c r="F800" i="1"/>
  <c r="F785" i="1"/>
  <c r="F783" i="1"/>
  <c r="F782" i="1"/>
  <c r="F810" i="1" l="1"/>
  <c r="F781" i="1"/>
  <c r="F816" i="1"/>
  <c r="F806" i="1"/>
  <c r="F817" i="1"/>
  <c r="F805" i="1"/>
  <c r="F780" i="1"/>
  <c r="F779" i="1"/>
  <c r="F778" i="1"/>
  <c r="F1044" i="1"/>
  <c r="F575" i="1"/>
  <c r="F576" i="1"/>
  <c r="F577" i="1"/>
  <c r="F574" i="1"/>
  <c r="F1155" i="1" l="1"/>
  <c r="F979" i="1"/>
  <c r="D1037" i="1"/>
  <c r="D1232" i="1" s="1"/>
  <c r="F1036" i="1"/>
  <c r="E1037" i="1"/>
  <c r="E1232" i="1" s="1"/>
  <c r="B1037" i="1"/>
  <c r="B1232" i="1" s="1"/>
  <c r="F1037" i="1"/>
  <c r="F1232" i="1" s="1"/>
  <c r="F858" i="1"/>
  <c r="F857" i="1"/>
  <c r="F862" i="1"/>
  <c r="G862" i="1" s="1"/>
  <c r="F856" i="1"/>
  <c r="F855" i="1"/>
  <c r="F854" i="1"/>
  <c r="F853" i="1"/>
  <c r="F852" i="1"/>
  <c r="F861" i="1"/>
  <c r="G861" i="1" s="1"/>
  <c r="F851" i="1"/>
  <c r="F863" i="1"/>
  <c r="F850" i="1"/>
  <c r="F849" i="1"/>
  <c r="F848" i="1"/>
  <c r="F860" i="1"/>
  <c r="G860" i="1" s="1"/>
  <c r="F859" i="1"/>
  <c r="F847" i="1"/>
  <c r="F846" i="1"/>
  <c r="F570" i="1"/>
  <c r="F569" i="1"/>
  <c r="F568" i="1"/>
  <c r="F955" i="1"/>
  <c r="F1116" i="1"/>
  <c r="F1115" i="1"/>
  <c r="F562" i="1"/>
  <c r="F561" i="1"/>
  <c r="F558" i="1"/>
  <c r="F564" i="1"/>
  <c r="F559" i="1"/>
  <c r="F560" i="1"/>
  <c r="F563" i="1"/>
  <c r="F842" i="1"/>
  <c r="F836" i="1"/>
  <c r="F835" i="1"/>
  <c r="F834" i="1"/>
  <c r="F833" i="1"/>
  <c r="F832" i="1"/>
  <c r="F841" i="1"/>
  <c r="F831" i="1"/>
  <c r="F838" i="1"/>
  <c r="F829" i="1"/>
  <c r="F830" i="1"/>
  <c r="F828" i="1"/>
  <c r="F837" i="1"/>
  <c r="F826" i="1"/>
  <c r="F825" i="1"/>
  <c r="F824" i="1"/>
  <c r="F827" i="1"/>
  <c r="F823" i="1"/>
  <c r="F840" i="1"/>
  <c r="F942" i="1"/>
  <c r="F941" i="1"/>
  <c r="F940" i="1"/>
  <c r="G941" i="1"/>
  <c r="F971" i="1"/>
  <c r="F1028" i="1"/>
  <c r="F1040" i="1"/>
  <c r="F553" i="1"/>
  <c r="F554" i="1"/>
  <c r="F552" i="1"/>
  <c r="F546" i="1"/>
  <c r="F547" i="1"/>
  <c r="F548" i="1"/>
  <c r="G1036" i="1" l="1"/>
  <c r="G1037" i="1"/>
  <c r="G1232" i="1" s="1"/>
  <c r="H1232" i="1" s="1"/>
  <c r="G834" i="1"/>
  <c r="H941" i="1"/>
  <c r="H1036" i="1" l="1"/>
  <c r="H1037" i="1"/>
  <c r="H834" i="1"/>
  <c r="F544" i="1" l="1"/>
  <c r="F545" i="1"/>
  <c r="F543" i="1"/>
  <c r="F542" i="1"/>
  <c r="F524" i="1"/>
  <c r="F523" i="1"/>
  <c r="F522" i="1"/>
  <c r="F530" i="1"/>
  <c r="F536" i="1"/>
  <c r="F521" i="1"/>
  <c r="F520" i="1"/>
  <c r="F529" i="1"/>
  <c r="F535" i="1"/>
  <c r="F519" i="1"/>
  <c r="F534" i="1"/>
  <c r="F518" i="1"/>
  <c r="F517" i="1"/>
  <c r="F516" i="1"/>
  <c r="F515" i="1"/>
  <c r="F528" i="1"/>
  <c r="F533" i="1"/>
  <c r="F514" i="1"/>
  <c r="F513" i="1"/>
  <c r="F512" i="1"/>
  <c r="F531" i="1"/>
  <c r="F511" i="1"/>
  <c r="F527" i="1"/>
  <c r="F526" i="1"/>
  <c r="F510" i="1"/>
  <c r="F532" i="1" l="1"/>
  <c r="F538" i="1"/>
  <c r="F509" i="1"/>
  <c r="F537" i="1"/>
  <c r="F508" i="1"/>
  <c r="F507" i="1"/>
  <c r="F506" i="1"/>
  <c r="F505" i="1"/>
  <c r="F525" i="1"/>
  <c r="F504" i="1"/>
  <c r="F503" i="1"/>
  <c r="F502" i="1"/>
  <c r="F501" i="1"/>
  <c r="F500" i="1"/>
  <c r="F499" i="1"/>
  <c r="F1048" i="1" l="1"/>
  <c r="F493" i="1"/>
  <c r="F494" i="1"/>
  <c r="F495" i="1"/>
  <c r="F492" i="1"/>
  <c r="F488" i="1"/>
  <c r="F486" i="1"/>
  <c r="F484" i="1"/>
  <c r="F485" i="1"/>
  <c r="F487" i="1"/>
  <c r="F482" i="1" l="1"/>
  <c r="F483" i="1"/>
  <c r="F1096" i="1"/>
  <c r="F477" i="1"/>
  <c r="F473" i="1"/>
  <c r="F478" i="1"/>
  <c r="F474" i="1"/>
  <c r="F475" i="1"/>
  <c r="F476" i="1"/>
  <c r="F472" i="1"/>
  <c r="F471" i="1"/>
  <c r="F1135" i="1"/>
  <c r="F1140" i="1"/>
  <c r="F1136" i="1"/>
  <c r="F1150" i="1"/>
  <c r="F1148" i="1"/>
  <c r="F1147" i="1"/>
  <c r="F1137" i="1"/>
  <c r="F1141" i="1"/>
  <c r="F1146" i="1"/>
  <c r="F1139" i="1"/>
  <c r="F1134" i="1" l="1"/>
  <c r="F1142" i="1"/>
  <c r="F1149" i="1"/>
  <c r="F1133" i="1"/>
  <c r="F1145" i="1"/>
  <c r="F1151" i="1"/>
  <c r="F1144" i="1"/>
  <c r="F1138" i="1"/>
  <c r="F1143" i="1"/>
  <c r="F1068" i="1"/>
  <c r="F1072" i="1"/>
  <c r="F726" i="1"/>
  <c r="F727" i="1"/>
  <c r="F725" i="1"/>
  <c r="F724" i="1"/>
  <c r="F1100" i="1"/>
  <c r="F464" i="1"/>
  <c r="F465" i="1"/>
  <c r="F463" i="1"/>
  <c r="F466" i="1"/>
  <c r="F467" i="1"/>
  <c r="F437" i="1" l="1"/>
  <c r="F438" i="1"/>
  <c r="F445" i="1"/>
  <c r="F456" i="1"/>
  <c r="F436" i="1"/>
  <c r="F447" i="1"/>
  <c r="F435" i="1"/>
  <c r="F455" i="1"/>
  <c r="F433" i="1"/>
  <c r="F449" i="1"/>
  <c r="F432" i="1"/>
  <c r="F457" i="1"/>
  <c r="F444" i="1"/>
  <c r="F431" i="1"/>
  <c r="F448" i="1"/>
  <c r="F414" i="1"/>
  <c r="F434" i="1"/>
  <c r="F430" i="1"/>
  <c r="F454" i="1"/>
  <c r="F428" i="1"/>
  <c r="F429" i="1"/>
  <c r="F443" i="1"/>
  <c r="F427" i="1"/>
  <c r="G427" i="1" s="1"/>
  <c r="H427" i="1" s="1"/>
  <c r="F412" i="1"/>
  <c r="F425" i="1"/>
  <c r="F426" i="1"/>
  <c r="F416" i="1"/>
  <c r="F424" i="1"/>
  <c r="F458" i="1"/>
  <c r="F421" i="1"/>
  <c r="F422" i="1"/>
  <c r="F442" i="1"/>
  <c r="F459" i="1"/>
  <c r="D460" i="1"/>
  <c r="F453" i="1"/>
  <c r="G453" i="1" l="1"/>
  <c r="F423" i="1"/>
  <c r="F420" i="1"/>
  <c r="F419" i="1"/>
  <c r="F450" i="1"/>
  <c r="F440" i="1"/>
  <c r="F418" i="1"/>
  <c r="F446" i="1"/>
  <c r="F417" i="1"/>
  <c r="F415" i="1"/>
  <c r="F413" i="1"/>
  <c r="F451" i="1"/>
  <c r="F439" i="1"/>
  <c r="F411" i="1"/>
  <c r="F441" i="1"/>
  <c r="F410" i="1"/>
  <c r="F452" i="1"/>
  <c r="H453" i="1" l="1"/>
  <c r="F401" i="1" l="1"/>
  <c r="F406" i="1"/>
  <c r="F399" i="1"/>
  <c r="F400" i="1"/>
  <c r="F398" i="1"/>
  <c r="F396" i="1"/>
  <c r="F397" i="1"/>
  <c r="F395" i="1"/>
  <c r="F394" i="1"/>
  <c r="F402" i="1"/>
  <c r="F393" i="1"/>
  <c r="F404" i="1"/>
  <c r="F403" i="1"/>
  <c r="F839" i="1"/>
  <c r="F689" i="1"/>
  <c r="F405" i="1"/>
  <c r="F983" i="1" l="1"/>
  <c r="F947" i="1" l="1"/>
  <c r="F946" i="1"/>
  <c r="G946" i="1" s="1"/>
  <c r="F378" i="1" l="1"/>
  <c r="F361" i="1"/>
  <c r="F360" i="1"/>
  <c r="F359" i="1"/>
  <c r="F358" i="1"/>
  <c r="F376" i="1"/>
  <c r="F353" i="1"/>
  <c r="F356" i="1"/>
  <c r="F357" i="1"/>
  <c r="F355" i="1"/>
  <c r="F377" i="1"/>
  <c r="F352" i="1"/>
  <c r="F375" i="1"/>
  <c r="F354" i="1"/>
  <c r="F347" i="1"/>
  <c r="F351" i="1"/>
  <c r="F303" i="1"/>
  <c r="F370" i="1"/>
  <c r="F387" i="1"/>
  <c r="F350" i="1"/>
  <c r="F349" i="1"/>
  <c r="F344" i="1"/>
  <c r="F348" i="1"/>
  <c r="F386" i="1"/>
  <c r="F342" i="1"/>
  <c r="F343" i="1"/>
  <c r="F341" i="1"/>
  <c r="F340" i="1"/>
  <c r="F314" i="1"/>
  <c r="F339" i="1"/>
  <c r="F337" i="1"/>
  <c r="F338" i="1"/>
  <c r="F335" i="1"/>
  <c r="F336" i="1"/>
  <c r="F333" i="1"/>
  <c r="F374" i="1"/>
  <c r="F385" i="1"/>
  <c r="F332" i="1"/>
  <c r="F331" i="1"/>
  <c r="F330" i="1"/>
  <c r="F329" i="1" l="1"/>
  <c r="F328" i="1"/>
  <c r="F373" i="1"/>
  <c r="F327" i="1"/>
  <c r="F326" i="1"/>
  <c r="F324" i="1"/>
  <c r="F371" i="1"/>
  <c r="F384" i="1"/>
  <c r="F372" i="1"/>
  <c r="F322" i="1"/>
  <c r="F304" i="1"/>
  <c r="F323" i="1"/>
  <c r="F325" i="1"/>
  <c r="F369" i="1"/>
  <c r="F383" i="1"/>
  <c r="F320" i="1"/>
  <c r="F321" i="1"/>
  <c r="F317" i="1"/>
  <c r="F319" i="1"/>
  <c r="F389" i="1"/>
  <c r="F345" i="1"/>
  <c r="F388" i="1"/>
  <c r="F368" i="1"/>
  <c r="F382" i="1"/>
  <c r="F316" i="1"/>
  <c r="F318" i="1"/>
  <c r="F315" i="1"/>
  <c r="F367" i="1" l="1"/>
  <c r="F366" i="1"/>
  <c r="F313" i="1"/>
  <c r="F379" i="1"/>
  <c r="F334" i="1"/>
  <c r="F312" i="1"/>
  <c r="F311" i="1"/>
  <c r="F381" i="1"/>
  <c r="F310" i="1"/>
  <c r="F380" i="1"/>
  <c r="F309" i="1"/>
  <c r="F308" i="1"/>
  <c r="F365" i="1"/>
  <c r="F307" i="1"/>
  <c r="F346" i="1"/>
  <c r="F364" i="1"/>
  <c r="F363" i="1"/>
  <c r="F362" i="1"/>
  <c r="F305" i="1"/>
  <c r="F306" i="1"/>
  <c r="F302" i="1"/>
  <c r="F301" i="1"/>
  <c r="F1120" i="1"/>
  <c r="F758" i="1"/>
  <c r="F757" i="1"/>
  <c r="F769" i="1"/>
  <c r="F756" i="1"/>
  <c r="F767" i="1"/>
  <c r="F755" i="1"/>
  <c r="F754" i="1"/>
  <c r="F753" i="1"/>
  <c r="F772" i="1"/>
  <c r="F765" i="1"/>
  <c r="F764" i="1"/>
  <c r="F766" i="1"/>
  <c r="F763" i="1"/>
  <c r="F761" i="1"/>
  <c r="F771" i="1"/>
  <c r="F752" i="1"/>
  <c r="F751" i="1"/>
  <c r="F760" i="1"/>
  <c r="F750" i="1"/>
  <c r="F749" i="1"/>
  <c r="F748" i="1"/>
  <c r="F762" i="1"/>
  <c r="F747" i="1"/>
  <c r="F759" i="1"/>
  <c r="F746" i="1"/>
  <c r="F745" i="1"/>
  <c r="F744" i="1" l="1"/>
  <c r="F743" i="1"/>
  <c r="F742" i="1" l="1"/>
  <c r="F741" i="1"/>
  <c r="F740" i="1"/>
  <c r="F738" i="1"/>
  <c r="F736" i="1"/>
  <c r="F734" i="1" l="1"/>
  <c r="F735" i="1"/>
  <c r="F770" i="1"/>
  <c r="F739" i="1"/>
  <c r="F737" i="1"/>
  <c r="F733" i="1" l="1"/>
  <c r="F732" i="1"/>
  <c r="F773" i="1"/>
  <c r="F768" i="1"/>
  <c r="F731" i="1"/>
  <c r="F1076" i="1"/>
  <c r="G1076" i="1" s="1"/>
  <c r="F1077" i="1"/>
  <c r="F1242" i="1" s="1"/>
  <c r="E1077" i="1"/>
  <c r="D1077" i="1"/>
  <c r="D1242" i="1" s="1"/>
  <c r="B1077" i="1"/>
  <c r="B1242" i="1" s="1"/>
  <c r="F1052" i="1"/>
  <c r="F963" i="1"/>
  <c r="F135" i="1"/>
  <c r="F134" i="1"/>
  <c r="F131" i="1"/>
  <c r="F130" i="1"/>
  <c r="F129" i="1"/>
  <c r="F138" i="1"/>
  <c r="F133" i="1"/>
  <c r="F137" i="1"/>
  <c r="F140" i="1"/>
  <c r="F128" i="1"/>
  <c r="F127" i="1"/>
  <c r="F126" i="1"/>
  <c r="F136" i="1"/>
  <c r="F125" i="1"/>
  <c r="F124" i="1"/>
  <c r="F122" i="1"/>
  <c r="F139" i="1"/>
  <c r="F123" i="1"/>
  <c r="F121" i="1"/>
  <c r="F120" i="1"/>
  <c r="F119" i="1"/>
  <c r="F118" i="1"/>
  <c r="F132" i="1"/>
  <c r="F117" i="1"/>
  <c r="F116" i="1"/>
  <c r="F871" i="1"/>
  <c r="F870" i="1"/>
  <c r="F873" i="1"/>
  <c r="F875" i="1"/>
  <c r="F874" i="1"/>
  <c r="F872" i="1"/>
  <c r="F869" i="1"/>
  <c r="F868" i="1"/>
  <c r="F867" i="1"/>
  <c r="E1242" i="1" l="1"/>
  <c r="G1077" i="1"/>
  <c r="G1242" i="1" s="1"/>
  <c r="H1076" i="1"/>
  <c r="H1242" i="1" l="1"/>
  <c r="H1077" i="1"/>
  <c r="F885" i="1" l="1"/>
  <c r="F887" i="1"/>
  <c r="F884" i="1"/>
  <c r="F888" i="1"/>
  <c r="F882" i="1"/>
  <c r="F883" i="1"/>
  <c r="F881" i="1"/>
  <c r="F880" i="1"/>
  <c r="F886" i="1"/>
  <c r="F879" i="1"/>
  <c r="F890" i="1"/>
  <c r="F889" i="1"/>
  <c r="G889" i="1" l="1"/>
  <c r="F1012" i="1"/>
  <c r="F104" i="1"/>
  <c r="F102" i="1"/>
  <c r="F103" i="1"/>
  <c r="F101" i="1"/>
  <c r="F100" i="1"/>
  <c r="F99" i="1"/>
  <c r="F98" i="1"/>
  <c r="F97" i="1"/>
  <c r="F109" i="1"/>
  <c r="F96" i="1"/>
  <c r="F95" i="1"/>
  <c r="F94" i="1"/>
  <c r="F93" i="1"/>
  <c r="F92" i="1"/>
  <c r="F112" i="1"/>
  <c r="F91" i="1"/>
  <c r="F108" i="1"/>
  <c r="F111" i="1"/>
  <c r="F107" i="1"/>
  <c r="F110" i="1"/>
  <c r="F105" i="1"/>
  <c r="F106" i="1"/>
  <c r="H889" i="1" l="1"/>
  <c r="F951" i="1"/>
  <c r="F922" i="1" l="1"/>
  <c r="F921" i="1"/>
  <c r="F930" i="1"/>
  <c r="F919" i="1"/>
  <c r="F920" i="1"/>
  <c r="F918" i="1"/>
  <c r="F917" i="1"/>
  <c r="F914" i="1"/>
  <c r="F915" i="1"/>
  <c r="F913" i="1"/>
  <c r="F916" i="1"/>
  <c r="F912" i="1"/>
  <c r="F910" i="1"/>
  <c r="F929" i="1"/>
  <c r="F911" i="1"/>
  <c r="F926" i="1"/>
  <c r="F909" i="1"/>
  <c r="G909" i="1" s="1"/>
  <c r="H909" i="1" s="1"/>
  <c r="F908" i="1"/>
  <c r="F936" i="1"/>
  <c r="F935" i="1" l="1"/>
  <c r="F934" i="1"/>
  <c r="F927" i="1"/>
  <c r="F933" i="1"/>
  <c r="F907" i="1"/>
  <c r="F906" i="1"/>
  <c r="F925" i="1"/>
  <c r="F905" i="1"/>
  <c r="F904" i="1"/>
  <c r="F903" i="1"/>
  <c r="F928" i="1"/>
  <c r="F902" i="1"/>
  <c r="F901" i="1"/>
  <c r="F900" i="1"/>
  <c r="F924" i="1" l="1"/>
  <c r="F899" i="1"/>
  <c r="F898" i="1"/>
  <c r="F932" i="1"/>
  <c r="F897" i="1"/>
  <c r="F896" i="1" l="1"/>
  <c r="F894" i="1"/>
  <c r="F895" i="1"/>
  <c r="F931" i="1"/>
  <c r="F923" i="1"/>
  <c r="F296" i="1" l="1"/>
  <c r="F297" i="1"/>
  <c r="F288" i="1"/>
  <c r="F291" i="1"/>
  <c r="F287" i="1"/>
  <c r="F290" i="1"/>
  <c r="F286" i="1"/>
  <c r="F289" i="1"/>
  <c r="F285" i="1"/>
  <c r="F284" i="1"/>
  <c r="F283" i="1"/>
  <c r="F1056" i="1"/>
  <c r="F991" i="1"/>
  <c r="F1032" i="1"/>
  <c r="F277" i="1"/>
  <c r="F274" i="1"/>
  <c r="F278" i="1"/>
  <c r="F272" i="1"/>
  <c r="F279" i="1"/>
  <c r="F275" i="1"/>
  <c r="F271" i="1"/>
  <c r="F270" i="1"/>
  <c r="F276" i="1"/>
  <c r="F273" i="1"/>
  <c r="F264" i="1" l="1"/>
  <c r="F266" i="1"/>
  <c r="F263" i="1"/>
  <c r="F258" i="1"/>
  <c r="F259" i="1"/>
  <c r="F260" i="1"/>
  <c r="F257" i="1"/>
  <c r="F256" i="1"/>
  <c r="F255" i="1"/>
  <c r="F262" i="1"/>
  <c r="F254" i="1"/>
  <c r="F265" i="1"/>
  <c r="F261" i="1"/>
  <c r="F253" i="1"/>
  <c r="F177" i="1"/>
  <c r="F242" i="1"/>
  <c r="F198" i="1"/>
  <c r="F195" i="1"/>
  <c r="F218" i="1"/>
  <c r="F234" i="1"/>
  <c r="F217" i="1"/>
  <c r="F216" i="1"/>
  <c r="F215" i="1"/>
  <c r="F214" i="1"/>
  <c r="F213" i="1"/>
  <c r="F241" i="1"/>
  <c r="F220" i="1"/>
  <c r="F219" i="1" l="1"/>
  <c r="F212" i="1"/>
  <c r="F233" i="1"/>
  <c r="F243" i="1"/>
  <c r="F211" i="1"/>
  <c r="F232" i="1"/>
  <c r="F209" i="1"/>
  <c r="F205" i="1"/>
  <c r="F204" i="1"/>
  <c r="F231" i="1"/>
  <c r="F202" i="1"/>
  <c r="F208" i="1"/>
  <c r="F206" i="1"/>
  <c r="F196" i="1"/>
  <c r="F171" i="1"/>
  <c r="F193" i="1"/>
  <c r="F192" i="1"/>
  <c r="F249" i="1"/>
  <c r="F240" i="1"/>
  <c r="F230" i="1" l="1"/>
  <c r="F247" i="1"/>
  <c r="F228" i="1"/>
  <c r="F248" i="1"/>
  <c r="F188" i="1"/>
  <c r="F229" i="1"/>
  <c r="F200" i="1"/>
  <c r="F244" i="1"/>
  <c r="F187" i="1"/>
  <c r="F227" i="1"/>
  <c r="F191" i="1" l="1"/>
  <c r="F189" i="1"/>
  <c r="F235" i="1"/>
  <c r="F239" i="1"/>
  <c r="F190" i="1"/>
  <c r="F201" i="1"/>
  <c r="F185" i="1"/>
  <c r="F176" i="1"/>
  <c r="F226" i="1" l="1"/>
  <c r="F186" i="1"/>
  <c r="F184" i="1"/>
  <c r="F183" i="1"/>
  <c r="F180" i="1"/>
  <c r="F181" i="1"/>
  <c r="F203" i="1"/>
  <c r="F168" i="1"/>
  <c r="F179" i="1"/>
  <c r="F210" i="1"/>
  <c r="F225" i="1"/>
  <c r="F178" i="1"/>
  <c r="F221" i="1"/>
  <c r="F207" i="1"/>
  <c r="F182" i="1"/>
  <c r="F175" i="1"/>
  <c r="F194" i="1"/>
  <c r="F174" i="1"/>
  <c r="F245" i="1"/>
  <c r="F238" i="1"/>
  <c r="F173" i="1"/>
  <c r="F197" i="1" l="1"/>
  <c r="F172" i="1" l="1"/>
  <c r="F170" i="1"/>
  <c r="F237" i="1"/>
  <c r="F224" i="1"/>
  <c r="F223" i="1"/>
  <c r="F169" i="1"/>
  <c r="F246" i="1"/>
  <c r="F167" i="1"/>
  <c r="F222" i="1"/>
  <c r="F236" i="1"/>
  <c r="F166" i="1"/>
  <c r="F165" i="1"/>
  <c r="F199" i="1"/>
  <c r="F164" i="1"/>
  <c r="G164" i="1" s="1"/>
  <c r="H164" i="1" s="1"/>
  <c r="F163" i="1"/>
  <c r="F162" i="1"/>
  <c r="F1088" i="1"/>
  <c r="F158" i="1"/>
  <c r="F157" i="1"/>
  <c r="F1124" i="1"/>
  <c r="F987" i="1"/>
  <c r="F148" i="1" l="1"/>
  <c r="F146" i="1"/>
  <c r="F150" i="1"/>
  <c r="F152" i="1"/>
  <c r="F149" i="1"/>
  <c r="F145" i="1"/>
  <c r="G145" i="1" s="1"/>
  <c r="H145" i="1" s="1"/>
  <c r="F153" i="1"/>
  <c r="F144" i="1"/>
  <c r="F151" i="1"/>
  <c r="F147" i="1"/>
  <c r="F1080" i="1" l="1"/>
  <c r="F86" i="1" l="1"/>
  <c r="F85" i="1"/>
  <c r="F84" i="1"/>
  <c r="F87" i="1"/>
  <c r="F1064" i="1" l="1"/>
  <c r="F59" i="1" l="1"/>
  <c r="F70" i="1"/>
  <c r="F57" i="1"/>
  <c r="F78" i="1"/>
  <c r="F58" i="1"/>
  <c r="F68" i="1"/>
  <c r="F56" i="1"/>
  <c r="F55" i="1"/>
  <c r="F54" i="1"/>
  <c r="F77" i="1"/>
  <c r="F67" i="1"/>
  <c r="F53" i="1"/>
  <c r="F79" i="1"/>
  <c r="F52" i="1"/>
  <c r="F50" i="1"/>
  <c r="F49" i="1"/>
  <c r="F47" i="1"/>
  <c r="F41" i="1"/>
  <c r="F45" i="1"/>
  <c r="F46" i="1"/>
  <c r="F44" i="1"/>
  <c r="F48" i="1"/>
  <c r="F34" i="1"/>
  <c r="F65" i="1"/>
  <c r="F76" i="1"/>
  <c r="F64" i="1"/>
  <c r="F75" i="1"/>
  <c r="F40" i="1"/>
  <c r="F33" i="1"/>
  <c r="F66" i="1"/>
  <c r="F36" i="1"/>
  <c r="F39" i="1"/>
  <c r="F74" i="1"/>
  <c r="F38" i="1"/>
  <c r="F69" i="1"/>
  <c r="F43" i="1"/>
  <c r="F35" i="1"/>
  <c r="F42" i="1"/>
  <c r="F73" i="1"/>
  <c r="F37" i="1"/>
  <c r="F63" i="1"/>
  <c r="F72" i="1"/>
  <c r="F32" i="1"/>
  <c r="F31" i="1"/>
  <c r="F62" i="1"/>
  <c r="F30" i="1"/>
  <c r="F29" i="1"/>
  <c r="F51" i="1"/>
  <c r="F28" i="1"/>
  <c r="F27" i="1"/>
  <c r="F26" i="1"/>
  <c r="F25" i="1"/>
  <c r="F23" i="1"/>
  <c r="F24" i="1"/>
  <c r="F22" i="1"/>
  <c r="F21" i="1"/>
  <c r="F20" i="1"/>
  <c r="F19" i="1"/>
  <c r="F18" i="1"/>
  <c r="F80" i="1"/>
  <c r="F17" i="1"/>
  <c r="F16" i="1"/>
  <c r="F15" i="1"/>
  <c r="F14" i="1"/>
  <c r="F13" i="1"/>
  <c r="F61" i="1"/>
  <c r="F12" i="1" l="1"/>
  <c r="F11" i="1"/>
  <c r="F10" i="1"/>
  <c r="F60" i="1"/>
  <c r="F71" i="1"/>
  <c r="F9" i="1"/>
  <c r="G207" i="1" l="1"/>
  <c r="D1001" i="1"/>
  <c r="D1223" i="1" s="1"/>
  <c r="F1001" i="1"/>
  <c r="F1223" i="1" s="1"/>
  <c r="E1001" i="1"/>
  <c r="B1001" i="1"/>
  <c r="B1223" i="1" s="1"/>
  <c r="G1000" i="1"/>
  <c r="H1000" i="1" s="1"/>
  <c r="D154" i="1"/>
  <c r="G138" i="1"/>
  <c r="G119" i="1"/>
  <c r="B141" i="1"/>
  <c r="F141" i="1"/>
  <c r="E141" i="1"/>
  <c r="D141" i="1"/>
  <c r="G116" i="1"/>
  <c r="B113" i="1"/>
  <c r="G109" i="1"/>
  <c r="D113" i="1"/>
  <c r="G111" i="1"/>
  <c r="H111" i="1" s="1"/>
  <c r="B948" i="1"/>
  <c r="F948" i="1"/>
  <c r="E948" i="1"/>
  <c r="D948" i="1"/>
  <c r="G68" i="1"/>
  <c r="G54" i="1"/>
  <c r="H54" i="1" s="1"/>
  <c r="G38" i="1"/>
  <c r="H38" i="1" s="1"/>
  <c r="G948" i="1" l="1"/>
  <c r="E1223" i="1"/>
  <c r="H207" i="1"/>
  <c r="G1001" i="1"/>
  <c r="G1223" i="1" s="1"/>
  <c r="H138" i="1"/>
  <c r="H119" i="1"/>
  <c r="H116" i="1"/>
  <c r="H109" i="1"/>
  <c r="H946" i="1"/>
  <c r="H68" i="1"/>
  <c r="F1065" i="1"/>
  <c r="F1239" i="1" s="1"/>
  <c r="E1065" i="1"/>
  <c r="E1239" i="1" s="1"/>
  <c r="D1065" i="1"/>
  <c r="D1239" i="1" s="1"/>
  <c r="B1065" i="1"/>
  <c r="B1239" i="1" s="1"/>
  <c r="G1064" i="1"/>
  <c r="F972" i="1"/>
  <c r="F1216" i="1" s="1"/>
  <c r="E972" i="1"/>
  <c r="E1216" i="1" s="1"/>
  <c r="D972" i="1"/>
  <c r="D1216" i="1" s="1"/>
  <c r="B972" i="1"/>
  <c r="B1216" i="1" s="1"/>
  <c r="G971" i="1"/>
  <c r="F1041" i="1"/>
  <c r="F1233" i="1" s="1"/>
  <c r="E1041" i="1"/>
  <c r="E1233" i="1" s="1"/>
  <c r="D1041" i="1"/>
  <c r="D1233" i="1" s="1"/>
  <c r="B1041" i="1"/>
  <c r="B1233" i="1" s="1"/>
  <c r="G1040" i="1"/>
  <c r="G940" i="1"/>
  <c r="F1069" i="1"/>
  <c r="F1240" i="1" s="1"/>
  <c r="E1069" i="1"/>
  <c r="E1240" i="1" s="1"/>
  <c r="D1069" i="1"/>
  <c r="D1240" i="1" s="1"/>
  <c r="B1069" i="1"/>
  <c r="B1240" i="1" s="1"/>
  <c r="G1068" i="1"/>
  <c r="H1068" i="1" s="1"/>
  <c r="F980" i="1"/>
  <c r="F1218" i="1" s="1"/>
  <c r="E980" i="1"/>
  <c r="E1218" i="1" s="1"/>
  <c r="D980" i="1"/>
  <c r="D1218" i="1" s="1"/>
  <c r="B980" i="1"/>
  <c r="B1218" i="1" s="1"/>
  <c r="G979" i="1"/>
  <c r="F1005" i="1"/>
  <c r="F1224" i="1" s="1"/>
  <c r="E1005" i="1"/>
  <c r="E1224" i="1" s="1"/>
  <c r="D1005" i="1"/>
  <c r="D1224" i="1" s="1"/>
  <c r="B1005" i="1"/>
  <c r="B1224" i="1" s="1"/>
  <c r="G1004" i="1"/>
  <c r="F1073" i="1"/>
  <c r="F1241" i="1" s="1"/>
  <c r="E1073" i="1"/>
  <c r="E1241" i="1" s="1"/>
  <c r="D1073" i="1"/>
  <c r="D1241" i="1" s="1"/>
  <c r="B1073" i="1"/>
  <c r="B1241" i="1" s="1"/>
  <c r="G1072" i="1"/>
  <c r="H1223" i="1" l="1"/>
  <c r="H1001" i="1"/>
  <c r="H1064" i="1"/>
  <c r="G1065" i="1"/>
  <c r="G1239" i="1" s="1"/>
  <c r="G980" i="1"/>
  <c r="G1218" i="1" s="1"/>
  <c r="G972" i="1"/>
  <c r="G1216" i="1" s="1"/>
  <c r="H1216" i="1" s="1"/>
  <c r="H971" i="1"/>
  <c r="G1041" i="1"/>
  <c r="G1233" i="1" s="1"/>
  <c r="H1040" i="1"/>
  <c r="H1041" i="1"/>
  <c r="G1069" i="1"/>
  <c r="H979" i="1"/>
  <c r="G1005" i="1"/>
  <c r="H1004" i="1"/>
  <c r="G1073" i="1"/>
  <c r="H1072" i="1"/>
  <c r="H980" i="1" l="1"/>
  <c r="H972" i="1"/>
  <c r="H1073" i="1"/>
  <c r="G1241" i="1"/>
  <c r="H1069" i="1"/>
  <c r="G1240" i="1"/>
  <c r="H1233" i="1"/>
  <c r="H1005" i="1"/>
  <c r="G1224" i="1"/>
  <c r="H1065" i="1"/>
  <c r="H1218" i="1"/>
  <c r="H1240" i="1" l="1"/>
  <c r="H1241" i="1"/>
  <c r="H1224" i="1"/>
  <c r="F1053" i="1"/>
  <c r="F1236" i="1" s="1"/>
  <c r="E1053" i="1"/>
  <c r="E1236" i="1" s="1"/>
  <c r="D1053" i="1"/>
  <c r="D1236" i="1" s="1"/>
  <c r="B1053" i="1"/>
  <c r="B1236" i="1" s="1"/>
  <c r="G1052" i="1"/>
  <c r="G1053" i="1" l="1"/>
  <c r="G1236" i="1" s="1"/>
  <c r="H1052" i="1"/>
  <c r="H1053" i="1"/>
  <c r="F1057" i="1"/>
  <c r="F1237" i="1" s="1"/>
  <c r="E1057" i="1"/>
  <c r="E1237" i="1" s="1"/>
  <c r="D1057" i="1"/>
  <c r="D1237" i="1" s="1"/>
  <c r="B1057" i="1"/>
  <c r="B1237" i="1" s="1"/>
  <c r="G1056" i="1"/>
  <c r="H1056" i="1" s="1"/>
  <c r="F1210" i="1"/>
  <c r="E1210" i="1"/>
  <c r="D1210" i="1"/>
  <c r="B1210" i="1"/>
  <c r="G947" i="1"/>
  <c r="B937" i="1"/>
  <c r="B1208" i="1" s="1"/>
  <c r="B876" i="1"/>
  <c r="B864" i="1"/>
  <c r="B820" i="1"/>
  <c r="B654" i="1"/>
  <c r="G651" i="1"/>
  <c r="H1236" i="1" l="1"/>
  <c r="G1057" i="1"/>
  <c r="G1237" i="1" s="1"/>
  <c r="H947" i="1"/>
  <c r="G833" i="1"/>
  <c r="G698" i="1"/>
  <c r="H698" i="1" s="1"/>
  <c r="G815" i="1"/>
  <c r="G935" i="1"/>
  <c r="H833" i="1"/>
  <c r="H815" i="1"/>
  <c r="H651" i="1"/>
  <c r="E618" i="1"/>
  <c r="D618" i="1"/>
  <c r="B618" i="1"/>
  <c r="H1057" i="1" l="1"/>
  <c r="H1237" i="1"/>
  <c r="H948" i="1"/>
  <c r="G1210" i="1"/>
  <c r="H935" i="1"/>
  <c r="F618" i="1"/>
  <c r="G618" i="1" s="1"/>
  <c r="H1210" i="1" l="1"/>
  <c r="G532" i="1" l="1"/>
  <c r="B460" i="1"/>
  <c r="E937" i="1"/>
  <c r="E1208" i="1" s="1"/>
  <c r="D937" i="1"/>
  <c r="D1208" i="1" s="1"/>
  <c r="G905" i="1"/>
  <c r="G903" i="1"/>
  <c r="G902" i="1"/>
  <c r="G894" i="1"/>
  <c r="H532" i="1" l="1"/>
  <c r="G414" i="1"/>
  <c r="G898" i="1"/>
  <c r="H898" i="1" s="1"/>
  <c r="G907" i="1"/>
  <c r="H907" i="1" s="1"/>
  <c r="G896" i="1"/>
  <c r="H896" i="1" s="1"/>
  <c r="G911" i="1"/>
  <c r="G912" i="1"/>
  <c r="H912" i="1" s="1"/>
  <c r="G914" i="1"/>
  <c r="H914" i="1" s="1"/>
  <c r="G916" i="1"/>
  <c r="H916" i="1" s="1"/>
  <c r="G919" i="1"/>
  <c r="H919" i="1" s="1"/>
  <c r="G921" i="1"/>
  <c r="H921" i="1" s="1"/>
  <c r="G922" i="1"/>
  <c r="H922" i="1" s="1"/>
  <c r="G924" i="1"/>
  <c r="H924" i="1" s="1"/>
  <c r="G926" i="1"/>
  <c r="H926" i="1" s="1"/>
  <c r="G929" i="1"/>
  <c r="H929" i="1" s="1"/>
  <c r="G930" i="1"/>
  <c r="H930" i="1" s="1"/>
  <c r="G931" i="1"/>
  <c r="H931" i="1" s="1"/>
  <c r="G933" i="1"/>
  <c r="H933" i="1" s="1"/>
  <c r="G936" i="1"/>
  <c r="H936" i="1" s="1"/>
  <c r="F937" i="1"/>
  <c r="H894" i="1"/>
  <c r="G895" i="1"/>
  <c r="G897" i="1"/>
  <c r="G899" i="1"/>
  <c r="G900" i="1"/>
  <c r="G901" i="1"/>
  <c r="H902" i="1"/>
  <c r="G917" i="1"/>
  <c r="G918" i="1"/>
  <c r="G920" i="1"/>
  <c r="H903" i="1"/>
  <c r="G904" i="1"/>
  <c r="H905" i="1"/>
  <c r="G906" i="1"/>
  <c r="G908" i="1"/>
  <c r="G910" i="1"/>
  <c r="H911" i="1"/>
  <c r="G913" i="1"/>
  <c r="G915" i="1"/>
  <c r="G923" i="1"/>
  <c r="G925" i="1"/>
  <c r="G927" i="1"/>
  <c r="G928" i="1"/>
  <c r="G932" i="1"/>
  <c r="G934" i="1"/>
  <c r="G482" i="1"/>
  <c r="G483" i="1"/>
  <c r="F1208" i="1" l="1"/>
  <c r="G937" i="1"/>
  <c r="H414" i="1"/>
  <c r="H932" i="1"/>
  <c r="H927" i="1"/>
  <c r="H923" i="1"/>
  <c r="H915" i="1"/>
  <c r="H913" i="1"/>
  <c r="H904" i="1"/>
  <c r="H920" i="1"/>
  <c r="H917" i="1"/>
  <c r="H901" i="1"/>
  <c r="H899" i="1"/>
  <c r="H895" i="1"/>
  <c r="H934" i="1"/>
  <c r="H928" i="1"/>
  <c r="H925" i="1"/>
  <c r="H910" i="1"/>
  <c r="H908" i="1"/>
  <c r="H906" i="1"/>
  <c r="H918" i="1"/>
  <c r="H900" i="1"/>
  <c r="H897" i="1"/>
  <c r="G312" i="1"/>
  <c r="H312" i="1" s="1"/>
  <c r="H482" i="1"/>
  <c r="H483" i="1"/>
  <c r="B292" i="1"/>
  <c r="H937" i="1" l="1"/>
  <c r="G1208" i="1"/>
  <c r="G210" i="1" l="1"/>
  <c r="H210" i="1" s="1"/>
  <c r="G235" i="1"/>
  <c r="H235" i="1" s="1"/>
  <c r="B81" i="1" l="1"/>
  <c r="G78" i="1"/>
  <c r="H78" i="1" s="1"/>
  <c r="G46" i="1"/>
  <c r="H46" i="1" s="1"/>
  <c r="G69" i="1"/>
  <c r="G35" i="1"/>
  <c r="G39" i="1" l="1"/>
  <c r="H39" i="1" s="1"/>
  <c r="G51" i="1"/>
  <c r="H51" i="1" s="1"/>
  <c r="G66" i="1"/>
  <c r="H66" i="1" s="1"/>
  <c r="G57" i="1"/>
  <c r="H57" i="1" s="1"/>
  <c r="H69" i="1"/>
  <c r="H1208" i="1" l="1"/>
  <c r="G705" i="1"/>
  <c r="G715" i="1"/>
  <c r="G642" i="1"/>
  <c r="H642" i="1" s="1"/>
  <c r="H705" i="1" l="1"/>
  <c r="H715" i="1"/>
  <c r="E1093" i="1" l="1"/>
  <c r="E1246" i="1" s="1"/>
  <c r="D1093" i="1"/>
  <c r="B1093" i="1"/>
  <c r="B1246" i="1" s="1"/>
  <c r="E820" i="1"/>
  <c r="D820" i="1"/>
  <c r="D1246" i="1" l="1"/>
  <c r="F1093" i="1"/>
  <c r="F1246" i="1" s="1"/>
  <c r="G1092" i="1"/>
  <c r="G818" i="1"/>
  <c r="G777" i="1"/>
  <c r="G814" i="1"/>
  <c r="E1025" i="1"/>
  <c r="E1229" i="1" s="1"/>
  <c r="D1025" i="1"/>
  <c r="D1229" i="1" s="1"/>
  <c r="B1025" i="1"/>
  <c r="B1229" i="1" s="1"/>
  <c r="G1028" i="1"/>
  <c r="H1028" i="1" s="1"/>
  <c r="B1029" i="1"/>
  <c r="D1029" i="1"/>
  <c r="E1029" i="1"/>
  <c r="F1029" i="1"/>
  <c r="G1029" i="1" l="1"/>
  <c r="F820" i="1"/>
  <c r="G820" i="1" s="1"/>
  <c r="H1029" i="1"/>
  <c r="G1093" i="1"/>
  <c r="G1246" i="1" s="1"/>
  <c r="H1092" i="1"/>
  <c r="H818" i="1"/>
  <c r="H777" i="1"/>
  <c r="H814" i="1"/>
  <c r="F1025" i="1"/>
  <c r="G1024" i="1"/>
  <c r="G606" i="1"/>
  <c r="G1025" i="1" l="1"/>
  <c r="F1229" i="1"/>
  <c r="H1093" i="1"/>
  <c r="H1246" i="1"/>
  <c r="H1024" i="1"/>
  <c r="H606" i="1"/>
  <c r="H1025" i="1" l="1"/>
  <c r="G1229" i="1"/>
  <c r="H1229" i="1" l="1"/>
  <c r="G851" i="1"/>
  <c r="H851" i="1" l="1"/>
  <c r="E549" i="1"/>
  <c r="D549" i="1"/>
  <c r="B549" i="1"/>
  <c r="G458" i="1"/>
  <c r="G455" i="1" l="1"/>
  <c r="H455" i="1" s="1"/>
  <c r="G837" i="1"/>
  <c r="F549" i="1"/>
  <c r="G826" i="1"/>
  <c r="H826" i="1" s="1"/>
  <c r="G534" i="1"/>
  <c r="H534" i="1" s="1"/>
  <c r="H837" i="1"/>
  <c r="G418" i="1"/>
  <c r="H418" i="1" s="1"/>
  <c r="H458" i="1"/>
  <c r="G879" i="1"/>
  <c r="H879" i="1" s="1"/>
  <c r="F1049" i="1"/>
  <c r="F1235" i="1" s="1"/>
  <c r="E1049" i="1"/>
  <c r="D1049" i="1"/>
  <c r="D1235" i="1" s="1"/>
  <c r="B1049" i="1"/>
  <c r="B1235" i="1" s="1"/>
  <c r="G1048" i="1"/>
  <c r="E1097" i="1"/>
  <c r="E1247" i="1" s="1"/>
  <c r="D1097" i="1"/>
  <c r="D1247" i="1" s="1"/>
  <c r="B1097" i="1"/>
  <c r="B1247" i="1" s="1"/>
  <c r="G1143" i="1"/>
  <c r="H1143" i="1" s="1"/>
  <c r="F1152" i="1"/>
  <c r="E1152" i="1"/>
  <c r="D1152" i="1"/>
  <c r="D1163" i="1"/>
  <c r="B1163" i="1"/>
  <c r="B1152" i="1"/>
  <c r="B1130" i="1"/>
  <c r="B1117" i="1"/>
  <c r="B1156" i="1"/>
  <c r="B1125" i="1"/>
  <c r="B1121" i="1"/>
  <c r="B1112" i="1"/>
  <c r="B1108" i="1"/>
  <c r="B1101" i="1"/>
  <c r="B976" i="1"/>
  <c r="G415" i="1" l="1"/>
  <c r="E1235" i="1"/>
  <c r="H1048" i="1"/>
  <c r="G1049" i="1"/>
  <c r="G1235" i="1" s="1"/>
  <c r="F1097" i="1"/>
  <c r="F1247" i="1" s="1"/>
  <c r="G1096" i="1"/>
  <c r="G377" i="1" l="1"/>
  <c r="H377" i="1" s="1"/>
  <c r="G1097" i="1"/>
  <c r="H1097" i="1" s="1"/>
  <c r="H415" i="1"/>
  <c r="H1235" i="1"/>
  <c r="H1049" i="1"/>
  <c r="H1096" i="1"/>
  <c r="G379" i="1"/>
  <c r="G1247" i="1" l="1"/>
  <c r="H379" i="1"/>
  <c r="G122" i="1"/>
  <c r="E250" i="1"/>
  <c r="H122" i="1" l="1"/>
  <c r="G247" i="1"/>
  <c r="G167" i="1"/>
  <c r="H167" i="1" s="1"/>
  <c r="G660" i="1"/>
  <c r="H660" i="1" s="1"/>
  <c r="H247" i="1" l="1"/>
  <c r="B496" i="1"/>
  <c r="G493" i="1"/>
  <c r="E496" i="1"/>
  <c r="D496" i="1"/>
  <c r="H493" i="1" l="1"/>
  <c r="G290" i="1"/>
  <c r="G144" i="1"/>
  <c r="H144" i="1" s="1"/>
  <c r="G151" i="1"/>
  <c r="H151" i="1" s="1"/>
  <c r="D489" i="1"/>
  <c r="D1184" i="1" s="1"/>
  <c r="E489" i="1"/>
  <c r="E1184" i="1" s="1"/>
  <c r="D1203" i="1"/>
  <c r="E1203" i="1"/>
  <c r="G1105" i="1"/>
  <c r="H1105" i="1" s="1"/>
  <c r="G1107" i="1"/>
  <c r="H1107" i="1" s="1"/>
  <c r="D1112" i="1"/>
  <c r="D1254" i="1" s="1"/>
  <c r="E1112" i="1"/>
  <c r="E1254" i="1" s="1"/>
  <c r="F1112" i="1"/>
  <c r="G1138" i="1"/>
  <c r="H1138" i="1" s="1"/>
  <c r="G1139" i="1"/>
  <c r="H1139" i="1" s="1"/>
  <c r="G1140" i="1"/>
  <c r="H1140" i="1" s="1"/>
  <c r="G1141" i="1"/>
  <c r="H1141" i="1" s="1"/>
  <c r="G1142" i="1"/>
  <c r="H1142" i="1" s="1"/>
  <c r="D1121" i="1"/>
  <c r="E1121" i="1"/>
  <c r="E1255" i="1" s="1"/>
  <c r="F1121" i="1"/>
  <c r="D1125" i="1"/>
  <c r="E1125" i="1"/>
  <c r="E1256" i="1" s="1"/>
  <c r="F1125" i="1"/>
  <c r="D1130" i="1"/>
  <c r="E1130" i="1"/>
  <c r="E1257" i="1" s="1"/>
  <c r="F1130" i="1"/>
  <c r="G1133" i="1"/>
  <c r="H1133" i="1" s="1"/>
  <c r="G1134" i="1"/>
  <c r="H1134" i="1" s="1"/>
  <c r="G1136" i="1"/>
  <c r="G1135" i="1"/>
  <c r="H1135" i="1" s="1"/>
  <c r="G1137" i="1"/>
  <c r="H1137" i="1" s="1"/>
  <c r="D1156" i="1"/>
  <c r="D1259" i="1" s="1"/>
  <c r="E1156" i="1"/>
  <c r="E1259" i="1" s="1"/>
  <c r="F1156" i="1"/>
  <c r="G1159" i="1"/>
  <c r="H1159" i="1" s="1"/>
  <c r="G1160" i="1"/>
  <c r="H1160" i="1" s="1"/>
  <c r="G1161" i="1"/>
  <c r="H1161" i="1" s="1"/>
  <c r="G1162" i="1"/>
  <c r="H1162" i="1" s="1"/>
  <c r="G1144" i="1"/>
  <c r="H1144" i="1" s="1"/>
  <c r="G1145" i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F1254" i="1"/>
  <c r="F1257" i="1"/>
  <c r="F1258" i="1"/>
  <c r="F1163" i="1"/>
  <c r="F1260" i="1" s="1"/>
  <c r="E1108" i="1"/>
  <c r="E1253" i="1" s="1"/>
  <c r="E1258" i="1"/>
  <c r="E1163" i="1"/>
  <c r="E1260" i="1" s="1"/>
  <c r="D1108" i="1"/>
  <c r="D1253" i="1" s="1"/>
  <c r="D1258" i="1"/>
  <c r="D1260" i="1"/>
  <c r="B1217" i="1"/>
  <c r="B88" i="1"/>
  <c r="B1169" i="1" s="1"/>
  <c r="B1252" i="1"/>
  <c r="B1253" i="1"/>
  <c r="B1254" i="1"/>
  <c r="B1255" i="1"/>
  <c r="B1256" i="1"/>
  <c r="B1257" i="1"/>
  <c r="B1258" i="1"/>
  <c r="B1259" i="1"/>
  <c r="B1260" i="1"/>
  <c r="H1145" i="1"/>
  <c r="G1155" i="1"/>
  <c r="H1155" i="1"/>
  <c r="H1136" i="1"/>
  <c r="G1129" i="1"/>
  <c r="H1129" i="1" s="1"/>
  <c r="G1128" i="1"/>
  <c r="H1128" i="1" s="1"/>
  <c r="G1124" i="1"/>
  <c r="H1124" i="1" s="1"/>
  <c r="G1120" i="1"/>
  <c r="H1120" i="1"/>
  <c r="D1117" i="1"/>
  <c r="E1117" i="1"/>
  <c r="F1117" i="1"/>
  <c r="G1116" i="1"/>
  <c r="H1116" i="1" s="1"/>
  <c r="G1115" i="1"/>
  <c r="H1115" i="1" s="1"/>
  <c r="G1111" i="1"/>
  <c r="H1111" i="1" s="1"/>
  <c r="F1101" i="1"/>
  <c r="F1252" i="1" s="1"/>
  <c r="F81" i="1"/>
  <c r="F1168" i="1" s="1"/>
  <c r="F88" i="1"/>
  <c r="F1169" i="1" s="1"/>
  <c r="F113" i="1"/>
  <c r="F1170" i="1" s="1"/>
  <c r="F1171" i="1"/>
  <c r="F159" i="1"/>
  <c r="F1173" i="1" s="1"/>
  <c r="F267" i="1"/>
  <c r="F1175" i="1" s="1"/>
  <c r="F280" i="1"/>
  <c r="F1176" i="1" s="1"/>
  <c r="F298" i="1"/>
  <c r="F1178" i="1" s="1"/>
  <c r="F390" i="1"/>
  <c r="F1179" i="1" s="1"/>
  <c r="F496" i="1"/>
  <c r="F1185" i="1" s="1"/>
  <c r="F578" i="1"/>
  <c r="F1191" i="1" s="1"/>
  <c r="F628" i="1"/>
  <c r="F1196" i="1" s="1"/>
  <c r="F669" i="1"/>
  <c r="F721" i="1"/>
  <c r="F1200" i="1" s="1"/>
  <c r="F728" i="1"/>
  <c r="F1033" i="1"/>
  <c r="F968" i="1"/>
  <c r="F1215" i="1" s="1"/>
  <c r="F976" i="1"/>
  <c r="F1217" i="1" s="1"/>
  <c r="F984" i="1"/>
  <c r="F1219" i="1" s="1"/>
  <c r="F992" i="1"/>
  <c r="F1221" i="1" s="1"/>
  <c r="F988" i="1"/>
  <c r="F1220" i="1" s="1"/>
  <c r="F1009" i="1"/>
  <c r="F1013" i="1"/>
  <c r="F1226" i="1" s="1"/>
  <c r="F1017" i="1"/>
  <c r="F1021" i="1"/>
  <c r="F1045" i="1"/>
  <c r="F1081" i="1"/>
  <c r="F1243" i="1" s="1"/>
  <c r="F943" i="1"/>
  <c r="F952" i="1"/>
  <c r="F1211" i="1" s="1"/>
  <c r="F956" i="1"/>
  <c r="F960" i="1"/>
  <c r="F1213" i="1" s="1"/>
  <c r="F964" i="1"/>
  <c r="F1089" i="1"/>
  <c r="F1245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6" i="1"/>
  <c r="H36" i="1" s="1"/>
  <c r="G37" i="1"/>
  <c r="H37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7" i="1"/>
  <c r="H47" i="1" s="1"/>
  <c r="G48" i="1"/>
  <c r="H48" i="1" s="1"/>
  <c r="G49" i="1"/>
  <c r="H49" i="1" s="1"/>
  <c r="G50" i="1"/>
  <c r="H50" i="1" s="1"/>
  <c r="G52" i="1"/>
  <c r="G53" i="1"/>
  <c r="H53" i="1" s="1"/>
  <c r="G55" i="1"/>
  <c r="H55" i="1" s="1"/>
  <c r="G56" i="1"/>
  <c r="H56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7" i="1"/>
  <c r="H67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9" i="1"/>
  <c r="H79" i="1" s="1"/>
  <c r="G80" i="1"/>
  <c r="D88" i="1"/>
  <c r="D1169" i="1" s="1"/>
  <c r="E88" i="1"/>
  <c r="E1169" i="1" s="1"/>
  <c r="E113" i="1"/>
  <c r="E1170" i="1" s="1"/>
  <c r="D1171" i="1"/>
  <c r="E1171" i="1"/>
  <c r="D1172" i="1"/>
  <c r="E154" i="1"/>
  <c r="E1172" i="1" s="1"/>
  <c r="D159" i="1"/>
  <c r="D1173" i="1" s="1"/>
  <c r="E159" i="1"/>
  <c r="E1173" i="1" s="1"/>
  <c r="D250" i="1"/>
  <c r="E1174" i="1"/>
  <c r="D267" i="1"/>
  <c r="D1175" i="1" s="1"/>
  <c r="E267" i="1"/>
  <c r="E1175" i="1" s="1"/>
  <c r="D280" i="1"/>
  <c r="D1176" i="1" s="1"/>
  <c r="E280" i="1"/>
  <c r="E1176" i="1" s="1"/>
  <c r="D292" i="1"/>
  <c r="D1177" i="1" s="1"/>
  <c r="E292" i="1"/>
  <c r="E1177" i="1" s="1"/>
  <c r="D298" i="1"/>
  <c r="D1178" i="1" s="1"/>
  <c r="E298" i="1"/>
  <c r="E1178" i="1" s="1"/>
  <c r="G301" i="1"/>
  <c r="H301" i="1" s="1"/>
  <c r="G302" i="1"/>
  <c r="H302" i="1" s="1"/>
  <c r="G303" i="1"/>
  <c r="H303" i="1" s="1"/>
  <c r="G304" i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G348" i="1"/>
  <c r="H348" i="1" s="1"/>
  <c r="G349" i="1"/>
  <c r="H349" i="1" s="1"/>
  <c r="G350" i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8" i="1"/>
  <c r="H378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D407" i="1"/>
  <c r="D1180" i="1" s="1"/>
  <c r="E407" i="1"/>
  <c r="E1180" i="1" s="1"/>
  <c r="D1181" i="1"/>
  <c r="E460" i="1"/>
  <c r="E1181" i="1" s="1"/>
  <c r="D468" i="1"/>
  <c r="D1182" i="1" s="1"/>
  <c r="E468" i="1"/>
  <c r="E1182" i="1" s="1"/>
  <c r="D479" i="1"/>
  <c r="E479" i="1"/>
  <c r="E1183" i="1" s="1"/>
  <c r="D1185" i="1"/>
  <c r="E1185" i="1"/>
  <c r="D539" i="1"/>
  <c r="E539" i="1"/>
  <c r="E1186" i="1" s="1"/>
  <c r="G542" i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D555" i="1"/>
  <c r="D1188" i="1" s="1"/>
  <c r="E555" i="1"/>
  <c r="E1188" i="1" s="1"/>
  <c r="D565" i="1"/>
  <c r="E565" i="1"/>
  <c r="E1189" i="1" s="1"/>
  <c r="D571" i="1"/>
  <c r="D1190" i="1" s="1"/>
  <c r="E571" i="1"/>
  <c r="E1190" i="1" s="1"/>
  <c r="D578" i="1"/>
  <c r="D1191" i="1" s="1"/>
  <c r="E578" i="1"/>
  <c r="E1191" i="1" s="1"/>
  <c r="D593" i="1"/>
  <c r="D1192" i="1" s="1"/>
  <c r="E593" i="1"/>
  <c r="E1192" i="1" s="1"/>
  <c r="D608" i="1"/>
  <c r="E608" i="1"/>
  <c r="E1193" i="1" s="1"/>
  <c r="D1194" i="1"/>
  <c r="E1194" i="1"/>
  <c r="D624" i="1"/>
  <c r="D1195" i="1" s="1"/>
  <c r="E624" i="1"/>
  <c r="E1195" i="1" s="1"/>
  <c r="E628" i="1"/>
  <c r="E1196" i="1" s="1"/>
  <c r="D654" i="1"/>
  <c r="D1197" i="1" s="1"/>
  <c r="E654" i="1"/>
  <c r="E1197" i="1" s="1"/>
  <c r="D669" i="1"/>
  <c r="D1198" i="1" s="1"/>
  <c r="E669" i="1"/>
  <c r="E1198" i="1" s="1"/>
  <c r="D679" i="1"/>
  <c r="D1199" i="1" s="1"/>
  <c r="D1248" i="1" s="1"/>
  <c r="E679" i="1"/>
  <c r="E1199" i="1" s="1"/>
  <c r="D721" i="1"/>
  <c r="D1200" i="1" s="1"/>
  <c r="E721" i="1"/>
  <c r="E1200" i="1" s="1"/>
  <c r="D728" i="1"/>
  <c r="D1201" i="1" s="1"/>
  <c r="E728" i="1"/>
  <c r="E1201" i="1" s="1"/>
  <c r="D774" i="1"/>
  <c r="D1202" i="1" s="1"/>
  <c r="E774" i="1"/>
  <c r="E1202" i="1" s="1"/>
  <c r="D843" i="1"/>
  <c r="D1204" i="1" s="1"/>
  <c r="E843" i="1"/>
  <c r="E1204" i="1" s="1"/>
  <c r="D864" i="1"/>
  <c r="D1205" i="1" s="1"/>
  <c r="E864" i="1"/>
  <c r="E1205" i="1" s="1"/>
  <c r="D1206" i="1"/>
  <c r="E1206" i="1"/>
  <c r="D891" i="1"/>
  <c r="D1207" i="1" s="1"/>
  <c r="E891" i="1"/>
  <c r="E1207" i="1" s="1"/>
  <c r="D1033" i="1"/>
  <c r="D1231" i="1" s="1"/>
  <c r="E1033" i="1"/>
  <c r="E1231" i="1" s="1"/>
  <c r="D968" i="1"/>
  <c r="D1215" i="1" s="1"/>
  <c r="E968" i="1"/>
  <c r="E1215" i="1" s="1"/>
  <c r="D976" i="1"/>
  <c r="D1217" i="1" s="1"/>
  <c r="E976" i="1"/>
  <c r="E1217" i="1" s="1"/>
  <c r="D984" i="1"/>
  <c r="D1219" i="1" s="1"/>
  <c r="E984" i="1"/>
  <c r="E1219" i="1" s="1"/>
  <c r="D992" i="1"/>
  <c r="D1221" i="1" s="1"/>
  <c r="E992" i="1"/>
  <c r="E1221" i="1" s="1"/>
  <c r="D988" i="1"/>
  <c r="D1220" i="1" s="1"/>
  <c r="E988" i="1"/>
  <c r="E1220" i="1" s="1"/>
  <c r="D1009" i="1"/>
  <c r="D1225" i="1" s="1"/>
  <c r="E1009" i="1"/>
  <c r="E1225" i="1" s="1"/>
  <c r="D1013" i="1"/>
  <c r="D1226" i="1" s="1"/>
  <c r="E1013" i="1"/>
  <c r="D1017" i="1"/>
  <c r="E1017" i="1"/>
  <c r="E1227" i="1" s="1"/>
  <c r="D1021" i="1"/>
  <c r="D1228" i="1" s="1"/>
  <c r="E1021" i="1"/>
  <c r="E1228" i="1" s="1"/>
  <c r="D1230" i="1"/>
  <c r="E1230" i="1"/>
  <c r="D1045" i="1"/>
  <c r="D1234" i="1" s="1"/>
  <c r="E1045" i="1"/>
  <c r="D1081" i="1"/>
  <c r="E1081" i="1"/>
  <c r="E1243" i="1" s="1"/>
  <c r="D943" i="1"/>
  <c r="D1209" i="1" s="1"/>
  <c r="E943" i="1"/>
  <c r="E1209" i="1" s="1"/>
  <c r="D952" i="1"/>
  <c r="E952" i="1"/>
  <c r="E1211" i="1" s="1"/>
  <c r="D956" i="1"/>
  <c r="D1212" i="1" s="1"/>
  <c r="E956" i="1"/>
  <c r="E1212" i="1" s="1"/>
  <c r="D960" i="1"/>
  <c r="E960" i="1"/>
  <c r="D964" i="1"/>
  <c r="D1214" i="1" s="1"/>
  <c r="E964" i="1"/>
  <c r="D1089" i="1"/>
  <c r="D1245" i="1" s="1"/>
  <c r="E1089" i="1"/>
  <c r="E1245" i="1" s="1"/>
  <c r="D1101" i="1"/>
  <c r="D1252" i="1" s="1"/>
  <c r="E1101" i="1"/>
  <c r="E1252" i="1" s="1"/>
  <c r="E1261" i="1" s="1"/>
  <c r="E81" i="1"/>
  <c r="E1168" i="1" s="1"/>
  <c r="E390" i="1"/>
  <c r="E1179" i="1" s="1"/>
  <c r="E1187" i="1"/>
  <c r="D81" i="1"/>
  <c r="D1168" i="1" s="1"/>
  <c r="D390" i="1"/>
  <c r="D1187" i="1"/>
  <c r="B1168" i="1"/>
  <c r="B1170" i="1"/>
  <c r="B1171" i="1"/>
  <c r="B154" i="1"/>
  <c r="B1172" i="1" s="1"/>
  <c r="B159" i="1"/>
  <c r="B1173" i="1" s="1"/>
  <c r="B250" i="1"/>
  <c r="B1174" i="1" s="1"/>
  <c r="B267" i="1"/>
  <c r="B1175" i="1" s="1"/>
  <c r="B280" i="1"/>
  <c r="B1176" i="1" s="1"/>
  <c r="B1177" i="1"/>
  <c r="B298" i="1"/>
  <c r="B1178" i="1" s="1"/>
  <c r="B390" i="1"/>
  <c r="B1179" i="1" s="1"/>
  <c r="B407" i="1"/>
  <c r="B1180" i="1" s="1"/>
  <c r="B1181" i="1"/>
  <c r="B468" i="1"/>
  <c r="B1182" i="1" s="1"/>
  <c r="B479" i="1"/>
  <c r="B1183" i="1" s="1"/>
  <c r="B489" i="1"/>
  <c r="B1184" i="1" s="1"/>
  <c r="B1185" i="1"/>
  <c r="B539" i="1"/>
  <c r="B1186" i="1" s="1"/>
  <c r="B1187" i="1"/>
  <c r="B555" i="1"/>
  <c r="B1188" i="1" s="1"/>
  <c r="B565" i="1"/>
  <c r="B1189" i="1" s="1"/>
  <c r="B571" i="1"/>
  <c r="B1190" i="1" s="1"/>
  <c r="B578" i="1"/>
  <c r="B1191" i="1" s="1"/>
  <c r="B593" i="1"/>
  <c r="B1192" i="1" s="1"/>
  <c r="B608" i="1"/>
  <c r="B1193" i="1" s="1"/>
  <c r="B1194" i="1"/>
  <c r="B624" i="1"/>
  <c r="B1195" i="1" s="1"/>
  <c r="B628" i="1"/>
  <c r="B1196" i="1" s="1"/>
  <c r="B1197" i="1"/>
  <c r="B669" i="1"/>
  <c r="B1198" i="1" s="1"/>
  <c r="B679" i="1"/>
  <c r="B1199" i="1" s="1"/>
  <c r="B1200" i="1"/>
  <c r="B728" i="1"/>
  <c r="B1201" i="1" s="1"/>
  <c r="B774" i="1"/>
  <c r="B1202" i="1" s="1"/>
  <c r="B1203" i="1"/>
  <c r="B843" i="1"/>
  <c r="B1204" i="1" s="1"/>
  <c r="B1205" i="1"/>
  <c r="B1206" i="1"/>
  <c r="B891" i="1"/>
  <c r="B1207" i="1" s="1"/>
  <c r="B1033" i="1"/>
  <c r="B1231" i="1" s="1"/>
  <c r="B968" i="1"/>
  <c r="B1215" i="1" s="1"/>
  <c r="B984" i="1"/>
  <c r="B1219" i="1" s="1"/>
  <c r="B992" i="1"/>
  <c r="B1221" i="1" s="1"/>
  <c r="B988" i="1"/>
  <c r="B1220" i="1" s="1"/>
  <c r="B1009" i="1"/>
  <c r="B1225" i="1" s="1"/>
  <c r="B1013" i="1"/>
  <c r="B1226" i="1" s="1"/>
  <c r="B1017" i="1"/>
  <c r="B1227" i="1" s="1"/>
  <c r="B1021" i="1"/>
  <c r="B1228" i="1" s="1"/>
  <c r="B1230" i="1"/>
  <c r="B1045" i="1"/>
  <c r="B1234" i="1" s="1"/>
  <c r="B1081" i="1"/>
  <c r="B1243" i="1" s="1"/>
  <c r="B943" i="1"/>
  <c r="B1209" i="1" s="1"/>
  <c r="B952" i="1"/>
  <c r="B1211" i="1" s="1"/>
  <c r="B956" i="1"/>
  <c r="B1212" i="1" s="1"/>
  <c r="B960" i="1"/>
  <c r="B1213" i="1" s="1"/>
  <c r="B964" i="1"/>
  <c r="B1214" i="1" s="1"/>
  <c r="B1089" i="1"/>
  <c r="B1245" i="1" s="1"/>
  <c r="G1020" i="1"/>
  <c r="H1020" i="1" s="1"/>
  <c r="G1080" i="1"/>
  <c r="H1080" i="1" s="1"/>
  <c r="G987" i="1"/>
  <c r="H987" i="1" s="1"/>
  <c r="G703" i="1"/>
  <c r="H703" i="1" s="1"/>
  <c r="G710" i="1"/>
  <c r="H710" i="1"/>
  <c r="G707" i="1"/>
  <c r="H707" i="1" s="1"/>
  <c r="G527" i="1"/>
  <c r="H527" i="1" s="1"/>
  <c r="G516" i="1"/>
  <c r="H516" i="1" s="1"/>
  <c r="G416" i="1"/>
  <c r="H416" i="1" s="1"/>
  <c r="G627" i="1"/>
  <c r="H627" i="1" s="1"/>
  <c r="G1012" i="1"/>
  <c r="H1012" i="1" s="1"/>
  <c r="G478" i="1"/>
  <c r="H478" i="1" s="1"/>
  <c r="G157" i="1"/>
  <c r="H157" i="1" s="1"/>
  <c r="G87" i="1"/>
  <c r="H87" i="1" s="1"/>
  <c r="G399" i="1"/>
  <c r="H399" i="1"/>
  <c r="G243" i="1"/>
  <c r="H243" i="1"/>
  <c r="G208" i="1"/>
  <c r="H208" i="1"/>
  <c r="G182" i="1"/>
  <c r="H182" i="1"/>
  <c r="G842" i="1"/>
  <c r="H842" i="1"/>
  <c r="G841" i="1"/>
  <c r="H841" i="1"/>
  <c r="G840" i="1"/>
  <c r="H840" i="1"/>
  <c r="G839" i="1"/>
  <c r="H839" i="1"/>
  <c r="G838" i="1"/>
  <c r="H838" i="1"/>
  <c r="G830" i="1"/>
  <c r="H830" i="1"/>
  <c r="G836" i="1"/>
  <c r="H836" i="1"/>
  <c r="G835" i="1"/>
  <c r="H835" i="1"/>
  <c r="G832" i="1"/>
  <c r="H832" i="1"/>
  <c r="G828" i="1"/>
  <c r="H828" i="1"/>
  <c r="G827" i="1"/>
  <c r="H827" i="1"/>
  <c r="G825" i="1"/>
  <c r="H825" i="1"/>
  <c r="G563" i="1"/>
  <c r="H563" i="1" s="1"/>
  <c r="G967" i="1"/>
  <c r="H967" i="1" s="1"/>
  <c r="G1016" i="1"/>
  <c r="G1100" i="1"/>
  <c r="H1100" i="1" s="1"/>
  <c r="G975" i="1"/>
  <c r="H975" i="1" s="1"/>
  <c r="G1088" i="1"/>
  <c r="H1088" i="1" s="1"/>
  <c r="G963" i="1"/>
  <c r="G959" i="1"/>
  <c r="H959" i="1" s="1"/>
  <c r="G955" i="1"/>
  <c r="H955" i="1" s="1"/>
  <c r="G951" i="1"/>
  <c r="H951" i="1" s="1"/>
  <c r="G942" i="1"/>
  <c r="H942" i="1" s="1"/>
  <c r="H940" i="1"/>
  <c r="G1044" i="1"/>
  <c r="H1044" i="1" s="1"/>
  <c r="G1008" i="1"/>
  <c r="H1008" i="1" s="1"/>
  <c r="G991" i="1"/>
  <c r="H991" i="1" s="1"/>
  <c r="G983" i="1"/>
  <c r="H983" i="1" s="1"/>
  <c r="G1032" i="1"/>
  <c r="H1032" i="1" s="1"/>
  <c r="G890" i="1"/>
  <c r="H890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G863" i="1"/>
  <c r="H863" i="1" s="1"/>
  <c r="H862" i="1"/>
  <c r="H861" i="1"/>
  <c r="H860" i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0" i="1"/>
  <c r="H850" i="1" s="1"/>
  <c r="G849" i="1"/>
  <c r="H849" i="1" s="1"/>
  <c r="G848" i="1"/>
  <c r="H848" i="1" s="1"/>
  <c r="G847" i="1"/>
  <c r="H847" i="1" s="1"/>
  <c r="G846" i="1"/>
  <c r="H846" i="1" s="1"/>
  <c r="G829" i="1"/>
  <c r="H829" i="1" s="1"/>
  <c r="G831" i="1"/>
  <c r="H831" i="1" s="1"/>
  <c r="G824" i="1"/>
  <c r="H824" i="1" s="1"/>
  <c r="G823" i="1"/>
  <c r="H823" i="1" s="1"/>
  <c r="G819" i="1"/>
  <c r="H819" i="1" s="1"/>
  <c r="G817" i="1"/>
  <c r="H817" i="1" s="1"/>
  <c r="G816" i="1"/>
  <c r="H816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27" i="1"/>
  <c r="H727" i="1" s="1"/>
  <c r="G726" i="1"/>
  <c r="H726" i="1" s="1"/>
  <c r="G725" i="1"/>
  <c r="H725" i="1" s="1"/>
  <c r="G724" i="1"/>
  <c r="H724" i="1" s="1"/>
  <c r="G720" i="1"/>
  <c r="H720" i="1" s="1"/>
  <c r="G718" i="1"/>
  <c r="H718" i="1" s="1"/>
  <c r="G717" i="1"/>
  <c r="H717" i="1" s="1"/>
  <c r="G716" i="1"/>
  <c r="H716" i="1" s="1"/>
  <c r="G714" i="1"/>
  <c r="H714" i="1" s="1"/>
  <c r="G713" i="1"/>
  <c r="H713" i="1" s="1"/>
  <c r="G712" i="1"/>
  <c r="H712" i="1" s="1"/>
  <c r="G711" i="1"/>
  <c r="H711" i="1" s="1"/>
  <c r="G709" i="1"/>
  <c r="H709" i="1" s="1"/>
  <c r="G708" i="1"/>
  <c r="H708" i="1" s="1"/>
  <c r="G706" i="1"/>
  <c r="H706" i="1" s="1"/>
  <c r="G704" i="1"/>
  <c r="H704" i="1" s="1"/>
  <c r="G702" i="1"/>
  <c r="H702" i="1" s="1"/>
  <c r="G701" i="1"/>
  <c r="H701" i="1" s="1"/>
  <c r="G700" i="1"/>
  <c r="H700" i="1" s="1"/>
  <c r="G699" i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G667" i="1"/>
  <c r="H667" i="1" s="1"/>
  <c r="G666" i="1"/>
  <c r="H666" i="1" s="1"/>
  <c r="G665" i="1"/>
  <c r="H665" i="1" s="1"/>
  <c r="G663" i="1"/>
  <c r="H663" i="1" s="1"/>
  <c r="G662" i="1"/>
  <c r="H662" i="1" s="1"/>
  <c r="G661" i="1"/>
  <c r="G659" i="1"/>
  <c r="H659" i="1" s="1"/>
  <c r="G658" i="1"/>
  <c r="H658" i="1" s="1"/>
  <c r="G657" i="1"/>
  <c r="G653" i="1"/>
  <c r="H653" i="1" s="1"/>
  <c r="G652" i="1"/>
  <c r="H652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23" i="1"/>
  <c r="H623" i="1" s="1"/>
  <c r="G622" i="1"/>
  <c r="H622" i="1" s="1"/>
  <c r="G621" i="1"/>
  <c r="H621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07" i="1"/>
  <c r="H607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77" i="1"/>
  <c r="H577" i="1" s="1"/>
  <c r="G576" i="1"/>
  <c r="H576" i="1" s="1"/>
  <c r="G575" i="1"/>
  <c r="H575" i="1" s="1"/>
  <c r="G574" i="1"/>
  <c r="H574" i="1" s="1"/>
  <c r="G570" i="1"/>
  <c r="H570" i="1" s="1"/>
  <c r="G569" i="1"/>
  <c r="H569" i="1" s="1"/>
  <c r="G568" i="1"/>
  <c r="H568" i="1" s="1"/>
  <c r="G564" i="1"/>
  <c r="H564" i="1" s="1"/>
  <c r="G562" i="1"/>
  <c r="H562" i="1" s="1"/>
  <c r="G561" i="1"/>
  <c r="H561" i="1" s="1"/>
  <c r="G560" i="1"/>
  <c r="H560" i="1" s="1"/>
  <c r="G559" i="1"/>
  <c r="H559" i="1" s="1"/>
  <c r="G558" i="1"/>
  <c r="H558" i="1" s="1"/>
  <c r="G554" i="1"/>
  <c r="H554" i="1" s="1"/>
  <c r="G553" i="1"/>
  <c r="H553" i="1" s="1"/>
  <c r="G552" i="1"/>
  <c r="H552" i="1" s="1"/>
  <c r="G538" i="1"/>
  <c r="H538" i="1" s="1"/>
  <c r="G537" i="1"/>
  <c r="H537" i="1" s="1"/>
  <c r="G536" i="1"/>
  <c r="H536" i="1" s="1"/>
  <c r="G535" i="1"/>
  <c r="H535" i="1" s="1"/>
  <c r="G533" i="1"/>
  <c r="H533" i="1" s="1"/>
  <c r="G531" i="1"/>
  <c r="H531" i="1" s="1"/>
  <c r="G530" i="1"/>
  <c r="H530" i="1" s="1"/>
  <c r="G529" i="1"/>
  <c r="H529" i="1" s="1"/>
  <c r="G528" i="1"/>
  <c r="H528" i="1" s="1"/>
  <c r="G526" i="1"/>
  <c r="H526" i="1" s="1"/>
  <c r="G525" i="1"/>
  <c r="H525" i="1" s="1"/>
  <c r="G524" i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5" i="1"/>
  <c r="H495" i="1" s="1"/>
  <c r="G494" i="1"/>
  <c r="H494" i="1" s="1"/>
  <c r="G492" i="1"/>
  <c r="H492" i="1" s="1"/>
  <c r="G488" i="1"/>
  <c r="H488" i="1" s="1"/>
  <c r="G487" i="1"/>
  <c r="H487" i="1" s="1"/>
  <c r="G486" i="1"/>
  <c r="H486" i="1" s="1"/>
  <c r="G485" i="1"/>
  <c r="H485" i="1" s="1"/>
  <c r="G484" i="1"/>
  <c r="H484" i="1" s="1"/>
  <c r="G477" i="1"/>
  <c r="H477" i="1" s="1"/>
  <c r="G476" i="1"/>
  <c r="H476" i="1" s="1"/>
  <c r="G475" i="1"/>
  <c r="H475" i="1" s="1"/>
  <c r="G474" i="1"/>
  <c r="H474" i="1" s="1"/>
  <c r="G473" i="1"/>
  <c r="G472" i="1"/>
  <c r="H472" i="1" s="1"/>
  <c r="G471" i="1"/>
  <c r="H471" i="1" s="1"/>
  <c r="G467" i="1"/>
  <c r="H467" i="1" s="1"/>
  <c r="G466" i="1"/>
  <c r="H466" i="1" s="1"/>
  <c r="G465" i="1"/>
  <c r="H465" i="1" s="1"/>
  <c r="G464" i="1"/>
  <c r="H464" i="1" s="1"/>
  <c r="G463" i="1"/>
  <c r="H463" i="1" s="1"/>
  <c r="G459" i="1"/>
  <c r="H459" i="1" s="1"/>
  <c r="G457" i="1"/>
  <c r="H457" i="1" s="1"/>
  <c r="G456" i="1"/>
  <c r="H456" i="1" s="1"/>
  <c r="G454" i="1"/>
  <c r="H454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7" i="1"/>
  <c r="H417" i="1" s="1"/>
  <c r="G413" i="1"/>
  <c r="H413" i="1" s="1"/>
  <c r="G412" i="1"/>
  <c r="H412" i="1" s="1"/>
  <c r="G411" i="1"/>
  <c r="H411" i="1" s="1"/>
  <c r="G410" i="1"/>
  <c r="H410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G400" i="1"/>
  <c r="H400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297" i="1"/>
  <c r="H297" i="1" s="1"/>
  <c r="G296" i="1"/>
  <c r="H296" i="1" s="1"/>
  <c r="G295" i="1"/>
  <c r="H295" i="1" s="1"/>
  <c r="G291" i="1"/>
  <c r="H291" i="1" s="1"/>
  <c r="G289" i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49" i="1"/>
  <c r="H249" i="1" s="1"/>
  <c r="G248" i="1"/>
  <c r="H248" i="1" s="1"/>
  <c r="G246" i="1"/>
  <c r="H246" i="1" s="1"/>
  <c r="G245" i="1"/>
  <c r="H245" i="1" s="1"/>
  <c r="G244" i="1"/>
  <c r="H244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09" i="1"/>
  <c r="H209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6" i="1"/>
  <c r="H166" i="1" s="1"/>
  <c r="G165" i="1"/>
  <c r="H165" i="1" s="1"/>
  <c r="G163" i="1"/>
  <c r="H163" i="1" s="1"/>
  <c r="G162" i="1"/>
  <c r="H162" i="1" s="1"/>
  <c r="G158" i="1"/>
  <c r="H158" i="1" s="1"/>
  <c r="G153" i="1"/>
  <c r="H153" i="1" s="1"/>
  <c r="G152" i="1"/>
  <c r="H152" i="1" s="1"/>
  <c r="G150" i="1"/>
  <c r="H150" i="1" s="1"/>
  <c r="G149" i="1"/>
  <c r="H149" i="1" s="1"/>
  <c r="G148" i="1"/>
  <c r="H148" i="1" s="1"/>
  <c r="G147" i="1"/>
  <c r="H147" i="1" s="1"/>
  <c r="G146" i="1"/>
  <c r="H146" i="1" s="1"/>
  <c r="G140" i="1"/>
  <c r="H140" i="1" s="1"/>
  <c r="G139" i="1"/>
  <c r="H139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1" i="1"/>
  <c r="H121" i="1" s="1"/>
  <c r="G120" i="1"/>
  <c r="H120" i="1" s="1"/>
  <c r="G118" i="1"/>
  <c r="H118" i="1" s="1"/>
  <c r="G117" i="1"/>
  <c r="H117" i="1" s="1"/>
  <c r="G110" i="1"/>
  <c r="H110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86" i="1"/>
  <c r="H86" i="1" s="1"/>
  <c r="G85" i="1"/>
  <c r="H85" i="1" s="1"/>
  <c r="G84" i="1"/>
  <c r="H84" i="1" s="1"/>
  <c r="H80" i="1"/>
  <c r="H35" i="1"/>
  <c r="H52" i="1"/>
  <c r="H289" i="1"/>
  <c r="H304" i="1"/>
  <c r="H321" i="1"/>
  <c r="H347" i="1"/>
  <c r="H363" i="1"/>
  <c r="H524" i="1"/>
  <c r="H657" i="1"/>
  <c r="H661" i="1"/>
  <c r="H682" i="1"/>
  <c r="H699" i="1"/>
  <c r="H807" i="1"/>
  <c r="H867" i="1"/>
  <c r="H963" i="1"/>
  <c r="F1234" i="1"/>
  <c r="F1228" i="1"/>
  <c r="F1201" i="1"/>
  <c r="F1214" i="1"/>
  <c r="F1212" i="1"/>
  <c r="F1209" i="1"/>
  <c r="F1230" i="1"/>
  <c r="F1227" i="1"/>
  <c r="F1225" i="1"/>
  <c r="H1016" i="1"/>
  <c r="F489" i="1"/>
  <c r="F1184" i="1" s="1"/>
  <c r="G141" i="1"/>
  <c r="H141" i="1" s="1"/>
  <c r="B1261" i="1"/>
  <c r="B1248" i="1" l="1"/>
  <c r="D1186" i="1"/>
  <c r="D1179" i="1"/>
  <c r="D1174" i="1"/>
  <c r="H350" i="1"/>
  <c r="G390" i="1"/>
  <c r="H390" i="1" s="1"/>
  <c r="G952" i="1"/>
  <c r="G1211" i="1" s="1"/>
  <c r="G1017" i="1"/>
  <c r="H1017" i="1" s="1"/>
  <c r="G976" i="1"/>
  <c r="H976" i="1" s="1"/>
  <c r="G964" i="1"/>
  <c r="G1214" i="1" s="1"/>
  <c r="G988" i="1"/>
  <c r="H988" i="1" s="1"/>
  <c r="G267" i="1"/>
  <c r="G1009" i="1"/>
  <c r="H1009" i="1" s="1"/>
  <c r="G943" i="1"/>
  <c r="H943" i="1" s="1"/>
  <c r="H542" i="1"/>
  <c r="G549" i="1"/>
  <c r="H549" i="1" s="1"/>
  <c r="G1220" i="1"/>
  <c r="H1220" i="1" s="1"/>
  <c r="G88" i="1"/>
  <c r="G1169" i="1" s="1"/>
  <c r="H1169" i="1" s="1"/>
  <c r="G159" i="1"/>
  <c r="G1173" i="1" s="1"/>
  <c r="G1033" i="1"/>
  <c r="H1033" i="1" s="1"/>
  <c r="G992" i="1"/>
  <c r="H992" i="1" s="1"/>
  <c r="G956" i="1"/>
  <c r="G1212" i="1" s="1"/>
  <c r="H1212" i="1" s="1"/>
  <c r="G1101" i="1"/>
  <c r="G1252" i="1" s="1"/>
  <c r="H1252" i="1" s="1"/>
  <c r="G1021" i="1"/>
  <c r="H1021" i="1" s="1"/>
  <c r="G1089" i="1"/>
  <c r="G1245" i="1" s="1"/>
  <c r="H1245" i="1" s="1"/>
  <c r="G1152" i="1"/>
  <c r="G1117" i="1"/>
  <c r="H1117" i="1" s="1"/>
  <c r="H473" i="1"/>
  <c r="E1213" i="1"/>
  <c r="G960" i="1"/>
  <c r="G1213" i="1" s="1"/>
  <c r="E1234" i="1"/>
  <c r="G1045" i="1"/>
  <c r="G1234" i="1" s="1"/>
  <c r="E1226" i="1"/>
  <c r="G1013" i="1"/>
  <c r="G1221" i="1"/>
  <c r="H1221" i="1" s="1"/>
  <c r="G1227" i="1"/>
  <c r="G489" i="1"/>
  <c r="G1184" i="1" s="1"/>
  <c r="H1184" i="1" s="1"/>
  <c r="G1171" i="1"/>
  <c r="H1171" i="1" s="1"/>
  <c r="G1225" i="1"/>
  <c r="H1225" i="1" s="1"/>
  <c r="G1081" i="1"/>
  <c r="G1243" i="1" s="1"/>
  <c r="H290" i="1"/>
  <c r="G1228" i="1"/>
  <c r="H1228" i="1" s="1"/>
  <c r="H88" i="1"/>
  <c r="F1255" i="1"/>
  <c r="G1125" i="1"/>
  <c r="G1256" i="1" s="1"/>
  <c r="G81" i="1"/>
  <c r="G968" i="1"/>
  <c r="G280" i="1"/>
  <c r="D1256" i="1"/>
  <c r="F1256" i="1"/>
  <c r="F1203" i="1"/>
  <c r="G1163" i="1"/>
  <c r="H1163" i="1" s="1"/>
  <c r="G1258" i="1"/>
  <c r="H1258" i="1" s="1"/>
  <c r="G984" i="1"/>
  <c r="G728" i="1"/>
  <c r="G721" i="1"/>
  <c r="G496" i="1"/>
  <c r="G298" i="1"/>
  <c r="H298" i="1" s="1"/>
  <c r="H1173" i="1"/>
  <c r="F1231" i="1"/>
  <c r="F1198" i="1"/>
  <c r="G669" i="1"/>
  <c r="F864" i="1"/>
  <c r="F774" i="1"/>
  <c r="F654" i="1"/>
  <c r="H1152" i="1"/>
  <c r="F891" i="1"/>
  <c r="F876" i="1"/>
  <c r="F843" i="1"/>
  <c r="F679" i="1"/>
  <c r="F624" i="1"/>
  <c r="F608" i="1"/>
  <c r="G608" i="1" s="1"/>
  <c r="F593" i="1"/>
  <c r="F565" i="1"/>
  <c r="G565" i="1" s="1"/>
  <c r="F479" i="1"/>
  <c r="G479" i="1" s="1"/>
  <c r="F460" i="1"/>
  <c r="G460" i="1" s="1"/>
  <c r="F292" i="1"/>
  <c r="G1112" i="1"/>
  <c r="G1254" i="1" s="1"/>
  <c r="F571" i="1"/>
  <c r="F555" i="1"/>
  <c r="F539" i="1"/>
  <c r="F468" i="1"/>
  <c r="F407" i="1"/>
  <c r="F250" i="1"/>
  <c r="F154" i="1"/>
  <c r="D1213" i="1"/>
  <c r="D1211" i="1"/>
  <c r="D628" i="1"/>
  <c r="D1189" i="1"/>
  <c r="H401" i="1"/>
  <c r="H506" i="1"/>
  <c r="G578" i="1"/>
  <c r="E1214" i="1"/>
  <c r="D1243" i="1"/>
  <c r="D1227" i="1"/>
  <c r="D1193" i="1"/>
  <c r="D1183" i="1"/>
  <c r="G112" i="1"/>
  <c r="H1112" i="1"/>
  <c r="F1259" i="1"/>
  <c r="G1130" i="1"/>
  <c r="D1257" i="1"/>
  <c r="G1121" i="1"/>
  <c r="D1255" i="1"/>
  <c r="G1156" i="1"/>
  <c r="G1104" i="1"/>
  <c r="F1108" i="1"/>
  <c r="D1261" i="1" l="1"/>
  <c r="G1231" i="1"/>
  <c r="H1231" i="1" s="1"/>
  <c r="H956" i="1"/>
  <c r="H960" i="1"/>
  <c r="H952" i="1"/>
  <c r="H1081" i="1"/>
  <c r="H1045" i="1"/>
  <c r="H964" i="1"/>
  <c r="H159" i="1"/>
  <c r="G1217" i="1"/>
  <c r="H1217" i="1" s="1"/>
  <c r="G1230" i="1"/>
  <c r="H1230" i="1" s="1"/>
  <c r="G1209" i="1"/>
  <c r="H1209" i="1" s="1"/>
  <c r="H1101" i="1"/>
  <c r="H1256" i="1"/>
  <c r="H267" i="1"/>
  <c r="G1175" i="1"/>
  <c r="H1175" i="1" s="1"/>
  <c r="H1089" i="1"/>
  <c r="H489" i="1"/>
  <c r="H1234" i="1"/>
  <c r="H1013" i="1"/>
  <c r="G1226" i="1"/>
  <c r="H1226" i="1" s="1"/>
  <c r="G1260" i="1"/>
  <c r="H1260" i="1" s="1"/>
  <c r="H1125" i="1"/>
  <c r="H112" i="1"/>
  <c r="G1176" i="1"/>
  <c r="H1176" i="1" s="1"/>
  <c r="H280" i="1"/>
  <c r="G1215" i="1"/>
  <c r="H1215" i="1" s="1"/>
  <c r="H968" i="1"/>
  <c r="G1168" i="1"/>
  <c r="H1168" i="1" s="1"/>
  <c r="H81" i="1"/>
  <c r="G1219" i="1"/>
  <c r="H984" i="1"/>
  <c r="G1203" i="1"/>
  <c r="H1203" i="1" s="1"/>
  <c r="H820" i="1"/>
  <c r="G1201" i="1"/>
  <c r="H1201" i="1" s="1"/>
  <c r="H728" i="1"/>
  <c r="G1200" i="1"/>
  <c r="H1200" i="1" s="1"/>
  <c r="H721" i="1"/>
  <c r="G1187" i="1"/>
  <c r="H1187" i="1" s="1"/>
  <c r="G1185" i="1"/>
  <c r="H1185" i="1" s="1"/>
  <c r="H496" i="1"/>
  <c r="G1178" i="1"/>
  <c r="H1178" i="1" s="1"/>
  <c r="F1174" i="1"/>
  <c r="G250" i="1"/>
  <c r="H250" i="1" s="1"/>
  <c r="F1182" i="1"/>
  <c r="G468" i="1"/>
  <c r="F1188" i="1"/>
  <c r="G555" i="1"/>
  <c r="F1181" i="1"/>
  <c r="F1187" i="1"/>
  <c r="F1192" i="1"/>
  <c r="G593" i="1"/>
  <c r="F1195" i="1"/>
  <c r="G624" i="1"/>
  <c r="F1204" i="1"/>
  <c r="G843" i="1"/>
  <c r="F1207" i="1"/>
  <c r="G891" i="1"/>
  <c r="F1194" i="1"/>
  <c r="F1202" i="1"/>
  <c r="G774" i="1"/>
  <c r="G1198" i="1"/>
  <c r="H1198" i="1" s="1"/>
  <c r="H669" i="1"/>
  <c r="F1172" i="1"/>
  <c r="G154" i="1"/>
  <c r="F1180" i="1"/>
  <c r="G407" i="1"/>
  <c r="F1186" i="1"/>
  <c r="G539" i="1"/>
  <c r="H539" i="1" s="1"/>
  <c r="F1190" i="1"/>
  <c r="G571" i="1"/>
  <c r="F1177" i="1"/>
  <c r="G292" i="1"/>
  <c r="F1183" i="1"/>
  <c r="F1189" i="1"/>
  <c r="F1193" i="1"/>
  <c r="F1199" i="1"/>
  <c r="G679" i="1"/>
  <c r="F1206" i="1"/>
  <c r="G876" i="1"/>
  <c r="F1197" i="1"/>
  <c r="G654" i="1"/>
  <c r="F1205" i="1"/>
  <c r="G864" i="1"/>
  <c r="F1253" i="1"/>
  <c r="F1261" i="1" s="1"/>
  <c r="G1108" i="1"/>
  <c r="H1104" i="1"/>
  <c r="G1179" i="1"/>
  <c r="G1183" i="1"/>
  <c r="H1183" i="1" s="1"/>
  <c r="H479" i="1"/>
  <c r="G1193" i="1"/>
  <c r="H1193" i="1" s="1"/>
  <c r="H608" i="1"/>
  <c r="G1189" i="1"/>
  <c r="H565" i="1"/>
  <c r="G628" i="1"/>
  <c r="H628" i="1" s="1"/>
  <c r="D1196" i="1"/>
  <c r="E1248" i="1"/>
  <c r="H1211" i="1"/>
  <c r="H1213" i="1"/>
  <c r="G1259" i="1"/>
  <c r="H1156" i="1"/>
  <c r="G1255" i="1"/>
  <c r="H1121" i="1"/>
  <c r="G1257" i="1"/>
  <c r="H1130" i="1"/>
  <c r="H1254" i="1"/>
  <c r="D1170" i="1"/>
  <c r="G113" i="1"/>
  <c r="H113" i="1" s="1"/>
  <c r="H1227" i="1"/>
  <c r="H1239" i="1"/>
  <c r="H1243" i="1"/>
  <c r="H1214" i="1"/>
  <c r="H1247" i="1"/>
  <c r="G1181" i="1"/>
  <c r="H460" i="1"/>
  <c r="G1191" i="1"/>
  <c r="H578" i="1"/>
  <c r="H1189" i="1"/>
  <c r="H1219" i="1" l="1"/>
  <c r="G1205" i="1"/>
  <c r="H1205" i="1" s="1"/>
  <c r="H864" i="1"/>
  <c r="G1197" i="1"/>
  <c r="H1197" i="1" s="1"/>
  <c r="H654" i="1"/>
  <c r="H876" i="1"/>
  <c r="G1206" i="1"/>
  <c r="H1206" i="1" s="1"/>
  <c r="G1199" i="1"/>
  <c r="H679" i="1"/>
  <c r="G1177" i="1"/>
  <c r="H1177" i="1" s="1"/>
  <c r="H292" i="1"/>
  <c r="G1190" i="1"/>
  <c r="H1190" i="1" s="1"/>
  <c r="H571" i="1"/>
  <c r="G1186" i="1"/>
  <c r="H1186" i="1" s="1"/>
  <c r="G1180" i="1"/>
  <c r="H1180" i="1" s="1"/>
  <c r="H407" i="1"/>
  <c r="F1248" i="1"/>
  <c r="G1182" i="1"/>
  <c r="H1182" i="1" s="1"/>
  <c r="H468" i="1"/>
  <c r="G1172" i="1"/>
  <c r="H1172" i="1" s="1"/>
  <c r="H154" i="1"/>
  <c r="G1202" i="1"/>
  <c r="H1202" i="1" s="1"/>
  <c r="H774" i="1"/>
  <c r="H618" i="1"/>
  <c r="G1194" i="1"/>
  <c r="H1194" i="1" s="1"/>
  <c r="G1207" i="1"/>
  <c r="H1207" i="1" s="1"/>
  <c r="H891" i="1"/>
  <c r="G1204" i="1"/>
  <c r="H1204" i="1" s="1"/>
  <c r="H843" i="1"/>
  <c r="G1195" i="1"/>
  <c r="H1195" i="1" s="1"/>
  <c r="H624" i="1"/>
  <c r="G1192" i="1"/>
  <c r="H1192" i="1" s="1"/>
  <c r="H593" i="1"/>
  <c r="G1188" i="1"/>
  <c r="H1188" i="1" s="1"/>
  <c r="H555" i="1"/>
  <c r="G1174" i="1"/>
  <c r="H1174" i="1" s="1"/>
  <c r="H1181" i="1"/>
  <c r="G1170" i="1"/>
  <c r="H1170" i="1" s="1"/>
  <c r="H1179" i="1"/>
  <c r="H1255" i="1"/>
  <c r="H1191" i="1"/>
  <c r="H1259" i="1"/>
  <c r="G1196" i="1"/>
  <c r="G1253" i="1"/>
  <c r="H1108" i="1"/>
  <c r="H1257" i="1"/>
  <c r="H1199" i="1" l="1"/>
  <c r="G1248" i="1"/>
  <c r="H1248" i="1" s="1"/>
  <c r="H1253" i="1"/>
  <c r="G1261" i="1"/>
  <c r="H1196" i="1"/>
  <c r="H1261" i="1" l="1"/>
</calcChain>
</file>

<file path=xl/sharedStrings.xml><?xml version="1.0" encoding="utf-8"?>
<sst xmlns="http://schemas.openxmlformats.org/spreadsheetml/2006/main" count="1354" uniqueCount="1001">
  <si>
    <t>SCH</t>
  </si>
  <si>
    <t>ENROLLMENT</t>
  </si>
  <si>
    <t>TOTAL</t>
  </si>
  <si>
    <t>F/R</t>
  </si>
  <si>
    <t>NO.</t>
  </si>
  <si>
    <t>CODE</t>
  </si>
  <si>
    <t>SCHOOL NAMES</t>
  </si>
  <si>
    <t>FREE-E</t>
  </si>
  <si>
    <t>RED-E</t>
  </si>
  <si>
    <t>PAID-E</t>
  </si>
  <si>
    <t>ENROLLED</t>
  </si>
  <si>
    <t>%</t>
  </si>
  <si>
    <t>ALPINE DISTRICT</t>
  </si>
  <si>
    <t>AMERICAN FORK JR</t>
  </si>
  <si>
    <t>CANYON VIEW JR.</t>
  </si>
  <si>
    <t>LAKERIDGE JR</t>
  </si>
  <si>
    <t>LEHI JR.</t>
  </si>
  <si>
    <t>OAK CANYON JR.</t>
  </si>
  <si>
    <t>PLEASANT GROVE JR</t>
  </si>
  <si>
    <t>TIMPANOGOS HIGH</t>
  </si>
  <si>
    <t>TOTALS</t>
  </si>
  <si>
    <t>BEAVER DISTRICT</t>
  </si>
  <si>
    <t>BEAVER HIGH</t>
  </si>
  <si>
    <t>BOX ELDER DISTRICT</t>
  </si>
  <si>
    <t>ALICE C HARRIS INT.</t>
  </si>
  <si>
    <t>ADELE C YOUNG INT.</t>
  </si>
  <si>
    <t>BEAR RIVER MIDDLE</t>
  </si>
  <si>
    <t>BOX ELDER MIDDLE</t>
  </si>
  <si>
    <t>BEAR RIVER HIGH</t>
  </si>
  <si>
    <t>BOX ELDER HIGH</t>
  </si>
  <si>
    <t>CACHE DISTRICT</t>
  </si>
  <si>
    <t>CEDAR RIDGE MIDDLE</t>
  </si>
  <si>
    <t>SPRING CREEK MIDDLE</t>
  </si>
  <si>
    <t>WILLOW VALLEY MIDDLE</t>
  </si>
  <si>
    <t>NO CACHE 8/9 CTR</t>
  </si>
  <si>
    <t>SO CACHE 8/9 CTR</t>
  </si>
  <si>
    <t>CARBON DISTRICT</t>
  </si>
  <si>
    <t>MONT HARMON JR</t>
  </si>
  <si>
    <t>CARBON HIGH</t>
  </si>
  <si>
    <t>LIGHTHOUSE LEARNING</t>
  </si>
  <si>
    <t>DAGGETT DISTRICT</t>
  </si>
  <si>
    <t>DAVIS DISTRICT</t>
  </si>
  <si>
    <t>MORGAN</t>
  </si>
  <si>
    <t>WASATCH</t>
  </si>
  <si>
    <t>WASHINGTON</t>
  </si>
  <si>
    <t>DAVIS</t>
  </si>
  <si>
    <t>MOUNTAIN HIGH</t>
  </si>
  <si>
    <t>DAVIS JR ALT</t>
  </si>
  <si>
    <t>DUCHESNE</t>
  </si>
  <si>
    <t>ROOSEVELT MIDDLE</t>
  </si>
  <si>
    <t>ROOSEVELT JR HIGH</t>
  </si>
  <si>
    <t>ALTAMONT HIGH</t>
  </si>
  <si>
    <t>DUCHESNE HIGH</t>
  </si>
  <si>
    <t>TABIONA HIGH</t>
  </si>
  <si>
    <t>UNION HIGH</t>
  </si>
  <si>
    <t>THOMPSEN SCHOOL</t>
  </si>
  <si>
    <t>EMERY</t>
  </si>
  <si>
    <t>GREEN RIVER HIGH</t>
  </si>
  <si>
    <t>EMERY HIGH</t>
  </si>
  <si>
    <t>GARFIELD</t>
  </si>
  <si>
    <t>ESCALANTE HIGH</t>
  </si>
  <si>
    <t>GRAND</t>
  </si>
  <si>
    <t>GRAND COUNTY HIGH</t>
  </si>
  <si>
    <t>GRANITE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</si>
  <si>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</si>
  <si>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</si>
  <si>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</si>
  <si>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</si>
  <si>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</si>
  <si>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</si>
  <si>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</si>
  <si>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</si>
  <si>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IRON</t>
  </si>
  <si>
    <t>CEDAR NORTH ELEM</t>
  </si>
  <si>
    <t>CEDAR SOUTH ELEM</t>
  </si>
  <si>
    <t>ESCALANTE VALLEY ELEM</t>
  </si>
  <si>
    <t>FIDDLERS CANYON ELEM</t>
  </si>
  <si>
    <t>PAROWAN ELEM/HIGH</t>
  </si>
  <si>
    <t>CEDAR MIDDLE</t>
  </si>
  <si>
    <t>CANYON VIEW HIGH</t>
  </si>
  <si>
    <t>JORDAN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</si>
  <si>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</si>
  <si>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</si>
  <si>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</si>
  <si>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</si>
  <si>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</si>
  <si>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</si>
  <si>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OQUIRRH HILLS MIDDLE</t>
  </si>
  <si>
    <t>UNION MIDDLE</t>
  </si>
  <si>
    <t>SOUTH JORDAN MIDDLE</t>
  </si>
  <si>
    <t>WEST JORDAN MIDDLE</t>
  </si>
  <si>
    <t>ELKRIDGE MIDDLE</t>
  </si>
  <si>
    <t>WEST HILLS MIDDLE</t>
  </si>
  <si>
    <t>SOUTH HILLS MIDDLE</t>
  </si>
  <si>
    <t>ALTA HIGH</t>
  </si>
  <si>
    <t>COPPER HILLS HIGH</t>
  </si>
  <si>
    <t>BINGHAM HIGH</t>
  </si>
  <si>
    <t>BRIGHTON HIGH</t>
  </si>
  <si>
    <t>HILLCREST HIGH</t>
  </si>
  <si>
    <t>JORDAN HIGH</t>
  </si>
  <si>
    <t>RIVERTON HIGH</t>
  </si>
  <si>
    <t>WEST JORDAN HIGH</t>
  </si>
  <si>
    <t>SOUTH VALLEY</t>
  </si>
  <si>
    <t>JUAB</t>
  </si>
  <si>
    <t>JUAB HIGH</t>
  </si>
  <si>
    <t>KANE</t>
  </si>
  <si>
    <t>KANAB ELEMENTARY</t>
  </si>
  <si>
    <t>VALLEY ELEMENTARY</t>
  </si>
  <si>
    <t>KANAB MIDDLE</t>
  </si>
  <si>
    <t>KANAB HIGH</t>
  </si>
  <si>
    <t>VALLEY HIGH</t>
  </si>
  <si>
    <t>MILLARD</t>
  </si>
  <si>
    <t>FILLMORE MIDDLE</t>
  </si>
  <si>
    <t>DELTA HIGH</t>
  </si>
  <si>
    <t>MILLARD HIGH</t>
  </si>
  <si>
    <t>MORGAN ELEMENTARY</t>
  </si>
  <si>
    <t>MORGAN MIDDLE</t>
  </si>
  <si>
    <t>MORGAN HIGH</t>
  </si>
  <si>
    <t>NEBO</t>
  </si>
  <si>
    <t>SPRINGVILLE JR</t>
  </si>
  <si>
    <t>LANDMARK HIGH</t>
  </si>
  <si>
    <t>NORTH SANPETE</t>
  </si>
  <si>
    <t>NORTH SANPETE HIGH</t>
  </si>
  <si>
    <t>NORTH SUMMIT</t>
  </si>
  <si>
    <t>NORTH SUMMIT ELEM</t>
  </si>
  <si>
    <t>NORTH SUMMIT MIDDLE</t>
  </si>
  <si>
    <t>NORTH SUMMIT HIGH</t>
  </si>
  <si>
    <t>PARK CITY</t>
  </si>
  <si>
    <t>TREASURE MOUNTAIN MIDD</t>
  </si>
  <si>
    <t>ECKER HILL MIDDLE</t>
  </si>
  <si>
    <t>PIUTE</t>
  </si>
  <si>
    <t>PIUTE HIGH</t>
  </si>
  <si>
    <t>RICH</t>
  </si>
  <si>
    <t>SAN JUAN</t>
  </si>
  <si>
    <t>MONTEZUMA CREEK ELEM</t>
  </si>
  <si>
    <t>MONTICELLO HIGH</t>
  </si>
  <si>
    <t>MONUMENT VALLEY HIGH</t>
  </si>
  <si>
    <t>SAN JUAN HIGH</t>
  </si>
  <si>
    <t>WHITE HORSE HIGH</t>
  </si>
  <si>
    <t>NAVAJO MOUNTAIN HIGH</t>
  </si>
  <si>
    <t>SEVIER</t>
  </si>
  <si>
    <t>NORTH SEVIER MIDDLE</t>
  </si>
  <si>
    <t>SOUTH SEVIER MIDDLE</t>
  </si>
  <si>
    <t>RED HILLS MIDDLE</t>
  </si>
  <si>
    <t>RICHFIELD HIGH</t>
  </si>
  <si>
    <t>SOUTH SEVIER HIGH</t>
  </si>
  <si>
    <t>CEDAR RIDGE HIGH</t>
  </si>
  <si>
    <t>SOUTH SANPETE</t>
  </si>
  <si>
    <t>GUNNISON VALLEY MIDDLE</t>
  </si>
  <si>
    <t>EPHRAIM MIDDLE</t>
  </si>
  <si>
    <t>GUNNISON VALLEY HIGH</t>
  </si>
  <si>
    <t>MANTI HIGH</t>
  </si>
  <si>
    <t>SOUTH SUMMIT</t>
  </si>
  <si>
    <t>SOUTH SUMMIT ELEM</t>
  </si>
  <si>
    <t>SOUTH SUMMIT MIDDLE</t>
  </si>
  <si>
    <t>SOUTH SUMMIT HIGH</t>
  </si>
  <si>
    <t>TINTIC</t>
  </si>
  <si>
    <t>TOOELE</t>
  </si>
  <si>
    <t>GRANTSVILLE HIGH</t>
  </si>
  <si>
    <t>TOOELE HIGH</t>
  </si>
  <si>
    <t>WENDOVER HIGH</t>
  </si>
  <si>
    <t>UINTAH</t>
  </si>
  <si>
    <t>VERNAL MIDDLE</t>
  </si>
  <si>
    <t>VERNAL JUNIOR HIGH</t>
  </si>
  <si>
    <t>UINTAH HIGH</t>
  </si>
  <si>
    <t>WASATCH HIGH</t>
  </si>
  <si>
    <t>DIXIE MIDDLE</t>
  </si>
  <si>
    <t>HURRICANE MIDDLE</t>
  </si>
  <si>
    <t>PINE VIEW MIDDLE</t>
  </si>
  <si>
    <t>SNOW CANYON MIDDLE</t>
  </si>
  <si>
    <t>DIXIE HIGH</t>
  </si>
  <si>
    <t>ENTERPRISE HIGH</t>
  </si>
  <si>
    <t>WAYNE</t>
  </si>
  <si>
    <t xml:space="preserve">WAYNE MIDDLE </t>
  </si>
  <si>
    <t>WAYNE HIGH</t>
  </si>
  <si>
    <t>WEBER</t>
  </si>
  <si>
    <t>BONNEVILLE HIGH</t>
  </si>
  <si>
    <t>WEBER HIGH</t>
  </si>
  <si>
    <t>FREMONT HIGH</t>
  </si>
  <si>
    <t>ROY HIGH</t>
  </si>
  <si>
    <t>CANYON VIEW SCHOOL</t>
  </si>
  <si>
    <t>SALT LAKE</t>
  </si>
  <si>
    <t>OGDEN</t>
  </si>
  <si>
    <t>BEN LOMOND HIGH</t>
  </si>
  <si>
    <t>OGDEN HIGH</t>
  </si>
  <si>
    <t>WASHINGTON HIGH</t>
  </si>
  <si>
    <t>PROVO</t>
  </si>
  <si>
    <t>CENTENNIAL MIDDLE</t>
  </si>
  <si>
    <t>DIXON MIDDLE</t>
  </si>
  <si>
    <t>PROVO HIGH</t>
  </si>
  <si>
    <t>TIMPVIEW HIGH</t>
  </si>
  <si>
    <t>INDEPENDENCE HIGH</t>
  </si>
  <si>
    <t>LOGAN</t>
  </si>
  <si>
    <t>MT LOGAN MIDDLE</t>
  </si>
  <si>
    <t>LOGAN HIGH</t>
  </si>
  <si>
    <t>MURRAY</t>
  </si>
  <si>
    <t>MURRAY HIGH</t>
  </si>
  <si>
    <t>CHRIST LUTHERAN</t>
  </si>
  <si>
    <t>EDITH BOWEN LAB SCHOOL</t>
  </si>
  <si>
    <t>ALL DISTRICTS</t>
  </si>
  <si>
    <t xml:space="preserve">ALPINE </t>
  </si>
  <si>
    <t>BEAVER</t>
  </si>
  <si>
    <t>BOX ELDER</t>
  </si>
  <si>
    <t>CACHE</t>
  </si>
  <si>
    <t>CARBON</t>
  </si>
  <si>
    <t>DAGGETT</t>
  </si>
  <si>
    <t>MANILA HIGH</t>
  </si>
  <si>
    <t>MANILA  ELEM</t>
  </si>
  <si>
    <t>CANYON HEIGHTS</t>
  </si>
  <si>
    <t>BRYCE VALLEY HIGH</t>
  </si>
  <si>
    <t>GRAND COUNTY MIDDLE</t>
  </si>
  <si>
    <t>NORTH RICH ELEM</t>
  </si>
  <si>
    <t>SOUTH RICH ELEM</t>
  </si>
  <si>
    <t>RICH JR HIGH/NRES</t>
  </si>
  <si>
    <t>RICH HIGH/SRES</t>
  </si>
  <si>
    <t>EUREKA ELEM/TINTIC HIGH</t>
  </si>
  <si>
    <t>CENTRO CIVICO</t>
  </si>
  <si>
    <t>NORTH SANPETE MIDDLE</t>
  </si>
  <si>
    <t>HURRICANE HIGH</t>
  </si>
  <si>
    <t xml:space="preserve"> </t>
  </si>
  <si>
    <t>COLUMBUS COMM CTR</t>
  </si>
  <si>
    <t>LOGAN SO CAMPUS</t>
  </si>
  <si>
    <t>GUADALUPE SCHOOL</t>
  </si>
  <si>
    <t>A3</t>
  </si>
  <si>
    <t>KEARNS ST. ANN</t>
  </si>
  <si>
    <t>KU</t>
  </si>
  <si>
    <t>KU1</t>
  </si>
  <si>
    <t>SITES</t>
  </si>
  <si>
    <t>SOUTHWEST EDUC ACAD</t>
  </si>
  <si>
    <t>HORIZONTE</t>
  </si>
  <si>
    <t>SOUTH CITY</t>
  </si>
  <si>
    <t>PINNACLE CANYON</t>
  </si>
  <si>
    <t>WEST HIGH</t>
  </si>
  <si>
    <t>NO DAVIS PREP ACAD</t>
  </si>
  <si>
    <t>FREEDOM ACADEMY</t>
  </si>
  <si>
    <t>DAVINCI ACADEMY</t>
  </si>
  <si>
    <t>OGDEN PREP ACADEMY</t>
  </si>
  <si>
    <t>CITY ACADEMY</t>
  </si>
  <si>
    <t>NUAMES</t>
  </si>
  <si>
    <t>MOUNT JORDAN MIDDLE</t>
  </si>
  <si>
    <t>SUNSET RIDGE MIDDLE</t>
  </si>
  <si>
    <t>FORT HERRIMAN MIDDLE</t>
  </si>
  <si>
    <t>JUAB JR HIGH</t>
  </si>
  <si>
    <t>MILLCREEK HIGH</t>
  </si>
  <si>
    <t>TWO RIVERS HIGH</t>
  </si>
  <si>
    <t>1B</t>
  </si>
  <si>
    <t>UTAH CNTY ACAD SCI</t>
  </si>
  <si>
    <t>WASATCH PEAK ACADEMY</t>
  </si>
  <si>
    <t>4B</t>
  </si>
  <si>
    <t>RONALD REAGAN ACADEMY</t>
  </si>
  <si>
    <t>7B</t>
  </si>
  <si>
    <t>WASATCH PEAK ACAD</t>
  </si>
  <si>
    <t>CANYON VIEW MIDDLE</t>
  </si>
  <si>
    <t>THREE MILE CREEK</t>
  </si>
  <si>
    <t>OAKRIDGE SCHOOL</t>
  </si>
  <si>
    <t>PAYSON HIGH</t>
  </si>
  <si>
    <t>SPANISH FORK HIGH</t>
  </si>
  <si>
    <t>SPRINGVILLE HIGH</t>
  </si>
  <si>
    <t>2C</t>
  </si>
  <si>
    <t>INTECH COLLEGIATE</t>
  </si>
  <si>
    <t>5B</t>
  </si>
  <si>
    <t>NORTHSTAR ACADEMY</t>
  </si>
  <si>
    <t>8B</t>
  </si>
  <si>
    <t>3C</t>
  </si>
  <si>
    <t>ENTHEOS ACADEMY</t>
  </si>
  <si>
    <t>4D</t>
  </si>
  <si>
    <t>SYRACUSE ARTS ACAD</t>
  </si>
  <si>
    <t>MAPLETON JR HIGH</t>
  </si>
  <si>
    <t>AGR</t>
  </si>
  <si>
    <t>1E</t>
  </si>
  <si>
    <t>1E1</t>
  </si>
  <si>
    <t>AM LEADERSHIP ACADEMY</t>
  </si>
  <si>
    <t>WHITE PINE MIDDLE</t>
  </si>
  <si>
    <t>4C</t>
  </si>
  <si>
    <t>LAKEVIEW ACADEMY</t>
  </si>
  <si>
    <t>DIAMOND FORK JR HIGH</t>
  </si>
  <si>
    <t>MT NEBO JR HIGH</t>
  </si>
  <si>
    <t>2D</t>
  </si>
  <si>
    <t>CHANNING HALL</t>
  </si>
  <si>
    <t>4E</t>
  </si>
  <si>
    <t>DUAL IMMERSION ACADEMY</t>
  </si>
  <si>
    <t>DUAL IMMERSION ACAD</t>
  </si>
  <si>
    <t>9D</t>
  </si>
  <si>
    <t>CANYON RIM ACADEMY</t>
  </si>
  <si>
    <t>DESERT HILLS MIDDLE</t>
  </si>
  <si>
    <t>C8</t>
  </si>
  <si>
    <t>C81</t>
  </si>
  <si>
    <t>C82</t>
  </si>
  <si>
    <t>SOUTH CAMPUS</t>
  </si>
  <si>
    <t>KIDS PROGRAM</t>
  </si>
  <si>
    <t>STATE HOSPITAL</t>
  </si>
  <si>
    <t>D6</t>
  </si>
  <si>
    <t>D61</t>
  </si>
  <si>
    <t>G9</t>
  </si>
  <si>
    <t>G91</t>
  </si>
  <si>
    <t>RESIDENTIAL TREATMENT</t>
  </si>
  <si>
    <t>G92</t>
  </si>
  <si>
    <t>WASATCH CANYONS</t>
  </si>
  <si>
    <t>H41</t>
  </si>
  <si>
    <t>CACHE VALL ATTN/DET</t>
  </si>
  <si>
    <t>H42</t>
  </si>
  <si>
    <t>MILLCREEK YOUTH CTR</t>
  </si>
  <si>
    <t>H43</t>
  </si>
  <si>
    <t>WEBER VALLEY DET</t>
  </si>
  <si>
    <t>H44</t>
  </si>
  <si>
    <t>H45</t>
  </si>
  <si>
    <t>HERITAGE SCHOOL</t>
  </si>
  <si>
    <t>KZ</t>
  </si>
  <si>
    <t>KZ1</t>
  </si>
  <si>
    <t>CINNAMON HILLS</t>
  </si>
  <si>
    <t>LY</t>
  </si>
  <si>
    <t>LY1</t>
  </si>
  <si>
    <t>STORM RIDGE RANCH</t>
  </si>
  <si>
    <t>NH</t>
  </si>
  <si>
    <t>NH1</t>
  </si>
  <si>
    <t>NH2</t>
  </si>
  <si>
    <t>STORM RIDGE RANCH SO</t>
  </si>
  <si>
    <t>P31</t>
  </si>
  <si>
    <t>DECKER LAKE</t>
  </si>
  <si>
    <t>GENESIS</t>
  </si>
  <si>
    <t>P33</t>
  </si>
  <si>
    <t>REGION II O&amp;A</t>
  </si>
  <si>
    <t>P34</t>
  </si>
  <si>
    <t>P35</t>
  </si>
  <si>
    <t>SALT LAKE VALLEY DET</t>
  </si>
  <si>
    <t>RED ROCK CANYON</t>
  </si>
  <si>
    <t>RP</t>
  </si>
  <si>
    <t>SL COUNTY YOUTH SVC</t>
  </si>
  <si>
    <t>S4</t>
  </si>
  <si>
    <t>S41</t>
  </si>
  <si>
    <t>BOYS GROUP HOME</t>
  </si>
  <si>
    <t>S42</t>
  </si>
  <si>
    <t>SL CHILD'S CHRISTMAS</t>
  </si>
  <si>
    <t>S43</t>
  </si>
  <si>
    <t>SLCO GIRLS GROUP HM</t>
  </si>
  <si>
    <t>S44</t>
  </si>
  <si>
    <t>SLCO CRISIS INTERVTN</t>
  </si>
  <si>
    <t>S71</t>
  </si>
  <si>
    <t>CANYONLANDS/BLNDG</t>
  </si>
  <si>
    <t>S72</t>
  </si>
  <si>
    <t>S73</t>
  </si>
  <si>
    <t>O&amp;A/SPRINGVILLE</t>
  </si>
  <si>
    <t>S74</t>
  </si>
  <si>
    <t>SLATE CANYON</t>
  </si>
  <si>
    <t>S75</t>
  </si>
  <si>
    <t>SOUTHWEST/CEDAR</t>
  </si>
  <si>
    <t>S76</t>
  </si>
  <si>
    <t>DIXIE AREA DETENTION</t>
  </si>
  <si>
    <t>S77</t>
  </si>
  <si>
    <t>S78</t>
  </si>
  <si>
    <t>CASTLE COUNTRY/PRICE</t>
  </si>
  <si>
    <t>DIST</t>
  </si>
  <si>
    <t>PRIVATE SCHOOLS/RCCI'S</t>
  </si>
  <si>
    <t>OCTOBER FREE &amp; REDUCED PRICE FINAL REPORT</t>
  </si>
  <si>
    <t>PRIMARY CHILDREN'S</t>
  </si>
  <si>
    <t>PANGUITCH HIGH</t>
  </si>
  <si>
    <t>PANGUITCH MIDDLE</t>
  </si>
  <si>
    <t>MOUNTAIN GREEN ELEM</t>
  </si>
  <si>
    <t>EAGLE VIEW ELEMENTARY</t>
  </si>
  <si>
    <t>C83</t>
  </si>
  <si>
    <t xml:space="preserve">NO DAVIS PREP ACAD JR </t>
  </si>
  <si>
    <t>HIDDEN HOLLOW ELEM</t>
  </si>
  <si>
    <t>LEHI HIGH</t>
  </si>
  <si>
    <t>AMERICAN FORK HIGH</t>
  </si>
  <si>
    <t>LONE PEAK HIGH</t>
  </si>
  <si>
    <t>LINDON ELEMENTARY</t>
  </si>
  <si>
    <t>MANILA ELEMENTARY</t>
  </si>
  <si>
    <t>MEADOW ELEMENTARY</t>
  </si>
  <si>
    <t>MOUNT MAHOGANY ELEM</t>
  </si>
  <si>
    <t>MOUNTAIN RIDGE JR HIGH</t>
  </si>
  <si>
    <t>MOUNTAIN VIEW HIGH</t>
  </si>
  <si>
    <t>NORTHRIDGE ELEMENTARY</t>
  </si>
  <si>
    <t>LEHI ELEMENTARY</t>
  </si>
  <si>
    <t>LEGACY ELEMENTARY</t>
  </si>
  <si>
    <t>HILLCREST ELEMENTARY</t>
  </si>
  <si>
    <t>HIGHLAND ELEMENTARY</t>
  </si>
  <si>
    <t>CEDAR RIDGE ELEMENTARY</t>
  </si>
  <si>
    <t>CEDAR VALLEY ELEMENTARY</t>
  </si>
  <si>
    <t>CENTRAL ELEMENTARY</t>
  </si>
  <si>
    <t>CHERRY HILL ELEMENTARY</t>
  </si>
  <si>
    <t>DEERFIELD ELEMENTARY</t>
  </si>
  <si>
    <t>EAGLE CREST ELEMENTARY</t>
  </si>
  <si>
    <t>EAGLE VALLEY ELEMENTARY</t>
  </si>
  <si>
    <t>FOOTHILL ELEMENTARY</t>
  </si>
  <si>
    <t>FORBES ELEMENTARY</t>
  </si>
  <si>
    <t>FREEDOM ELEMENTARY</t>
  </si>
  <si>
    <t>FOX HOLLOW ELEMENTARY</t>
  </si>
  <si>
    <t>GENEVA ELEMENTARY</t>
  </si>
  <si>
    <t>GREENWOOD ELEMENTARY</t>
  </si>
  <si>
    <t>GROVECREST ELEMENTARY</t>
  </si>
  <si>
    <t>HARVEST ELEMENTARY</t>
  </si>
  <si>
    <t>ALPINE ELEMENTARY</t>
  </si>
  <si>
    <t>ASPEN ELEMENTARY</t>
  </si>
  <si>
    <t>BARRATT ELEMENTARY</t>
  </si>
  <si>
    <t>BONNEVILLE ELEMENTARY</t>
  </si>
  <si>
    <t>CASCADE ELEMENTARY</t>
  </si>
  <si>
    <t>ORCHARD ELEMENTARY</t>
  </si>
  <si>
    <t>OREM ELEMENTARY</t>
  </si>
  <si>
    <t>OREM HIGH</t>
  </si>
  <si>
    <t>OREM JR HIGH</t>
  </si>
  <si>
    <t>PONY EXPRESS ELEM</t>
  </si>
  <si>
    <t>RIDGELINE ELEMENTARY</t>
  </si>
  <si>
    <t>ROCKY MOUNTAIN ELEM</t>
  </si>
  <si>
    <t>SARATOGA SHORES ELEM</t>
  </si>
  <si>
    <t>SCERA PARK ELEMENTARY</t>
  </si>
  <si>
    <t>SEGO LILY ELEMENTARY</t>
  </si>
  <si>
    <t>SHARON ELEMENTARY</t>
  </si>
  <si>
    <t>SHELLEY ELEMENTARY</t>
  </si>
  <si>
    <t>SNOW SPRINGS ELEM</t>
  </si>
  <si>
    <t>SUNCREST ELEMENTARY</t>
  </si>
  <si>
    <t>TIMBERLINE MIDDLE</t>
  </si>
  <si>
    <t>VALLEY VIEW ELEMENTARY</t>
  </si>
  <si>
    <t>VINEYARD ELEMENTARY</t>
  </si>
  <si>
    <t>WESTFIELD ELEMENTARY</t>
  </si>
  <si>
    <t>WESTMORE ELEMENTARY</t>
  </si>
  <si>
    <t>WILLOWCREEK MIDDLE</t>
  </si>
  <si>
    <t>WINDSOR ELEMENTARY</t>
  </si>
  <si>
    <t>BELKNAP ELEMENTARY</t>
  </si>
  <si>
    <t>MILFORD ELEMENTARY/HIGH</t>
  </si>
  <si>
    <t>MINERSVILLE SCHOOL</t>
  </si>
  <si>
    <t>SKY VIEW HIGH</t>
  </si>
  <si>
    <t>MOUNTAIN CREST HIGH</t>
  </si>
  <si>
    <t>EARLY LEARNING CENTER</t>
  </si>
  <si>
    <t>HARTVIGSEN TRNG CTR</t>
  </si>
  <si>
    <t>WASATCH JR HIGH</t>
  </si>
  <si>
    <t>YOUNG PARENTS HUNTER</t>
  </si>
  <si>
    <t>GRANITE PEAKS HIGH</t>
  </si>
  <si>
    <t>SUU HEADSTART</t>
  </si>
  <si>
    <t>JUVENILE JUSTICE SERVICES</t>
  </si>
  <si>
    <t>PV</t>
  </si>
  <si>
    <t>H48</t>
  </si>
  <si>
    <t>ARCHWAY YOUTH SERV</t>
  </si>
  <si>
    <t>P36</t>
  </si>
  <si>
    <t>WASATCH YOUTH CENTER</t>
  </si>
  <si>
    <t>A7</t>
  </si>
  <si>
    <t>MOAB CHARTER SCHOOL</t>
  </si>
  <si>
    <t>7C</t>
  </si>
  <si>
    <t>MONTICELLO ACADEMY</t>
  </si>
  <si>
    <t>ITINERIS HIGH</t>
  </si>
  <si>
    <t>LEGACY</t>
  </si>
  <si>
    <t>SANTAQUIN SCHOOL</t>
  </si>
  <si>
    <t>HIGHLAND JUNIOR HIGH</t>
  </si>
  <si>
    <t>4F</t>
  </si>
  <si>
    <t>SLC OF SCIENCE EDUC</t>
  </si>
  <si>
    <t>SLCSE</t>
  </si>
  <si>
    <t>CLAYTON MIDDLE</t>
  </si>
  <si>
    <t>EAST HIGH SCHOOL</t>
  </si>
  <si>
    <t>GLENDALE INTERMEDIATE</t>
  </si>
  <si>
    <t>HIGHLAND HIGH</t>
  </si>
  <si>
    <t>HILLSIDE MIDDLE</t>
  </si>
  <si>
    <t>NORTHWEST MIDDLE</t>
  </si>
  <si>
    <t>ODYSSEY HOUSE (RCCI)</t>
  </si>
  <si>
    <t>WEST HIGH NURSERY</t>
  </si>
  <si>
    <t>GUNNISON VALLEY ELEM</t>
  </si>
  <si>
    <t>A4</t>
  </si>
  <si>
    <t>SUMMIT ACADEMY</t>
  </si>
  <si>
    <t>GRANTSVILLE JR HIGH</t>
  </si>
  <si>
    <t>DESERT HILLS HIGH</t>
  </si>
  <si>
    <t>LAVA RIDGE INTERMEDIATE</t>
  </si>
  <si>
    <t>TONAQUINT INTERMEDIATE</t>
  </si>
  <si>
    <t>HURRICANE INTERMEDIATE</t>
  </si>
  <si>
    <t>NORTH POINT ELEMENTARY</t>
  </si>
  <si>
    <t>PLEASANT GROVE HIGH</t>
  </si>
  <si>
    <t>SAGE HILLS ELEMENTARY</t>
  </si>
  <si>
    <t>WESTLAKE HIGH SCHOOL</t>
  </si>
  <si>
    <t>SUMMIT/EAST SHORE HIGH</t>
  </si>
  <si>
    <t>CANYONS</t>
  </si>
  <si>
    <t>CENTURY ELEMENTARY</t>
  </si>
  <si>
    <t>DISCOVERY ELEMENTARY</t>
  </si>
  <si>
    <t>FIELDING ELEMENTARY</t>
  </si>
  <si>
    <t>GARLAND ELEMENTARY</t>
  </si>
  <si>
    <t>GROUSE CREEK SCHOOL</t>
  </si>
  <si>
    <t>LAKE VIEW ELEMENTARY</t>
  </si>
  <si>
    <t>MCKINLEY ELEMENTARY</t>
  </si>
  <si>
    <t>SNOWVILLE ELEMENTARY</t>
  </si>
  <si>
    <t>PARK VALLEY ELEMENTARY</t>
  </si>
  <si>
    <t>NORTH PARK ELEMENTARY</t>
  </si>
  <si>
    <t>MOUNTAIN VIEW ELEM.</t>
  </si>
  <si>
    <t>WILLARD ELEMENTARY</t>
  </si>
  <si>
    <t>CANYON ELEMENTARY</t>
  </si>
  <si>
    <t>GREENVILLE ELEMENTARY</t>
  </si>
  <si>
    <t>LEWISTON ELEMENTARY</t>
  </si>
  <si>
    <t>LINCOLN ELEMENTARY</t>
  </si>
  <si>
    <t>MILLVILLE ELEMENTARY</t>
  </si>
  <si>
    <t>MOUNTAINSIDE ELEM</t>
  </si>
  <si>
    <t>NIBLEY ELEMENTARY</t>
  </si>
  <si>
    <t>PARK ELEMENTARY</t>
  </si>
  <si>
    <t>PROVIDENCE ELEMENTARY</t>
  </si>
  <si>
    <t>RIVER HEIGHTS ELEM</t>
  </si>
  <si>
    <t>SUMMIT ELEMENTARY</t>
  </si>
  <si>
    <t>SUNRISE ELEMENTARY</t>
  </si>
  <si>
    <t>WELLSVILLE ELEMENTARY</t>
  </si>
  <si>
    <t>BRUIN POINT ELEMENTARY</t>
  </si>
  <si>
    <t>CASTLE HEIGHTS ELEM</t>
  </si>
  <si>
    <t>CASTLE VALLEY CENTER</t>
  </si>
  <si>
    <t>CREEKVIEW ELEMENTARY</t>
  </si>
  <si>
    <t>HELPER JR HIGH</t>
  </si>
  <si>
    <t>SALLY MAURO ELEMENTARY</t>
  </si>
  <si>
    <t>WELLINGTON ELEMENTARY</t>
  </si>
  <si>
    <t>ADAMS ELEMENTARY</t>
  </si>
  <si>
    <t>ADELAIDE ELEMENTARY</t>
  </si>
  <si>
    <t>ANTELOPE ELEMENTARY</t>
  </si>
  <si>
    <t>BOULTON ELEMENTARY</t>
  </si>
  <si>
    <t>BOUNTIFUL ELEMENTARY</t>
  </si>
  <si>
    <t>BLUFF RIDGE ELEMENTARY</t>
  </si>
  <si>
    <t xml:space="preserve">BOUNTIFUL HIGH </t>
  </si>
  <si>
    <t>BOUNTIFUL JR HIGH</t>
  </si>
  <si>
    <t>BUFFALO POINT ELEM</t>
  </si>
  <si>
    <t>CENTERVILLE ELEMENTARY</t>
  </si>
  <si>
    <t>CENTERVILLE JR HIGH</t>
  </si>
  <si>
    <t>CENTRAL DAVIS JR HIGH</t>
  </si>
  <si>
    <t>CLEARFIELD HIGH</t>
  </si>
  <si>
    <t>CLINTON ELEMENTARY</t>
  </si>
  <si>
    <t>COLUMBIA ELEMENTARY</t>
  </si>
  <si>
    <t>COOK ELEMENTARY</t>
  </si>
  <si>
    <t>CREEKSIDE ELEMENTARY</t>
  </si>
  <si>
    <t>CRESTVIEW ELEMENTARY</t>
  </si>
  <si>
    <t>DAVIS HIGH</t>
  </si>
  <si>
    <t>DOXEY ELEMENTARY</t>
  </si>
  <si>
    <t>EAGLE BAY ELEMENTARY</t>
  </si>
  <si>
    <t>EAST LAYTON ELEMENTARY</t>
  </si>
  <si>
    <t>ELLISON PARK ELEMENTARY</t>
  </si>
  <si>
    <t>FAIRFIELD JR HIGH</t>
  </si>
  <si>
    <t>FARMINGTON ELEMENTARY</t>
  </si>
  <si>
    <t>FARMINGTON JR HIGH</t>
  </si>
  <si>
    <t>FOXBORO ELEMENTARY</t>
  </si>
  <si>
    <t>FREMONT ELEMENTARY</t>
  </si>
  <si>
    <t>H C BURTON ELEMENTARY</t>
  </si>
  <si>
    <t>HERITAGE ELEMENTARY</t>
  </si>
  <si>
    <t>HILL FIELD ELEMENTARY</t>
  </si>
  <si>
    <t>HOLBROOK ELEMENTARY</t>
  </si>
  <si>
    <t>HOLT ELEMENTARY</t>
  </si>
  <si>
    <t>J A TAYLOR ELEMENTARY</t>
  </si>
  <si>
    <t>KAYSVILLE ELEMENTARY</t>
  </si>
  <si>
    <t>KAYSVILLE JR HIGH</t>
  </si>
  <si>
    <t>KING ELEMENTARY</t>
  </si>
  <si>
    <t>KNOWLTON ELEMENTARY</t>
  </si>
  <si>
    <t>LAKESIDE ELEMENTARY</t>
  </si>
  <si>
    <t>LAYTON ELEMENTARY</t>
  </si>
  <si>
    <t>LAYTON HIGH</t>
  </si>
  <si>
    <t>LEGACY JR HIGH</t>
  </si>
  <si>
    <t>MEADOWBROOK ELEM</t>
  </si>
  <si>
    <t>MILLCREEK JR HIGH</t>
  </si>
  <si>
    <t>MOUNTAIN VIEW ELEM</t>
  </si>
  <si>
    <t>MUELLER PARK JR HIGH</t>
  </si>
  <si>
    <t>MUIR ELEMENTARY</t>
  </si>
  <si>
    <t>NO. DAVIS JR HIGH</t>
  </si>
  <si>
    <t>NORTH LAYTON JR HIGH</t>
  </si>
  <si>
    <t>NORTHRIDGE HIGH</t>
  </si>
  <si>
    <t>OAK HILLS ELEMENTARY</t>
  </si>
  <si>
    <t>PARKSIDE ELEMENTARY</t>
  </si>
  <si>
    <t>READING ELEMENTARY</t>
  </si>
  <si>
    <t>SAND SPRINGS ELEM</t>
  </si>
  <si>
    <t>SNOW HORSE ELEMENTARY</t>
  </si>
  <si>
    <t>SO. CLEARFIELD ELEM</t>
  </si>
  <si>
    <t>SOUTH DAVIS JR HIGH</t>
  </si>
  <si>
    <t>SOUTH WEBER ELEMENTARY</t>
  </si>
  <si>
    <t>STEWART ELEMENTARY</t>
  </si>
  <si>
    <t>SUNSET ELEMENTARY</t>
  </si>
  <si>
    <t>SUNSET JR HIGH</t>
  </si>
  <si>
    <t>SYRACUSE ELEMENTARY</t>
  </si>
  <si>
    <t>SYRACUSE HIGH</t>
  </si>
  <si>
    <t>VIEWMONT HIGH</t>
  </si>
  <si>
    <t>WOODS CROSS HIGH</t>
  </si>
  <si>
    <t>WEST POINT JR HIGH</t>
  </si>
  <si>
    <t>SYRACUSE JR HIGH</t>
  </si>
  <si>
    <t>VAE VIEW ELEMENTARY</t>
  </si>
  <si>
    <t>WHITESIDES ELEMENTARY</t>
  </si>
  <si>
    <t>WEST POINT ELEMENTARY</t>
  </si>
  <si>
    <t>WEST CLINTON ELEMENTARY</t>
  </si>
  <si>
    <t>WEST BOUNTIFUL ELEM</t>
  </si>
  <si>
    <t>WASHINGTON ELEMENTARY</t>
  </si>
  <si>
    <t>WASATCH ELEMENTARY</t>
  </si>
  <si>
    <t>TOLMAN ELEMENTARY</t>
  </si>
  <si>
    <t>WOODS CROSS ELEM</t>
  </si>
  <si>
    <t>WINDRIDGE ELEMENTARY</t>
  </si>
  <si>
    <t>ALTAMONT ELEMENTARY</t>
  </si>
  <si>
    <t>CON AMORE TRAINING CNT</t>
  </si>
  <si>
    <t>DUCHESNE ELEMENTARY</t>
  </si>
  <si>
    <t>EAST ELEMENTARY</t>
  </si>
  <si>
    <t>MYTON ELEMENTARY</t>
  </si>
  <si>
    <t>NEOLA ELEMENTARY</t>
  </si>
  <si>
    <t>TABIONA ELEMENTARY</t>
  </si>
  <si>
    <t>BOOK CLIFF ELEMENTARY</t>
  </si>
  <si>
    <t>CANYON VIEW JR HIGH</t>
  </si>
  <si>
    <t>CASTLE DALE ELEMENTARY</t>
  </si>
  <si>
    <t>CLEVELAND ELEMENTARY</t>
  </si>
  <si>
    <t>FERRON ELEMENTARY</t>
  </si>
  <si>
    <t>HUNTINGTON ELEMENTARY</t>
  </si>
  <si>
    <t>SAN RAFAEL JR HIGH</t>
  </si>
  <si>
    <t>COTTONWOOD ELEM</t>
  </si>
  <si>
    <t>ANTIMONY ELEMENTARY</t>
  </si>
  <si>
    <t>BOULDER ELEMENTARY</t>
  </si>
  <si>
    <t>ESCALANTE ELEMENTARY</t>
  </si>
  <si>
    <t>PANGUITCH ELEMENTARY</t>
  </si>
  <si>
    <t>BRYCE VALLEY ELEM</t>
  </si>
  <si>
    <t>ACADEMY PARK ELEM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</si>
  <si>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</si>
  <si>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</si>
  <si>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</si>
  <si>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</si>
  <si>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</si>
  <si>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</si>
  <si>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</si>
  <si>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</si>
  <si>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CHURCHILL JR HIGH</t>
  </si>
  <si>
    <t>COPPER HILLS ELEMENTARY</t>
  </si>
  <si>
    <t>COTTONWOOD ELEMENTARY</t>
  </si>
  <si>
    <t>DAVID GOURLEY ELEM</t>
  </si>
  <si>
    <t>DIAMOND RIDGE ELEM</t>
  </si>
  <si>
    <t>EASTWOOD ELEMENTARY</t>
  </si>
  <si>
    <t>EISENHOWER JR HIGH</t>
  </si>
  <si>
    <t>EVERGREEN JR HIGH</t>
  </si>
  <si>
    <t>FOX HILLS ELEMENTARY</t>
  </si>
  <si>
    <t>GRANGER ELEMENTARY</t>
  </si>
  <si>
    <t>GRANITE PARK JR HIGH</t>
  </si>
  <si>
    <t>HARRY S TRUMAN ELEM</t>
  </si>
  <si>
    <t>DOUGLAS T ORCHARD ELEM</t>
  </si>
  <si>
    <t>HILLSDALE ELEMENTARY</t>
  </si>
  <si>
    <t>HILLSIDE ELEMENTARY</t>
  </si>
  <si>
    <t>HOWARD R DRIGGS ELEM</t>
  </si>
  <si>
    <t>HUNTER ELEMENTARY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</si>
  <si>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</si>
  <si>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</si>
  <si>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</si>
  <si>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</si>
  <si>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</si>
  <si>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</si>
  <si>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</si>
  <si>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</si>
  <si>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</si>
  <si>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</si>
  <si>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</si>
  <si>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</si>
  <si>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MORNINGSIDE ELEMENTARY</t>
  </si>
  <si>
    <t>OAKRIDGE ELEMENTARY</t>
  </si>
  <si>
    <t>OAKWOOD ELEMENTARY</t>
  </si>
  <si>
    <t>OLYMPUS JR HIGH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</si>
  <si>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</si>
  <si>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</si>
  <si>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</si>
  <si>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</si>
  <si>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</si>
  <si>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</si>
  <si>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</si>
  <si>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</si>
  <si>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</si>
  <si>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ROSECREST ELEMENTARY</t>
  </si>
  <si>
    <t>SILVER HILLS ELEMENTARY</t>
  </si>
  <si>
    <t>SOUTH KEARNS ELEM</t>
  </si>
  <si>
    <t>SPRING LANE ELEMENTARY</t>
  </si>
  <si>
    <t>STANSBURY ELEMENTARY</t>
  </si>
  <si>
    <t>TAYLORSVILLE ELEM</t>
  </si>
  <si>
    <t>THOMAS JEFFERSON JR HIGH</t>
  </si>
  <si>
    <t>THOMAS W BACCHUS ELEM</t>
  </si>
  <si>
    <t>TWIN PEAKS ELEMENTARY</t>
  </si>
  <si>
    <t>UPLAND TERRACE ELEM</t>
  </si>
  <si>
    <t>VALLEY CREST ELEMENTARY</t>
  </si>
  <si>
    <t>VALLEY JR HIGH</t>
  </si>
  <si>
    <t>VISTA ELEMENTARY</t>
  </si>
  <si>
    <t>WEST KEARNS ELEMENTARY</t>
  </si>
  <si>
    <t>WEST VALLEY ELEMENTARY</t>
  </si>
  <si>
    <t>WESTBROOK ELEMENTARY</t>
  </si>
  <si>
    <t>WESTERN HILLS ELEM</t>
  </si>
  <si>
    <t>WEST LAKE JR HIGH</t>
  </si>
  <si>
    <t>WHITTIER ELEMENTARY</t>
  </si>
  <si>
    <t>WILLIAM PENN ELEMENTARY</t>
  </si>
  <si>
    <t>WOODROW WILSON ELEM</t>
  </si>
  <si>
    <t>WOODSTOCK ELEMENTARY</t>
  </si>
  <si>
    <t>CEDAR CITY HIGH</t>
  </si>
  <si>
    <t>CEDAR EAST ELEMENTARY</t>
  </si>
  <si>
    <t>ENOCH ELEMENTARY</t>
  </si>
  <si>
    <t>IRON SPRINGS ELEMENTARY</t>
  </si>
  <si>
    <t>THREE PEAKS ELEMENTARY</t>
  </si>
  <si>
    <t>MONA ELEMENTARY</t>
  </si>
  <si>
    <t>NEBO VIEW ELEMENTARY</t>
  </si>
  <si>
    <t>RED CLIFFS ELEMENTARY</t>
  </si>
  <si>
    <t>BIG WATER ELEMENTARY</t>
  </si>
  <si>
    <t>LAKE POWELL SCHOOL</t>
  </si>
  <si>
    <t>DELTA EARLY CHILDHOOD</t>
  </si>
  <si>
    <t>DELTA ELEMENTARY</t>
  </si>
  <si>
    <t>DELTA MIDDLE SCHOOL</t>
  </si>
  <si>
    <t>FILMORE ELEMENTARY</t>
  </si>
  <si>
    <t>BLUFFDALE ELEMENTARY</t>
  </si>
  <si>
    <t>BUTTERFIELD CANYON ELEM</t>
  </si>
  <si>
    <t>COPPER CANYON ELEM</t>
  </si>
  <si>
    <t>COPPERVIEW ELEMENTARY</t>
  </si>
  <si>
    <t>CRESCENT ELEMENTARY</t>
  </si>
  <si>
    <t>DAYBREAK ELEMENTARY</t>
  </si>
  <si>
    <t>EASTLAKE ELEMENTARY</t>
  </si>
  <si>
    <t>ELK MEADOWS ELEMENTARY</t>
  </si>
  <si>
    <t>FALCON RIDGE ELEMENTARY</t>
  </si>
  <si>
    <t>FOOTHILLS ELEMENTARY</t>
  </si>
  <si>
    <t>HAYDEN PEAK ELEMENTARY</t>
  </si>
  <si>
    <t>HEARTLAND ELEMENTARY</t>
  </si>
  <si>
    <t>HERRIMAN ELEMENTARY</t>
  </si>
  <si>
    <t>JOEL P JENSEN MIDDLE</t>
  </si>
  <si>
    <t>JORDAN HILLS ELEMENTARY</t>
  </si>
  <si>
    <t>JORDAN RIDGE ELEMENTARY</t>
  </si>
  <si>
    <t>KAURI SUE HAMILTON SCH</t>
  </si>
  <si>
    <t>MAJESTIC ELEMENTARY</t>
  </si>
  <si>
    <t>MIDAS CREEK ELEMENTARY</t>
  </si>
  <si>
    <t>MONTE VISTA ELEMENTARY</t>
  </si>
  <si>
    <t>MOUNTAIN SHADOWS ELEM</t>
  </si>
  <si>
    <t>OAKCREST ELEMENTARY</t>
  </si>
  <si>
    <t>OQUIRRH ELEMENTARY</t>
  </si>
  <si>
    <t>RIVERSIDE ELEMENTARY</t>
  </si>
  <si>
    <t>RIVERTON ELEMENTARY</t>
  </si>
  <si>
    <t>ROSAMOND ELEMENTARY</t>
  </si>
  <si>
    <t>ROSE CREEK ELEMENTARY</t>
  </si>
  <si>
    <t>SILVER CREST ELEMENTARY</t>
  </si>
  <si>
    <t>SOUTH JORDAN ELEM</t>
  </si>
  <si>
    <t>SOUTHLAND ELEMENTARY</t>
  </si>
  <si>
    <t>TERRA LINDA ELEMENTARY</t>
  </si>
  <si>
    <t>VALLEY HIGH SCHOOL</t>
  </si>
  <si>
    <t>WELBY ELEMENTARY</t>
  </si>
  <si>
    <t>WEST JORDAN ELEMENTARY</t>
  </si>
  <si>
    <t>WESTLAND ELEMENTARY</t>
  </si>
  <si>
    <t>WESTVALE ELEMENTARY</t>
  </si>
  <si>
    <t>ART CITY ELEMENTARY</t>
  </si>
  <si>
    <t>BARNETT ELEMENTARY</t>
  </si>
  <si>
    <t>BROCKBANK ELEMENTARY</t>
  </si>
  <si>
    <t>BROOKSIDE ELEMENTARY</t>
  </si>
  <si>
    <t>CHERRY CREEK ELEM</t>
  </si>
  <si>
    <t>EAST MEADOWS ELEM</t>
  </si>
  <si>
    <t>GOSHEN ELEMENTARY</t>
  </si>
  <si>
    <t>HOBBLE CREEK ELEM</t>
  </si>
  <si>
    <t>LARSEN ELEMENTARY</t>
  </si>
  <si>
    <t>MAPLE MOUNTAIN HIGH</t>
  </si>
  <si>
    <t>MAPLETON ELEMENTARY</t>
  </si>
  <si>
    <t>MT. LOAFER ELEMENTARY</t>
  </si>
  <si>
    <t>ORCHARD HILLS ELEM</t>
  </si>
  <si>
    <t>PARKVIEW ELEMENTARY</t>
  </si>
  <si>
    <t>PAYSON JR HIGH</t>
  </si>
  <si>
    <t>REES ELEMENTARY</t>
  </si>
  <si>
    <t>SAGE CREEK ELEMENTARY</t>
  </si>
  <si>
    <t>RIVERVIEW ELEMENTARY</t>
  </si>
  <si>
    <t>SALEM ELEMENTARY</t>
  </si>
  <si>
    <t>SALEM HIGH SCHOOL</t>
  </si>
  <si>
    <t>SPANISH FORK JR HIGH</t>
  </si>
  <si>
    <t>SPANISH OAKS ELEMENTARY</t>
  </si>
  <si>
    <t>SPRING LAKE ELEMENTARY</t>
  </si>
  <si>
    <t>TAYLOR ELEMENTARY</t>
  </si>
  <si>
    <t>WESTSIDE ELEMENTARY</t>
  </si>
  <si>
    <t>WILSON ELEMENTARY</t>
  </si>
  <si>
    <t>FAIRVIEW ELEMENTARY</t>
  </si>
  <si>
    <t>FOUNTAIN GREEN ELEM</t>
  </si>
  <si>
    <t>MORONI ELEMENTARY</t>
  </si>
  <si>
    <t>MT PLEASANT ELEM</t>
  </si>
  <si>
    <t>SPRING CITY ELEMENTARY</t>
  </si>
  <si>
    <t>JEREMY RANCH ELEM</t>
  </si>
  <si>
    <t>MCPOLIN ELEMENTARY</t>
  </si>
  <si>
    <t>PARK CITY HIGH SCHOOL</t>
  </si>
  <si>
    <t>PARLEY'S PARK ELEM</t>
  </si>
  <si>
    <t>TRAILSIDE ELEMENTARY</t>
  </si>
  <si>
    <t>CIRCLEVILLE ELEMENTARY</t>
  </si>
  <si>
    <t>OSCARSON ELEMENTARY</t>
  </si>
  <si>
    <t>ALBERT R LYMAN MIDDLE</t>
  </si>
  <si>
    <t>BLANDING ELEMENTARY</t>
  </si>
  <si>
    <t>BLUFF ELEMENTARY</t>
  </si>
  <si>
    <t>LASAL ELEMENTARY</t>
  </si>
  <si>
    <t>MEXICAN HAT ELEMENTARY</t>
  </si>
  <si>
    <t>MONTICELLO ELEMENTARY</t>
  </si>
  <si>
    <t>ASHMAN ELEMENTARY</t>
  </si>
  <si>
    <t>KOOSHAREM ELEMENTARY</t>
  </si>
  <si>
    <t>NORTH SEVIER HIGH</t>
  </si>
  <si>
    <t>PAHVANT ELEMENTARY</t>
  </si>
  <si>
    <t>SALINA ELEMENTARY</t>
  </si>
  <si>
    <t>EPHRAIM ELEMENTARY</t>
  </si>
  <si>
    <t>MANTI ELEMENTARY</t>
  </si>
  <si>
    <t>ANNA SMITH ELEMENTARY</t>
  </si>
  <si>
    <t>CLARKE JOHNSON JR HIGH</t>
  </si>
  <si>
    <t>DUGWAY ELEMENTARY/HIGH</t>
  </si>
  <si>
    <t>HARRIS ELEMENTARY</t>
  </si>
  <si>
    <t>IBAPAH ELEMENTARY</t>
  </si>
  <si>
    <t>MIDDLE CANYON ELEM</t>
  </si>
  <si>
    <t>NORTHLAKE ELEMENTARY</t>
  </si>
  <si>
    <t>OVERLAKE ELEMENTARY</t>
  </si>
  <si>
    <t>ROSE SPRINGS ELEMENTARY</t>
  </si>
  <si>
    <t>SETTLEMENT CANYON ELEM</t>
  </si>
  <si>
    <t>STANSBURY HIGH</t>
  </si>
  <si>
    <t>TOOELE JR HIGH</t>
  </si>
  <si>
    <t>VERNON ELEMENTARY</t>
  </si>
  <si>
    <t>WEST ELEMENTARY</t>
  </si>
  <si>
    <t>WILLOW ELEMENTARY</t>
  </si>
  <si>
    <t>ASHLEY ELEMENTARY</t>
  </si>
  <si>
    <t>ASHLEY VALLEY EDUC CNT</t>
  </si>
  <si>
    <t>DAVIS ELEMENTARY</t>
  </si>
  <si>
    <t>LAPOINT ELEMENTARY</t>
  </si>
  <si>
    <t>MAESER ELEMENTARY</t>
  </si>
  <si>
    <t>NAPLES ELEMENTARY</t>
  </si>
  <si>
    <t>HEBER VALLEY ELEMENTARY</t>
  </si>
  <si>
    <t>J.R. SMITH ELEMENTARY</t>
  </si>
  <si>
    <t>MIDWAY ELEMENTARY</t>
  </si>
  <si>
    <t>OLD MILL ELEMENTARY</t>
  </si>
  <si>
    <t>ROCKY MOUNTAIN MIDDLE</t>
  </si>
  <si>
    <t>TIMPANOGAS INTER SCHOOL</t>
  </si>
  <si>
    <t>ARROWHEAD ELEMENTARY</t>
  </si>
  <si>
    <t>BLOOMINGTON ELEMENTARY</t>
  </si>
  <si>
    <t>BLOOMINGTON HILLS ELEM</t>
  </si>
  <si>
    <t>CORAL CANYON ELEM</t>
  </si>
  <si>
    <t>CORAL CLIFFS ELEMENTARY</t>
  </si>
  <si>
    <t>DIAMOND VALLEY  ELEM</t>
  </si>
  <si>
    <t>DIXIE SUN ELEMENTARY</t>
  </si>
  <si>
    <t>ENTERPRISE ELEMENTARY</t>
  </si>
  <si>
    <t>FOSSIL RIDGE INTERMEDIATE</t>
  </si>
  <si>
    <t>HORIZON ELEMENTARY</t>
  </si>
  <si>
    <t>HURRICANE ELEMENTARY</t>
  </si>
  <si>
    <t>LAVERKIN ELEMENTARY</t>
  </si>
  <si>
    <t>LITTLE VALLEY ELEMENTARY</t>
  </si>
  <si>
    <t>PANORAMA ELEMENTARY</t>
  </si>
  <si>
    <t>RED MOUNTAIN ELEMENTARY</t>
  </si>
  <si>
    <t>SANDSTONE ELEMENTARY</t>
  </si>
  <si>
    <t>SANTA CLARA ELEMENTARY</t>
  </si>
  <si>
    <t>SPRINGDALE ELEMENTARY</t>
  </si>
  <si>
    <t>SUNRISE RIDGE INTERMED</t>
  </si>
  <si>
    <t>THREE FALLS ELEMENTARY</t>
  </si>
  <si>
    <t>HANKSVILLE ELEMENTARY</t>
  </si>
  <si>
    <t>LOA ELEMENTARY</t>
  </si>
  <si>
    <t>BATES ELEMENTARY</t>
  </si>
  <si>
    <t>CLUB HEIGHTS ELEMENTARY</t>
  </si>
  <si>
    <t>COUNTRY VIEW ELEM</t>
  </si>
  <si>
    <t>FARR WEST ELEMENTARY</t>
  </si>
  <si>
    <t>GREEN ACRES ELEMENTARY</t>
  </si>
  <si>
    <t>H. GUY CHILD ELEMENTARY</t>
  </si>
  <si>
    <t>HOOPER ELEMENTARY</t>
  </si>
  <si>
    <t>KANESVILLE ELEMENTARY</t>
  </si>
  <si>
    <t>LAKEVIEW ELEMENTARY</t>
  </si>
  <si>
    <t>LOMOND VIEW ELEMENTARY</t>
  </si>
  <si>
    <t>MARLON HILLS ELEMENTARY</t>
  </si>
  <si>
    <t>MIDLAND ELEMENTARY</t>
  </si>
  <si>
    <t>MUNICIPAL ELEMENTARY</t>
  </si>
  <si>
    <t>NO. OGDEN ELEMENTARY</t>
  </si>
  <si>
    <t>NORTH OGDEN JR HIGH</t>
  </si>
  <si>
    <t>ORION JR HIGH</t>
  </si>
  <si>
    <t>PLAIN CITY ELEMENTARY</t>
  </si>
  <si>
    <t>RIVERDALE ELEMENTARY</t>
  </si>
  <si>
    <t>ROCKY MOUNTAIN JR HIGH</t>
  </si>
  <si>
    <t>ROY ELEMENTARY</t>
  </si>
  <si>
    <t>ROY JR HIGH</t>
  </si>
  <si>
    <t>SAND RIDGE JR HIGH</t>
  </si>
  <si>
    <t>SNOW CREST JR HIGH</t>
  </si>
  <si>
    <t>SOUTH OGDEN JR HIGH</t>
  </si>
  <si>
    <t>T.H. BELL JR HIGH</t>
  </si>
  <si>
    <t>UINTAH ELEMENTARY</t>
  </si>
  <si>
    <t>WAHLQUIST JR HIGH</t>
  </si>
  <si>
    <t>WASHINGTON TERRACE EL</t>
  </si>
  <si>
    <t>WEST HAVEN ELEMENTARY</t>
  </si>
  <si>
    <t>WEST WEBER ELEMENTARY</t>
  </si>
  <si>
    <t>GRANT ELEMENTARY</t>
  </si>
  <si>
    <t>HILLCREST JR HIGH</t>
  </si>
  <si>
    <t>LIBERTY ELEMENTARY</t>
  </si>
  <si>
    <t>LONGVIEW ELEMENTARY</t>
  </si>
  <si>
    <t>MCMILLAN ELEMENTARY</t>
  </si>
  <si>
    <t>RIVERVIEW JR HIGH</t>
  </si>
  <si>
    <t>VIEWMONT ELEMENTARY</t>
  </si>
  <si>
    <t>BACKMAN ELEMENTARY</t>
  </si>
  <si>
    <t>BEACON HEIGHTS ELEM</t>
  </si>
  <si>
    <t>BRYANT MIDDLE SCHOOL</t>
  </si>
  <si>
    <t>DILWORTH ELEMENTARY</t>
  </si>
  <si>
    <t>EDISON ELEMENTARY</t>
  </si>
  <si>
    <t>EMERSON ELEMENTARY</t>
  </si>
  <si>
    <t>ENSIGN ELEMENTARY</t>
  </si>
  <si>
    <t>FRANKLIN ELEMENTARY</t>
  </si>
  <si>
    <t>HAWTHORNE ELEMENTARY</t>
  </si>
  <si>
    <t>HIGHLAND PARK ELEM</t>
  </si>
  <si>
    <t>HORIZONTE HS NORTHWEST</t>
  </si>
  <si>
    <t>HORIZONTE MS NORTHWEST</t>
  </si>
  <si>
    <t>INDIAN HILLS ELEMENTARY</t>
  </si>
  <si>
    <t>JACKSON ELEMENTARY</t>
  </si>
  <si>
    <t>M LYNN BENNION ELEM</t>
  </si>
  <si>
    <t>MEADOWLARK ELEMENTARY</t>
  </si>
  <si>
    <t>NEWMAN ELEMENTARY</t>
  </si>
  <si>
    <t>NIBLEY PARK ELEMENTARY</t>
  </si>
  <si>
    <t>NORTH STAR ELEMENTARY</t>
  </si>
  <si>
    <t>RILEY ELEMENTARY</t>
  </si>
  <si>
    <t>ROSE PARK ELEMENTARY</t>
  </si>
  <si>
    <t>DEE ELEMENTARY</t>
  </si>
  <si>
    <t>GRAMERCY ELEMENTARY</t>
  </si>
  <si>
    <t>HERITAGE ELEMENTARY SCH</t>
  </si>
  <si>
    <t>HORACE MANN ELEMENTARY</t>
  </si>
  <si>
    <t>JAMES MADISON ELEM</t>
  </si>
  <si>
    <t>MOUND FORT JR HIGH</t>
  </si>
  <si>
    <t>MOUNT OGDEN JR HIGH</t>
  </si>
  <si>
    <t>ODYSSEY ELEMENTARY</t>
  </si>
  <si>
    <t>POLK ELEMENTARY</t>
  </si>
  <si>
    <t>T.O. SMITH ELEMENTARY</t>
  </si>
  <si>
    <t>SHADOW VALLEY ELEM</t>
  </si>
  <si>
    <t>AMELIA EARHART ELEM</t>
  </si>
  <si>
    <t>CANYON CREST ELEM</t>
  </si>
  <si>
    <t>EDGEMONT ELEMENTARY</t>
  </si>
  <si>
    <t>FARRER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</si>
  <si>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</si>
  <si>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</si>
  <si>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</si>
  <si>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</si>
  <si>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</si>
  <si>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</si>
  <si>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BRIDGER ELEMENTARY</t>
  </si>
  <si>
    <t>ELLIS ELEMENTARY</t>
  </si>
  <si>
    <t>WOODRUFF ELEMENTARY</t>
  </si>
  <si>
    <t>ALTA VIEW ELEMENTARY</t>
  </si>
  <si>
    <t>BELL VIEW ELEMENTARY</t>
  </si>
  <si>
    <t>BELLA VISTA ELEMENTARY</t>
  </si>
  <si>
    <t>BROOKWOOD ELEMENTARY</t>
  </si>
  <si>
    <t>BUTLER ELEMENTARY</t>
  </si>
  <si>
    <t>CANYON VIEW ELEMENTARY</t>
  </si>
  <si>
    <t>DRAPER ELEMENTARY</t>
  </si>
  <si>
    <t>EAST MIDVALE ELEMENTARY</t>
  </si>
  <si>
    <t>EAST SANDY ELEMENTARY</t>
  </si>
  <si>
    <t>GRANITE ELEMENTARY</t>
  </si>
  <si>
    <t>JORDAN TECH</t>
  </si>
  <si>
    <t>JORDAN VALLEY SCHOOL</t>
  </si>
  <si>
    <t>LONE PEAK ELEMENTARY</t>
  </si>
  <si>
    <t>MIDVALE ELEMENTARY</t>
  </si>
  <si>
    <t>MIDVALLEY ELEMENTARY</t>
  </si>
  <si>
    <t>OAK HOLLOW ELEMENTARY</t>
  </si>
  <si>
    <t>OAKDALE ELEMENTARY</t>
  </si>
  <si>
    <t>PARK LANE ELEMENTARY</t>
  </si>
  <si>
    <t>PERUVIAN PARK ELEM</t>
  </si>
  <si>
    <t>QUAIL HOLLOW ELEM</t>
  </si>
  <si>
    <t>RIDGECREST ELEMENTARY</t>
  </si>
  <si>
    <t>SANDY ELEMENTARY</t>
  </si>
  <si>
    <t>SILVER MESA ELEMENTARY</t>
  </si>
  <si>
    <t>SPRUCEWOOD ELEM</t>
  </si>
  <si>
    <t>WILLOW CANYON ELEM</t>
  </si>
  <si>
    <t>WILLOW SPRINGS ELEM</t>
  </si>
  <si>
    <t>5E</t>
  </si>
  <si>
    <t>AMERICAN PREP ACAD</t>
  </si>
  <si>
    <t>SCHOOL FOR NEW AMERICNS</t>
  </si>
  <si>
    <t>9D1</t>
  </si>
  <si>
    <t>7F</t>
  </si>
  <si>
    <t>EXCELSIOR ACADEMY</t>
  </si>
  <si>
    <t>7E</t>
  </si>
  <si>
    <t>GATEWAY PREP ACADEMY</t>
  </si>
  <si>
    <t>8E</t>
  </si>
  <si>
    <t>MERIT COLLEGE PREP ACAD</t>
  </si>
  <si>
    <t>4B1</t>
  </si>
  <si>
    <t>3F</t>
  </si>
  <si>
    <t>VENTURE ACADEMY</t>
  </si>
  <si>
    <t>SYRACUSE ARTS ACADEMY</t>
  </si>
  <si>
    <t>4D1</t>
  </si>
  <si>
    <t>QUEST ACADEMY</t>
  </si>
  <si>
    <t>1F</t>
  </si>
  <si>
    <t>8D</t>
  </si>
  <si>
    <t>OPEN CLASSROOM</t>
  </si>
  <si>
    <t>6D</t>
  </si>
  <si>
    <t>NOAH WEBSTER ACADEMY</t>
  </si>
  <si>
    <t>1C</t>
  </si>
  <si>
    <t>ODYSSEY CHARTER SCH</t>
  </si>
  <si>
    <t>AMERICAN PREP ACADEMY</t>
  </si>
  <si>
    <t>AMERICAN LEADERSHIP ACAD</t>
  </si>
  <si>
    <t>MERIT COLL PREP ACAD</t>
  </si>
  <si>
    <t>VALLEY MENTAL HEALTH</t>
  </si>
  <si>
    <t>RP1</t>
  </si>
  <si>
    <t>CENTRAL UT/RICHFIELD</t>
  </si>
  <si>
    <t>FARMINGTON BAY YOUTH CN</t>
  </si>
  <si>
    <t>ALL FIGURES ARE FOR THE LAST OPERATING DAY OF OCTOBER 2010</t>
  </si>
  <si>
    <t>MOUNTAIN TRAILS ELEM</t>
  </si>
  <si>
    <t>TRAVERSE MOUNTAIN ELEM</t>
  </si>
  <si>
    <t>VISTA HEIGHTS MIDDLE SCH</t>
  </si>
  <si>
    <t>COMMUNITY HIGH</t>
  </si>
  <si>
    <t>INDEPENDENT LIVING</t>
  </si>
  <si>
    <t>BIRCH CREEK ELEMENTARY</t>
  </si>
  <si>
    <t>STUDENT SUPPORT SERV</t>
  </si>
  <si>
    <t>3E</t>
  </si>
  <si>
    <t>CS LEWIS ACADEMY</t>
  </si>
  <si>
    <t>ENDEAVOR ELEMENTARY</t>
  </si>
  <si>
    <t>DAN PETERSON SCHOOL</t>
  </si>
  <si>
    <t>HELEN M KNIGHT</t>
  </si>
  <si>
    <t>CRICKET CARE</t>
  </si>
  <si>
    <t>FAST FORWARD CHARTER</t>
  </si>
  <si>
    <t>8G</t>
  </si>
  <si>
    <t>GOOD FOUNDATIONS ACAD</t>
  </si>
  <si>
    <t>GEARLD WRIGHT ELEM</t>
  </si>
  <si>
    <t>ALTARA ELEMENTARY</t>
  </si>
  <si>
    <t>HERRIMAN HIGH SCHOOL</t>
  </si>
  <si>
    <t>REGION I O&amp;A OGDEN</t>
  </si>
  <si>
    <t>SPLIT MTN/VERNAL</t>
  </si>
  <si>
    <t>OGDEN PREP ELEMENTARY</t>
  </si>
  <si>
    <t>OGDEN PREP INTERMED</t>
  </si>
  <si>
    <t>OGDEN PREP SECONDARY</t>
  </si>
  <si>
    <t>TAYLOR CANYON</t>
  </si>
  <si>
    <t>5G</t>
  </si>
  <si>
    <t>QUAIL RUN PRIMARH SCH</t>
  </si>
  <si>
    <t>QUAIL RUN PRIMARY SCH</t>
  </si>
  <si>
    <t>3D</t>
  </si>
  <si>
    <t>SPECTRUM ACADEMY ELEM</t>
  </si>
  <si>
    <t>SPECTRUM ACADEMY HS</t>
  </si>
  <si>
    <t>SPECTRUM ACADEMY</t>
  </si>
  <si>
    <t>7G</t>
  </si>
  <si>
    <t>SUMMIT ACADEMY HIGH SCH</t>
  </si>
  <si>
    <t>A2</t>
  </si>
  <si>
    <t>THE RANCHES ACADEMY</t>
  </si>
  <si>
    <t>OASIS CHRISTAN CENTER</t>
  </si>
  <si>
    <t>C84</t>
  </si>
  <si>
    <t>CARMEN PINGREE SCHOOL</t>
  </si>
  <si>
    <t>WEST CAMPUS BOYS/GIRLS</t>
  </si>
  <si>
    <t>PINE VIEW HIGH SCHOOL</t>
  </si>
  <si>
    <t>BLUE PEAK HIGH</t>
  </si>
  <si>
    <t>Revised 1/14/2011 for Grand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</si>
</sst>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41">
    <xf numFmtId="0" fontId="0" fillId="0" borderId="0" xfId="0"/>
    <xf numFmtId="10" fontId="3" fillId="0" borderId="0" xfId="0" applyNumberFormat="1" applyFont="1" applyFill="1" applyAlignment="1">
      <alignment horizontal="centerContinuous"/>
    </xf>
    <xf numFmtId="3" fontId="3" fillId="0" borderId="7" xfId="0" applyNumberFormat="1" applyFont="1" applyFill="1" applyBorder="1"/>
    <xf numFmtId="3" fontId="3" fillId="0" borderId="5" xfId="0" applyNumberFormat="1" applyFont="1" applyFill="1" applyBorder="1"/>
    <xf numFmtId="3" fontId="3" fillId="0" borderId="1" xfId="0" applyNumberFormat="1" applyFont="1" applyFill="1" applyBorder="1"/>
    <xf numFmtId="3" fontId="3" fillId="0" borderId="0" xfId="0" applyNumberFormat="1" applyFont="1" applyFill="1"/>
    <xf numFmtId="0" fontId="3" fillId="0" borderId="0" xfId="0" applyFont="1" applyFill="1"/>
    <xf numFmtId="10" fontId="3" fillId="0" borderId="0" xfId="0" applyNumberFormat="1" applyFont="1" applyFill="1"/>
    <xf numFmtId="10" fontId="8" fillId="0" borderId="0" xfId="0" applyNumberFormat="1" applyFont="1" applyFill="1"/>
    <xf numFmtId="10" fontId="0" fillId="0" borderId="0" xfId="0" applyNumberFormat="1" applyFill="1"/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3" fillId="0" borderId="0" xfId="0" quotePrefix="1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0" fillId="0" borderId="0" xfId="0" applyFill="1"/>
    <xf numFmtId="0" fontId="7" fillId="0" borderId="0" xfId="0" quotePrefix="1" applyFont="1" applyFill="1" applyAlignment="1">
      <alignment horizontal="centerContinuous"/>
    </xf>
    <xf numFmtId="0" fontId="4" fillId="0" borderId="10" xfId="0" applyFont="1" applyFill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10" xfId="0" applyFont="1" applyFill="1" applyBorder="1"/>
    <xf numFmtId="0" fontId="4" fillId="0" borderId="1" xfId="0" applyFont="1" applyFill="1" applyBorder="1" applyAlignment="1">
      <alignment horizontal="centerContinuous"/>
    </xf>
    <xf numFmtId="0" fontId="4" fillId="0" borderId="8" xfId="0" applyFont="1" applyFill="1" applyBorder="1" applyAlignment="1">
      <alignment horizontal="centerContinuous"/>
    </xf>
    <xf numFmtId="0" fontId="4" fillId="0" borderId="9" xfId="0" applyFont="1" applyFill="1" applyBorder="1" applyAlignment="1">
      <alignment horizontal="centerContinuous"/>
    </xf>
    <xf numFmtId="0" fontId="4" fillId="0" borderId="10" xfId="0" quotePrefix="1" applyFont="1" applyFill="1" applyBorder="1" applyAlignment="1">
      <alignment horizontal="center"/>
    </xf>
    <xf numFmtId="10" fontId="4" fillId="0" borderId="10" xfId="0" applyNumberFormat="1" applyFont="1" applyFill="1" applyBorder="1" applyAlignment="1">
      <alignment horizontal="center"/>
    </xf>
    <xf numFmtId="0" fontId="4" fillId="0" borderId="11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center"/>
    </xf>
    <xf numFmtId="0" fontId="4" fillId="0" borderId="2" xfId="0" quotePrefix="1" applyFont="1" applyFill="1" applyBorder="1" applyAlignment="1">
      <alignment horizontal="center"/>
    </xf>
    <xf numFmtId="0" fontId="4" fillId="0" borderId="11" xfId="0" quotePrefix="1" applyFont="1" applyFill="1" applyBorder="1" applyAlignment="1">
      <alignment horizontal="center"/>
    </xf>
    <xf numFmtId="10" fontId="4" fillId="0" borderId="11" xfId="0" applyNumberFormat="1" applyFont="1" applyFill="1" applyBorder="1" applyAlignment="1">
      <alignment horizontal="center"/>
    </xf>
    <xf numFmtId="0" fontId="5" fillId="0" borderId="12" xfId="0" applyFont="1" applyFill="1" applyBorder="1" applyAlignment="1" applyProtection="1">
      <alignment horizontal="center"/>
    </xf>
    <xf numFmtId="0" fontId="5" fillId="0" borderId="13" xfId="0" applyFont="1" applyFill="1" applyBorder="1" applyAlignment="1" applyProtection="1">
      <alignment horizontal="center"/>
    </xf>
    <xf numFmtId="0" fontId="6" fillId="0" borderId="12" xfId="0" applyFont="1" applyFill="1" applyBorder="1" applyAlignment="1" applyProtection="1">
      <alignment horizontal="center"/>
    </xf>
    <xf numFmtId="0" fontId="3" fillId="0" borderId="13" xfId="0" quotePrefix="1" applyFont="1" applyFill="1" applyBorder="1" applyAlignment="1"/>
    <xf numFmtId="0" fontId="3" fillId="0" borderId="12" xfId="0" quotePrefix="1" applyFont="1" applyFill="1" applyBorder="1" applyAlignment="1">
      <alignment horizontal="center"/>
    </xf>
    <xf numFmtId="0" fontId="3" fillId="0" borderId="13" xfId="0" quotePrefix="1" applyFont="1" applyFill="1" applyBorder="1" applyAlignment="1">
      <alignment horizontal="center"/>
    </xf>
    <xf numFmtId="10" fontId="3" fillId="0" borderId="12" xfId="0" quotePrefix="1" applyNumberFormat="1" applyFont="1" applyFill="1" applyBorder="1" applyAlignment="1">
      <alignment horizontal="center"/>
    </xf>
    <xf numFmtId="0" fontId="5" fillId="0" borderId="14" xfId="0" applyFont="1" applyFill="1" applyBorder="1" applyProtection="1"/>
    <xf numFmtId="0" fontId="5" fillId="0" borderId="3" xfId="0" applyFont="1" applyFill="1" applyBorder="1" applyProtection="1"/>
    <xf numFmtId="0" fontId="5" fillId="0" borderId="14" xfId="0" applyFont="1" applyFill="1" applyBorder="1" applyAlignment="1" applyProtection="1">
      <alignment horizontal="left"/>
    </xf>
    <xf numFmtId="3" fontId="3" fillId="0" borderId="3" xfId="0" applyNumberFormat="1" applyFont="1" applyFill="1" applyBorder="1"/>
    <xf numFmtId="3" fontId="3" fillId="0" borderId="14" xfId="0" applyNumberFormat="1" applyFont="1" applyFill="1" applyBorder="1"/>
    <xf numFmtId="10" fontId="3" fillId="0" borderId="14" xfId="0" applyNumberFormat="1" applyFont="1" applyFill="1" applyBorder="1"/>
    <xf numFmtId="0" fontId="5" fillId="0" borderId="7" xfId="0" applyFont="1" applyFill="1" applyBorder="1" applyProtection="1"/>
    <xf numFmtId="0" fontId="5" fillId="0" borderId="15" xfId="0" applyFont="1" applyFill="1" applyBorder="1" applyProtection="1"/>
    <xf numFmtId="0" fontId="5" fillId="0" borderId="7" xfId="0" applyFont="1" applyFill="1" applyBorder="1" applyAlignment="1" applyProtection="1">
      <alignment horizontal="left"/>
    </xf>
    <xf numFmtId="10" fontId="3" fillId="0" borderId="7" xfId="0" applyNumberFormat="1" applyFont="1" applyFill="1" applyBorder="1"/>
    <xf numFmtId="0" fontId="5" fillId="0" borderId="5" xfId="0" applyFont="1" applyFill="1" applyBorder="1" applyProtection="1"/>
    <xf numFmtId="0" fontId="5" fillId="0" borderId="8" xfId="0" applyFont="1" applyFill="1" applyBorder="1" applyProtection="1"/>
    <xf numFmtId="0" fontId="4" fillId="0" borderId="5" xfId="0" applyFont="1" applyFill="1" applyBorder="1" applyAlignment="1" applyProtection="1">
      <alignment horizontal="right"/>
    </xf>
    <xf numFmtId="10" fontId="3" fillId="0" borderId="5" xfId="0" applyNumberFormat="1" applyFont="1" applyFill="1" applyBorder="1"/>
    <xf numFmtId="3" fontId="3" fillId="0" borderId="8" xfId="0" applyNumberFormat="1" applyFont="1" applyFill="1" applyBorder="1"/>
    <xf numFmtId="0" fontId="5" fillId="0" borderId="16" xfId="0" applyFont="1" applyFill="1" applyBorder="1" applyProtection="1"/>
    <xf numFmtId="0" fontId="5" fillId="0" borderId="0" xfId="0" applyFont="1" applyFill="1" applyProtection="1"/>
    <xf numFmtId="0" fontId="5" fillId="0" borderId="16" xfId="0" applyFont="1" applyFill="1" applyBorder="1" applyAlignment="1" applyProtection="1">
      <alignment horizontal="left"/>
    </xf>
    <xf numFmtId="3" fontId="3" fillId="0" borderId="0" xfId="0" applyNumberFormat="1" applyFont="1" applyFill="1" applyBorder="1"/>
    <xf numFmtId="3" fontId="3" fillId="0" borderId="16" xfId="0" applyNumberFormat="1" applyFont="1" applyFill="1" applyBorder="1"/>
    <xf numFmtId="10" fontId="3" fillId="0" borderId="16" xfId="0" applyNumberFormat="1" applyFont="1" applyFill="1" applyBorder="1"/>
    <xf numFmtId="0" fontId="0" fillId="0" borderId="0" xfId="0" applyFill="1" applyBorder="1"/>
    <xf numFmtId="0" fontId="6" fillId="0" borderId="16" xfId="0" applyFont="1" applyFill="1" applyBorder="1" applyAlignment="1" applyProtection="1">
      <alignment horizontal="center"/>
    </xf>
    <xf numFmtId="3" fontId="3" fillId="0" borderId="15" xfId="0" applyNumberFormat="1" applyFont="1" applyFill="1" applyBorder="1" applyAlignment="1">
      <alignment horizontal="right"/>
    </xf>
    <xf numFmtId="3" fontId="3" fillId="0" borderId="7" xfId="0" applyNumberFormat="1" applyFont="1" applyFill="1" applyBorder="1" applyAlignment="1">
      <alignment horizontal="right"/>
    </xf>
    <xf numFmtId="3" fontId="3" fillId="0" borderId="15" xfId="0" applyNumberFormat="1" applyFont="1" applyFill="1" applyBorder="1"/>
    <xf numFmtId="10" fontId="3" fillId="0" borderId="17" xfId="0" applyNumberFormat="1" applyFont="1" applyFill="1" applyBorder="1"/>
    <xf numFmtId="3" fontId="3" fillId="0" borderId="0" xfId="0" applyNumberFormat="1" applyFont="1" applyFill="1" applyAlignment="1">
      <alignment horizontal="right"/>
    </xf>
    <xf numFmtId="3" fontId="3" fillId="0" borderId="16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centerContinuous"/>
    </xf>
    <xf numFmtId="3" fontId="3" fillId="0" borderId="0" xfId="0" applyNumberFormat="1" applyFont="1" applyFill="1" applyAlignment="1">
      <alignment horizontal="centerContinuous"/>
    </xf>
    <xf numFmtId="3" fontId="3" fillId="0" borderId="16" xfId="0" applyNumberFormat="1" applyFont="1" applyFill="1" applyBorder="1" applyAlignment="1">
      <alignment horizontal="centerContinuous"/>
    </xf>
    <xf numFmtId="0" fontId="5" fillId="0" borderId="19" xfId="0" applyFont="1" applyFill="1" applyBorder="1" applyProtection="1"/>
    <xf numFmtId="10" fontId="3" fillId="0" borderId="18" xfId="0" applyNumberFormat="1" applyFont="1" applyFill="1" applyBorder="1"/>
    <xf numFmtId="0" fontId="8" fillId="0" borderId="0" xfId="0" applyFont="1" applyFill="1"/>
    <xf numFmtId="0" fontId="3" fillId="0" borderId="0" xfId="0" quotePrefix="1" applyFont="1" applyFill="1" applyAlignment="1">
      <alignment horizontal="left"/>
    </xf>
    <xf numFmtId="10" fontId="4" fillId="0" borderId="10" xfId="0" quotePrefix="1" applyNumberFormat="1" applyFont="1" applyFill="1" applyBorder="1" applyAlignment="1">
      <alignment horizontal="center"/>
    </xf>
    <xf numFmtId="0" fontId="2" fillId="0" borderId="0" xfId="0" applyFont="1" applyFill="1"/>
    <xf numFmtId="10" fontId="4" fillId="0" borderId="11" xfId="0" quotePrefix="1" applyNumberFormat="1" applyFont="1" applyFill="1" applyBorder="1" applyAlignment="1">
      <alignment horizontal="center"/>
    </xf>
    <xf numFmtId="0" fontId="5" fillId="0" borderId="12" xfId="0" applyFont="1" applyFill="1" applyBorder="1" applyProtection="1"/>
    <xf numFmtId="0" fontId="5" fillId="0" borderId="13" xfId="0" applyFont="1" applyFill="1" applyBorder="1" applyAlignment="1" applyProtection="1"/>
    <xf numFmtId="0" fontId="3" fillId="0" borderId="12" xfId="0" applyFont="1" applyFill="1" applyBorder="1" applyAlignment="1" applyProtection="1"/>
    <xf numFmtId="3" fontId="3" fillId="0" borderId="12" xfId="0" quotePrefix="1" applyNumberFormat="1" applyFont="1" applyFill="1" applyBorder="1" applyAlignment="1"/>
    <xf numFmtId="10" fontId="3" fillId="0" borderId="12" xfId="0" applyNumberFormat="1" applyFont="1" applyFill="1" applyBorder="1"/>
    <xf numFmtId="0" fontId="5" fillId="0" borderId="7" xfId="0" applyFont="1" applyFill="1" applyBorder="1" applyAlignment="1" applyProtection="1">
      <alignment horizontal="right"/>
    </xf>
    <xf numFmtId="0" fontId="5" fillId="0" borderId="16" xfId="0" applyFont="1" applyFill="1" applyBorder="1" applyAlignment="1" applyProtection="1">
      <alignment horizontal="right"/>
    </xf>
    <xf numFmtId="3" fontId="5" fillId="0" borderId="7" xfId="0" applyNumberFormat="1" applyFont="1" applyFill="1" applyBorder="1" applyProtection="1"/>
    <xf numFmtId="0" fontId="5" fillId="0" borderId="18" xfId="0" applyFont="1" applyFill="1" applyBorder="1" applyAlignment="1" applyProtection="1">
      <alignment horizontal="right"/>
    </xf>
    <xf numFmtId="0" fontId="5" fillId="0" borderId="20" xfId="0" applyFont="1" applyFill="1" applyBorder="1" applyProtection="1"/>
    <xf numFmtId="0" fontId="5" fillId="0" borderId="21" xfId="0" applyFont="1" applyFill="1" applyBorder="1" applyProtection="1"/>
    <xf numFmtId="0" fontId="5" fillId="0" borderId="20" xfId="0" applyFont="1" applyFill="1" applyBorder="1" applyAlignment="1" applyProtection="1">
      <alignment horizontal="left"/>
    </xf>
    <xf numFmtId="10" fontId="3" fillId="0" borderId="20" xfId="0" applyNumberFormat="1" applyFont="1" applyFill="1" applyBorder="1"/>
    <xf numFmtId="0" fontId="5" fillId="0" borderId="20" xfId="0" applyFont="1" applyFill="1" applyBorder="1" applyAlignment="1" applyProtection="1">
      <alignment horizontal="right"/>
    </xf>
    <xf numFmtId="0" fontId="5" fillId="0" borderId="14" xfId="0" applyFont="1" applyFill="1" applyBorder="1" applyAlignment="1" applyProtection="1">
      <alignment horizontal="right"/>
    </xf>
    <xf numFmtId="3" fontId="3" fillId="0" borderId="7" xfId="0" quotePrefix="1" applyNumberFormat="1" applyFont="1" applyFill="1" applyBorder="1" applyAlignment="1"/>
    <xf numFmtId="0" fontId="0" fillId="0" borderId="7" xfId="0" applyFill="1" applyBorder="1"/>
    <xf numFmtId="3" fontId="3" fillId="0" borderId="22" xfId="0" applyNumberFormat="1" applyFont="1" applyFill="1" applyBorder="1"/>
    <xf numFmtId="3" fontId="3" fillId="0" borderId="23" xfId="0" applyNumberFormat="1" applyFont="1" applyFill="1" applyBorder="1"/>
    <xf numFmtId="10" fontId="3" fillId="0" borderId="11" xfId="0" applyNumberFormat="1" applyFont="1" applyFill="1" applyBorder="1"/>
    <xf numFmtId="0" fontId="1" fillId="0" borderId="0" xfId="0" applyFont="1" applyFill="1"/>
    <xf numFmtId="10" fontId="1" fillId="0" borderId="0" xfId="0" applyNumberFormat="1" applyFont="1" applyFill="1"/>
    <xf numFmtId="0" fontId="3" fillId="0" borderId="7" xfId="0" applyFont="1" applyFill="1" applyBorder="1" applyAlignment="1" applyProtection="1">
      <alignment horizontal="left"/>
    </xf>
    <xf numFmtId="0" fontId="3" fillId="0" borderId="15" xfId="0" applyFont="1" applyFill="1" applyBorder="1" applyProtection="1"/>
    <xf numFmtId="0" fontId="3" fillId="0" borderId="7" xfId="0" applyFont="1" applyFill="1" applyBorder="1" applyProtection="1"/>
    <xf numFmtId="0" fontId="3" fillId="0" borderId="18" xfId="0" applyFont="1" applyFill="1" applyBorder="1" applyAlignment="1" applyProtection="1">
      <alignment horizontal="right"/>
    </xf>
    <xf numFmtId="0" fontId="3" fillId="0" borderId="18" xfId="0" applyFont="1" applyFill="1" applyBorder="1" applyAlignment="1" applyProtection="1">
      <alignment horizontal="left"/>
    </xf>
    <xf numFmtId="3" fontId="5" fillId="0" borderId="16" xfId="0" applyNumberFormat="1" applyFont="1" applyFill="1" applyBorder="1" applyProtection="1"/>
    <xf numFmtId="0" fontId="3" fillId="0" borderId="7" xfId="0" applyFont="1" applyFill="1" applyBorder="1" applyAlignment="1" applyProtection="1">
      <alignment horizontal="right"/>
    </xf>
    <xf numFmtId="0" fontId="3" fillId="0" borderId="11" xfId="0" applyFont="1" applyFill="1" applyBorder="1" applyAlignment="1" applyProtection="1">
      <alignment horizontal="right"/>
    </xf>
    <xf numFmtId="0" fontId="5" fillId="0" borderId="24" xfId="0" applyFont="1" applyFill="1" applyBorder="1" applyProtection="1"/>
    <xf numFmtId="0" fontId="3" fillId="0" borderId="11" xfId="0" applyFont="1" applyFill="1" applyBorder="1" applyAlignment="1" applyProtection="1">
      <alignment horizontal="left"/>
    </xf>
    <xf numFmtId="3" fontId="5" fillId="0" borderId="11" xfId="0" applyNumberFormat="1" applyFont="1" applyFill="1" applyBorder="1" applyProtection="1"/>
    <xf numFmtId="17" fontId="9" fillId="0" borderId="0" xfId="0" applyNumberFormat="1" applyFont="1" applyFill="1" applyAlignment="1">
      <alignment horizontal="left"/>
    </xf>
    <xf numFmtId="0" fontId="3" fillId="0" borderId="14" xfId="0" applyFont="1" applyFill="1" applyBorder="1" applyAlignment="1" applyProtection="1">
      <alignment horizontal="left"/>
    </xf>
    <xf numFmtId="0" fontId="3" fillId="0" borderId="20" xfId="0" applyFont="1" applyFill="1" applyBorder="1" applyAlignment="1" applyProtection="1">
      <alignment horizontal="right"/>
    </xf>
    <xf numFmtId="0" fontId="3" fillId="0" borderId="20" xfId="0" applyFont="1" applyFill="1" applyBorder="1" applyAlignment="1" applyProtection="1">
      <alignment horizontal="left"/>
    </xf>
    <xf numFmtId="3" fontId="5" fillId="0" borderId="20" xfId="0" applyNumberFormat="1" applyFont="1" applyFill="1" applyBorder="1" applyProtection="1"/>
    <xf numFmtId="0" fontId="3" fillId="0" borderId="14" xfId="0" applyFont="1" applyFill="1" applyBorder="1" applyAlignment="1" applyProtection="1">
      <alignment horizontal="right"/>
    </xf>
    <xf numFmtId="0" fontId="3" fillId="0" borderId="19" xfId="0" applyFont="1" applyFill="1" applyBorder="1" applyAlignment="1" applyProtection="1">
      <alignment horizontal="center"/>
    </xf>
    <xf numFmtId="3" fontId="5" fillId="0" borderId="5" xfId="0" applyNumberFormat="1" applyFont="1" applyFill="1" applyBorder="1" applyProtection="1"/>
    <xf numFmtId="0" fontId="3" fillId="0" borderId="16" xfId="0" applyFont="1" applyFill="1" applyBorder="1" applyAlignment="1" applyProtection="1">
      <alignment horizontal="left"/>
    </xf>
    <xf numFmtId="0" fontId="3" fillId="0" borderId="19" xfId="0" applyFont="1" applyFill="1" applyBorder="1" applyProtection="1"/>
    <xf numFmtId="0" fontId="5" fillId="0" borderId="18" xfId="0" applyFont="1" applyFill="1" applyBorder="1" applyAlignment="1" applyProtection="1">
      <alignment horizontal="left"/>
    </xf>
    <xf numFmtId="0" fontId="5" fillId="0" borderId="18" xfId="0" applyFont="1" applyFill="1" applyBorder="1" applyProtection="1"/>
    <xf numFmtId="0" fontId="3" fillId="0" borderId="7" xfId="0" quotePrefix="1" applyFont="1" applyFill="1" applyBorder="1" applyAlignment="1" applyProtection="1">
      <alignment horizontal="left"/>
    </xf>
    <xf numFmtId="0" fontId="5" fillId="0" borderId="18" xfId="0" applyFont="1" applyFill="1" applyBorder="1" applyAlignment="1" applyProtection="1">
      <alignment horizontal="left" vertical="center"/>
    </xf>
    <xf numFmtId="0" fontId="5" fillId="0" borderId="0" xfId="0" applyFont="1" applyFill="1" applyBorder="1" applyProtection="1"/>
    <xf numFmtId="3" fontId="3" fillId="0" borderId="21" xfId="0" applyNumberFormat="1" applyFont="1" applyFill="1" applyBorder="1"/>
    <xf numFmtId="3" fontId="3" fillId="0" borderId="20" xfId="0" applyNumberFormat="1" applyFont="1" applyFill="1" applyBorder="1"/>
    <xf numFmtId="3" fontId="3" fillId="0" borderId="19" xfId="0" applyNumberFormat="1" applyFont="1" applyFill="1" applyBorder="1"/>
    <xf numFmtId="3" fontId="3" fillId="0" borderId="18" xfId="0" applyNumberFormat="1" applyFont="1" applyFill="1" applyBorder="1"/>
    <xf numFmtId="0" fontId="5" fillId="0" borderId="7" xfId="0" quotePrefix="1" applyFont="1" applyFill="1" applyBorder="1" applyAlignment="1" applyProtection="1">
      <alignment horizontal="left"/>
    </xf>
    <xf numFmtId="0" fontId="5" fillId="0" borderId="19" xfId="0" applyFont="1" applyFill="1" applyBorder="1" applyAlignment="1" applyProtection="1">
      <alignment horizontal="right"/>
    </xf>
    <xf numFmtId="0" fontId="4" fillId="0" borderId="16" xfId="0" applyFont="1" applyFill="1" applyBorder="1" applyAlignment="1" applyProtection="1">
      <alignment horizontal="right"/>
    </xf>
    <xf numFmtId="0" fontId="3" fillId="0" borderId="4" xfId="0" applyFont="1" applyFill="1" applyBorder="1" applyProtection="1"/>
    <xf numFmtId="0" fontId="3" fillId="0" borderId="0" xfId="0" applyFont="1" applyFill="1" applyBorder="1" applyProtection="1"/>
    <xf numFmtId="0" fontId="5" fillId="0" borderId="11" xfId="0" applyFont="1" applyFill="1" applyBorder="1" applyProtection="1"/>
    <xf numFmtId="0" fontId="5" fillId="0" borderId="2" xfId="0" applyFont="1" applyFill="1" applyBorder="1" applyProtection="1"/>
    <xf numFmtId="0" fontId="5" fillId="0" borderId="11" xfId="0" applyFont="1" applyFill="1" applyBorder="1" applyAlignment="1" applyProtection="1">
      <alignment horizontal="left"/>
    </xf>
    <xf numFmtId="0" fontId="5" fillId="0" borderId="16" xfId="0" quotePrefix="1" applyFont="1" applyFill="1" applyBorder="1" applyAlignment="1" applyProtection="1">
      <alignment horizontal="left"/>
    </xf>
    <xf numFmtId="0" fontId="3" fillId="0" borderId="19" xfId="0" applyFont="1" applyFill="1" applyBorder="1" applyAlignment="1" applyProtection="1">
      <alignment horizontal="right"/>
    </xf>
    <xf numFmtId="0" fontId="5" fillId="0" borderId="18" xfId="0" quotePrefix="1" applyFont="1" applyFill="1" applyBorder="1" applyAlignment="1" applyProtection="1">
      <alignment horizontal="right"/>
    </xf>
    <xf numFmtId="0" fontId="5" fillId="0" borderId="19" xfId="0" quotePrefix="1" applyFont="1" applyFill="1" applyBorder="1" applyAlignment="1" applyProtection="1">
      <alignment horizontal="right"/>
    </xf>
    <xf numFmtId="164" fontId="5" fillId="0" borderId="7" xfId="1" applyNumberFormat="1" applyFont="1" applyFill="1" applyBorder="1" applyProtection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582"/>
  <sheetViews>
    <sheetView showGridLines="0" tabSelected="1" zoomScaleNormal="100" workbookViewId="0">
      <selection activeCell="I299" sqref="I299"/>
    </sheetView>
  </sheetViews>
  <sheetFormatPr defaultRowHeight="12.75" x14ac:dyDescent="0.2"/>
  <cols>
    <col min="1" max="1" width="4.85546875" style="14" customWidth="1"/>
    <col min="2" max="2" width="6" style="14" customWidth="1"/>
    <col min="3" max="3" width="24.28515625" style="14" customWidth="1"/>
    <col min="4" max="5" width="9.140625" style="14"/>
    <col min="6" max="6" width="10" style="14" bestFit="1" customWidth="1"/>
    <col min="7" max="7" width="10.42578125" style="14" customWidth="1"/>
    <col min="8" max="8" width="10.42578125" style="9" customWidth="1"/>
    <col min="9" max="16384" width="9.140625" style="14"/>
  </cols>
  <sheetData>
    <row r="1" spans="1:8" ht="15.75" x14ac:dyDescent="0.25">
      <c r="A1" s="10" t="s">
        <v>353</v>
      </c>
      <c r="B1" s="11"/>
      <c r="C1" s="11"/>
      <c r="D1" s="12"/>
      <c r="E1" s="13"/>
      <c r="F1" s="13"/>
      <c r="G1" s="13"/>
      <c r="H1" s="1"/>
    </row>
    <row r="2" spans="1:8" ht="15.75" x14ac:dyDescent="0.25">
      <c r="A2" s="15" t="s">
        <v>957</v>
      </c>
      <c r="B2" s="11"/>
      <c r="C2" s="11"/>
      <c r="D2" s="12"/>
      <c r="E2" s="13"/>
      <c r="F2" s="13"/>
      <c r="G2" s="13"/>
      <c r="H2" s="1"/>
    </row>
    <row r="3" spans="1:8" x14ac:dyDescent="0.2">
      <c r="A3" s="11" t="s">
        <v>219</v>
      </c>
      <c r="B3" s="11"/>
      <c r="C3" s="11"/>
      <c r="D3" s="12"/>
      <c r="E3" s="13"/>
      <c r="F3" s="13"/>
      <c r="G3" s="13"/>
      <c r="H3" s="1"/>
    </row>
    <row r="4" spans="1:8" x14ac:dyDescent="0.2">
      <c r="A4" s="109" t="s">
        <v>1000</v>
      </c>
      <c r="B4" s="11"/>
      <c r="C4" s="11"/>
      <c r="D4" s="12"/>
      <c r="E4" s="13"/>
      <c r="F4" s="13"/>
      <c r="G4" s="13"/>
      <c r="H4" s="1"/>
    </row>
    <row r="5" spans="1:8" ht="13.5" thickBot="1" x14ac:dyDescent="0.25">
      <c r="B5" s="11"/>
      <c r="C5" s="11"/>
      <c r="D5" s="13" t="s">
        <v>219</v>
      </c>
      <c r="E5" s="13"/>
      <c r="F5" s="13"/>
      <c r="G5" s="13"/>
      <c r="H5" s="1"/>
    </row>
    <row r="6" spans="1:8" ht="13.5" customHeight="1" thickBot="1" x14ac:dyDescent="0.25">
      <c r="A6" s="16" t="s">
        <v>268</v>
      </c>
      <c r="B6" s="17" t="s">
        <v>0</v>
      </c>
      <c r="C6" s="18"/>
      <c r="D6" s="19" t="s">
        <v>1</v>
      </c>
      <c r="E6" s="20"/>
      <c r="F6" s="21"/>
      <c r="G6" s="22" t="s">
        <v>2</v>
      </c>
      <c r="H6" s="23" t="s">
        <v>3</v>
      </c>
    </row>
    <row r="7" spans="1:8" ht="13.5" thickBot="1" x14ac:dyDescent="0.25">
      <c r="A7" s="24" t="s">
        <v>4</v>
      </c>
      <c r="B7" s="25" t="s">
        <v>5</v>
      </c>
      <c r="C7" s="24" t="s">
        <v>6</v>
      </c>
      <c r="D7" s="26" t="s">
        <v>7</v>
      </c>
      <c r="E7" s="27" t="s">
        <v>8</v>
      </c>
      <c r="F7" s="26" t="s">
        <v>9</v>
      </c>
      <c r="G7" s="27" t="s">
        <v>10</v>
      </c>
      <c r="H7" s="28" t="s">
        <v>11</v>
      </c>
    </row>
    <row r="8" spans="1:8" x14ac:dyDescent="0.2">
      <c r="A8" s="29"/>
      <c r="B8" s="30"/>
      <c r="C8" s="31" t="s">
        <v>12</v>
      </c>
      <c r="D8" s="32"/>
      <c r="E8" s="33"/>
      <c r="F8" s="34"/>
      <c r="G8" s="33"/>
      <c r="H8" s="35"/>
    </row>
    <row r="9" spans="1:8" x14ac:dyDescent="0.2">
      <c r="A9" s="36">
        <v>1</v>
      </c>
      <c r="B9" s="37">
        <v>103</v>
      </c>
      <c r="C9" s="110" t="s">
        <v>391</v>
      </c>
      <c r="D9" s="39">
        <v>83</v>
      </c>
      <c r="E9" s="40">
        <v>26</v>
      </c>
      <c r="F9" s="39">
        <f>657-(D9+E9)</f>
        <v>548</v>
      </c>
      <c r="G9" s="40">
        <f t="shared" ref="G9:G42" si="0">SUM(D9:F9)</f>
        <v>657</v>
      </c>
      <c r="H9" s="41">
        <f t="shared" ref="H9:H42" si="1">+(D9+E9)/G9</f>
        <v>0.16590563165905631</v>
      </c>
    </row>
    <row r="10" spans="1:8" x14ac:dyDescent="0.2">
      <c r="A10" s="42">
        <v>1</v>
      </c>
      <c r="B10" s="43">
        <v>107</v>
      </c>
      <c r="C10" s="98" t="s">
        <v>392</v>
      </c>
      <c r="D10" s="39">
        <v>135</v>
      </c>
      <c r="E10" s="40">
        <v>44</v>
      </c>
      <c r="F10" s="39">
        <f>497-(D10+E10)</f>
        <v>318</v>
      </c>
      <c r="G10" s="40">
        <f t="shared" si="0"/>
        <v>497</v>
      </c>
      <c r="H10" s="45">
        <f t="shared" si="1"/>
        <v>0.36016096579476864</v>
      </c>
    </row>
    <row r="11" spans="1:8" x14ac:dyDescent="0.2">
      <c r="A11" s="42">
        <v>1</v>
      </c>
      <c r="B11" s="43">
        <v>112</v>
      </c>
      <c r="C11" s="98" t="s">
        <v>393</v>
      </c>
      <c r="D11" s="39">
        <v>93</v>
      </c>
      <c r="E11" s="40">
        <v>46</v>
      </c>
      <c r="F11" s="39">
        <f>596-(D11+E11)</f>
        <v>457</v>
      </c>
      <c r="G11" s="40">
        <f t="shared" si="0"/>
        <v>596</v>
      </c>
      <c r="H11" s="45">
        <f t="shared" si="1"/>
        <v>0.23322147651006711</v>
      </c>
    </row>
    <row r="12" spans="1:8" x14ac:dyDescent="0.2">
      <c r="A12" s="42">
        <v>1</v>
      </c>
      <c r="B12" s="43">
        <v>117</v>
      </c>
      <c r="C12" s="98" t="s">
        <v>394</v>
      </c>
      <c r="D12" s="39">
        <v>293</v>
      </c>
      <c r="E12" s="40">
        <v>77</v>
      </c>
      <c r="F12" s="39">
        <f>742-(D12+E12)</f>
        <v>372</v>
      </c>
      <c r="G12" s="40">
        <f t="shared" si="0"/>
        <v>742</v>
      </c>
      <c r="H12" s="45">
        <f t="shared" si="1"/>
        <v>0.49865229110512127</v>
      </c>
    </row>
    <row r="13" spans="1:8" x14ac:dyDescent="0.2">
      <c r="A13" s="42">
        <v>1</v>
      </c>
      <c r="B13" s="43">
        <v>121</v>
      </c>
      <c r="C13" s="98" t="s">
        <v>395</v>
      </c>
      <c r="D13" s="39">
        <v>114</v>
      </c>
      <c r="E13" s="40">
        <v>42</v>
      </c>
      <c r="F13" s="39">
        <f>518-(D13+E13)</f>
        <v>362</v>
      </c>
      <c r="G13" s="40">
        <f t="shared" si="0"/>
        <v>518</v>
      </c>
      <c r="H13" s="45">
        <f t="shared" si="1"/>
        <v>0.30115830115830117</v>
      </c>
    </row>
    <row r="14" spans="1:8" x14ac:dyDescent="0.2">
      <c r="A14" s="42">
        <v>1</v>
      </c>
      <c r="B14" s="43">
        <v>123</v>
      </c>
      <c r="C14" s="98" t="s">
        <v>376</v>
      </c>
      <c r="D14" s="39">
        <v>78</v>
      </c>
      <c r="E14" s="40">
        <v>40</v>
      </c>
      <c r="F14" s="39">
        <f>986-(D14+E14)</f>
        <v>868</v>
      </c>
      <c r="G14" s="40">
        <f t="shared" si="0"/>
        <v>986</v>
      </c>
      <c r="H14" s="45">
        <f t="shared" si="1"/>
        <v>0.11967545638945233</v>
      </c>
    </row>
    <row r="15" spans="1:8" x14ac:dyDescent="0.2">
      <c r="A15" s="42">
        <v>1</v>
      </c>
      <c r="B15" s="43">
        <v>125</v>
      </c>
      <c r="C15" s="98" t="s">
        <v>377</v>
      </c>
      <c r="D15" s="39">
        <v>29</v>
      </c>
      <c r="E15" s="40">
        <v>19</v>
      </c>
      <c r="F15" s="39">
        <f>140-(D15+E15)</f>
        <v>92</v>
      </c>
      <c r="G15" s="40">
        <f t="shared" si="0"/>
        <v>140</v>
      </c>
      <c r="H15" s="45">
        <f t="shared" si="1"/>
        <v>0.34285714285714286</v>
      </c>
    </row>
    <row r="16" spans="1:8" x14ac:dyDescent="0.2">
      <c r="A16" s="42">
        <v>1</v>
      </c>
      <c r="B16" s="43">
        <v>129</v>
      </c>
      <c r="C16" s="98" t="s">
        <v>378</v>
      </c>
      <c r="D16" s="39">
        <v>198</v>
      </c>
      <c r="E16" s="40">
        <v>62</v>
      </c>
      <c r="F16" s="39">
        <f>552-(D16+E16)</f>
        <v>292</v>
      </c>
      <c r="G16" s="40">
        <f t="shared" si="0"/>
        <v>552</v>
      </c>
      <c r="H16" s="45">
        <f t="shared" si="1"/>
        <v>0.47101449275362317</v>
      </c>
    </row>
    <row r="17" spans="1:8" x14ac:dyDescent="0.2">
      <c r="A17" s="42">
        <v>1</v>
      </c>
      <c r="B17" s="43">
        <v>134</v>
      </c>
      <c r="C17" s="98" t="s">
        <v>379</v>
      </c>
      <c r="D17" s="39">
        <v>328</v>
      </c>
      <c r="E17" s="40">
        <v>86</v>
      </c>
      <c r="F17" s="39">
        <f>743-(D17+E17)</f>
        <v>329</v>
      </c>
      <c r="G17" s="40">
        <f t="shared" si="0"/>
        <v>743</v>
      </c>
      <c r="H17" s="45">
        <f t="shared" si="1"/>
        <v>0.55720053835800809</v>
      </c>
    </row>
    <row r="18" spans="1:8" x14ac:dyDescent="0.2">
      <c r="A18" s="42">
        <v>1</v>
      </c>
      <c r="B18" s="43">
        <v>138</v>
      </c>
      <c r="C18" s="98" t="s">
        <v>380</v>
      </c>
      <c r="D18" s="39">
        <v>79</v>
      </c>
      <c r="E18" s="40">
        <v>27</v>
      </c>
      <c r="F18" s="39">
        <f>971-(D18+E18)</f>
        <v>865</v>
      </c>
      <c r="G18" s="40">
        <f t="shared" si="0"/>
        <v>971</v>
      </c>
      <c r="H18" s="45">
        <f t="shared" si="1"/>
        <v>0.10916580844490216</v>
      </c>
    </row>
    <row r="19" spans="1:8" x14ac:dyDescent="0.2">
      <c r="A19" s="42">
        <v>1</v>
      </c>
      <c r="B19" s="43">
        <v>140</v>
      </c>
      <c r="C19" s="98" t="s">
        <v>381</v>
      </c>
      <c r="D19" s="39">
        <v>99</v>
      </c>
      <c r="E19" s="40">
        <v>56</v>
      </c>
      <c r="F19" s="39">
        <f>1001-(D19+E19)</f>
        <v>846</v>
      </c>
      <c r="G19" s="40">
        <f t="shared" si="0"/>
        <v>1001</v>
      </c>
      <c r="H19" s="45">
        <f t="shared" si="1"/>
        <v>0.15484515484515485</v>
      </c>
    </row>
    <row r="20" spans="1:8" x14ac:dyDescent="0.2">
      <c r="A20" s="42">
        <v>1</v>
      </c>
      <c r="B20" s="43">
        <v>141</v>
      </c>
      <c r="C20" s="98" t="s">
        <v>382</v>
      </c>
      <c r="D20" s="39">
        <v>110</v>
      </c>
      <c r="E20" s="40">
        <v>124</v>
      </c>
      <c r="F20" s="39">
        <f>747-(D20+E20)</f>
        <v>513</v>
      </c>
      <c r="G20" s="40">
        <f t="shared" si="0"/>
        <v>747</v>
      </c>
      <c r="H20" s="45">
        <f t="shared" si="1"/>
        <v>0.31325301204819278</v>
      </c>
    </row>
    <row r="21" spans="1:8" x14ac:dyDescent="0.2">
      <c r="A21" s="42">
        <v>1</v>
      </c>
      <c r="B21" s="43">
        <v>144</v>
      </c>
      <c r="C21" s="98" t="s">
        <v>383</v>
      </c>
      <c r="D21" s="39">
        <v>115</v>
      </c>
      <c r="E21" s="40">
        <v>30</v>
      </c>
      <c r="F21" s="39">
        <f>965-(D21+E21)</f>
        <v>820</v>
      </c>
      <c r="G21" s="40">
        <f t="shared" si="0"/>
        <v>965</v>
      </c>
      <c r="H21" s="45">
        <f t="shared" si="1"/>
        <v>0.15025906735751296</v>
      </c>
    </row>
    <row r="22" spans="1:8" x14ac:dyDescent="0.2">
      <c r="A22" s="42">
        <v>1</v>
      </c>
      <c r="B22" s="43">
        <v>145</v>
      </c>
      <c r="C22" s="98" t="s">
        <v>384</v>
      </c>
      <c r="D22" s="39">
        <v>210</v>
      </c>
      <c r="E22" s="40">
        <v>48</v>
      </c>
      <c r="F22" s="39">
        <f>576-(D22+E22)</f>
        <v>318</v>
      </c>
      <c r="G22" s="40">
        <f t="shared" si="0"/>
        <v>576</v>
      </c>
      <c r="H22" s="45">
        <f t="shared" si="1"/>
        <v>0.44791666666666669</v>
      </c>
    </row>
    <row r="23" spans="1:8" x14ac:dyDescent="0.2">
      <c r="A23" s="42">
        <v>1</v>
      </c>
      <c r="B23" s="43">
        <v>147</v>
      </c>
      <c r="C23" s="98" t="s">
        <v>385</v>
      </c>
      <c r="D23" s="39">
        <v>82</v>
      </c>
      <c r="E23" s="40">
        <v>41</v>
      </c>
      <c r="F23" s="39">
        <f>1178-(D23+E23)</f>
        <v>1055</v>
      </c>
      <c r="G23" s="40">
        <f t="shared" si="0"/>
        <v>1178</v>
      </c>
      <c r="H23" s="45">
        <f t="shared" si="1"/>
        <v>0.10441426146010187</v>
      </c>
    </row>
    <row r="24" spans="1:8" x14ac:dyDescent="0.2">
      <c r="A24" s="42">
        <v>1</v>
      </c>
      <c r="B24" s="43">
        <v>148</v>
      </c>
      <c r="C24" s="98" t="s">
        <v>386</v>
      </c>
      <c r="D24" s="39">
        <v>243</v>
      </c>
      <c r="E24" s="40">
        <v>74</v>
      </c>
      <c r="F24" s="39">
        <f>1003-(D24+E24)</f>
        <v>686</v>
      </c>
      <c r="G24" s="40">
        <f t="shared" si="0"/>
        <v>1003</v>
      </c>
      <c r="H24" s="45">
        <f t="shared" si="1"/>
        <v>0.31605184446660017</v>
      </c>
    </row>
    <row r="25" spans="1:8" x14ac:dyDescent="0.2">
      <c r="A25" s="42">
        <v>1</v>
      </c>
      <c r="B25" s="43">
        <v>156</v>
      </c>
      <c r="C25" s="98" t="s">
        <v>387</v>
      </c>
      <c r="D25" s="39">
        <v>342</v>
      </c>
      <c r="E25" s="40">
        <v>58</v>
      </c>
      <c r="F25" s="39">
        <f>551-(D25+E25)</f>
        <v>151</v>
      </c>
      <c r="G25" s="40">
        <f t="shared" si="0"/>
        <v>551</v>
      </c>
      <c r="H25" s="45">
        <f t="shared" si="1"/>
        <v>0.72595281306715065</v>
      </c>
    </row>
    <row r="26" spans="1:8" x14ac:dyDescent="0.2">
      <c r="A26" s="42">
        <v>1</v>
      </c>
      <c r="B26" s="43">
        <v>161</v>
      </c>
      <c r="C26" s="98" t="s">
        <v>388</v>
      </c>
      <c r="D26" s="39">
        <v>256</v>
      </c>
      <c r="E26" s="40">
        <v>81</v>
      </c>
      <c r="F26" s="39">
        <f>618-(D26+E26)</f>
        <v>281</v>
      </c>
      <c r="G26" s="40">
        <f t="shared" si="0"/>
        <v>618</v>
      </c>
      <c r="H26" s="45">
        <f t="shared" si="1"/>
        <v>0.54530744336569581</v>
      </c>
    </row>
    <row r="27" spans="1:8" x14ac:dyDescent="0.2">
      <c r="A27" s="42">
        <v>1</v>
      </c>
      <c r="B27" s="43">
        <v>166</v>
      </c>
      <c r="C27" s="98" t="s">
        <v>389</v>
      </c>
      <c r="D27" s="39">
        <v>136</v>
      </c>
      <c r="E27" s="40">
        <v>45</v>
      </c>
      <c r="F27" s="39">
        <f>733-(D27+E27)</f>
        <v>552</v>
      </c>
      <c r="G27" s="40">
        <f t="shared" si="0"/>
        <v>733</v>
      </c>
      <c r="H27" s="45">
        <f t="shared" si="1"/>
        <v>0.24693042291950887</v>
      </c>
    </row>
    <row r="28" spans="1:8" x14ac:dyDescent="0.2">
      <c r="A28" s="42">
        <v>1</v>
      </c>
      <c r="B28" s="43">
        <v>170</v>
      </c>
      <c r="C28" s="98" t="s">
        <v>390</v>
      </c>
      <c r="D28" s="39">
        <v>142</v>
      </c>
      <c r="E28" s="40">
        <v>86</v>
      </c>
      <c r="F28" s="39">
        <f>1191-(D28+E28)</f>
        <v>963</v>
      </c>
      <c r="G28" s="40">
        <f t="shared" si="0"/>
        <v>1191</v>
      </c>
      <c r="H28" s="45">
        <f t="shared" si="1"/>
        <v>0.19143576826196473</v>
      </c>
    </row>
    <row r="29" spans="1:8" x14ac:dyDescent="0.2">
      <c r="A29" s="42">
        <v>1</v>
      </c>
      <c r="B29" s="43">
        <v>171</v>
      </c>
      <c r="C29" s="98" t="s">
        <v>375</v>
      </c>
      <c r="D29" s="39">
        <v>63</v>
      </c>
      <c r="E29" s="40">
        <v>35</v>
      </c>
      <c r="F29" s="39">
        <f>856-(D29+E29)</f>
        <v>758</v>
      </c>
      <c r="G29" s="40">
        <f t="shared" si="0"/>
        <v>856</v>
      </c>
      <c r="H29" s="45">
        <f t="shared" si="1"/>
        <v>0.11448598130841121</v>
      </c>
    </row>
    <row r="30" spans="1:8" x14ac:dyDescent="0.2">
      <c r="A30" s="42">
        <v>1</v>
      </c>
      <c r="B30" s="43">
        <v>172</v>
      </c>
      <c r="C30" s="98" t="s">
        <v>374</v>
      </c>
      <c r="D30" s="39">
        <v>175</v>
      </c>
      <c r="E30" s="40">
        <v>32</v>
      </c>
      <c r="F30" s="39">
        <f>467-(D30+E30)</f>
        <v>260</v>
      </c>
      <c r="G30" s="40">
        <f t="shared" si="0"/>
        <v>467</v>
      </c>
      <c r="H30" s="45">
        <f t="shared" si="1"/>
        <v>0.44325481798715205</v>
      </c>
    </row>
    <row r="31" spans="1:8" x14ac:dyDescent="0.2">
      <c r="A31" s="42">
        <v>1</v>
      </c>
      <c r="B31" s="43">
        <v>175</v>
      </c>
      <c r="C31" s="98" t="s">
        <v>373</v>
      </c>
      <c r="D31" s="39">
        <v>88</v>
      </c>
      <c r="E31" s="40">
        <v>34</v>
      </c>
      <c r="F31" s="39">
        <f>978-(D31+E31)</f>
        <v>856</v>
      </c>
      <c r="G31" s="40">
        <f t="shared" si="0"/>
        <v>978</v>
      </c>
      <c r="H31" s="45">
        <f t="shared" si="1"/>
        <v>0.12474437627811862</v>
      </c>
    </row>
    <row r="32" spans="1:8" x14ac:dyDescent="0.2">
      <c r="A32" s="42">
        <v>1</v>
      </c>
      <c r="B32" s="43">
        <v>183</v>
      </c>
      <c r="C32" s="98" t="s">
        <v>372</v>
      </c>
      <c r="D32" s="39">
        <v>168</v>
      </c>
      <c r="E32" s="40">
        <v>56</v>
      </c>
      <c r="F32" s="39">
        <f>666-(D32+E32)</f>
        <v>442</v>
      </c>
      <c r="G32" s="40">
        <f t="shared" si="0"/>
        <v>666</v>
      </c>
      <c r="H32" s="45">
        <f t="shared" si="1"/>
        <v>0.33633633633633636</v>
      </c>
    </row>
    <row r="33" spans="1:8" x14ac:dyDescent="0.2">
      <c r="A33" s="42">
        <v>1</v>
      </c>
      <c r="B33" s="43">
        <v>187</v>
      </c>
      <c r="C33" s="98" t="s">
        <v>396</v>
      </c>
      <c r="D33" s="39">
        <v>184</v>
      </c>
      <c r="E33" s="40">
        <v>43</v>
      </c>
      <c r="F33" s="39">
        <f>718-(D33+E33)</f>
        <v>491</v>
      </c>
      <c r="G33" s="40">
        <f t="shared" si="0"/>
        <v>718</v>
      </c>
      <c r="H33" s="45">
        <f t="shared" si="1"/>
        <v>0.31615598885793872</v>
      </c>
    </row>
    <row r="34" spans="1:8" x14ac:dyDescent="0.2">
      <c r="A34" s="42">
        <v>1</v>
      </c>
      <c r="B34" s="43">
        <v>191</v>
      </c>
      <c r="C34" s="98" t="s">
        <v>400</v>
      </c>
      <c r="D34" s="39">
        <v>243</v>
      </c>
      <c r="E34" s="40">
        <v>117</v>
      </c>
      <c r="F34" s="39">
        <f>1224-(D34+E34)</f>
        <v>864</v>
      </c>
      <c r="G34" s="40">
        <f t="shared" si="0"/>
        <v>1224</v>
      </c>
      <c r="H34" s="45">
        <f t="shared" si="1"/>
        <v>0.29411764705882354</v>
      </c>
    </row>
    <row r="35" spans="1:8" x14ac:dyDescent="0.2">
      <c r="A35" s="42">
        <v>1</v>
      </c>
      <c r="B35" s="43">
        <v>196</v>
      </c>
      <c r="C35" s="98" t="s">
        <v>367</v>
      </c>
      <c r="D35" s="39">
        <v>172</v>
      </c>
      <c r="E35" s="40">
        <v>82</v>
      </c>
      <c r="F35" s="39">
        <f>1033-(D35+E35)</f>
        <v>779</v>
      </c>
      <c r="G35" s="40">
        <f>SUM(D35:F35)</f>
        <v>1033</v>
      </c>
      <c r="H35" s="45">
        <f t="shared" si="1"/>
        <v>0.24588576960309777</v>
      </c>
    </row>
    <row r="36" spans="1:8" x14ac:dyDescent="0.2">
      <c r="A36" s="42">
        <v>1</v>
      </c>
      <c r="B36" s="43">
        <v>200</v>
      </c>
      <c r="C36" s="98" t="s">
        <v>371</v>
      </c>
      <c r="D36" s="39">
        <v>134</v>
      </c>
      <c r="E36" s="40">
        <v>52</v>
      </c>
      <c r="F36" s="39">
        <f>748-(D36+E36)</f>
        <v>562</v>
      </c>
      <c r="G36" s="40">
        <f t="shared" si="0"/>
        <v>748</v>
      </c>
      <c r="H36" s="45">
        <f t="shared" si="1"/>
        <v>0.24866310160427807</v>
      </c>
    </row>
    <row r="37" spans="1:8" x14ac:dyDescent="0.2">
      <c r="A37" s="42">
        <v>1</v>
      </c>
      <c r="B37" s="43">
        <v>204</v>
      </c>
      <c r="C37" s="98" t="s">
        <v>365</v>
      </c>
      <c r="D37" s="39">
        <v>126</v>
      </c>
      <c r="E37" s="40">
        <v>42</v>
      </c>
      <c r="F37" s="39">
        <f>651-(D37+E37)</f>
        <v>483</v>
      </c>
      <c r="G37" s="40">
        <f t="shared" si="0"/>
        <v>651</v>
      </c>
      <c r="H37" s="45">
        <f t="shared" si="1"/>
        <v>0.25806451612903225</v>
      </c>
    </row>
    <row r="38" spans="1:8" s="96" customFormat="1" x14ac:dyDescent="0.2">
      <c r="A38" s="100">
        <v>1</v>
      </c>
      <c r="B38" s="99">
        <v>205</v>
      </c>
      <c r="C38" s="98" t="s">
        <v>958</v>
      </c>
      <c r="D38" s="39">
        <v>114</v>
      </c>
      <c r="E38" s="40">
        <v>53</v>
      </c>
      <c r="F38" s="39">
        <f>610-(D38+E38)</f>
        <v>443</v>
      </c>
      <c r="G38" s="40">
        <f t="shared" ref="G38" si="2">SUM(D38:F38)</f>
        <v>610</v>
      </c>
      <c r="H38" s="45">
        <f t="shared" ref="H38" si="3">+(D38+E38)/G38</f>
        <v>0.27377049180327867</v>
      </c>
    </row>
    <row r="39" spans="1:8" x14ac:dyDescent="0.2">
      <c r="A39" s="42">
        <v>1</v>
      </c>
      <c r="B39" s="43">
        <v>207</v>
      </c>
      <c r="C39" s="98" t="s">
        <v>461</v>
      </c>
      <c r="D39" s="39">
        <v>115</v>
      </c>
      <c r="E39" s="40">
        <v>61</v>
      </c>
      <c r="F39" s="39">
        <f>969-(D39+E39)</f>
        <v>793</v>
      </c>
      <c r="G39" s="40">
        <f t="shared" ref="G39" si="4">SUM(D39:F39)</f>
        <v>969</v>
      </c>
      <c r="H39" s="45">
        <f t="shared" ref="H39" si="5">+(D39+E39)/G39</f>
        <v>0.18163054695562436</v>
      </c>
    </row>
    <row r="40" spans="1:8" x14ac:dyDescent="0.2">
      <c r="A40" s="42">
        <v>1</v>
      </c>
      <c r="B40" s="43">
        <v>209</v>
      </c>
      <c r="C40" s="98" t="s">
        <v>397</v>
      </c>
      <c r="D40" s="39">
        <v>187</v>
      </c>
      <c r="E40" s="40">
        <v>46</v>
      </c>
      <c r="F40" s="39">
        <f>672-(D40+E40)</f>
        <v>439</v>
      </c>
      <c r="G40" s="40">
        <f t="shared" si="0"/>
        <v>672</v>
      </c>
      <c r="H40" s="45">
        <f t="shared" si="1"/>
        <v>0.34672619047619047</v>
      </c>
    </row>
    <row r="41" spans="1:8" x14ac:dyDescent="0.2">
      <c r="A41" s="42">
        <v>1</v>
      </c>
      <c r="B41" s="43">
        <v>212</v>
      </c>
      <c r="C41" s="98" t="s">
        <v>404</v>
      </c>
      <c r="D41" s="39">
        <v>152</v>
      </c>
      <c r="E41" s="40">
        <v>44</v>
      </c>
      <c r="F41" s="39">
        <f>452-(D41+E41)</f>
        <v>256</v>
      </c>
      <c r="G41" s="40">
        <f t="shared" si="0"/>
        <v>452</v>
      </c>
      <c r="H41" s="45">
        <f t="shared" si="1"/>
        <v>0.4336283185840708</v>
      </c>
    </row>
    <row r="42" spans="1:8" x14ac:dyDescent="0.2">
      <c r="A42" s="42">
        <v>1</v>
      </c>
      <c r="B42" s="43">
        <v>215</v>
      </c>
      <c r="C42" s="98" t="s">
        <v>366</v>
      </c>
      <c r="D42" s="39">
        <v>90</v>
      </c>
      <c r="E42" s="40">
        <v>46</v>
      </c>
      <c r="F42" s="39">
        <f>821-(D42+E42)</f>
        <v>685</v>
      </c>
      <c r="G42" s="40">
        <f t="shared" si="0"/>
        <v>821</v>
      </c>
      <c r="H42" s="45">
        <f t="shared" si="1"/>
        <v>0.16565164433617541</v>
      </c>
    </row>
    <row r="43" spans="1:8" x14ac:dyDescent="0.2">
      <c r="A43" s="42">
        <v>1</v>
      </c>
      <c r="B43" s="43">
        <v>217</v>
      </c>
      <c r="C43" s="98" t="s">
        <v>368</v>
      </c>
      <c r="D43" s="39">
        <v>319</v>
      </c>
      <c r="E43" s="40">
        <v>65</v>
      </c>
      <c r="F43" s="39">
        <f>965-(D43+E43)</f>
        <v>581</v>
      </c>
      <c r="G43" s="40">
        <f t="shared" ref="G43:G79" si="6">SUM(D43:F43)</f>
        <v>965</v>
      </c>
      <c r="H43" s="45">
        <f t="shared" ref="H43:H79" si="7">+(D43+E43)/G43</f>
        <v>0.39792746113989635</v>
      </c>
    </row>
    <row r="44" spans="1:8" x14ac:dyDescent="0.2">
      <c r="A44" s="42">
        <v>1</v>
      </c>
      <c r="B44" s="43">
        <v>218</v>
      </c>
      <c r="C44" s="98" t="s">
        <v>402</v>
      </c>
      <c r="D44" s="39">
        <v>68</v>
      </c>
      <c r="E44" s="40">
        <v>21</v>
      </c>
      <c r="F44" s="39">
        <f>573-(D44+E44)</f>
        <v>484</v>
      </c>
      <c r="G44" s="40">
        <f t="shared" si="6"/>
        <v>573</v>
      </c>
      <c r="H44" s="45">
        <f t="shared" si="7"/>
        <v>0.15532286212914484</v>
      </c>
    </row>
    <row r="45" spans="1:8" x14ac:dyDescent="0.2">
      <c r="A45" s="42">
        <v>1</v>
      </c>
      <c r="B45" s="43">
        <v>220</v>
      </c>
      <c r="C45" s="98" t="s">
        <v>403</v>
      </c>
      <c r="D45" s="39">
        <v>168</v>
      </c>
      <c r="E45" s="40">
        <v>69</v>
      </c>
      <c r="F45" s="39">
        <f>1201-(D45+E45)</f>
        <v>964</v>
      </c>
      <c r="G45" s="40">
        <f t="shared" si="6"/>
        <v>1201</v>
      </c>
      <c r="H45" s="45">
        <f t="shared" si="7"/>
        <v>0.19733555370524564</v>
      </c>
    </row>
    <row r="46" spans="1:8" x14ac:dyDescent="0.2">
      <c r="A46" s="42">
        <v>1</v>
      </c>
      <c r="B46" s="43">
        <v>222</v>
      </c>
      <c r="C46" s="98" t="s">
        <v>463</v>
      </c>
      <c r="D46" s="39">
        <v>158</v>
      </c>
      <c r="E46" s="40">
        <v>64</v>
      </c>
      <c r="F46" s="39">
        <f>830-(D46+E46)</f>
        <v>608</v>
      </c>
      <c r="G46" s="40">
        <f t="shared" ref="G46" si="8">SUM(D46:F46)</f>
        <v>830</v>
      </c>
      <c r="H46" s="45">
        <f t="shared" ref="H46" si="9">+(D46+E46)/G46</f>
        <v>0.26746987951807227</v>
      </c>
    </row>
    <row r="47" spans="1:8" x14ac:dyDescent="0.2">
      <c r="A47" s="42">
        <v>1</v>
      </c>
      <c r="B47" s="43">
        <v>223</v>
      </c>
      <c r="C47" s="98" t="s">
        <v>405</v>
      </c>
      <c r="D47" s="39">
        <v>139</v>
      </c>
      <c r="E47" s="40">
        <v>75</v>
      </c>
      <c r="F47" s="39">
        <f>1004-(D47+E47)</f>
        <v>790</v>
      </c>
      <c r="G47" s="40">
        <f t="shared" si="6"/>
        <v>1004</v>
      </c>
      <c r="H47" s="45">
        <f t="shared" si="7"/>
        <v>0.21314741035856574</v>
      </c>
    </row>
    <row r="48" spans="1:8" x14ac:dyDescent="0.2">
      <c r="A48" s="42">
        <v>1</v>
      </c>
      <c r="B48" s="43">
        <v>226</v>
      </c>
      <c r="C48" s="98" t="s">
        <v>401</v>
      </c>
      <c r="D48" s="39">
        <v>50</v>
      </c>
      <c r="E48" s="40">
        <v>15</v>
      </c>
      <c r="F48" s="39">
        <f>811-(D48+E48)</f>
        <v>746</v>
      </c>
      <c r="G48" s="40">
        <f t="shared" si="6"/>
        <v>811</v>
      </c>
      <c r="H48" s="45">
        <f t="shared" si="7"/>
        <v>8.0147965474722568E-2</v>
      </c>
    </row>
    <row r="49" spans="1:8" x14ac:dyDescent="0.2">
      <c r="A49" s="42">
        <v>1</v>
      </c>
      <c r="B49" s="43">
        <v>232</v>
      </c>
      <c r="C49" s="98" t="s">
        <v>406</v>
      </c>
      <c r="D49" s="39">
        <v>283</v>
      </c>
      <c r="E49" s="40">
        <v>50</v>
      </c>
      <c r="F49" s="39">
        <f>476-(D49+E49)</f>
        <v>143</v>
      </c>
      <c r="G49" s="40">
        <f t="shared" si="6"/>
        <v>476</v>
      </c>
      <c r="H49" s="45">
        <f t="shared" si="7"/>
        <v>0.69957983193277307</v>
      </c>
    </row>
    <row r="50" spans="1:8" x14ac:dyDescent="0.2">
      <c r="A50" s="42">
        <v>1</v>
      </c>
      <c r="B50" s="43">
        <v>237</v>
      </c>
      <c r="C50" s="98" t="s">
        <v>407</v>
      </c>
      <c r="D50" s="39">
        <v>136</v>
      </c>
      <c r="E50" s="40">
        <v>56</v>
      </c>
      <c r="F50" s="39">
        <f>1062-(D50+E50)</f>
        <v>870</v>
      </c>
      <c r="G50" s="40">
        <f t="shared" si="6"/>
        <v>1062</v>
      </c>
      <c r="H50" s="45">
        <f t="shared" si="7"/>
        <v>0.1807909604519774</v>
      </c>
    </row>
    <row r="51" spans="1:8" x14ac:dyDescent="0.2">
      <c r="A51" s="42">
        <v>1</v>
      </c>
      <c r="B51" s="43">
        <v>242</v>
      </c>
      <c r="C51" s="98" t="s">
        <v>361</v>
      </c>
      <c r="D51" s="39">
        <v>229</v>
      </c>
      <c r="E51" s="40">
        <v>97</v>
      </c>
      <c r="F51" s="39">
        <f>1125-(D51+E51)</f>
        <v>799</v>
      </c>
      <c r="G51" s="40">
        <f t="shared" si="6"/>
        <v>1125</v>
      </c>
      <c r="H51" s="45">
        <f t="shared" si="7"/>
        <v>0.2897777777777778</v>
      </c>
    </row>
    <row r="52" spans="1:8" x14ac:dyDescent="0.2">
      <c r="A52" s="42">
        <v>1</v>
      </c>
      <c r="B52" s="43">
        <v>247</v>
      </c>
      <c r="C52" s="98" t="s">
        <v>408</v>
      </c>
      <c r="D52" s="39">
        <v>142</v>
      </c>
      <c r="E52" s="40">
        <v>102</v>
      </c>
      <c r="F52" s="39">
        <f>1003-(D52+E52)</f>
        <v>759</v>
      </c>
      <c r="G52" s="40">
        <f t="shared" si="6"/>
        <v>1003</v>
      </c>
      <c r="H52" s="45">
        <f t="shared" si="7"/>
        <v>0.24327018943170489</v>
      </c>
    </row>
    <row r="53" spans="1:8" x14ac:dyDescent="0.2">
      <c r="A53" s="42">
        <v>1</v>
      </c>
      <c r="B53" s="43">
        <v>253</v>
      </c>
      <c r="C53" s="98" t="s">
        <v>409</v>
      </c>
      <c r="D53" s="39">
        <v>261</v>
      </c>
      <c r="E53" s="40">
        <v>63</v>
      </c>
      <c r="F53" s="39">
        <f>486-(D53+E53)</f>
        <v>162</v>
      </c>
      <c r="G53" s="40">
        <f t="shared" si="6"/>
        <v>486</v>
      </c>
      <c r="H53" s="45">
        <f t="shared" si="7"/>
        <v>0.66666666666666663</v>
      </c>
    </row>
    <row r="54" spans="1:8" x14ac:dyDescent="0.2">
      <c r="A54" s="42">
        <v>1</v>
      </c>
      <c r="B54" s="43">
        <v>258</v>
      </c>
      <c r="C54" s="98" t="s">
        <v>959</v>
      </c>
      <c r="D54" s="39">
        <v>87</v>
      </c>
      <c r="E54" s="40">
        <v>15</v>
      </c>
      <c r="F54" s="39">
        <f>675-(D54+E54)</f>
        <v>573</v>
      </c>
      <c r="G54" s="40">
        <f t="shared" ref="G54" si="10">SUM(D54:F54)</f>
        <v>675</v>
      </c>
      <c r="H54" s="45">
        <f t="shared" ref="H54" si="11">+(D54+E54)/G54</f>
        <v>0.15111111111111111</v>
      </c>
    </row>
    <row r="55" spans="1:8" x14ac:dyDescent="0.2">
      <c r="A55" s="42">
        <v>1</v>
      </c>
      <c r="B55" s="43">
        <v>267</v>
      </c>
      <c r="C55" s="98" t="s">
        <v>411</v>
      </c>
      <c r="D55" s="39">
        <v>97</v>
      </c>
      <c r="E55" s="40">
        <v>47</v>
      </c>
      <c r="F55" s="39">
        <f>513-(D55+E55)</f>
        <v>369</v>
      </c>
      <c r="G55" s="40">
        <f t="shared" si="6"/>
        <v>513</v>
      </c>
      <c r="H55" s="45">
        <f t="shared" si="7"/>
        <v>0.2807017543859649</v>
      </c>
    </row>
    <row r="56" spans="1:8" x14ac:dyDescent="0.2">
      <c r="A56" s="42">
        <v>1</v>
      </c>
      <c r="B56" s="43">
        <v>271</v>
      </c>
      <c r="C56" s="98" t="s">
        <v>412</v>
      </c>
      <c r="D56" s="39">
        <v>234</v>
      </c>
      <c r="E56" s="40">
        <v>76</v>
      </c>
      <c r="F56" s="39">
        <f>686-(D56+E56)</f>
        <v>376</v>
      </c>
      <c r="G56" s="40">
        <f t="shared" si="6"/>
        <v>686</v>
      </c>
      <c r="H56" s="45">
        <f t="shared" si="7"/>
        <v>0.45189504373177841</v>
      </c>
    </row>
    <row r="57" spans="1:8" x14ac:dyDescent="0.2">
      <c r="A57" s="42">
        <v>1</v>
      </c>
      <c r="B57" s="43">
        <v>215</v>
      </c>
      <c r="C57" s="98" t="s">
        <v>414</v>
      </c>
      <c r="D57" s="39">
        <v>269</v>
      </c>
      <c r="E57" s="40">
        <v>32</v>
      </c>
      <c r="F57" s="39">
        <f>473-(D57+E57)</f>
        <v>172</v>
      </c>
      <c r="G57" s="40">
        <f t="shared" ref="G57" si="12">SUM(D57:F57)</f>
        <v>473</v>
      </c>
      <c r="H57" s="45">
        <f t="shared" ref="H57" si="13">+(D57+E57)/G57</f>
        <v>0.63636363636363635</v>
      </c>
    </row>
    <row r="58" spans="1:8" x14ac:dyDescent="0.2">
      <c r="A58" s="42">
        <v>1</v>
      </c>
      <c r="B58" s="43">
        <v>277</v>
      </c>
      <c r="C58" s="98" t="s">
        <v>413</v>
      </c>
      <c r="D58" s="39">
        <v>58</v>
      </c>
      <c r="E58" s="40">
        <v>21</v>
      </c>
      <c r="F58" s="39">
        <f>876-(D58+E58)</f>
        <v>797</v>
      </c>
      <c r="G58" s="40">
        <f t="shared" si="6"/>
        <v>876</v>
      </c>
      <c r="H58" s="45">
        <f t="shared" si="7"/>
        <v>9.0182648401826479E-2</v>
      </c>
    </row>
    <row r="59" spans="1:8" x14ac:dyDescent="0.2">
      <c r="A59" s="42">
        <v>1</v>
      </c>
      <c r="B59" s="43">
        <v>286</v>
      </c>
      <c r="C59" s="98" t="s">
        <v>416</v>
      </c>
      <c r="D59" s="39">
        <v>306</v>
      </c>
      <c r="E59" s="40">
        <v>41</v>
      </c>
      <c r="F59" s="39">
        <f>606-(D59+E59)</f>
        <v>259</v>
      </c>
      <c r="G59" s="40">
        <f t="shared" si="6"/>
        <v>606</v>
      </c>
      <c r="H59" s="45">
        <f t="shared" si="7"/>
        <v>0.5726072607260726</v>
      </c>
    </row>
    <row r="60" spans="1:8" x14ac:dyDescent="0.2">
      <c r="A60" s="42">
        <v>1</v>
      </c>
      <c r="B60" s="43">
        <v>405</v>
      </c>
      <c r="C60" s="44" t="s">
        <v>13</v>
      </c>
      <c r="D60" s="39">
        <v>311</v>
      </c>
      <c r="E60" s="40">
        <v>100</v>
      </c>
      <c r="F60" s="39">
        <f>1711-(D60+E60)</f>
        <v>1300</v>
      </c>
      <c r="G60" s="40">
        <f t="shared" si="6"/>
        <v>1711</v>
      </c>
      <c r="H60" s="45">
        <f t="shared" si="7"/>
        <v>0.2402104032729398</v>
      </c>
    </row>
    <row r="61" spans="1:8" x14ac:dyDescent="0.2">
      <c r="A61" s="42">
        <v>1</v>
      </c>
      <c r="B61" s="43">
        <v>411</v>
      </c>
      <c r="C61" s="44" t="s">
        <v>14</v>
      </c>
      <c r="D61" s="39">
        <v>363</v>
      </c>
      <c r="E61" s="40">
        <v>83</v>
      </c>
      <c r="F61" s="39">
        <f>1182-(D61+E61)</f>
        <v>736</v>
      </c>
      <c r="G61" s="40">
        <f t="shared" si="6"/>
        <v>1182</v>
      </c>
      <c r="H61" s="45">
        <f t="shared" si="7"/>
        <v>0.37732656514382401</v>
      </c>
    </row>
    <row r="62" spans="1:8" x14ac:dyDescent="0.2">
      <c r="A62" s="42">
        <v>1</v>
      </c>
      <c r="B62" s="43">
        <v>423</v>
      </c>
      <c r="C62" s="44" t="s">
        <v>15</v>
      </c>
      <c r="D62" s="39">
        <v>403</v>
      </c>
      <c r="E62" s="40">
        <v>101</v>
      </c>
      <c r="F62" s="39">
        <f>1143-(D62+E62)</f>
        <v>639</v>
      </c>
      <c r="G62" s="40">
        <f t="shared" si="6"/>
        <v>1143</v>
      </c>
      <c r="H62" s="45">
        <f t="shared" si="7"/>
        <v>0.44094488188976377</v>
      </c>
    </row>
    <row r="63" spans="1:8" x14ac:dyDescent="0.2">
      <c r="A63" s="42">
        <v>1</v>
      </c>
      <c r="B63" s="43">
        <v>441</v>
      </c>
      <c r="C63" s="44" t="s">
        <v>16</v>
      </c>
      <c r="D63" s="39">
        <v>185</v>
      </c>
      <c r="E63" s="40">
        <v>80</v>
      </c>
      <c r="F63" s="39">
        <f>1264-(D63+E63)</f>
        <v>999</v>
      </c>
      <c r="G63" s="40">
        <f t="shared" si="6"/>
        <v>1264</v>
      </c>
      <c r="H63" s="45">
        <f t="shared" si="7"/>
        <v>0.20965189873417722</v>
      </c>
    </row>
    <row r="64" spans="1:8" x14ac:dyDescent="0.2">
      <c r="A64" s="42">
        <v>1</v>
      </c>
      <c r="B64" s="43">
        <v>459</v>
      </c>
      <c r="C64" s="98" t="s">
        <v>399</v>
      </c>
      <c r="D64" s="39">
        <v>352</v>
      </c>
      <c r="E64" s="40">
        <v>69</v>
      </c>
      <c r="F64" s="39">
        <f>823-(D64+E64)</f>
        <v>402</v>
      </c>
      <c r="G64" s="40">
        <f t="shared" si="6"/>
        <v>823</v>
      </c>
      <c r="H64" s="45">
        <f t="shared" si="7"/>
        <v>0.51154313487241798</v>
      </c>
    </row>
    <row r="65" spans="1:8" x14ac:dyDescent="0.2">
      <c r="A65" s="42">
        <v>1</v>
      </c>
      <c r="B65" s="43">
        <v>478</v>
      </c>
      <c r="C65" s="44" t="s">
        <v>18</v>
      </c>
      <c r="D65" s="39">
        <v>301</v>
      </c>
      <c r="E65" s="40">
        <v>87</v>
      </c>
      <c r="F65" s="39">
        <f>1403-(D65+E65)</f>
        <v>1015</v>
      </c>
      <c r="G65" s="40">
        <f t="shared" si="6"/>
        <v>1403</v>
      </c>
      <c r="H65" s="45">
        <f t="shared" si="7"/>
        <v>0.27655024946543122</v>
      </c>
    </row>
    <row r="66" spans="1:8" x14ac:dyDescent="0.2">
      <c r="A66" s="42">
        <v>1</v>
      </c>
      <c r="B66" s="43">
        <v>485</v>
      </c>
      <c r="C66" s="44" t="s">
        <v>17</v>
      </c>
      <c r="D66" s="39">
        <v>168</v>
      </c>
      <c r="E66" s="40">
        <v>61</v>
      </c>
      <c r="F66" s="39">
        <f>1133-(D66+E66)</f>
        <v>904</v>
      </c>
      <c r="G66" s="40">
        <f t="shared" ref="G66" si="14">SUM(D66:F66)</f>
        <v>1133</v>
      </c>
      <c r="H66" s="45">
        <f t="shared" ref="H66" si="15">+(D66+E66)/G66</f>
        <v>0.20211827007943514</v>
      </c>
    </row>
    <row r="67" spans="1:8" x14ac:dyDescent="0.2">
      <c r="A67" s="42">
        <v>1</v>
      </c>
      <c r="B67" s="43">
        <v>488</v>
      </c>
      <c r="C67" s="98" t="s">
        <v>410</v>
      </c>
      <c r="D67" s="39">
        <v>88</v>
      </c>
      <c r="E67" s="40">
        <v>40</v>
      </c>
      <c r="F67" s="39">
        <f>1309-(D67+E67)</f>
        <v>1181</v>
      </c>
      <c r="G67" s="40">
        <f t="shared" si="6"/>
        <v>1309</v>
      </c>
      <c r="H67" s="45">
        <f t="shared" si="7"/>
        <v>9.7784568372803665E-2</v>
      </c>
    </row>
    <row r="68" spans="1:8" x14ac:dyDescent="0.2">
      <c r="A68" s="42">
        <v>1</v>
      </c>
      <c r="B68" s="43">
        <v>490</v>
      </c>
      <c r="C68" s="98" t="s">
        <v>960</v>
      </c>
      <c r="D68" s="39">
        <v>266</v>
      </c>
      <c r="E68" s="40">
        <v>117</v>
      </c>
      <c r="F68" s="39">
        <f>1292-(D68+E68)</f>
        <v>909</v>
      </c>
      <c r="G68" s="40">
        <f t="shared" si="6"/>
        <v>1292</v>
      </c>
      <c r="H68" s="45">
        <f t="shared" si="7"/>
        <v>0.29643962848297212</v>
      </c>
    </row>
    <row r="69" spans="1:8" x14ac:dyDescent="0.2">
      <c r="A69" s="42">
        <v>1</v>
      </c>
      <c r="B69" s="43">
        <v>494</v>
      </c>
      <c r="C69" s="98" t="s">
        <v>369</v>
      </c>
      <c r="D69" s="39">
        <v>98</v>
      </c>
      <c r="E69" s="40">
        <v>43</v>
      </c>
      <c r="F69" s="39">
        <f>1269-(D69+E69)</f>
        <v>1128</v>
      </c>
      <c r="G69" s="40">
        <f t="shared" ref="G69" si="16">SUM(D69:F69)</f>
        <v>1269</v>
      </c>
      <c r="H69" s="45">
        <f t="shared" ref="H69" si="17">+(D69+E69)/G69</f>
        <v>0.1111111111111111</v>
      </c>
    </row>
    <row r="70" spans="1:8" x14ac:dyDescent="0.2">
      <c r="A70" s="42">
        <v>1</v>
      </c>
      <c r="B70" s="43">
        <v>496</v>
      </c>
      <c r="C70" s="98" t="s">
        <v>415</v>
      </c>
      <c r="D70" s="39">
        <v>212</v>
      </c>
      <c r="E70" s="40">
        <v>102</v>
      </c>
      <c r="F70" s="39">
        <f>1025-(D70+E70)</f>
        <v>711</v>
      </c>
      <c r="G70" s="40">
        <f t="shared" si="6"/>
        <v>1025</v>
      </c>
      <c r="H70" s="45">
        <f t="shared" si="7"/>
        <v>0.30634146341463414</v>
      </c>
    </row>
    <row r="71" spans="1:8" x14ac:dyDescent="0.2">
      <c r="A71" s="42">
        <v>1</v>
      </c>
      <c r="B71" s="43">
        <v>704</v>
      </c>
      <c r="C71" s="98" t="s">
        <v>363</v>
      </c>
      <c r="D71" s="39">
        <v>256</v>
      </c>
      <c r="E71" s="40">
        <v>71</v>
      </c>
      <c r="F71" s="39">
        <f>1956-(D71+E71)</f>
        <v>1629</v>
      </c>
      <c r="G71" s="40">
        <f t="shared" si="6"/>
        <v>1956</v>
      </c>
      <c r="H71" s="45">
        <f t="shared" si="7"/>
        <v>0.16717791411042945</v>
      </c>
    </row>
    <row r="72" spans="1:8" x14ac:dyDescent="0.2">
      <c r="A72" s="42">
        <v>1</v>
      </c>
      <c r="B72" s="43">
        <v>735</v>
      </c>
      <c r="C72" s="98" t="s">
        <v>362</v>
      </c>
      <c r="D72" s="39">
        <v>195</v>
      </c>
      <c r="E72" s="40">
        <v>96</v>
      </c>
      <c r="F72" s="39">
        <f>1660-(D72+E72)</f>
        <v>1369</v>
      </c>
      <c r="G72" s="40">
        <f t="shared" si="6"/>
        <v>1660</v>
      </c>
      <c r="H72" s="45">
        <f t="shared" si="7"/>
        <v>0.17530120481927711</v>
      </c>
    </row>
    <row r="73" spans="1:8" x14ac:dyDescent="0.2">
      <c r="A73" s="42">
        <v>1</v>
      </c>
      <c r="B73" s="43">
        <v>737</v>
      </c>
      <c r="C73" s="98" t="s">
        <v>364</v>
      </c>
      <c r="D73" s="39">
        <v>138</v>
      </c>
      <c r="E73" s="40">
        <v>46</v>
      </c>
      <c r="F73" s="39">
        <f>2167-(D73+E73)</f>
        <v>1983</v>
      </c>
      <c r="G73" s="40">
        <f t="shared" si="6"/>
        <v>2167</v>
      </c>
      <c r="H73" s="45">
        <f t="shared" si="7"/>
        <v>8.4910013844023996E-2</v>
      </c>
    </row>
    <row r="74" spans="1:8" x14ac:dyDescent="0.2">
      <c r="A74" s="42">
        <v>1</v>
      </c>
      <c r="B74" s="43">
        <v>739</v>
      </c>
      <c r="C74" s="98" t="s">
        <v>370</v>
      </c>
      <c r="D74" s="39">
        <v>415</v>
      </c>
      <c r="E74" s="40">
        <v>79</v>
      </c>
      <c r="F74" s="39">
        <f>1353-(D74+E74)</f>
        <v>859</v>
      </c>
      <c r="G74" s="40">
        <f t="shared" si="6"/>
        <v>1353</v>
      </c>
      <c r="H74" s="45">
        <f t="shared" si="7"/>
        <v>0.36511456023651145</v>
      </c>
    </row>
    <row r="75" spans="1:8" x14ac:dyDescent="0.2">
      <c r="A75" s="42">
        <v>1</v>
      </c>
      <c r="B75" s="43">
        <v>754</v>
      </c>
      <c r="C75" s="98" t="s">
        <v>398</v>
      </c>
      <c r="D75" s="39">
        <v>219</v>
      </c>
      <c r="E75" s="40">
        <v>57</v>
      </c>
      <c r="F75" s="39">
        <f>1061-(D75+E75)</f>
        <v>785</v>
      </c>
      <c r="G75" s="40">
        <f t="shared" si="6"/>
        <v>1061</v>
      </c>
      <c r="H75" s="45">
        <f t="shared" si="7"/>
        <v>0.26013195098963243</v>
      </c>
    </row>
    <row r="76" spans="1:8" x14ac:dyDescent="0.2">
      <c r="A76" s="42">
        <v>1</v>
      </c>
      <c r="B76" s="43">
        <v>779</v>
      </c>
      <c r="C76" s="98" t="s">
        <v>462</v>
      </c>
      <c r="D76" s="39">
        <v>277</v>
      </c>
      <c r="E76" s="40">
        <v>84</v>
      </c>
      <c r="F76" s="39">
        <f>1880-(D76+E76)</f>
        <v>1519</v>
      </c>
      <c r="G76" s="40">
        <f t="shared" si="6"/>
        <v>1880</v>
      </c>
      <c r="H76" s="45">
        <f t="shared" si="7"/>
        <v>0.19202127659574469</v>
      </c>
    </row>
    <row r="77" spans="1:8" x14ac:dyDescent="0.2">
      <c r="A77" s="42">
        <v>1</v>
      </c>
      <c r="B77" s="43">
        <v>786</v>
      </c>
      <c r="C77" s="44" t="s">
        <v>19</v>
      </c>
      <c r="D77" s="39">
        <v>305</v>
      </c>
      <c r="E77" s="40">
        <v>76</v>
      </c>
      <c r="F77" s="39">
        <f>1388-(D77+E77)</f>
        <v>1007</v>
      </c>
      <c r="G77" s="40">
        <f t="shared" si="6"/>
        <v>1388</v>
      </c>
      <c r="H77" s="45">
        <f t="shared" si="7"/>
        <v>0.27449567723342938</v>
      </c>
    </row>
    <row r="78" spans="1:8" x14ac:dyDescent="0.2">
      <c r="A78" s="42">
        <v>1</v>
      </c>
      <c r="B78" s="43">
        <v>789</v>
      </c>
      <c r="C78" s="98" t="s">
        <v>464</v>
      </c>
      <c r="D78" s="39">
        <v>387</v>
      </c>
      <c r="E78" s="40">
        <v>169</v>
      </c>
      <c r="F78" s="39">
        <f>2038-(D78+E78)</f>
        <v>1482</v>
      </c>
      <c r="G78" s="40">
        <f t="shared" ref="G78" si="18">SUM(D78:F78)</f>
        <v>2038</v>
      </c>
      <c r="H78" s="45">
        <f t="shared" ref="H78" si="19">+(D78+E78)/G78</f>
        <v>0.27281648675171738</v>
      </c>
    </row>
    <row r="79" spans="1:8" x14ac:dyDescent="0.2">
      <c r="A79" s="42">
        <v>1</v>
      </c>
      <c r="B79" s="43">
        <v>790</v>
      </c>
      <c r="C79" s="98" t="s">
        <v>465</v>
      </c>
      <c r="D79" s="39">
        <v>75</v>
      </c>
      <c r="E79" s="40">
        <v>11</v>
      </c>
      <c r="F79" s="39">
        <f>319-(D79+E79)</f>
        <v>233</v>
      </c>
      <c r="G79" s="40">
        <f t="shared" si="6"/>
        <v>319</v>
      </c>
      <c r="H79" s="45">
        <f t="shared" si="7"/>
        <v>0.26959247648902823</v>
      </c>
    </row>
    <row r="80" spans="1:8" ht="13.5" thickBot="1" x14ac:dyDescent="0.25">
      <c r="A80" s="42">
        <v>1</v>
      </c>
      <c r="B80" s="43">
        <v>810</v>
      </c>
      <c r="C80" s="98" t="s">
        <v>968</v>
      </c>
      <c r="D80" s="39">
        <v>38</v>
      </c>
      <c r="E80" s="40">
        <v>3</v>
      </c>
      <c r="F80" s="39">
        <f>111-(D80+E80)</f>
        <v>70</v>
      </c>
      <c r="G80" s="40">
        <f>SUM(D80:F80)</f>
        <v>111</v>
      </c>
      <c r="H80" s="45">
        <f>+(D80+E80)/G80</f>
        <v>0.36936936936936937</v>
      </c>
    </row>
    <row r="81" spans="1:27" ht="13.5" thickBot="1" x14ac:dyDescent="0.25">
      <c r="A81" s="46"/>
      <c r="B81" s="47">
        <f>COUNTA(B9:B80)</f>
        <v>72</v>
      </c>
      <c r="C81" s="48" t="s">
        <v>20</v>
      </c>
      <c r="D81" s="4">
        <f>SUM(D9:D80)</f>
        <v>13232</v>
      </c>
      <c r="E81" s="4">
        <f>SUM(E9:E80)</f>
        <v>4339</v>
      </c>
      <c r="F81" s="4">
        <f>SUM(F9:F80)</f>
        <v>49111</v>
      </c>
      <c r="G81" s="4">
        <f>SUM(G9:G80)</f>
        <v>66682</v>
      </c>
      <c r="H81" s="49">
        <f>+(D81+E81)/G81</f>
        <v>0.26350439398938247</v>
      </c>
    </row>
    <row r="82" spans="1:27" x14ac:dyDescent="0.2">
      <c r="A82" s="51"/>
      <c r="B82" s="52"/>
      <c r="C82" s="53"/>
      <c r="D82" s="54"/>
      <c r="E82" s="55"/>
      <c r="F82" s="54"/>
      <c r="G82" s="55"/>
      <c r="H82" s="56"/>
    </row>
    <row r="83" spans="1:27" x14ac:dyDescent="0.2">
      <c r="A83" s="51"/>
      <c r="B83" s="52"/>
      <c r="C83" s="58" t="s">
        <v>21</v>
      </c>
      <c r="D83" s="5"/>
      <c r="E83" s="55"/>
      <c r="F83" s="54"/>
      <c r="G83" s="55"/>
      <c r="H83" s="56"/>
    </row>
    <row r="84" spans="1:27" x14ac:dyDescent="0.2">
      <c r="A84" s="42">
        <v>2</v>
      </c>
      <c r="B84" s="43">
        <v>104</v>
      </c>
      <c r="C84" s="98" t="s">
        <v>417</v>
      </c>
      <c r="D84" s="59">
        <v>160</v>
      </c>
      <c r="E84" s="60">
        <v>103</v>
      </c>
      <c r="F84" s="2">
        <f>505-(D84+E84)</f>
        <v>242</v>
      </c>
      <c r="G84" s="2">
        <f t="shared" ref="G84:G88" si="20">SUM(D84:F84)</f>
        <v>505</v>
      </c>
      <c r="H84" s="45">
        <f t="shared" ref="H84:H88" si="21">+(D84+E84)/G84</f>
        <v>0.52079207920792081</v>
      </c>
    </row>
    <row r="85" spans="1:27" x14ac:dyDescent="0.2">
      <c r="A85" s="42">
        <v>2</v>
      </c>
      <c r="B85" s="43">
        <v>108</v>
      </c>
      <c r="C85" s="98" t="s">
        <v>418</v>
      </c>
      <c r="D85" s="59">
        <v>118</v>
      </c>
      <c r="E85" s="60">
        <v>64</v>
      </c>
      <c r="F85" s="39">
        <f>388-(D85+E85)</f>
        <v>206</v>
      </c>
      <c r="G85" s="2">
        <f t="shared" si="20"/>
        <v>388</v>
      </c>
      <c r="H85" s="45">
        <f t="shared" si="21"/>
        <v>0.46907216494845361</v>
      </c>
    </row>
    <row r="86" spans="1:27" x14ac:dyDescent="0.2">
      <c r="A86" s="42">
        <v>2</v>
      </c>
      <c r="B86" s="43">
        <v>112</v>
      </c>
      <c r="C86" s="98" t="s">
        <v>419</v>
      </c>
      <c r="D86" s="59">
        <v>70</v>
      </c>
      <c r="E86" s="60">
        <v>49</v>
      </c>
      <c r="F86" s="39">
        <f>195-(D86+E86)</f>
        <v>76</v>
      </c>
      <c r="G86" s="2">
        <f t="shared" si="20"/>
        <v>195</v>
      </c>
      <c r="H86" s="45">
        <f t="shared" si="21"/>
        <v>0.61025641025641031</v>
      </c>
    </row>
    <row r="87" spans="1:27" ht="13.5" thickBot="1" x14ac:dyDescent="0.25">
      <c r="A87" s="42">
        <v>2</v>
      </c>
      <c r="B87" s="43">
        <v>704</v>
      </c>
      <c r="C87" s="44" t="s">
        <v>22</v>
      </c>
      <c r="D87" s="59">
        <v>113</v>
      </c>
      <c r="E87" s="60">
        <v>66</v>
      </c>
      <c r="F87" s="39">
        <f>479-(D87+E87)</f>
        <v>300</v>
      </c>
      <c r="G87" s="2">
        <f t="shared" si="20"/>
        <v>479</v>
      </c>
      <c r="H87" s="45">
        <f t="shared" si="21"/>
        <v>0.37369519832985387</v>
      </c>
    </row>
    <row r="88" spans="1:27" ht="13.5" thickBot="1" x14ac:dyDescent="0.25">
      <c r="A88" s="46"/>
      <c r="B88" s="47">
        <f>COUNTA(B84:B87)</f>
        <v>4</v>
      </c>
      <c r="C88" s="48" t="s">
        <v>20</v>
      </c>
      <c r="D88" s="4">
        <f>SUM(D84:D87)</f>
        <v>461</v>
      </c>
      <c r="E88" s="3">
        <f>SUM(E84:E87)</f>
        <v>282</v>
      </c>
      <c r="F88" s="3">
        <f>SUM(F84:F87)</f>
        <v>824</v>
      </c>
      <c r="G88" s="3">
        <f t="shared" si="20"/>
        <v>1567</v>
      </c>
      <c r="H88" s="49">
        <f t="shared" si="21"/>
        <v>0.47415443522654754</v>
      </c>
    </row>
    <row r="89" spans="1:27" x14ac:dyDescent="0.2">
      <c r="A89" s="51"/>
      <c r="B89" s="52"/>
      <c r="C89" s="53"/>
      <c r="D89" s="54"/>
      <c r="E89" s="55"/>
      <c r="F89" s="54"/>
      <c r="G89" s="55"/>
      <c r="H89" s="56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</row>
    <row r="90" spans="1:27" x14ac:dyDescent="0.2">
      <c r="A90" s="51"/>
      <c r="B90" s="52"/>
      <c r="C90" s="58" t="s">
        <v>23</v>
      </c>
      <c r="D90" s="5"/>
      <c r="E90" s="55"/>
      <c r="F90" s="54"/>
      <c r="G90" s="55"/>
      <c r="H90" s="56"/>
    </row>
    <row r="91" spans="1:27" x14ac:dyDescent="0.2">
      <c r="A91" s="42">
        <v>3</v>
      </c>
      <c r="B91" s="43">
        <v>104</v>
      </c>
      <c r="C91" s="98" t="s">
        <v>467</v>
      </c>
      <c r="D91" s="61">
        <v>125</v>
      </c>
      <c r="E91" s="2">
        <v>64</v>
      </c>
      <c r="F91" s="2">
        <f>508-(D91+E91)</f>
        <v>319</v>
      </c>
      <c r="G91" s="2">
        <f t="shared" ref="G91:G113" si="22">SUM(D91:F91)</f>
        <v>508</v>
      </c>
      <c r="H91" s="45">
        <f t="shared" ref="H91:H110" si="23">+(D91+E91)/G91</f>
        <v>0.37204724409448819</v>
      </c>
    </row>
    <row r="92" spans="1:27" x14ac:dyDescent="0.2">
      <c r="A92" s="42">
        <v>3</v>
      </c>
      <c r="B92" s="43">
        <v>125</v>
      </c>
      <c r="C92" s="98" t="s">
        <v>468</v>
      </c>
      <c r="D92" s="61">
        <v>162</v>
      </c>
      <c r="E92" s="2">
        <v>46</v>
      </c>
      <c r="F92" s="2">
        <f>494-(D92+E92)</f>
        <v>286</v>
      </c>
      <c r="G92" s="2">
        <f t="shared" si="22"/>
        <v>494</v>
      </c>
      <c r="H92" s="45">
        <f t="shared" si="23"/>
        <v>0.42105263157894735</v>
      </c>
    </row>
    <row r="93" spans="1:27" x14ac:dyDescent="0.2">
      <c r="A93" s="42">
        <v>3</v>
      </c>
      <c r="B93" s="43">
        <v>132</v>
      </c>
      <c r="C93" s="98" t="s">
        <v>469</v>
      </c>
      <c r="D93" s="61">
        <v>109</v>
      </c>
      <c r="E93" s="2">
        <v>67</v>
      </c>
      <c r="F93" s="2">
        <f>312-(D93+E93)</f>
        <v>136</v>
      </c>
      <c r="G93" s="2">
        <f t="shared" si="22"/>
        <v>312</v>
      </c>
      <c r="H93" s="45">
        <f t="shared" si="23"/>
        <v>0.5641025641025641</v>
      </c>
    </row>
    <row r="94" spans="1:27" x14ac:dyDescent="0.2">
      <c r="A94" s="42">
        <v>3</v>
      </c>
      <c r="B94" s="43">
        <v>134</v>
      </c>
      <c r="C94" s="98" t="s">
        <v>383</v>
      </c>
      <c r="D94" s="61">
        <v>141</v>
      </c>
      <c r="E94" s="2">
        <v>63</v>
      </c>
      <c r="F94" s="2">
        <f>449-(D94+E94)</f>
        <v>245</v>
      </c>
      <c r="G94" s="2">
        <f t="shared" si="22"/>
        <v>449</v>
      </c>
      <c r="H94" s="45">
        <f t="shared" si="23"/>
        <v>0.45434298440979953</v>
      </c>
    </row>
    <row r="95" spans="1:27" x14ac:dyDescent="0.2">
      <c r="A95" s="42">
        <v>3</v>
      </c>
      <c r="B95" s="43">
        <v>136</v>
      </c>
      <c r="C95" s="98" t="s">
        <v>470</v>
      </c>
      <c r="D95" s="61">
        <v>153</v>
      </c>
      <c r="E95" s="2">
        <v>64</v>
      </c>
      <c r="F95" s="2">
        <f>421-(D95+E95)</f>
        <v>204</v>
      </c>
      <c r="G95" s="2">
        <f t="shared" si="22"/>
        <v>421</v>
      </c>
      <c r="H95" s="45">
        <f t="shared" si="23"/>
        <v>0.51543942992874114</v>
      </c>
    </row>
    <row r="96" spans="1:27" x14ac:dyDescent="0.2">
      <c r="A96" s="42">
        <v>3</v>
      </c>
      <c r="B96" s="43">
        <v>140</v>
      </c>
      <c r="C96" s="98" t="s">
        <v>471</v>
      </c>
      <c r="D96" s="61">
        <v>4</v>
      </c>
      <c r="E96" s="2">
        <v>1</v>
      </c>
      <c r="F96" s="2">
        <f>11-(D96+E96)</f>
        <v>6</v>
      </c>
      <c r="G96" s="2">
        <f t="shared" si="22"/>
        <v>11</v>
      </c>
      <c r="H96" s="45">
        <f t="shared" si="23"/>
        <v>0.45454545454545453</v>
      </c>
    </row>
    <row r="97" spans="1:8" x14ac:dyDescent="0.2">
      <c r="A97" s="42">
        <v>3</v>
      </c>
      <c r="B97" s="43">
        <v>150</v>
      </c>
      <c r="C97" s="98" t="s">
        <v>472</v>
      </c>
      <c r="D97" s="61">
        <v>202</v>
      </c>
      <c r="E97" s="2">
        <v>69</v>
      </c>
      <c r="F97" s="2">
        <f>487-(D97+E97)</f>
        <v>216</v>
      </c>
      <c r="G97" s="2">
        <f t="shared" si="22"/>
        <v>487</v>
      </c>
      <c r="H97" s="45">
        <f t="shared" si="23"/>
        <v>0.55646817248459957</v>
      </c>
    </row>
    <row r="98" spans="1:8" x14ac:dyDescent="0.2">
      <c r="A98" s="42">
        <v>3</v>
      </c>
      <c r="B98" s="43">
        <v>164</v>
      </c>
      <c r="C98" s="98" t="s">
        <v>473</v>
      </c>
      <c r="D98" s="61">
        <v>212</v>
      </c>
      <c r="E98" s="2">
        <v>92</v>
      </c>
      <c r="F98" s="2">
        <f>607-(D98+E98)</f>
        <v>303</v>
      </c>
      <c r="G98" s="2">
        <f t="shared" si="22"/>
        <v>607</v>
      </c>
      <c r="H98" s="45">
        <f t="shared" si="23"/>
        <v>0.50082372322899504</v>
      </c>
    </row>
    <row r="99" spans="1:8" x14ac:dyDescent="0.2">
      <c r="A99" s="42">
        <v>3</v>
      </c>
      <c r="B99" s="43">
        <v>166</v>
      </c>
      <c r="C99" s="98" t="s">
        <v>477</v>
      </c>
      <c r="D99" s="61">
        <v>139</v>
      </c>
      <c r="E99" s="2">
        <v>40</v>
      </c>
      <c r="F99" s="2">
        <f>379-(D99+E99)</f>
        <v>200</v>
      </c>
      <c r="G99" s="2">
        <f t="shared" si="22"/>
        <v>379</v>
      </c>
      <c r="H99" s="45">
        <f t="shared" si="23"/>
        <v>0.47229551451187335</v>
      </c>
    </row>
    <row r="100" spans="1:8" x14ac:dyDescent="0.2">
      <c r="A100" s="42">
        <v>3</v>
      </c>
      <c r="B100" s="43">
        <v>167</v>
      </c>
      <c r="C100" s="98" t="s">
        <v>476</v>
      </c>
      <c r="D100" s="61">
        <v>224</v>
      </c>
      <c r="E100" s="2">
        <v>72</v>
      </c>
      <c r="F100" s="2">
        <f>640-(D100+E100)</f>
        <v>344</v>
      </c>
      <c r="G100" s="2">
        <f t="shared" si="22"/>
        <v>640</v>
      </c>
      <c r="H100" s="45">
        <f t="shared" si="23"/>
        <v>0.46250000000000002</v>
      </c>
    </row>
    <row r="101" spans="1:8" x14ac:dyDescent="0.2">
      <c r="A101" s="42">
        <v>3</v>
      </c>
      <c r="B101" s="43">
        <v>168</v>
      </c>
      <c r="C101" s="98" t="s">
        <v>475</v>
      </c>
      <c r="D101" s="61">
        <v>15</v>
      </c>
      <c r="E101" s="2">
        <v>6</v>
      </c>
      <c r="F101" s="2">
        <f>47-(D101+E101)</f>
        <v>26</v>
      </c>
      <c r="G101" s="2">
        <f t="shared" si="22"/>
        <v>47</v>
      </c>
      <c r="H101" s="45">
        <f t="shared" si="23"/>
        <v>0.44680851063829785</v>
      </c>
    </row>
    <row r="102" spans="1:8" x14ac:dyDescent="0.2">
      <c r="A102" s="42">
        <v>3</v>
      </c>
      <c r="B102" s="43">
        <v>172</v>
      </c>
      <c r="C102" s="44" t="s">
        <v>253</v>
      </c>
      <c r="D102" s="61">
        <v>106</v>
      </c>
      <c r="E102" s="2">
        <v>44</v>
      </c>
      <c r="F102" s="2">
        <f>627-(D102+E102)</f>
        <v>477</v>
      </c>
      <c r="G102" s="2">
        <f t="shared" si="22"/>
        <v>627</v>
      </c>
      <c r="H102" s="45">
        <f t="shared" si="23"/>
        <v>0.23923444976076555</v>
      </c>
    </row>
    <row r="103" spans="1:8" x14ac:dyDescent="0.2">
      <c r="A103" s="42">
        <v>3</v>
      </c>
      <c r="B103" s="43">
        <v>188</v>
      </c>
      <c r="C103" s="98" t="s">
        <v>474</v>
      </c>
      <c r="D103" s="61">
        <v>18</v>
      </c>
      <c r="E103" s="2">
        <v>14</v>
      </c>
      <c r="F103" s="2">
        <f>38-(D103+E103)</f>
        <v>6</v>
      </c>
      <c r="G103" s="2">
        <f t="shared" si="22"/>
        <v>38</v>
      </c>
      <c r="H103" s="45">
        <f t="shared" si="23"/>
        <v>0.84210526315789469</v>
      </c>
    </row>
    <row r="104" spans="1:8" x14ac:dyDescent="0.2">
      <c r="A104" s="42">
        <v>3</v>
      </c>
      <c r="B104" s="43">
        <v>200</v>
      </c>
      <c r="C104" s="98" t="s">
        <v>478</v>
      </c>
      <c r="D104" s="61">
        <v>49</v>
      </c>
      <c r="E104" s="2">
        <v>23</v>
      </c>
      <c r="F104" s="2">
        <f>315-(D104+E104)</f>
        <v>243</v>
      </c>
      <c r="G104" s="2">
        <f t="shared" si="22"/>
        <v>315</v>
      </c>
      <c r="H104" s="45">
        <f t="shared" si="23"/>
        <v>0.22857142857142856</v>
      </c>
    </row>
    <row r="105" spans="1:8" x14ac:dyDescent="0.2">
      <c r="A105" s="42">
        <v>3</v>
      </c>
      <c r="B105" s="43">
        <v>304</v>
      </c>
      <c r="C105" s="44" t="s">
        <v>24</v>
      </c>
      <c r="D105" s="61">
        <v>218</v>
      </c>
      <c r="E105" s="2">
        <v>95</v>
      </c>
      <c r="F105" s="2">
        <f>705-(D105+E105)</f>
        <v>392</v>
      </c>
      <c r="G105" s="2">
        <f t="shared" si="22"/>
        <v>705</v>
      </c>
      <c r="H105" s="45">
        <f t="shared" si="23"/>
        <v>0.44397163120567373</v>
      </c>
    </row>
    <row r="106" spans="1:8" x14ac:dyDescent="0.2">
      <c r="A106" s="42">
        <v>3</v>
      </c>
      <c r="B106" s="43">
        <v>308</v>
      </c>
      <c r="C106" s="44" t="s">
        <v>25</v>
      </c>
      <c r="D106" s="61">
        <v>295</v>
      </c>
      <c r="E106" s="2">
        <v>105</v>
      </c>
      <c r="F106" s="2">
        <f>1040-(D106+E106)</f>
        <v>640</v>
      </c>
      <c r="G106" s="2">
        <f t="shared" si="22"/>
        <v>1040</v>
      </c>
      <c r="H106" s="45">
        <f t="shared" si="23"/>
        <v>0.38461538461538464</v>
      </c>
    </row>
    <row r="107" spans="1:8" x14ac:dyDescent="0.2">
      <c r="A107" s="42">
        <v>3</v>
      </c>
      <c r="B107" s="43">
        <v>404</v>
      </c>
      <c r="C107" s="44" t="s">
        <v>26</v>
      </c>
      <c r="D107" s="61">
        <v>186</v>
      </c>
      <c r="E107" s="2">
        <v>58</v>
      </c>
      <c r="F107" s="2">
        <f>625-(D107+E107)</f>
        <v>381</v>
      </c>
      <c r="G107" s="2">
        <f t="shared" si="22"/>
        <v>625</v>
      </c>
      <c r="H107" s="45">
        <f t="shared" si="23"/>
        <v>0.39040000000000002</v>
      </c>
    </row>
    <row r="108" spans="1:8" x14ac:dyDescent="0.2">
      <c r="A108" s="42">
        <v>3</v>
      </c>
      <c r="B108" s="43">
        <v>408</v>
      </c>
      <c r="C108" s="44" t="s">
        <v>27</v>
      </c>
      <c r="D108" s="61">
        <v>247</v>
      </c>
      <c r="E108" s="2">
        <v>92</v>
      </c>
      <c r="F108" s="2">
        <f>990-(D108+E108)</f>
        <v>651</v>
      </c>
      <c r="G108" s="2">
        <f t="shared" si="22"/>
        <v>990</v>
      </c>
      <c r="H108" s="45">
        <f t="shared" si="23"/>
        <v>0.34242424242424241</v>
      </c>
    </row>
    <row r="109" spans="1:8" x14ac:dyDescent="0.2">
      <c r="A109" s="42">
        <v>3</v>
      </c>
      <c r="B109" s="43">
        <v>630</v>
      </c>
      <c r="C109" s="98" t="s">
        <v>962</v>
      </c>
      <c r="D109" s="61">
        <v>7</v>
      </c>
      <c r="E109" s="2">
        <v>1</v>
      </c>
      <c r="F109" s="2">
        <f>21-(D109+E109)</f>
        <v>13</v>
      </c>
      <c r="G109" s="2">
        <f t="shared" ref="G109" si="24">SUM(D109:F109)</f>
        <v>21</v>
      </c>
      <c r="H109" s="45">
        <f t="shared" ref="H109" si="25">+(D109+E109)/G109</f>
        <v>0.38095238095238093</v>
      </c>
    </row>
    <row r="110" spans="1:8" x14ac:dyDescent="0.2">
      <c r="A110" s="42">
        <v>3</v>
      </c>
      <c r="B110" s="43">
        <v>704</v>
      </c>
      <c r="C110" s="44" t="s">
        <v>28</v>
      </c>
      <c r="D110" s="61">
        <v>207</v>
      </c>
      <c r="E110" s="2">
        <v>77</v>
      </c>
      <c r="F110" s="2">
        <f>892-(D110+E110)</f>
        <v>608</v>
      </c>
      <c r="G110" s="2">
        <f t="shared" si="22"/>
        <v>892</v>
      </c>
      <c r="H110" s="45">
        <f t="shared" si="23"/>
        <v>0.31838565022421522</v>
      </c>
    </row>
    <row r="111" spans="1:8" x14ac:dyDescent="0.2">
      <c r="A111" s="42">
        <v>3</v>
      </c>
      <c r="B111" s="43">
        <v>708</v>
      </c>
      <c r="C111" s="44" t="s">
        <v>29</v>
      </c>
      <c r="D111" s="61">
        <v>270</v>
      </c>
      <c r="E111" s="2">
        <v>96</v>
      </c>
      <c r="F111" s="2">
        <f>1377-(D111+E111)</f>
        <v>1011</v>
      </c>
      <c r="G111" s="2">
        <f>SUM(D111:F111)</f>
        <v>1377</v>
      </c>
      <c r="H111" s="45">
        <f>+(D111+E111)/G111</f>
        <v>0.26579520697167758</v>
      </c>
    </row>
    <row r="112" spans="1:8" ht="13.5" thickBot="1" x14ac:dyDescent="0.25">
      <c r="A112" s="42">
        <v>3</v>
      </c>
      <c r="B112" s="43">
        <v>778</v>
      </c>
      <c r="C112" s="98" t="s">
        <v>961</v>
      </c>
      <c r="D112" s="61">
        <v>93</v>
      </c>
      <c r="E112" s="2">
        <v>6</v>
      </c>
      <c r="F112" s="2">
        <f>146-(D112+E112)</f>
        <v>47</v>
      </c>
      <c r="G112" s="2">
        <f>SUM(D112:F112)</f>
        <v>146</v>
      </c>
      <c r="H112" s="45">
        <f>+(D112+E112)/G112</f>
        <v>0.67808219178082196</v>
      </c>
    </row>
    <row r="113" spans="1:8" ht="13.5" thickBot="1" x14ac:dyDescent="0.25">
      <c r="A113" s="46"/>
      <c r="B113" s="47">
        <f>COUNTA(B91:B112)</f>
        <v>22</v>
      </c>
      <c r="C113" s="48" t="s">
        <v>20</v>
      </c>
      <c r="D113" s="4">
        <f>SUM(D91:D112)</f>
        <v>3182</v>
      </c>
      <c r="E113" s="3">
        <f>SUM(E91:E112)</f>
        <v>1195</v>
      </c>
      <c r="F113" s="50">
        <f>SUM(F91:F112)</f>
        <v>6754</v>
      </c>
      <c r="G113" s="3">
        <f t="shared" si="22"/>
        <v>11131</v>
      </c>
      <c r="H113" s="49">
        <f>+(D113+E113)/G113</f>
        <v>0.39322612523582789</v>
      </c>
    </row>
    <row r="114" spans="1:8" x14ac:dyDescent="0.2">
      <c r="A114" s="51"/>
      <c r="B114" s="52"/>
      <c r="C114" s="53"/>
      <c r="D114" s="5"/>
      <c r="E114" s="55"/>
      <c r="F114" s="54"/>
      <c r="G114" s="55"/>
      <c r="H114" s="56"/>
    </row>
    <row r="115" spans="1:8" x14ac:dyDescent="0.2">
      <c r="A115" s="51"/>
      <c r="B115" s="52"/>
      <c r="C115" s="58" t="s">
        <v>30</v>
      </c>
      <c r="D115" s="5"/>
      <c r="E115" s="55"/>
      <c r="F115" s="54"/>
      <c r="G115" s="55"/>
      <c r="H115" s="56"/>
    </row>
    <row r="116" spans="1:8" x14ac:dyDescent="0.2">
      <c r="A116" s="42">
        <v>4</v>
      </c>
      <c r="B116" s="43">
        <v>106</v>
      </c>
      <c r="C116" s="98" t="s">
        <v>963</v>
      </c>
      <c r="D116" s="61">
        <v>128</v>
      </c>
      <c r="E116" s="2">
        <v>68</v>
      </c>
      <c r="F116" s="2">
        <f>563-(D116+E116)</f>
        <v>367</v>
      </c>
      <c r="G116" s="2">
        <f t="shared" ref="G116" si="26">SUM(D116:F116)</f>
        <v>563</v>
      </c>
      <c r="H116" s="45">
        <f t="shared" ref="H116" si="27">+(D116+E116)/G116</f>
        <v>0.34813499111900531</v>
      </c>
    </row>
    <row r="117" spans="1:8" x14ac:dyDescent="0.2">
      <c r="A117" s="42">
        <v>4</v>
      </c>
      <c r="B117" s="43">
        <v>109</v>
      </c>
      <c r="C117" s="98" t="s">
        <v>479</v>
      </c>
      <c r="D117" s="61">
        <v>155</v>
      </c>
      <c r="E117" s="2">
        <v>87</v>
      </c>
      <c r="F117" s="2">
        <f>536-(D117+E117)</f>
        <v>294</v>
      </c>
      <c r="G117" s="2">
        <f t="shared" ref="G117:G141" si="28">SUM(D117:F117)</f>
        <v>536</v>
      </c>
      <c r="H117" s="45">
        <f t="shared" ref="H117:H140" si="29">+(D117+E117)/G117</f>
        <v>0.45149253731343286</v>
      </c>
    </row>
    <row r="118" spans="1:8" x14ac:dyDescent="0.2">
      <c r="A118" s="42">
        <v>4</v>
      </c>
      <c r="B118" s="43">
        <v>118</v>
      </c>
      <c r="C118" s="98" t="s">
        <v>480</v>
      </c>
      <c r="D118" s="61">
        <v>112</v>
      </c>
      <c r="E118" s="2">
        <v>54</v>
      </c>
      <c r="F118" s="2">
        <f>532-(D118+E118)</f>
        <v>366</v>
      </c>
      <c r="G118" s="2">
        <f>SUM(D118:F118)</f>
        <v>532</v>
      </c>
      <c r="H118" s="45">
        <f>+(D118+E118)/G118</f>
        <v>0.31203007518796994</v>
      </c>
    </row>
    <row r="119" spans="1:8" x14ac:dyDescent="0.2">
      <c r="A119" s="42">
        <v>4</v>
      </c>
      <c r="B119" s="43">
        <v>120</v>
      </c>
      <c r="C119" s="98" t="s">
        <v>528</v>
      </c>
      <c r="D119" s="61">
        <v>105</v>
      </c>
      <c r="E119" s="2">
        <v>51</v>
      </c>
      <c r="F119" s="2">
        <f>466-(D119+E119)</f>
        <v>310</v>
      </c>
      <c r="G119" s="2">
        <f>SUM(D119:F119)</f>
        <v>466</v>
      </c>
      <c r="H119" s="45">
        <f>+(D119+E119)/G119</f>
        <v>0.33476394849785407</v>
      </c>
    </row>
    <row r="120" spans="1:8" x14ac:dyDescent="0.2">
      <c r="A120" s="42">
        <v>4</v>
      </c>
      <c r="B120" s="43">
        <v>124</v>
      </c>
      <c r="C120" s="98" t="s">
        <v>481</v>
      </c>
      <c r="D120" s="61">
        <v>170</v>
      </c>
      <c r="E120" s="2">
        <v>67</v>
      </c>
      <c r="F120" s="2">
        <f>523-(D120+E120)</f>
        <v>286</v>
      </c>
      <c r="G120" s="2">
        <f t="shared" si="28"/>
        <v>523</v>
      </c>
      <c r="H120" s="45">
        <f t="shared" si="29"/>
        <v>0.45315487571701724</v>
      </c>
    </row>
    <row r="121" spans="1:8" x14ac:dyDescent="0.2">
      <c r="A121" s="42">
        <v>4</v>
      </c>
      <c r="B121" s="43">
        <v>128</v>
      </c>
      <c r="C121" s="98" t="s">
        <v>482</v>
      </c>
      <c r="D121" s="61">
        <v>139</v>
      </c>
      <c r="E121" s="2">
        <v>58</v>
      </c>
      <c r="F121" s="2">
        <f>423-(D121+E121)</f>
        <v>226</v>
      </c>
      <c r="G121" s="2">
        <f t="shared" si="28"/>
        <v>423</v>
      </c>
      <c r="H121" s="45">
        <f t="shared" si="29"/>
        <v>0.4657210401891253</v>
      </c>
    </row>
    <row r="122" spans="1:8" x14ac:dyDescent="0.2">
      <c r="A122" s="42">
        <v>4</v>
      </c>
      <c r="B122" s="43">
        <v>130</v>
      </c>
      <c r="C122" s="98" t="s">
        <v>484</v>
      </c>
      <c r="D122" s="61">
        <v>85</v>
      </c>
      <c r="E122" s="2">
        <v>50</v>
      </c>
      <c r="F122" s="2">
        <f>526-(D122+E122)</f>
        <v>391</v>
      </c>
      <c r="G122" s="2">
        <f t="shared" ref="G122" si="30">SUM(D122:F122)</f>
        <v>526</v>
      </c>
      <c r="H122" s="45">
        <f t="shared" ref="H122" si="31">+(D122+E122)/G122</f>
        <v>0.25665399239543724</v>
      </c>
    </row>
    <row r="123" spans="1:8" x14ac:dyDescent="0.2">
      <c r="A123" s="42">
        <v>4</v>
      </c>
      <c r="B123" s="43">
        <v>132</v>
      </c>
      <c r="C123" s="98" t="s">
        <v>483</v>
      </c>
      <c r="D123" s="61">
        <v>96</v>
      </c>
      <c r="E123" s="2">
        <v>65</v>
      </c>
      <c r="F123" s="2">
        <f>434-(D123+E123)</f>
        <v>273</v>
      </c>
      <c r="G123" s="2">
        <f t="shared" si="28"/>
        <v>434</v>
      </c>
      <c r="H123" s="45">
        <f t="shared" si="29"/>
        <v>0.37096774193548387</v>
      </c>
    </row>
    <row r="124" spans="1:8" x14ac:dyDescent="0.2">
      <c r="A124" s="42">
        <v>4</v>
      </c>
      <c r="B124" s="43">
        <v>140</v>
      </c>
      <c r="C124" s="98" t="s">
        <v>485</v>
      </c>
      <c r="D124" s="61">
        <v>68</v>
      </c>
      <c r="E124" s="2">
        <v>67</v>
      </c>
      <c r="F124" s="2">
        <f>332-(D124+E124)</f>
        <v>197</v>
      </c>
      <c r="G124" s="2">
        <f t="shared" si="28"/>
        <v>332</v>
      </c>
      <c r="H124" s="45">
        <f t="shared" si="29"/>
        <v>0.40662650602409639</v>
      </c>
    </row>
    <row r="125" spans="1:8" x14ac:dyDescent="0.2">
      <c r="A125" s="42">
        <v>4</v>
      </c>
      <c r="B125" s="43">
        <v>144</v>
      </c>
      <c r="C125" s="98" t="s">
        <v>476</v>
      </c>
      <c r="D125" s="61">
        <v>117</v>
      </c>
      <c r="E125" s="2">
        <v>40</v>
      </c>
      <c r="F125" s="2">
        <f>541-(D125+E125)</f>
        <v>384</v>
      </c>
      <c r="G125" s="2">
        <f t="shared" si="28"/>
        <v>541</v>
      </c>
      <c r="H125" s="45">
        <f t="shared" si="29"/>
        <v>0.29020332717190389</v>
      </c>
    </row>
    <row r="126" spans="1:8" x14ac:dyDescent="0.2">
      <c r="A126" s="42">
        <v>4</v>
      </c>
      <c r="B126" s="43">
        <v>152</v>
      </c>
      <c r="C126" s="98" t="s">
        <v>486</v>
      </c>
      <c r="D126" s="61">
        <v>88</v>
      </c>
      <c r="E126" s="2">
        <v>58</v>
      </c>
      <c r="F126" s="2">
        <f>310-(D126+E126)</f>
        <v>164</v>
      </c>
      <c r="G126" s="2">
        <f t="shared" si="28"/>
        <v>310</v>
      </c>
      <c r="H126" s="45">
        <f t="shared" si="29"/>
        <v>0.47096774193548385</v>
      </c>
    </row>
    <row r="127" spans="1:8" x14ac:dyDescent="0.2">
      <c r="A127" s="42">
        <v>4</v>
      </c>
      <c r="B127" s="43">
        <v>156</v>
      </c>
      <c r="C127" s="98" t="s">
        <v>487</v>
      </c>
      <c r="D127" s="61">
        <v>52</v>
      </c>
      <c r="E127" s="2">
        <v>39</v>
      </c>
      <c r="F127" s="2">
        <f>513-(D127+E127)</f>
        <v>422</v>
      </c>
      <c r="G127" s="2">
        <f t="shared" si="28"/>
        <v>513</v>
      </c>
      <c r="H127" s="45">
        <f t="shared" si="29"/>
        <v>0.17738791423001948</v>
      </c>
    </row>
    <row r="128" spans="1:8" x14ac:dyDescent="0.2">
      <c r="A128" s="42">
        <v>4</v>
      </c>
      <c r="B128" s="43">
        <v>160</v>
      </c>
      <c r="C128" s="98" t="s">
        <v>488</v>
      </c>
      <c r="D128" s="61">
        <v>76</v>
      </c>
      <c r="E128" s="2">
        <v>47</v>
      </c>
      <c r="F128" s="2">
        <f>481-(D128+E128)</f>
        <v>358</v>
      </c>
      <c r="G128" s="2">
        <f t="shared" si="28"/>
        <v>481</v>
      </c>
      <c r="H128" s="45">
        <f t="shared" si="29"/>
        <v>0.25571725571725573</v>
      </c>
    </row>
    <row r="129" spans="1:19" x14ac:dyDescent="0.2">
      <c r="A129" s="42">
        <v>4</v>
      </c>
      <c r="B129" s="43">
        <v>164</v>
      </c>
      <c r="C129" s="98" t="s">
        <v>489</v>
      </c>
      <c r="D129" s="61">
        <v>109</v>
      </c>
      <c r="E129" s="2">
        <v>71</v>
      </c>
      <c r="F129" s="2">
        <f>425-(D129+E129)</f>
        <v>245</v>
      </c>
      <c r="G129" s="2">
        <f t="shared" si="28"/>
        <v>425</v>
      </c>
      <c r="H129" s="45">
        <f t="shared" si="29"/>
        <v>0.42352941176470588</v>
      </c>
    </row>
    <row r="130" spans="1:19" x14ac:dyDescent="0.2">
      <c r="A130" s="42">
        <v>4</v>
      </c>
      <c r="B130" s="43">
        <v>166</v>
      </c>
      <c r="C130" s="98" t="s">
        <v>490</v>
      </c>
      <c r="D130" s="61">
        <v>61</v>
      </c>
      <c r="E130" s="2">
        <v>56</v>
      </c>
      <c r="F130" s="2">
        <f>494-(D130+E130)</f>
        <v>377</v>
      </c>
      <c r="G130" s="2">
        <f t="shared" si="28"/>
        <v>494</v>
      </c>
      <c r="H130" s="45">
        <f t="shared" si="29"/>
        <v>0.23684210526315788</v>
      </c>
    </row>
    <row r="131" spans="1:19" x14ac:dyDescent="0.2">
      <c r="A131" s="42">
        <v>4</v>
      </c>
      <c r="B131" s="43">
        <v>170</v>
      </c>
      <c r="C131" s="98" t="s">
        <v>491</v>
      </c>
      <c r="D131" s="61">
        <v>69</v>
      </c>
      <c r="E131" s="2">
        <v>55</v>
      </c>
      <c r="F131" s="2">
        <f>392-(D131+E131)</f>
        <v>268</v>
      </c>
      <c r="G131" s="2">
        <f t="shared" si="28"/>
        <v>392</v>
      </c>
      <c r="H131" s="45">
        <f t="shared" si="29"/>
        <v>0.31632653061224492</v>
      </c>
    </row>
    <row r="132" spans="1:19" x14ac:dyDescent="0.2">
      <c r="A132" s="42">
        <v>4</v>
      </c>
      <c r="B132" s="43">
        <v>310</v>
      </c>
      <c r="C132" s="44" t="s">
        <v>31</v>
      </c>
      <c r="D132" s="61">
        <v>121</v>
      </c>
      <c r="E132" s="2">
        <v>70</v>
      </c>
      <c r="F132" s="2">
        <f>658-(D132+E132)</f>
        <v>467</v>
      </c>
      <c r="G132" s="2">
        <f t="shared" si="28"/>
        <v>658</v>
      </c>
      <c r="H132" s="45">
        <f t="shared" si="29"/>
        <v>0.29027355623100304</v>
      </c>
    </row>
    <row r="133" spans="1:19" x14ac:dyDescent="0.2">
      <c r="A133" s="42">
        <v>4</v>
      </c>
      <c r="B133" s="43">
        <v>330</v>
      </c>
      <c r="C133" s="44" t="s">
        <v>32</v>
      </c>
      <c r="D133" s="61">
        <v>118</v>
      </c>
      <c r="E133" s="2">
        <v>82</v>
      </c>
      <c r="F133" s="2">
        <f>661-(D133+E133)</f>
        <v>461</v>
      </c>
      <c r="G133" s="2">
        <f t="shared" si="28"/>
        <v>661</v>
      </c>
      <c r="H133" s="45">
        <f t="shared" si="29"/>
        <v>0.30257186081694404</v>
      </c>
    </row>
    <row r="134" spans="1:19" x14ac:dyDescent="0.2">
      <c r="A134" s="42">
        <v>4</v>
      </c>
      <c r="B134" s="43">
        <v>335</v>
      </c>
      <c r="C134" s="44" t="s">
        <v>272</v>
      </c>
      <c r="D134" s="61">
        <v>123</v>
      </c>
      <c r="E134" s="2">
        <v>57</v>
      </c>
      <c r="F134" s="2">
        <f>454-(D134+E134)</f>
        <v>274</v>
      </c>
      <c r="G134" s="2">
        <f t="shared" si="28"/>
        <v>454</v>
      </c>
      <c r="H134" s="45">
        <f t="shared" si="29"/>
        <v>0.3964757709251101</v>
      </c>
    </row>
    <row r="135" spans="1:19" x14ac:dyDescent="0.2">
      <c r="A135" s="42">
        <v>4</v>
      </c>
      <c r="B135" s="43">
        <v>340</v>
      </c>
      <c r="C135" s="44" t="s">
        <v>33</v>
      </c>
      <c r="D135" s="61">
        <v>149</v>
      </c>
      <c r="E135" s="2">
        <v>79</v>
      </c>
      <c r="F135" s="2">
        <f>617-(D135+E135)</f>
        <v>389</v>
      </c>
      <c r="G135" s="2">
        <f t="shared" si="28"/>
        <v>617</v>
      </c>
      <c r="H135" s="45">
        <f t="shared" si="29"/>
        <v>0.36952998379254459</v>
      </c>
    </row>
    <row r="136" spans="1:19" x14ac:dyDescent="0.2">
      <c r="A136" s="42">
        <v>4</v>
      </c>
      <c r="B136" s="43">
        <v>406</v>
      </c>
      <c r="C136" s="44" t="s">
        <v>34</v>
      </c>
      <c r="D136" s="61">
        <v>192</v>
      </c>
      <c r="E136" s="2">
        <v>111</v>
      </c>
      <c r="F136" s="2">
        <f>1057-(D136+E136)</f>
        <v>754</v>
      </c>
      <c r="G136" s="2">
        <f t="shared" si="28"/>
        <v>1057</v>
      </c>
      <c r="H136" s="45">
        <f t="shared" si="29"/>
        <v>0.28666035950804164</v>
      </c>
    </row>
    <row r="137" spans="1:19" x14ac:dyDescent="0.2">
      <c r="A137" s="42">
        <v>4</v>
      </c>
      <c r="B137" s="43">
        <v>410</v>
      </c>
      <c r="C137" s="44" t="s">
        <v>35</v>
      </c>
      <c r="D137" s="61">
        <v>196</v>
      </c>
      <c r="E137" s="2">
        <v>140</v>
      </c>
      <c r="F137" s="2">
        <f>1160-(D137+E137)</f>
        <v>824</v>
      </c>
      <c r="G137" s="2">
        <f t="shared" si="28"/>
        <v>1160</v>
      </c>
      <c r="H137" s="45">
        <f t="shared" si="29"/>
        <v>0.28965517241379313</v>
      </c>
    </row>
    <row r="138" spans="1:19" x14ac:dyDescent="0.2">
      <c r="A138" s="42">
        <v>4</v>
      </c>
      <c r="B138" s="43">
        <v>610</v>
      </c>
      <c r="C138" s="98" t="s">
        <v>964</v>
      </c>
      <c r="D138" s="61">
        <v>11</v>
      </c>
      <c r="E138" s="2">
        <v>2</v>
      </c>
      <c r="F138" s="2">
        <f>23-(D138+E138)</f>
        <v>10</v>
      </c>
      <c r="G138" s="2">
        <f t="shared" ref="G138" si="32">SUM(D138:F138)</f>
        <v>23</v>
      </c>
      <c r="H138" s="45">
        <f t="shared" ref="H138" si="33">+(D138+E138)/G138</f>
        <v>0.56521739130434778</v>
      </c>
    </row>
    <row r="139" spans="1:19" x14ac:dyDescent="0.2">
      <c r="A139" s="42">
        <v>4</v>
      </c>
      <c r="B139" s="43">
        <v>702</v>
      </c>
      <c r="C139" s="98" t="s">
        <v>421</v>
      </c>
      <c r="D139" s="61">
        <v>262</v>
      </c>
      <c r="E139" s="2">
        <v>147</v>
      </c>
      <c r="F139" s="2">
        <f>1611-(D139+E139)</f>
        <v>1202</v>
      </c>
      <c r="G139" s="2">
        <f t="shared" si="28"/>
        <v>1611</v>
      </c>
      <c r="H139" s="45">
        <f t="shared" si="29"/>
        <v>0.25387957790192428</v>
      </c>
    </row>
    <row r="140" spans="1:19" ht="13.5" thickBot="1" x14ac:dyDescent="0.25">
      <c r="A140" s="51">
        <v>4</v>
      </c>
      <c r="B140" s="52">
        <v>706</v>
      </c>
      <c r="C140" s="117" t="s">
        <v>420</v>
      </c>
      <c r="D140" s="61">
        <v>218</v>
      </c>
      <c r="E140" s="2">
        <v>133</v>
      </c>
      <c r="F140" s="2">
        <f>1524-(D140+E140)</f>
        <v>1173</v>
      </c>
      <c r="G140" s="2">
        <f t="shared" si="28"/>
        <v>1524</v>
      </c>
      <c r="H140" s="56">
        <f t="shared" si="29"/>
        <v>0.23031496062992127</v>
      </c>
    </row>
    <row r="141" spans="1:19" ht="13.5" thickBot="1" x14ac:dyDescent="0.25">
      <c r="A141" s="46"/>
      <c r="B141" s="47">
        <f>COUNTA(B116:B140)</f>
        <v>25</v>
      </c>
      <c r="C141" s="48" t="s">
        <v>20</v>
      </c>
      <c r="D141" s="4">
        <f>SUM(D116:D140)</f>
        <v>3020</v>
      </c>
      <c r="E141" s="4">
        <f>SUM(E116:E140)</f>
        <v>1754</v>
      </c>
      <c r="F141" s="4">
        <f>SUM(F116:F140)</f>
        <v>10482</v>
      </c>
      <c r="G141" s="3">
        <f t="shared" si="28"/>
        <v>15256</v>
      </c>
      <c r="H141" s="49">
        <f>+(D141+E141)/G141</f>
        <v>0.31292606187729416</v>
      </c>
    </row>
    <row r="142" spans="1:19" x14ac:dyDescent="0.2">
      <c r="A142" s="51"/>
      <c r="B142" s="52"/>
      <c r="C142" s="53"/>
      <c r="D142" s="5"/>
      <c r="E142" s="55"/>
      <c r="F142" s="54"/>
      <c r="G142" s="55"/>
      <c r="H142" s="56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</row>
    <row r="143" spans="1:19" x14ac:dyDescent="0.2">
      <c r="A143" s="51"/>
      <c r="B143" s="52"/>
      <c r="C143" s="58" t="s">
        <v>36</v>
      </c>
      <c r="D143" s="5"/>
      <c r="E143" s="55"/>
      <c r="F143" s="54"/>
      <c r="G143" s="55"/>
      <c r="H143" s="56"/>
    </row>
    <row r="144" spans="1:19" x14ac:dyDescent="0.2">
      <c r="A144" s="42">
        <v>5</v>
      </c>
      <c r="B144" s="43">
        <v>112</v>
      </c>
      <c r="C144" s="98" t="s">
        <v>493</v>
      </c>
      <c r="D144" s="61">
        <v>152</v>
      </c>
      <c r="E144" s="2">
        <v>43</v>
      </c>
      <c r="F144" s="2">
        <f>511-(D144+E144)</f>
        <v>316</v>
      </c>
      <c r="G144" s="2">
        <f>SUM(D144:F144)</f>
        <v>511</v>
      </c>
      <c r="H144" s="45">
        <f t="shared" ref="H144:H153" si="34">+(D144+E144)/G144</f>
        <v>0.3816046966731898</v>
      </c>
    </row>
    <row r="145" spans="1:15" x14ac:dyDescent="0.2">
      <c r="A145" s="42">
        <v>5</v>
      </c>
      <c r="B145" s="43">
        <v>114</v>
      </c>
      <c r="C145" s="98" t="s">
        <v>495</v>
      </c>
      <c r="D145" s="61">
        <v>171</v>
      </c>
      <c r="E145" s="2">
        <v>45</v>
      </c>
      <c r="F145" s="2">
        <f>563-(D145+E145)</f>
        <v>347</v>
      </c>
      <c r="G145" s="2">
        <f t="shared" ref="G145:G154" si="35">SUM(D145:F145)</f>
        <v>563</v>
      </c>
      <c r="H145" s="45">
        <f t="shared" si="34"/>
        <v>0.38365896980461811</v>
      </c>
    </row>
    <row r="146" spans="1:15" x14ac:dyDescent="0.2">
      <c r="A146" s="42">
        <v>5</v>
      </c>
      <c r="B146" s="43">
        <v>120</v>
      </c>
      <c r="C146" s="98" t="s">
        <v>497</v>
      </c>
      <c r="D146" s="61">
        <v>203</v>
      </c>
      <c r="E146" s="2">
        <v>61</v>
      </c>
      <c r="F146" s="2">
        <f>512-(D146+E146)</f>
        <v>248</v>
      </c>
      <c r="G146" s="2">
        <f t="shared" si="35"/>
        <v>512</v>
      </c>
      <c r="H146" s="45">
        <f t="shared" si="34"/>
        <v>0.515625</v>
      </c>
    </row>
    <row r="147" spans="1:15" x14ac:dyDescent="0.2">
      <c r="A147" s="42">
        <v>5</v>
      </c>
      <c r="B147" s="43">
        <v>110</v>
      </c>
      <c r="C147" s="98" t="s">
        <v>492</v>
      </c>
      <c r="D147" s="61">
        <v>75</v>
      </c>
      <c r="E147" s="2">
        <v>17</v>
      </c>
      <c r="F147" s="2">
        <f>139-(D147+E147)</f>
        <v>47</v>
      </c>
      <c r="G147" s="2">
        <f t="shared" si="35"/>
        <v>139</v>
      </c>
      <c r="H147" s="45">
        <f t="shared" si="34"/>
        <v>0.66187050359712229</v>
      </c>
    </row>
    <row r="148" spans="1:15" x14ac:dyDescent="0.2">
      <c r="A148" s="42">
        <v>5</v>
      </c>
      <c r="B148" s="43">
        <v>154</v>
      </c>
      <c r="C148" s="98" t="s">
        <v>498</v>
      </c>
      <c r="D148" s="61">
        <v>126</v>
      </c>
      <c r="E148" s="2">
        <v>42</v>
      </c>
      <c r="F148" s="2">
        <f>369-(D148+E148)</f>
        <v>201</v>
      </c>
      <c r="G148" s="2">
        <f t="shared" si="35"/>
        <v>369</v>
      </c>
      <c r="H148" s="45">
        <f t="shared" si="34"/>
        <v>0.45528455284552843</v>
      </c>
    </row>
    <row r="149" spans="1:15" x14ac:dyDescent="0.2">
      <c r="A149" s="42">
        <v>5</v>
      </c>
      <c r="B149" s="43">
        <v>408</v>
      </c>
      <c r="C149" s="98" t="s">
        <v>496</v>
      </c>
      <c r="D149" s="61">
        <v>52</v>
      </c>
      <c r="E149" s="2">
        <v>22</v>
      </c>
      <c r="F149" s="2">
        <f>164-(D149+E149)</f>
        <v>90</v>
      </c>
      <c r="G149" s="2">
        <f t="shared" si="35"/>
        <v>164</v>
      </c>
      <c r="H149" s="45">
        <f t="shared" si="34"/>
        <v>0.45121951219512196</v>
      </c>
    </row>
    <row r="150" spans="1:15" x14ac:dyDescent="0.2">
      <c r="A150" s="42">
        <v>5</v>
      </c>
      <c r="B150" s="43">
        <v>412</v>
      </c>
      <c r="C150" s="44" t="s">
        <v>37</v>
      </c>
      <c r="D150" s="61">
        <v>164</v>
      </c>
      <c r="E150" s="2">
        <v>46</v>
      </c>
      <c r="F150" s="2">
        <f>523-(D150+E150)</f>
        <v>313</v>
      </c>
      <c r="G150" s="2">
        <f t="shared" si="35"/>
        <v>523</v>
      </c>
      <c r="H150" s="45">
        <f t="shared" si="34"/>
        <v>0.40152963671128106</v>
      </c>
    </row>
    <row r="151" spans="1:15" x14ac:dyDescent="0.2">
      <c r="A151" s="42">
        <v>5</v>
      </c>
      <c r="B151" s="43">
        <v>704</v>
      </c>
      <c r="C151" s="44" t="s">
        <v>38</v>
      </c>
      <c r="D151" s="61">
        <v>133</v>
      </c>
      <c r="E151" s="2">
        <v>46</v>
      </c>
      <c r="F151" s="2">
        <f>608-(D151+E151)</f>
        <v>429</v>
      </c>
      <c r="G151" s="2">
        <f t="shared" si="35"/>
        <v>608</v>
      </c>
      <c r="H151" s="45">
        <f t="shared" si="34"/>
        <v>0.29440789473684209</v>
      </c>
    </row>
    <row r="152" spans="1:15" x14ac:dyDescent="0.2">
      <c r="A152" s="42">
        <v>5</v>
      </c>
      <c r="B152" s="43">
        <v>760</v>
      </c>
      <c r="C152" s="44" t="s">
        <v>39</v>
      </c>
      <c r="D152" s="61">
        <v>46</v>
      </c>
      <c r="E152" s="2">
        <v>9</v>
      </c>
      <c r="F152" s="2">
        <f>80-(D152+E152)</f>
        <v>25</v>
      </c>
      <c r="G152" s="2">
        <f t="shared" si="35"/>
        <v>80</v>
      </c>
      <c r="H152" s="45">
        <f t="shared" si="34"/>
        <v>0.6875</v>
      </c>
    </row>
    <row r="153" spans="1:15" ht="13.5" thickBot="1" x14ac:dyDescent="0.25">
      <c r="A153" s="51">
        <v>5</v>
      </c>
      <c r="B153" s="52">
        <v>801</v>
      </c>
      <c r="C153" s="117" t="s">
        <v>494</v>
      </c>
      <c r="D153" s="61">
        <v>69</v>
      </c>
      <c r="E153" s="2">
        <v>14</v>
      </c>
      <c r="F153" s="2">
        <f>161-(D153+E153)</f>
        <v>78</v>
      </c>
      <c r="G153" s="2">
        <f t="shared" si="35"/>
        <v>161</v>
      </c>
      <c r="H153" s="56">
        <f t="shared" si="34"/>
        <v>0.51552795031055898</v>
      </c>
    </row>
    <row r="154" spans="1:15" ht="13.5" thickBot="1" x14ac:dyDescent="0.25">
      <c r="A154" s="46"/>
      <c r="B154" s="47">
        <f>COUNTA(B144:B153)</f>
        <v>10</v>
      </c>
      <c r="C154" s="48" t="s">
        <v>20</v>
      </c>
      <c r="D154" s="4">
        <f>SUM(D144:D153)</f>
        <v>1191</v>
      </c>
      <c r="E154" s="3">
        <f>SUM(E144:E153)</f>
        <v>345</v>
      </c>
      <c r="F154" s="50">
        <f>SUM(F144:F153)</f>
        <v>2094</v>
      </c>
      <c r="G154" s="3">
        <f t="shared" si="35"/>
        <v>3630</v>
      </c>
      <c r="H154" s="49">
        <f>+(D154+E154)/G154</f>
        <v>0.42314049586776858</v>
      </c>
    </row>
    <row r="155" spans="1:15" x14ac:dyDescent="0.2">
      <c r="A155" s="51"/>
      <c r="B155" s="52"/>
      <c r="C155" s="53"/>
      <c r="D155" s="5"/>
      <c r="E155" s="55"/>
      <c r="F155" s="54"/>
      <c r="G155" s="55"/>
      <c r="H155" s="56"/>
    </row>
    <row r="156" spans="1:15" x14ac:dyDescent="0.2">
      <c r="A156" s="51"/>
      <c r="B156" s="52"/>
      <c r="C156" s="58" t="s">
        <v>40</v>
      </c>
      <c r="D156" s="5"/>
      <c r="E156" s="55"/>
      <c r="F156" s="54"/>
      <c r="G156" s="55"/>
      <c r="H156" s="56"/>
    </row>
    <row r="157" spans="1:15" x14ac:dyDescent="0.2">
      <c r="A157" s="42">
        <v>6</v>
      </c>
      <c r="B157" s="43">
        <v>112</v>
      </c>
      <c r="C157" s="44" t="s">
        <v>207</v>
      </c>
      <c r="D157" s="61">
        <v>13</v>
      </c>
      <c r="E157" s="2">
        <v>16</v>
      </c>
      <c r="F157" s="2">
        <f>84-(D157+E157)</f>
        <v>55</v>
      </c>
      <c r="G157" s="2">
        <f>SUM(D157:F157)</f>
        <v>84</v>
      </c>
      <c r="H157" s="45">
        <f>+(D157+E157)/G157</f>
        <v>0.34523809523809523</v>
      </c>
    </row>
    <row r="158" spans="1:15" ht="13.5" thickBot="1" x14ac:dyDescent="0.25">
      <c r="A158" s="51">
        <v>6</v>
      </c>
      <c r="B158" s="52">
        <v>704</v>
      </c>
      <c r="C158" s="53" t="s">
        <v>206</v>
      </c>
      <c r="D158" s="61">
        <v>11</v>
      </c>
      <c r="E158" s="2">
        <v>11</v>
      </c>
      <c r="F158" s="2">
        <f>66-(D158+E158)</f>
        <v>44</v>
      </c>
      <c r="G158" s="2">
        <f>SUM(D158:F158)</f>
        <v>66</v>
      </c>
      <c r="H158" s="56">
        <f>+(D158+E158)/G158</f>
        <v>0.33333333333333331</v>
      </c>
    </row>
    <row r="159" spans="1:15" ht="13.5" thickBot="1" x14ac:dyDescent="0.25">
      <c r="A159" s="46"/>
      <c r="B159" s="47">
        <f>COUNTA(B157:B158)</f>
        <v>2</v>
      </c>
      <c r="C159" s="48" t="s">
        <v>20</v>
      </c>
      <c r="D159" s="4">
        <f>SUM(D157:D158)</f>
        <v>24</v>
      </c>
      <c r="E159" s="3">
        <f>SUM(E157:E158)</f>
        <v>27</v>
      </c>
      <c r="F159" s="50">
        <f>SUM(F157:F158)</f>
        <v>99</v>
      </c>
      <c r="G159" s="3">
        <f>SUM(D159:F159)</f>
        <v>150</v>
      </c>
      <c r="H159" s="49">
        <f>+(D159+E159)/G159</f>
        <v>0.34</v>
      </c>
    </row>
    <row r="160" spans="1:15" x14ac:dyDescent="0.2">
      <c r="A160" s="51"/>
      <c r="B160" s="52"/>
      <c r="C160" s="53"/>
      <c r="D160" s="5"/>
      <c r="E160" s="55"/>
      <c r="F160" s="54"/>
      <c r="G160" s="55"/>
      <c r="H160" s="56"/>
      <c r="I160" s="57"/>
      <c r="J160" s="57"/>
      <c r="K160" s="57"/>
      <c r="L160" s="57"/>
      <c r="M160" s="57"/>
      <c r="N160" s="57"/>
      <c r="O160" s="57"/>
    </row>
    <row r="161" spans="1:8" x14ac:dyDescent="0.2">
      <c r="A161" s="51"/>
      <c r="B161" s="52"/>
      <c r="C161" s="58" t="s">
        <v>41</v>
      </c>
      <c r="D161" s="5"/>
      <c r="E161" s="55"/>
      <c r="F161" s="54"/>
      <c r="G161" s="55"/>
      <c r="H161" s="56"/>
    </row>
    <row r="162" spans="1:8" x14ac:dyDescent="0.2">
      <c r="A162" s="42">
        <v>7</v>
      </c>
      <c r="B162" s="43">
        <v>102</v>
      </c>
      <c r="C162" s="98" t="s">
        <v>499</v>
      </c>
      <c r="D162" s="61">
        <v>103</v>
      </c>
      <c r="E162" s="2">
        <v>48</v>
      </c>
      <c r="F162" s="2">
        <f>577-(D162+E162)</f>
        <v>426</v>
      </c>
      <c r="G162" s="2">
        <f t="shared" ref="G162:G190" si="36">SUM(D162:F162)</f>
        <v>577</v>
      </c>
      <c r="H162" s="45">
        <f t="shared" ref="H162:H219" si="37">+(D162+E162)/G162</f>
        <v>0.26169844020797228</v>
      </c>
    </row>
    <row r="163" spans="1:8" x14ac:dyDescent="0.2">
      <c r="A163" s="42">
        <v>7</v>
      </c>
      <c r="B163" s="43">
        <v>104</v>
      </c>
      <c r="C163" s="98" t="s">
        <v>500</v>
      </c>
      <c r="D163" s="61">
        <v>211</v>
      </c>
      <c r="E163" s="2">
        <v>40</v>
      </c>
      <c r="F163" s="2">
        <f>636-(D163+E163)</f>
        <v>385</v>
      </c>
      <c r="G163" s="2">
        <f t="shared" si="36"/>
        <v>636</v>
      </c>
      <c r="H163" s="45">
        <f t="shared" si="37"/>
        <v>0.39465408805031449</v>
      </c>
    </row>
    <row r="164" spans="1:8" x14ac:dyDescent="0.2">
      <c r="A164" s="42">
        <v>7</v>
      </c>
      <c r="B164" s="43">
        <v>106</v>
      </c>
      <c r="C164" s="121" t="s">
        <v>501</v>
      </c>
      <c r="D164" s="61">
        <v>306</v>
      </c>
      <c r="E164" s="2">
        <v>83</v>
      </c>
      <c r="F164" s="2">
        <f>814-(D164+E164)</f>
        <v>425</v>
      </c>
      <c r="G164" s="2">
        <f t="shared" si="36"/>
        <v>814</v>
      </c>
      <c r="H164" s="45">
        <f t="shared" si="37"/>
        <v>0.47788697788697787</v>
      </c>
    </row>
    <row r="165" spans="1:8" x14ac:dyDescent="0.2">
      <c r="A165" s="42">
        <v>7</v>
      </c>
      <c r="B165" s="43">
        <v>108</v>
      </c>
      <c r="C165" s="98" t="s">
        <v>502</v>
      </c>
      <c r="D165" s="61">
        <v>79</v>
      </c>
      <c r="E165" s="2">
        <v>27</v>
      </c>
      <c r="F165" s="2">
        <f>518-(D165+E165)</f>
        <v>412</v>
      </c>
      <c r="G165" s="2">
        <f t="shared" si="36"/>
        <v>518</v>
      </c>
      <c r="H165" s="45">
        <f t="shared" si="37"/>
        <v>0.20463320463320464</v>
      </c>
    </row>
    <row r="166" spans="1:8" x14ac:dyDescent="0.2">
      <c r="A166" s="42">
        <v>7</v>
      </c>
      <c r="B166" s="43">
        <v>112</v>
      </c>
      <c r="C166" s="98" t="s">
        <v>503</v>
      </c>
      <c r="D166" s="61">
        <v>93</v>
      </c>
      <c r="E166" s="2">
        <v>33</v>
      </c>
      <c r="F166" s="2">
        <f>437-(D166+E166)</f>
        <v>311</v>
      </c>
      <c r="G166" s="2">
        <f t="shared" si="36"/>
        <v>437</v>
      </c>
      <c r="H166" s="45">
        <f t="shared" si="37"/>
        <v>0.28832951945080093</v>
      </c>
    </row>
    <row r="167" spans="1:8" x14ac:dyDescent="0.2">
      <c r="A167" s="42">
        <v>7</v>
      </c>
      <c r="B167" s="43">
        <v>113</v>
      </c>
      <c r="C167" s="98" t="s">
        <v>507</v>
      </c>
      <c r="D167" s="61">
        <v>137</v>
      </c>
      <c r="E167" s="2">
        <v>103</v>
      </c>
      <c r="F167" s="2">
        <f>947-(D167+E167)</f>
        <v>707</v>
      </c>
      <c r="G167" s="2">
        <f t="shared" ref="G167" si="38">SUM(D167:F167)</f>
        <v>947</v>
      </c>
      <c r="H167" s="45">
        <f t="shared" ref="H167" si="39">+(D167+E167)/G167</f>
        <v>0.25343189017951423</v>
      </c>
    </row>
    <row r="168" spans="1:8" x14ac:dyDescent="0.2">
      <c r="A168" s="42">
        <v>7</v>
      </c>
      <c r="B168" s="43">
        <v>114</v>
      </c>
      <c r="C168" s="98" t="s">
        <v>527</v>
      </c>
      <c r="D168" s="61">
        <v>91</v>
      </c>
      <c r="E168" s="2">
        <v>37</v>
      </c>
      <c r="F168" s="2">
        <f>778-(D168+E168)</f>
        <v>650</v>
      </c>
      <c r="G168" s="2">
        <f t="shared" si="36"/>
        <v>778</v>
      </c>
      <c r="H168" s="45">
        <f t="shared" si="37"/>
        <v>0.16452442159383032</v>
      </c>
    </row>
    <row r="169" spans="1:8" x14ac:dyDescent="0.2">
      <c r="A169" s="42">
        <v>7</v>
      </c>
      <c r="B169" s="43">
        <v>116</v>
      </c>
      <c r="C169" s="98" t="s">
        <v>508</v>
      </c>
      <c r="D169" s="61">
        <v>74</v>
      </c>
      <c r="E169" s="2">
        <v>27</v>
      </c>
      <c r="F169" s="2">
        <f>476-(D169+E169)</f>
        <v>375</v>
      </c>
      <c r="G169" s="2">
        <f t="shared" si="36"/>
        <v>476</v>
      </c>
      <c r="H169" s="45">
        <f t="shared" si="37"/>
        <v>0.21218487394957983</v>
      </c>
    </row>
    <row r="170" spans="1:8" x14ac:dyDescent="0.2">
      <c r="A170" s="42">
        <v>7</v>
      </c>
      <c r="B170" s="43">
        <v>120</v>
      </c>
      <c r="C170" s="98" t="s">
        <v>512</v>
      </c>
      <c r="D170" s="61">
        <v>133</v>
      </c>
      <c r="E170" s="2">
        <v>78</v>
      </c>
      <c r="F170" s="2">
        <f>658-(D170+E170)</f>
        <v>447</v>
      </c>
      <c r="G170" s="2">
        <f t="shared" si="36"/>
        <v>658</v>
      </c>
      <c r="H170" s="45">
        <f t="shared" si="37"/>
        <v>0.32066869300911854</v>
      </c>
    </row>
    <row r="171" spans="1:8" x14ac:dyDescent="0.2">
      <c r="A171" s="42">
        <v>7</v>
      </c>
      <c r="B171" s="43">
        <v>121</v>
      </c>
      <c r="C171" s="98" t="s">
        <v>550</v>
      </c>
      <c r="D171" s="61">
        <v>129</v>
      </c>
      <c r="E171" s="2">
        <v>61</v>
      </c>
      <c r="F171" s="2">
        <f>602-(D171+E171)</f>
        <v>412</v>
      </c>
      <c r="G171" s="2">
        <f>SUM(D171:F171)</f>
        <v>602</v>
      </c>
      <c r="H171" s="45">
        <f>+(D171+E171)/G171</f>
        <v>0.31561461794019935</v>
      </c>
    </row>
    <row r="172" spans="1:8" x14ac:dyDescent="0.2">
      <c r="A172" s="42">
        <v>7</v>
      </c>
      <c r="B172" s="43">
        <v>122</v>
      </c>
      <c r="C172" s="98" t="s">
        <v>514</v>
      </c>
      <c r="D172" s="61">
        <v>160</v>
      </c>
      <c r="E172" s="2">
        <v>93</v>
      </c>
      <c r="F172" s="2">
        <f>778-(D172+E172)</f>
        <v>525</v>
      </c>
      <c r="G172" s="2">
        <f t="shared" si="36"/>
        <v>778</v>
      </c>
      <c r="H172" s="45">
        <f t="shared" si="37"/>
        <v>0.32519280205655526</v>
      </c>
    </row>
    <row r="173" spans="1:8" x14ac:dyDescent="0.2">
      <c r="A173" s="42">
        <v>7</v>
      </c>
      <c r="B173" s="43">
        <v>124</v>
      </c>
      <c r="C173" s="121" t="s">
        <v>516</v>
      </c>
      <c r="D173" s="61">
        <v>166</v>
      </c>
      <c r="E173" s="2">
        <v>42</v>
      </c>
      <c r="F173" s="2">
        <f>387-(D173+E173)</f>
        <v>179</v>
      </c>
      <c r="G173" s="2">
        <f t="shared" si="36"/>
        <v>387</v>
      </c>
      <c r="H173" s="45">
        <f t="shared" si="37"/>
        <v>0.53746770025839796</v>
      </c>
    </row>
    <row r="174" spans="1:8" ht="12" customHeight="1" x14ac:dyDescent="0.2">
      <c r="A174" s="42">
        <v>7</v>
      </c>
      <c r="B174" s="43">
        <v>128</v>
      </c>
      <c r="C174" s="98" t="s">
        <v>518</v>
      </c>
      <c r="D174" s="61">
        <v>199</v>
      </c>
      <c r="E174" s="2">
        <v>68</v>
      </c>
      <c r="F174" s="2">
        <f>408-(D174+E174)</f>
        <v>141</v>
      </c>
      <c r="G174" s="2">
        <f t="shared" si="36"/>
        <v>408</v>
      </c>
      <c r="H174" s="45">
        <f t="shared" si="37"/>
        <v>0.65441176470588236</v>
      </c>
    </row>
    <row r="175" spans="1:8" x14ac:dyDescent="0.2">
      <c r="A175" s="42">
        <v>7</v>
      </c>
      <c r="B175" s="43">
        <v>129</v>
      </c>
      <c r="C175" s="98" t="s">
        <v>520</v>
      </c>
      <c r="D175" s="61">
        <v>64</v>
      </c>
      <c r="E175" s="2">
        <v>41</v>
      </c>
      <c r="F175" s="2">
        <f>587-(D175+E175)</f>
        <v>482</v>
      </c>
      <c r="G175" s="2">
        <f t="shared" si="36"/>
        <v>587</v>
      </c>
      <c r="H175" s="45">
        <f t="shared" si="37"/>
        <v>0.17887563884156729</v>
      </c>
    </row>
    <row r="176" spans="1:8" x14ac:dyDescent="0.2">
      <c r="A176" s="42">
        <v>7</v>
      </c>
      <c r="B176" s="43">
        <v>130</v>
      </c>
      <c r="C176" s="98" t="s">
        <v>535</v>
      </c>
      <c r="D176" s="61">
        <v>181</v>
      </c>
      <c r="E176" s="2">
        <v>47</v>
      </c>
      <c r="F176" s="2">
        <f>642-(D176+E176)</f>
        <v>414</v>
      </c>
      <c r="G176" s="2">
        <f t="shared" si="36"/>
        <v>642</v>
      </c>
      <c r="H176" s="45">
        <f t="shared" si="37"/>
        <v>0.35514018691588783</v>
      </c>
    </row>
    <row r="177" spans="1:8" x14ac:dyDescent="0.2">
      <c r="A177" s="42">
        <v>7</v>
      </c>
      <c r="B177" s="43">
        <v>131</v>
      </c>
      <c r="C177" s="98" t="s">
        <v>513</v>
      </c>
      <c r="D177" s="61">
        <v>77</v>
      </c>
      <c r="E177" s="2">
        <v>36</v>
      </c>
      <c r="F177" s="2">
        <f>668-(D177+E177)</f>
        <v>555</v>
      </c>
      <c r="G177" s="2">
        <f t="shared" si="36"/>
        <v>668</v>
      </c>
      <c r="H177" s="45">
        <f t="shared" si="37"/>
        <v>0.16916167664670659</v>
      </c>
    </row>
    <row r="178" spans="1:8" x14ac:dyDescent="0.2">
      <c r="A178" s="42">
        <v>7</v>
      </c>
      <c r="B178" s="43">
        <v>132</v>
      </c>
      <c r="C178" s="98" t="s">
        <v>523</v>
      </c>
      <c r="D178" s="61">
        <v>63</v>
      </c>
      <c r="E178" s="2">
        <v>33</v>
      </c>
      <c r="F178" s="2">
        <f>510-(D178+E178)</f>
        <v>414</v>
      </c>
      <c r="G178" s="2">
        <f t="shared" si="36"/>
        <v>510</v>
      </c>
      <c r="H178" s="45">
        <f t="shared" si="37"/>
        <v>0.18823529411764706</v>
      </c>
    </row>
    <row r="179" spans="1:8" x14ac:dyDescent="0.2">
      <c r="A179" s="42">
        <v>7</v>
      </c>
      <c r="B179" s="43">
        <v>133</v>
      </c>
      <c r="C179" s="98" t="s">
        <v>526</v>
      </c>
      <c r="D179" s="61">
        <v>145</v>
      </c>
      <c r="E179" s="2">
        <v>55</v>
      </c>
      <c r="F179" s="2">
        <f>345-(D179+E179)</f>
        <v>145</v>
      </c>
      <c r="G179" s="2">
        <f t="shared" si="36"/>
        <v>345</v>
      </c>
      <c r="H179" s="45">
        <f t="shared" si="37"/>
        <v>0.57971014492753625</v>
      </c>
    </row>
    <row r="180" spans="1:8" x14ac:dyDescent="0.2">
      <c r="A180" s="42">
        <v>7</v>
      </c>
      <c r="B180" s="43">
        <v>134</v>
      </c>
      <c r="C180" s="98" t="s">
        <v>530</v>
      </c>
      <c r="D180" s="61">
        <v>73</v>
      </c>
      <c r="E180" s="2">
        <v>15</v>
      </c>
      <c r="F180" s="2">
        <f>490-(D180+E180)</f>
        <v>402</v>
      </c>
      <c r="G180" s="2">
        <f t="shared" si="36"/>
        <v>490</v>
      </c>
      <c r="H180" s="45">
        <f t="shared" si="37"/>
        <v>0.17959183673469387</v>
      </c>
    </row>
    <row r="181" spans="1:8" x14ac:dyDescent="0.2">
      <c r="A181" s="42">
        <v>7</v>
      </c>
      <c r="B181" s="43">
        <v>135</v>
      </c>
      <c r="C181" s="98" t="s">
        <v>529</v>
      </c>
      <c r="D181" s="61">
        <v>83</v>
      </c>
      <c r="E181" s="2">
        <v>156</v>
      </c>
      <c r="F181" s="2">
        <f>530-(D181+E181)</f>
        <v>291</v>
      </c>
      <c r="G181" s="2">
        <f t="shared" si="36"/>
        <v>530</v>
      </c>
      <c r="H181" s="45">
        <f t="shared" si="37"/>
        <v>0.45094339622641511</v>
      </c>
    </row>
    <row r="182" spans="1:8" x14ac:dyDescent="0.2">
      <c r="A182" s="42">
        <v>7</v>
      </c>
      <c r="B182" s="43">
        <v>136</v>
      </c>
      <c r="C182" s="98" t="s">
        <v>521</v>
      </c>
      <c r="D182" s="61">
        <v>147</v>
      </c>
      <c r="E182" s="2">
        <v>61</v>
      </c>
      <c r="F182" s="2">
        <f>894-(D182+E182)</f>
        <v>686</v>
      </c>
      <c r="G182" s="2">
        <f>SUM(D182:F182)</f>
        <v>894</v>
      </c>
      <c r="H182" s="45">
        <f>+(D182+E182)/G182</f>
        <v>0.23266219239373601</v>
      </c>
    </row>
    <row r="183" spans="1:8" x14ac:dyDescent="0.2">
      <c r="A183" s="42">
        <v>7</v>
      </c>
      <c r="B183" s="43">
        <v>137</v>
      </c>
      <c r="C183" s="98" t="s">
        <v>531</v>
      </c>
      <c r="D183" s="61">
        <v>305</v>
      </c>
      <c r="E183" s="2">
        <v>89</v>
      </c>
      <c r="F183" s="2">
        <f>738-(D183+E183)</f>
        <v>344</v>
      </c>
      <c r="G183" s="2">
        <f t="shared" si="36"/>
        <v>738</v>
      </c>
      <c r="H183" s="45">
        <f t="shared" si="37"/>
        <v>0.53387533875338755</v>
      </c>
    </row>
    <row r="184" spans="1:8" x14ac:dyDescent="0.2">
      <c r="A184" s="42">
        <v>7</v>
      </c>
      <c r="B184" s="43">
        <v>138</v>
      </c>
      <c r="C184" s="98" t="s">
        <v>532</v>
      </c>
      <c r="D184" s="61">
        <v>60</v>
      </c>
      <c r="E184" s="2">
        <v>45</v>
      </c>
      <c r="F184" s="2">
        <f>420-(D184+E184)</f>
        <v>315</v>
      </c>
      <c r="G184" s="2">
        <f t="shared" si="36"/>
        <v>420</v>
      </c>
      <c r="H184" s="45">
        <f t="shared" si="37"/>
        <v>0.25</v>
      </c>
    </row>
    <row r="185" spans="1:8" x14ac:dyDescent="0.2">
      <c r="A185" s="42">
        <v>7</v>
      </c>
      <c r="B185" s="43">
        <v>139</v>
      </c>
      <c r="C185" s="98" t="s">
        <v>536</v>
      </c>
      <c r="D185" s="61">
        <v>49</v>
      </c>
      <c r="E185" s="2">
        <v>22</v>
      </c>
      <c r="F185" s="2">
        <f>755-(D185+E185)</f>
        <v>684</v>
      </c>
      <c r="G185" s="2">
        <f t="shared" si="36"/>
        <v>755</v>
      </c>
      <c r="H185" s="45">
        <f t="shared" si="37"/>
        <v>9.4039735099337746E-2</v>
      </c>
    </row>
    <row r="186" spans="1:8" x14ac:dyDescent="0.2">
      <c r="A186" s="42">
        <v>7</v>
      </c>
      <c r="B186" s="43">
        <v>140</v>
      </c>
      <c r="C186" s="98" t="s">
        <v>533</v>
      </c>
      <c r="D186" s="61">
        <v>101</v>
      </c>
      <c r="E186" s="2">
        <v>30</v>
      </c>
      <c r="F186" s="2">
        <f>679-(D186+E186)</f>
        <v>548</v>
      </c>
      <c r="G186" s="2">
        <f t="shared" si="36"/>
        <v>679</v>
      </c>
      <c r="H186" s="45">
        <f t="shared" si="37"/>
        <v>0.19293078055964655</v>
      </c>
    </row>
    <row r="187" spans="1:8" x14ac:dyDescent="0.2">
      <c r="A187" s="42">
        <v>7</v>
      </c>
      <c r="B187" s="43">
        <v>141</v>
      </c>
      <c r="C187" s="98" t="s">
        <v>115</v>
      </c>
      <c r="D187" s="61">
        <v>55</v>
      </c>
      <c r="E187" s="2">
        <v>28</v>
      </c>
      <c r="F187" s="2">
        <f>721-(D187+E187)</f>
        <v>638</v>
      </c>
      <c r="G187" s="2">
        <f t="shared" si="36"/>
        <v>721</v>
      </c>
      <c r="H187" s="45">
        <f t="shared" si="37"/>
        <v>0.11511789181692095</v>
      </c>
    </row>
    <row r="188" spans="1:8" x14ac:dyDescent="0.2">
      <c r="A188" s="42">
        <v>7</v>
      </c>
      <c r="B188" s="43">
        <v>142</v>
      </c>
      <c r="C188" s="98" t="s">
        <v>545</v>
      </c>
      <c r="D188" s="61">
        <v>64</v>
      </c>
      <c r="E188" s="2">
        <v>17</v>
      </c>
      <c r="F188" s="2">
        <f>671-(D188+E188)</f>
        <v>590</v>
      </c>
      <c r="G188" s="2">
        <f t="shared" si="36"/>
        <v>671</v>
      </c>
      <c r="H188" s="45">
        <f t="shared" si="37"/>
        <v>0.12071535022354694</v>
      </c>
    </row>
    <row r="189" spans="1:8" x14ac:dyDescent="0.2">
      <c r="A189" s="42">
        <v>7</v>
      </c>
      <c r="B189" s="43">
        <v>143</v>
      </c>
      <c r="C189" s="121" t="s">
        <v>482</v>
      </c>
      <c r="D189" s="61">
        <v>314</v>
      </c>
      <c r="E189" s="2">
        <v>81</v>
      </c>
      <c r="F189" s="2">
        <f>838-(D189+E189)</f>
        <v>443</v>
      </c>
      <c r="G189" s="2">
        <f t="shared" si="36"/>
        <v>838</v>
      </c>
      <c r="H189" s="45">
        <f t="shared" si="37"/>
        <v>0.4713603818615752</v>
      </c>
    </row>
    <row r="190" spans="1:8" x14ac:dyDescent="0.2">
      <c r="A190" s="42">
        <v>7</v>
      </c>
      <c r="B190" s="43">
        <v>144</v>
      </c>
      <c r="C190" s="98" t="s">
        <v>538</v>
      </c>
      <c r="D190" s="61">
        <v>200</v>
      </c>
      <c r="E190" s="2">
        <v>83</v>
      </c>
      <c r="F190" s="2">
        <f>728-(D190+E190)</f>
        <v>445</v>
      </c>
      <c r="G190" s="2">
        <f t="shared" si="36"/>
        <v>728</v>
      </c>
      <c r="H190" s="45">
        <f t="shared" si="37"/>
        <v>0.38873626373626374</v>
      </c>
    </row>
    <row r="191" spans="1:8" x14ac:dyDescent="0.2">
      <c r="A191" s="42">
        <v>7</v>
      </c>
      <c r="B191" s="43">
        <v>145</v>
      </c>
      <c r="C191" s="98" t="s">
        <v>541</v>
      </c>
      <c r="D191" s="61">
        <v>120</v>
      </c>
      <c r="E191" s="2">
        <v>43</v>
      </c>
      <c r="F191" s="2">
        <f>436-(D191+E191)</f>
        <v>273</v>
      </c>
      <c r="G191" s="2">
        <f t="shared" ref="G191:G218" si="40">SUM(D191:F191)</f>
        <v>436</v>
      </c>
      <c r="H191" s="45">
        <f t="shared" si="37"/>
        <v>0.37385321100917429</v>
      </c>
    </row>
    <row r="192" spans="1:8" x14ac:dyDescent="0.2">
      <c r="A192" s="42">
        <v>7</v>
      </c>
      <c r="B192" s="43">
        <v>146</v>
      </c>
      <c r="C192" s="98" t="s">
        <v>549</v>
      </c>
      <c r="D192" s="61">
        <v>51</v>
      </c>
      <c r="E192" s="2">
        <v>23</v>
      </c>
      <c r="F192" s="2">
        <f>434-(D192+E192)</f>
        <v>360</v>
      </c>
      <c r="G192" s="2">
        <f t="shared" si="40"/>
        <v>434</v>
      </c>
      <c r="H192" s="45">
        <f t="shared" si="37"/>
        <v>0.17050691244239632</v>
      </c>
    </row>
    <row r="193" spans="1:8" x14ac:dyDescent="0.2">
      <c r="A193" s="42">
        <v>7</v>
      </c>
      <c r="B193" s="43">
        <v>147</v>
      </c>
      <c r="C193" s="98" t="s">
        <v>396</v>
      </c>
      <c r="D193" s="61">
        <v>123</v>
      </c>
      <c r="E193" s="2">
        <v>36</v>
      </c>
      <c r="F193" s="2">
        <f>739-(D193+E193)</f>
        <v>580</v>
      </c>
      <c r="G193" s="2">
        <f t="shared" si="40"/>
        <v>739</v>
      </c>
      <c r="H193" s="45">
        <f t="shared" si="37"/>
        <v>0.21515561569688768</v>
      </c>
    </row>
    <row r="194" spans="1:8" x14ac:dyDescent="0.2">
      <c r="A194" s="42">
        <v>7</v>
      </c>
      <c r="B194" s="43">
        <v>148</v>
      </c>
      <c r="C194" s="98" t="s">
        <v>519</v>
      </c>
      <c r="D194" s="61">
        <v>30</v>
      </c>
      <c r="E194" s="2">
        <v>26</v>
      </c>
      <c r="F194" s="2">
        <f>862-(D194+E194)</f>
        <v>806</v>
      </c>
      <c r="G194" s="2">
        <f t="shared" si="40"/>
        <v>862</v>
      </c>
      <c r="H194" s="45">
        <f t="shared" si="37"/>
        <v>6.4965197215777259E-2</v>
      </c>
    </row>
    <row r="195" spans="1:8" x14ac:dyDescent="0.2">
      <c r="A195" s="42">
        <v>7</v>
      </c>
      <c r="B195" s="43">
        <v>149</v>
      </c>
      <c r="C195" s="98" t="s">
        <v>575</v>
      </c>
      <c r="D195" s="61">
        <v>36</v>
      </c>
      <c r="E195" s="2">
        <v>23</v>
      </c>
      <c r="F195" s="2">
        <f>718-(D195+E195)</f>
        <v>659</v>
      </c>
      <c r="G195" s="2">
        <f t="shared" si="40"/>
        <v>718</v>
      </c>
      <c r="H195" s="45">
        <f t="shared" si="37"/>
        <v>8.2172701949860719E-2</v>
      </c>
    </row>
    <row r="196" spans="1:8" x14ac:dyDescent="0.2">
      <c r="A196" s="42">
        <v>7</v>
      </c>
      <c r="B196" s="43">
        <v>150</v>
      </c>
      <c r="C196" s="98" t="s">
        <v>551</v>
      </c>
      <c r="D196" s="61">
        <v>68</v>
      </c>
      <c r="E196" s="2">
        <v>30</v>
      </c>
      <c r="F196" s="2">
        <f>620-(D196+E196)</f>
        <v>522</v>
      </c>
      <c r="G196" s="2">
        <f t="shared" si="40"/>
        <v>620</v>
      </c>
      <c r="H196" s="45">
        <f t="shared" si="37"/>
        <v>0.15806451612903225</v>
      </c>
    </row>
    <row r="197" spans="1:8" x14ac:dyDescent="0.2">
      <c r="A197" s="42">
        <v>7</v>
      </c>
      <c r="B197" s="43">
        <v>151</v>
      </c>
      <c r="C197" s="98" t="s">
        <v>515</v>
      </c>
      <c r="D197" s="61">
        <v>177</v>
      </c>
      <c r="E197" s="2">
        <v>38</v>
      </c>
      <c r="F197" s="2">
        <f>695-(D197+E197)</f>
        <v>480</v>
      </c>
      <c r="G197" s="2">
        <f t="shared" si="40"/>
        <v>695</v>
      </c>
      <c r="H197" s="45">
        <f t="shared" si="37"/>
        <v>0.30935251798561153</v>
      </c>
    </row>
    <row r="198" spans="1:8" x14ac:dyDescent="0.2">
      <c r="A198" s="42">
        <v>7</v>
      </c>
      <c r="B198" s="43">
        <v>152</v>
      </c>
      <c r="C198" s="98" t="s">
        <v>574</v>
      </c>
      <c r="D198" s="61">
        <v>186</v>
      </c>
      <c r="E198" s="2">
        <v>49</v>
      </c>
      <c r="F198" s="2">
        <f>809-(D198+E198)</f>
        <v>574</v>
      </c>
      <c r="G198" s="2">
        <f t="shared" si="40"/>
        <v>809</v>
      </c>
      <c r="H198" s="45">
        <f t="shared" si="37"/>
        <v>0.29048207663782449</v>
      </c>
    </row>
    <row r="199" spans="1:8" x14ac:dyDescent="0.2">
      <c r="A199" s="42">
        <v>7</v>
      </c>
      <c r="B199" s="43">
        <v>153</v>
      </c>
      <c r="C199" s="98" t="s">
        <v>504</v>
      </c>
      <c r="D199" s="61">
        <v>109</v>
      </c>
      <c r="E199" s="2">
        <v>54</v>
      </c>
      <c r="F199" s="2">
        <f>1074-(D199+E199)</f>
        <v>911</v>
      </c>
      <c r="G199" s="2">
        <f t="shared" si="40"/>
        <v>1074</v>
      </c>
      <c r="H199" s="45">
        <f t="shared" si="37"/>
        <v>0.15176908752327747</v>
      </c>
    </row>
    <row r="200" spans="1:8" x14ac:dyDescent="0.2">
      <c r="A200" s="42">
        <v>7</v>
      </c>
      <c r="B200" s="43">
        <v>154</v>
      </c>
      <c r="C200" s="98" t="s">
        <v>543</v>
      </c>
      <c r="D200" s="61">
        <v>127</v>
      </c>
      <c r="E200" s="2">
        <v>37</v>
      </c>
      <c r="F200" s="2">
        <f>784-(D200+E200)</f>
        <v>620</v>
      </c>
      <c r="G200" s="2">
        <f t="shared" si="40"/>
        <v>784</v>
      </c>
      <c r="H200" s="45">
        <f t="shared" si="37"/>
        <v>0.20918367346938777</v>
      </c>
    </row>
    <row r="201" spans="1:8" x14ac:dyDescent="0.2">
      <c r="A201" s="42">
        <v>7</v>
      </c>
      <c r="B201" s="43">
        <v>155</v>
      </c>
      <c r="C201" s="98" t="s">
        <v>537</v>
      </c>
      <c r="D201" s="61">
        <v>174</v>
      </c>
      <c r="E201" s="2">
        <v>64</v>
      </c>
      <c r="F201" s="2">
        <f>915-(D201+E201)</f>
        <v>677</v>
      </c>
      <c r="G201" s="2">
        <f t="shared" si="40"/>
        <v>915</v>
      </c>
      <c r="H201" s="45">
        <f t="shared" si="37"/>
        <v>0.26010928961748636</v>
      </c>
    </row>
    <row r="202" spans="1:8" x14ac:dyDescent="0.2">
      <c r="A202" s="42">
        <v>7</v>
      </c>
      <c r="B202" s="43">
        <v>156</v>
      </c>
      <c r="C202" s="121" t="s">
        <v>554</v>
      </c>
      <c r="D202" s="61">
        <v>358</v>
      </c>
      <c r="E202" s="2">
        <v>79</v>
      </c>
      <c r="F202" s="2">
        <f>652-(D202+E202)</f>
        <v>215</v>
      </c>
      <c r="G202" s="2">
        <f t="shared" si="40"/>
        <v>652</v>
      </c>
      <c r="H202" s="45">
        <f t="shared" si="37"/>
        <v>0.67024539877300615</v>
      </c>
    </row>
    <row r="203" spans="1:8" x14ac:dyDescent="0.2">
      <c r="A203" s="42">
        <v>7</v>
      </c>
      <c r="B203" s="43">
        <v>157</v>
      </c>
      <c r="C203" s="98" t="s">
        <v>528</v>
      </c>
      <c r="D203" s="61">
        <v>91</v>
      </c>
      <c r="E203" s="2">
        <v>44</v>
      </c>
      <c r="F203" s="2">
        <f>868-(D203+E203)</f>
        <v>733</v>
      </c>
      <c r="G203" s="2">
        <f t="shared" si="40"/>
        <v>868</v>
      </c>
      <c r="H203" s="62">
        <f t="shared" si="37"/>
        <v>0.15552995391705068</v>
      </c>
    </row>
    <row r="204" spans="1:8" x14ac:dyDescent="0.2">
      <c r="A204" s="36">
        <v>7</v>
      </c>
      <c r="B204" s="37">
        <v>158</v>
      </c>
      <c r="C204" s="110" t="s">
        <v>556</v>
      </c>
      <c r="D204" s="39">
        <v>68</v>
      </c>
      <c r="E204" s="40">
        <v>54</v>
      </c>
      <c r="F204" s="40">
        <f>840-(D204+E204)</f>
        <v>718</v>
      </c>
      <c r="G204" s="2">
        <f t="shared" si="40"/>
        <v>840</v>
      </c>
      <c r="H204" s="41">
        <f t="shared" si="37"/>
        <v>0.14523809523809525</v>
      </c>
    </row>
    <row r="205" spans="1:8" x14ac:dyDescent="0.2">
      <c r="A205" s="42">
        <v>7</v>
      </c>
      <c r="B205" s="43">
        <v>159</v>
      </c>
      <c r="C205" s="98" t="s">
        <v>557</v>
      </c>
      <c r="D205" s="61">
        <v>74</v>
      </c>
      <c r="E205" s="2">
        <v>36</v>
      </c>
      <c r="F205" s="2">
        <f>666-(D205+E205)</f>
        <v>556</v>
      </c>
      <c r="G205" s="2">
        <f t="shared" si="40"/>
        <v>666</v>
      </c>
      <c r="H205" s="45">
        <f t="shared" si="37"/>
        <v>0.16516516516516516</v>
      </c>
    </row>
    <row r="206" spans="1:8" x14ac:dyDescent="0.2">
      <c r="A206" s="100">
        <v>7</v>
      </c>
      <c r="B206" s="43">
        <v>160</v>
      </c>
      <c r="C206" s="98" t="s">
        <v>552</v>
      </c>
      <c r="D206" s="61">
        <v>85</v>
      </c>
      <c r="E206" s="2">
        <v>52</v>
      </c>
      <c r="F206" s="2">
        <f>915-(D206+E206)</f>
        <v>778</v>
      </c>
      <c r="G206" s="2">
        <f>SUM(D206:F206)</f>
        <v>915</v>
      </c>
      <c r="H206" s="45">
        <f>+(D206+E206)/G206</f>
        <v>0.14972677595628414</v>
      </c>
    </row>
    <row r="207" spans="1:8" x14ac:dyDescent="0.2">
      <c r="A207" s="100">
        <v>7</v>
      </c>
      <c r="B207" s="43">
        <v>161</v>
      </c>
      <c r="C207" s="98" t="s">
        <v>967</v>
      </c>
      <c r="D207" s="61">
        <v>11</v>
      </c>
      <c r="E207" s="2">
        <v>8</v>
      </c>
      <c r="F207" s="2">
        <f>543-(D207+E207)</f>
        <v>524</v>
      </c>
      <c r="G207" s="2">
        <f>SUM(D207:F207)</f>
        <v>543</v>
      </c>
      <c r="H207" s="45">
        <f>+(D207+E207)/G207</f>
        <v>3.4990791896869246E-2</v>
      </c>
    </row>
    <row r="208" spans="1:8" x14ac:dyDescent="0.2">
      <c r="A208" s="42">
        <v>7</v>
      </c>
      <c r="B208" s="43">
        <v>162</v>
      </c>
      <c r="C208" s="98" t="s">
        <v>553</v>
      </c>
      <c r="D208" s="61">
        <v>42</v>
      </c>
      <c r="E208" s="2">
        <v>19</v>
      </c>
      <c r="F208" s="2">
        <f>747-(D208+E208)</f>
        <v>686</v>
      </c>
      <c r="G208" s="2">
        <f>SUM(D208:F208)</f>
        <v>747</v>
      </c>
      <c r="H208" s="45">
        <f>+(D208+E208)/G208</f>
        <v>8.1659973226238289E-2</v>
      </c>
    </row>
    <row r="209" spans="1:8" x14ac:dyDescent="0.2">
      <c r="A209" s="42">
        <v>7</v>
      </c>
      <c r="B209" s="43">
        <v>164</v>
      </c>
      <c r="C209" s="98" t="s">
        <v>558</v>
      </c>
      <c r="D209" s="61">
        <v>174</v>
      </c>
      <c r="E209" s="2">
        <v>43</v>
      </c>
      <c r="F209" s="2">
        <f>407-(D209+E209)</f>
        <v>190</v>
      </c>
      <c r="G209" s="2">
        <f t="shared" si="40"/>
        <v>407</v>
      </c>
      <c r="H209" s="45">
        <f t="shared" si="37"/>
        <v>0.53316953316953319</v>
      </c>
    </row>
    <row r="210" spans="1:8" x14ac:dyDescent="0.2">
      <c r="A210" s="42">
        <v>7</v>
      </c>
      <c r="B210" s="43">
        <v>166</v>
      </c>
      <c r="C210" s="98" t="s">
        <v>525</v>
      </c>
      <c r="D210" s="61">
        <v>140</v>
      </c>
      <c r="E210" s="2">
        <v>71</v>
      </c>
      <c r="F210" s="2">
        <f>760-(D210+E210)</f>
        <v>549</v>
      </c>
      <c r="G210" s="2">
        <f t="shared" ref="G210" si="41">SUM(D210:F210)</f>
        <v>760</v>
      </c>
      <c r="H210" s="45">
        <f t="shared" ref="H210" si="42">+(D210+E210)/G210</f>
        <v>0.2776315789473684</v>
      </c>
    </row>
    <row r="211" spans="1:8" x14ac:dyDescent="0.2">
      <c r="A211" s="42">
        <v>7</v>
      </c>
      <c r="B211" s="43">
        <v>168</v>
      </c>
      <c r="C211" s="98" t="s">
        <v>560</v>
      </c>
      <c r="D211" s="61">
        <v>130</v>
      </c>
      <c r="E211" s="2">
        <v>65</v>
      </c>
      <c r="F211" s="2">
        <f>948-(D211+E211)</f>
        <v>753</v>
      </c>
      <c r="G211" s="2">
        <f t="shared" si="40"/>
        <v>948</v>
      </c>
      <c r="H211" s="45">
        <f t="shared" si="37"/>
        <v>0.20569620253164558</v>
      </c>
    </row>
    <row r="212" spans="1:8" x14ac:dyDescent="0.2">
      <c r="A212" s="42">
        <v>7</v>
      </c>
      <c r="B212" s="43">
        <v>172</v>
      </c>
      <c r="C212" s="98" t="s">
        <v>573</v>
      </c>
      <c r="D212" s="61">
        <v>81</v>
      </c>
      <c r="E212" s="2">
        <v>33</v>
      </c>
      <c r="F212" s="2">
        <f>404-(D212+E212)</f>
        <v>290</v>
      </c>
      <c r="G212" s="2">
        <f t="shared" si="40"/>
        <v>404</v>
      </c>
      <c r="H212" s="45">
        <f t="shared" si="37"/>
        <v>0.28217821782178215</v>
      </c>
    </row>
    <row r="213" spans="1:8" x14ac:dyDescent="0.2">
      <c r="A213" s="42">
        <v>7</v>
      </c>
      <c r="B213" s="43">
        <v>180</v>
      </c>
      <c r="C213" s="98" t="s">
        <v>572</v>
      </c>
      <c r="D213" s="61">
        <v>233</v>
      </c>
      <c r="E213" s="2">
        <v>46</v>
      </c>
      <c r="F213" s="2">
        <f>404-(D213+E213)</f>
        <v>125</v>
      </c>
      <c r="G213" s="2">
        <f t="shared" si="40"/>
        <v>404</v>
      </c>
      <c r="H213" s="45">
        <f t="shared" si="37"/>
        <v>0.69059405940594054</v>
      </c>
    </row>
    <row r="214" spans="1:8" x14ac:dyDescent="0.2">
      <c r="A214" s="42">
        <v>7</v>
      </c>
      <c r="B214" s="43">
        <v>182</v>
      </c>
      <c r="C214" s="121" t="s">
        <v>571</v>
      </c>
      <c r="D214" s="61">
        <v>155</v>
      </c>
      <c r="E214" s="2">
        <v>31</v>
      </c>
      <c r="F214" s="2">
        <f>329-(D214+E214)</f>
        <v>143</v>
      </c>
      <c r="G214" s="2">
        <f t="shared" si="40"/>
        <v>329</v>
      </c>
      <c r="H214" s="45">
        <f t="shared" si="37"/>
        <v>0.56534954407294835</v>
      </c>
    </row>
    <row r="215" spans="1:8" ht="12" customHeight="1" x14ac:dyDescent="0.2">
      <c r="A215" s="42">
        <v>7</v>
      </c>
      <c r="B215" s="43">
        <v>184</v>
      </c>
      <c r="C215" s="121" t="s">
        <v>570</v>
      </c>
      <c r="D215" s="61">
        <v>91</v>
      </c>
      <c r="E215" s="2">
        <v>46</v>
      </c>
      <c r="F215" s="2">
        <f>566-(D215+E215)</f>
        <v>429</v>
      </c>
      <c r="G215" s="2">
        <f t="shared" si="40"/>
        <v>566</v>
      </c>
      <c r="H215" s="45">
        <f t="shared" si="37"/>
        <v>0.24204946996466431</v>
      </c>
    </row>
    <row r="216" spans="1:8" x14ac:dyDescent="0.2">
      <c r="A216" s="42">
        <v>7</v>
      </c>
      <c r="B216" s="43">
        <v>186</v>
      </c>
      <c r="C216" s="98" t="s">
        <v>569</v>
      </c>
      <c r="D216" s="61">
        <v>180</v>
      </c>
      <c r="E216" s="2">
        <v>86</v>
      </c>
      <c r="F216" s="2">
        <f>983-(D216+E216)</f>
        <v>717</v>
      </c>
      <c r="G216" s="2">
        <f t="shared" si="40"/>
        <v>983</v>
      </c>
      <c r="H216" s="62">
        <f t="shared" si="37"/>
        <v>0.27060020345879959</v>
      </c>
    </row>
    <row r="217" spans="1:8" x14ac:dyDescent="0.2">
      <c r="A217" s="42">
        <v>7</v>
      </c>
      <c r="B217" s="43">
        <v>188</v>
      </c>
      <c r="C217" s="98" t="s">
        <v>568</v>
      </c>
      <c r="D217" s="61">
        <v>119</v>
      </c>
      <c r="E217" s="2">
        <v>61</v>
      </c>
      <c r="F217" s="2">
        <f>828-(D217+E217)</f>
        <v>648</v>
      </c>
      <c r="G217" s="2">
        <f t="shared" si="40"/>
        <v>828</v>
      </c>
      <c r="H217" s="62">
        <f t="shared" si="37"/>
        <v>0.21739130434782608</v>
      </c>
    </row>
    <row r="218" spans="1:8" x14ac:dyDescent="0.2">
      <c r="A218" s="42">
        <v>7</v>
      </c>
      <c r="B218" s="43">
        <v>192</v>
      </c>
      <c r="C218" s="121" t="s">
        <v>567</v>
      </c>
      <c r="D218" s="61">
        <v>241</v>
      </c>
      <c r="E218" s="2">
        <v>41</v>
      </c>
      <c r="F218" s="2">
        <f>490-(D218+E218)</f>
        <v>208</v>
      </c>
      <c r="G218" s="2">
        <f t="shared" si="40"/>
        <v>490</v>
      </c>
      <c r="H218" s="62">
        <f t="shared" si="37"/>
        <v>0.57551020408163267</v>
      </c>
    </row>
    <row r="219" spans="1:8" x14ac:dyDescent="0.2">
      <c r="A219" s="42">
        <v>7</v>
      </c>
      <c r="B219" s="43">
        <v>193</v>
      </c>
      <c r="C219" s="121" t="s">
        <v>566</v>
      </c>
      <c r="D219" s="61">
        <v>294</v>
      </c>
      <c r="E219" s="2">
        <v>44</v>
      </c>
      <c r="F219" s="2">
        <f>471-(D219+E219)</f>
        <v>133</v>
      </c>
      <c r="G219" s="2">
        <f t="shared" ref="G219:G250" si="43">SUM(D219:F219)</f>
        <v>471</v>
      </c>
      <c r="H219" s="62">
        <f t="shared" si="37"/>
        <v>0.71762208067940547</v>
      </c>
    </row>
    <row r="220" spans="1:8" x14ac:dyDescent="0.2">
      <c r="A220" s="42">
        <v>7</v>
      </c>
      <c r="B220" s="43">
        <v>194</v>
      </c>
      <c r="C220" s="98" t="s">
        <v>411</v>
      </c>
      <c r="D220" s="61">
        <v>53</v>
      </c>
      <c r="E220" s="2">
        <v>28</v>
      </c>
      <c r="F220" s="2">
        <f>473-(D220+E220)</f>
        <v>392</v>
      </c>
      <c r="G220" s="2">
        <f t="shared" si="43"/>
        <v>473</v>
      </c>
      <c r="H220" s="62">
        <f t="shared" ref="H220:H245" si="44">+(D220+E220)/G220</f>
        <v>0.17124735729386892</v>
      </c>
    </row>
    <row r="221" spans="1:8" x14ac:dyDescent="0.2">
      <c r="A221" s="42">
        <v>7</v>
      </c>
      <c r="B221" s="43">
        <v>402</v>
      </c>
      <c r="C221" s="121" t="s">
        <v>522</v>
      </c>
      <c r="D221" s="61">
        <v>227</v>
      </c>
      <c r="E221" s="2">
        <v>78</v>
      </c>
      <c r="F221" s="2">
        <f>1235-(D221+E221)</f>
        <v>930</v>
      </c>
      <c r="G221" s="2">
        <f t="shared" si="43"/>
        <v>1235</v>
      </c>
      <c r="H221" s="62">
        <f t="shared" si="44"/>
        <v>0.24696356275303644</v>
      </c>
    </row>
    <row r="222" spans="1:8" x14ac:dyDescent="0.2">
      <c r="A222" s="42">
        <v>7</v>
      </c>
      <c r="B222" s="43">
        <v>404</v>
      </c>
      <c r="C222" s="98" t="s">
        <v>506</v>
      </c>
      <c r="D222" s="61">
        <v>115</v>
      </c>
      <c r="E222" s="2">
        <v>45</v>
      </c>
      <c r="F222" s="2">
        <f>597-(D222+E222)</f>
        <v>437</v>
      </c>
      <c r="G222" s="2">
        <f t="shared" si="43"/>
        <v>597</v>
      </c>
      <c r="H222" s="62">
        <f t="shared" si="44"/>
        <v>0.26800670016750416</v>
      </c>
    </row>
    <row r="223" spans="1:8" x14ac:dyDescent="0.2">
      <c r="A223" s="42">
        <v>7</v>
      </c>
      <c r="B223" s="43">
        <v>406</v>
      </c>
      <c r="C223" s="98" t="s">
        <v>509</v>
      </c>
      <c r="D223" s="61">
        <v>77</v>
      </c>
      <c r="E223" s="2">
        <v>55</v>
      </c>
      <c r="F223" s="2">
        <f>954-(D223+E223)</f>
        <v>822</v>
      </c>
      <c r="G223" s="2">
        <f t="shared" si="43"/>
        <v>954</v>
      </c>
      <c r="H223" s="62">
        <f t="shared" si="44"/>
        <v>0.13836477987421383</v>
      </c>
    </row>
    <row r="224" spans="1:8" x14ac:dyDescent="0.2">
      <c r="A224" s="42">
        <v>7</v>
      </c>
      <c r="B224" s="43">
        <v>408</v>
      </c>
      <c r="C224" s="98" t="s">
        <v>510</v>
      </c>
      <c r="D224" s="61">
        <v>260</v>
      </c>
      <c r="E224" s="2">
        <v>73</v>
      </c>
      <c r="F224" s="2">
        <f>891-(D224+E224)</f>
        <v>558</v>
      </c>
      <c r="G224" s="2">
        <f t="shared" si="43"/>
        <v>891</v>
      </c>
      <c r="H224" s="62">
        <f t="shared" si="44"/>
        <v>0.37373737373737376</v>
      </c>
    </row>
    <row r="225" spans="1:8" x14ac:dyDescent="0.2">
      <c r="A225" s="42">
        <v>7</v>
      </c>
      <c r="B225" s="43">
        <v>409</v>
      </c>
      <c r="C225" s="98" t="s">
        <v>524</v>
      </c>
      <c r="D225" s="61">
        <v>83</v>
      </c>
      <c r="E225" s="2">
        <v>26</v>
      </c>
      <c r="F225" s="2">
        <f>1059-(D225+E225)</f>
        <v>950</v>
      </c>
      <c r="G225" s="2">
        <f t="shared" si="43"/>
        <v>1059</v>
      </c>
      <c r="H225" s="62">
        <f t="shared" si="44"/>
        <v>0.10292728989612843</v>
      </c>
    </row>
    <row r="226" spans="1:8" x14ac:dyDescent="0.2">
      <c r="A226" s="42">
        <v>7</v>
      </c>
      <c r="B226" s="43">
        <v>410</v>
      </c>
      <c r="C226" s="98" t="s">
        <v>534</v>
      </c>
      <c r="D226" s="61">
        <v>129</v>
      </c>
      <c r="E226" s="2">
        <v>63</v>
      </c>
      <c r="F226" s="2">
        <f>1289-(D226+E226)</f>
        <v>1097</v>
      </c>
      <c r="G226" s="2">
        <f t="shared" si="43"/>
        <v>1289</v>
      </c>
      <c r="H226" s="62">
        <f t="shared" si="44"/>
        <v>0.14895267649340574</v>
      </c>
    </row>
    <row r="227" spans="1:8" x14ac:dyDescent="0.2">
      <c r="A227" s="42">
        <v>7</v>
      </c>
      <c r="B227" s="43">
        <v>411</v>
      </c>
      <c r="C227" s="98" t="s">
        <v>542</v>
      </c>
      <c r="D227" s="61">
        <v>143</v>
      </c>
      <c r="E227" s="2">
        <v>55</v>
      </c>
      <c r="F227" s="2">
        <f>805-(D227+E227)</f>
        <v>607</v>
      </c>
      <c r="G227" s="2">
        <f t="shared" si="43"/>
        <v>805</v>
      </c>
      <c r="H227" s="62">
        <f t="shared" si="44"/>
        <v>0.24596273291925466</v>
      </c>
    </row>
    <row r="228" spans="1:8" x14ac:dyDescent="0.2">
      <c r="A228" s="42">
        <v>7</v>
      </c>
      <c r="B228" s="43">
        <v>412</v>
      </c>
      <c r="C228" s="98" t="s">
        <v>546</v>
      </c>
      <c r="D228" s="61">
        <v>464</v>
      </c>
      <c r="E228" s="2">
        <v>140</v>
      </c>
      <c r="F228" s="2">
        <f>987-(D228+E228)</f>
        <v>383</v>
      </c>
      <c r="G228" s="2">
        <f t="shared" si="43"/>
        <v>987</v>
      </c>
      <c r="H228" s="62">
        <f t="shared" si="44"/>
        <v>0.61195542046605877</v>
      </c>
    </row>
    <row r="229" spans="1:8" x14ac:dyDescent="0.2">
      <c r="A229" s="42">
        <v>7</v>
      </c>
      <c r="B229" s="43">
        <v>413</v>
      </c>
      <c r="C229" s="98" t="s">
        <v>544</v>
      </c>
      <c r="D229" s="61">
        <v>85</v>
      </c>
      <c r="E229" s="2">
        <v>33</v>
      </c>
      <c r="F229" s="2">
        <f>619-(D229+E229)</f>
        <v>501</v>
      </c>
      <c r="G229" s="2">
        <f t="shared" si="43"/>
        <v>619</v>
      </c>
      <c r="H229" s="62">
        <f t="shared" si="44"/>
        <v>0.19063004846526657</v>
      </c>
    </row>
    <row r="230" spans="1:8" x14ac:dyDescent="0.2">
      <c r="A230" s="42">
        <v>7</v>
      </c>
      <c r="B230" s="43">
        <v>414</v>
      </c>
      <c r="C230" s="98" t="s">
        <v>547</v>
      </c>
      <c r="D230" s="61">
        <v>245</v>
      </c>
      <c r="E230" s="2">
        <v>88</v>
      </c>
      <c r="F230" s="2">
        <f>975-(D230+E230)</f>
        <v>642</v>
      </c>
      <c r="G230" s="2">
        <f t="shared" si="43"/>
        <v>975</v>
      </c>
      <c r="H230" s="62">
        <f t="shared" si="44"/>
        <v>0.34153846153846151</v>
      </c>
    </row>
    <row r="231" spans="1:8" x14ac:dyDescent="0.2">
      <c r="A231" s="42">
        <v>7</v>
      </c>
      <c r="B231" s="43">
        <v>416</v>
      </c>
      <c r="C231" s="98" t="s">
        <v>555</v>
      </c>
      <c r="D231" s="61">
        <v>166</v>
      </c>
      <c r="E231" s="2">
        <v>50</v>
      </c>
      <c r="F231" s="2">
        <f>931-(D231+E231)</f>
        <v>715</v>
      </c>
      <c r="G231" s="2">
        <f t="shared" si="43"/>
        <v>931</v>
      </c>
      <c r="H231" s="62">
        <f t="shared" si="44"/>
        <v>0.23200859291084855</v>
      </c>
    </row>
    <row r="232" spans="1:8" x14ac:dyDescent="0.2">
      <c r="A232" s="42">
        <v>7</v>
      </c>
      <c r="B232" s="43">
        <v>418</v>
      </c>
      <c r="C232" s="98" t="s">
        <v>559</v>
      </c>
      <c r="D232" s="61">
        <v>241</v>
      </c>
      <c r="E232" s="2">
        <v>101</v>
      </c>
      <c r="F232" s="2">
        <f>925-(D232+E232)</f>
        <v>583</v>
      </c>
      <c r="G232" s="2">
        <f t="shared" si="43"/>
        <v>925</v>
      </c>
      <c r="H232" s="62">
        <f t="shared" si="44"/>
        <v>0.36972972972972973</v>
      </c>
    </row>
    <row r="233" spans="1:8" x14ac:dyDescent="0.2">
      <c r="A233" s="42">
        <v>7</v>
      </c>
      <c r="B233" s="43">
        <v>420</v>
      </c>
      <c r="C233" s="98" t="s">
        <v>565</v>
      </c>
      <c r="D233" s="61">
        <v>159</v>
      </c>
      <c r="E233" s="2">
        <v>94</v>
      </c>
      <c r="F233" s="2">
        <f>1061-(D233+E233)</f>
        <v>808</v>
      </c>
      <c r="G233" s="2">
        <f t="shared" si="43"/>
        <v>1061</v>
      </c>
      <c r="H233" s="62">
        <f t="shared" si="44"/>
        <v>0.23845428840716307</v>
      </c>
    </row>
    <row r="234" spans="1:8" x14ac:dyDescent="0.2">
      <c r="A234" s="42">
        <v>7</v>
      </c>
      <c r="B234" s="43">
        <v>422</v>
      </c>
      <c r="C234" s="98" t="s">
        <v>564</v>
      </c>
      <c r="D234" s="61">
        <v>224</v>
      </c>
      <c r="E234" s="2">
        <v>98</v>
      </c>
      <c r="F234" s="2">
        <f>1181-(D234+E234)</f>
        <v>859</v>
      </c>
      <c r="G234" s="2">
        <f t="shared" si="43"/>
        <v>1181</v>
      </c>
      <c r="H234" s="62">
        <f>+(D234+E234)/G234</f>
        <v>0.27265029635901777</v>
      </c>
    </row>
    <row r="235" spans="1:8" x14ac:dyDescent="0.2">
      <c r="A235" s="42">
        <v>7</v>
      </c>
      <c r="B235" s="43">
        <v>424</v>
      </c>
      <c r="C235" s="98" t="s">
        <v>540</v>
      </c>
      <c r="D235" s="61">
        <v>131</v>
      </c>
      <c r="E235" s="2">
        <v>61</v>
      </c>
      <c r="F235" s="2">
        <f>967-(D235+E235)</f>
        <v>775</v>
      </c>
      <c r="G235" s="2">
        <f t="shared" ref="G235" si="45">SUM(D235:F235)</f>
        <v>967</v>
      </c>
      <c r="H235" s="62">
        <f>+(D235+E235)/G235</f>
        <v>0.19855222337125128</v>
      </c>
    </row>
    <row r="236" spans="1:8" x14ac:dyDescent="0.2">
      <c r="A236" s="42">
        <v>7</v>
      </c>
      <c r="B236" s="43">
        <v>704</v>
      </c>
      <c r="C236" s="98" t="s">
        <v>505</v>
      </c>
      <c r="D236" s="61">
        <v>172</v>
      </c>
      <c r="E236" s="2">
        <v>63</v>
      </c>
      <c r="F236" s="2">
        <f>1394-(D236+E236)</f>
        <v>1159</v>
      </c>
      <c r="G236" s="2">
        <f t="shared" si="43"/>
        <v>1394</v>
      </c>
      <c r="H236" s="62">
        <f t="shared" si="44"/>
        <v>0.16857962697274032</v>
      </c>
    </row>
    <row r="237" spans="1:8" x14ac:dyDescent="0.2">
      <c r="A237" s="42">
        <v>7</v>
      </c>
      <c r="B237" s="43">
        <v>706</v>
      </c>
      <c r="C237" s="98" t="s">
        <v>511</v>
      </c>
      <c r="D237" s="61">
        <v>394</v>
      </c>
      <c r="E237" s="2">
        <v>152</v>
      </c>
      <c r="F237" s="2">
        <f>1533-(D237+E237)</f>
        <v>987</v>
      </c>
      <c r="G237" s="2">
        <f t="shared" si="43"/>
        <v>1533</v>
      </c>
      <c r="H237" s="62">
        <f t="shared" si="44"/>
        <v>0.35616438356164382</v>
      </c>
    </row>
    <row r="238" spans="1:8" x14ac:dyDescent="0.2">
      <c r="A238" s="42">
        <v>7</v>
      </c>
      <c r="B238" s="43">
        <v>708</v>
      </c>
      <c r="C238" s="98" t="s">
        <v>517</v>
      </c>
      <c r="D238" s="61">
        <v>167</v>
      </c>
      <c r="E238" s="2">
        <v>70</v>
      </c>
      <c r="F238" s="2">
        <f>2255-(D238+E238)</f>
        <v>2018</v>
      </c>
      <c r="G238" s="2">
        <f t="shared" si="43"/>
        <v>2255</v>
      </c>
      <c r="H238" s="62">
        <f t="shared" si="44"/>
        <v>0.10509977827050998</v>
      </c>
    </row>
    <row r="239" spans="1:8" x14ac:dyDescent="0.2">
      <c r="A239" s="42">
        <v>7</v>
      </c>
      <c r="B239" s="43">
        <v>710</v>
      </c>
      <c r="C239" s="98" t="s">
        <v>539</v>
      </c>
      <c r="D239" s="61">
        <v>315</v>
      </c>
      <c r="E239" s="2">
        <v>104</v>
      </c>
      <c r="F239" s="2">
        <f>1681-(D239+E239)</f>
        <v>1262</v>
      </c>
      <c r="G239" s="2">
        <f t="shared" si="43"/>
        <v>1681</v>
      </c>
      <c r="H239" s="62">
        <f t="shared" si="44"/>
        <v>0.24925639500297442</v>
      </c>
    </row>
    <row r="240" spans="1:8" x14ac:dyDescent="0.2">
      <c r="A240" s="42">
        <v>7</v>
      </c>
      <c r="B240" s="43">
        <v>711</v>
      </c>
      <c r="C240" s="98" t="s">
        <v>548</v>
      </c>
      <c r="D240" s="61">
        <v>338</v>
      </c>
      <c r="E240" s="2">
        <v>115</v>
      </c>
      <c r="F240" s="2">
        <f>1792-(D240+E240)</f>
        <v>1339</v>
      </c>
      <c r="G240" s="2">
        <f t="shared" si="43"/>
        <v>1792</v>
      </c>
      <c r="H240" s="62">
        <f t="shared" si="44"/>
        <v>0.25279017857142855</v>
      </c>
    </row>
    <row r="241" spans="1:17" x14ac:dyDescent="0.2">
      <c r="A241" s="42">
        <v>7</v>
      </c>
      <c r="B241" s="43">
        <v>712</v>
      </c>
      <c r="C241" s="98" t="s">
        <v>562</v>
      </c>
      <c r="D241" s="61">
        <v>174</v>
      </c>
      <c r="E241" s="2">
        <v>71</v>
      </c>
      <c r="F241" s="2">
        <f>1638-(D241+E241)</f>
        <v>1393</v>
      </c>
      <c r="G241" s="2">
        <f t="shared" si="43"/>
        <v>1638</v>
      </c>
      <c r="H241" s="62">
        <f t="shared" si="44"/>
        <v>0.14957264957264957</v>
      </c>
    </row>
    <row r="242" spans="1:17" x14ac:dyDescent="0.2">
      <c r="A242" s="42">
        <v>7</v>
      </c>
      <c r="B242" s="43">
        <v>714</v>
      </c>
      <c r="C242" s="98" t="s">
        <v>563</v>
      </c>
      <c r="D242" s="61">
        <v>200</v>
      </c>
      <c r="E242" s="2">
        <v>60</v>
      </c>
      <c r="F242" s="2">
        <f>1295-(D242+E242)</f>
        <v>1035</v>
      </c>
      <c r="G242" s="2">
        <f t="shared" si="43"/>
        <v>1295</v>
      </c>
      <c r="H242" s="62">
        <f t="shared" si="44"/>
        <v>0.20077220077220076</v>
      </c>
    </row>
    <row r="243" spans="1:17" x14ac:dyDescent="0.2">
      <c r="A243" s="42">
        <v>7</v>
      </c>
      <c r="B243" s="43">
        <v>716</v>
      </c>
      <c r="C243" s="98" t="s">
        <v>561</v>
      </c>
      <c r="D243" s="61">
        <v>275</v>
      </c>
      <c r="E243" s="2">
        <v>134</v>
      </c>
      <c r="F243" s="2">
        <f>1894-(D243+E243)</f>
        <v>1485</v>
      </c>
      <c r="G243" s="2">
        <f>SUM(D243:F243)</f>
        <v>1894</v>
      </c>
      <c r="H243" s="62">
        <f>+(D243+E243)/G243</f>
        <v>0.21594508975712778</v>
      </c>
    </row>
    <row r="244" spans="1:17" x14ac:dyDescent="0.2">
      <c r="A244" s="42">
        <v>7</v>
      </c>
      <c r="B244" s="43">
        <v>730</v>
      </c>
      <c r="C244" s="44" t="s">
        <v>46</v>
      </c>
      <c r="D244" s="61">
        <v>67</v>
      </c>
      <c r="E244" s="2">
        <v>18</v>
      </c>
      <c r="F244" s="2">
        <f>207-(D244+E244)</f>
        <v>122</v>
      </c>
      <c r="G244" s="2">
        <f t="shared" si="43"/>
        <v>207</v>
      </c>
      <c r="H244" s="62">
        <f t="shared" si="44"/>
        <v>0.41062801932367149</v>
      </c>
    </row>
    <row r="245" spans="1:17" x14ac:dyDescent="0.2">
      <c r="A245" s="42">
        <v>7</v>
      </c>
      <c r="B245" s="43">
        <v>733</v>
      </c>
      <c r="C245" s="44" t="s">
        <v>47</v>
      </c>
      <c r="D245" s="61">
        <v>6</v>
      </c>
      <c r="E245" s="2">
        <v>1</v>
      </c>
      <c r="F245" s="2">
        <f>14-(D245+E245)</f>
        <v>7</v>
      </c>
      <c r="G245" s="2">
        <f t="shared" si="43"/>
        <v>14</v>
      </c>
      <c r="H245" s="62">
        <f t="shared" si="44"/>
        <v>0.5</v>
      </c>
    </row>
    <row r="246" spans="1:17" x14ac:dyDescent="0.2">
      <c r="A246" s="42">
        <v>7</v>
      </c>
      <c r="B246" s="43">
        <v>735</v>
      </c>
      <c r="C246" s="44" t="s">
        <v>208</v>
      </c>
      <c r="D246" s="61">
        <v>55</v>
      </c>
      <c r="E246" s="2">
        <v>4</v>
      </c>
      <c r="F246" s="2">
        <f>116-(D246+E246)</f>
        <v>57</v>
      </c>
      <c r="G246" s="2">
        <f t="shared" si="43"/>
        <v>116</v>
      </c>
      <c r="H246" s="62">
        <f>+(D246+E246)/G246</f>
        <v>0.50862068965517238</v>
      </c>
    </row>
    <row r="247" spans="1:17" x14ac:dyDescent="0.2">
      <c r="A247" s="42">
        <v>7</v>
      </c>
      <c r="B247" s="43">
        <v>795</v>
      </c>
      <c r="C247" s="98" t="s">
        <v>360</v>
      </c>
      <c r="D247" s="61">
        <v>49</v>
      </c>
      <c r="E247" s="2">
        <v>15</v>
      </c>
      <c r="F247" s="2">
        <f>244-(D247+E247)</f>
        <v>180</v>
      </c>
      <c r="G247" s="2">
        <f>SUM(D247:F247)</f>
        <v>244</v>
      </c>
      <c r="H247" s="62">
        <f>+(D247+E247)/G247</f>
        <v>0.26229508196721313</v>
      </c>
    </row>
    <row r="248" spans="1:17" x14ac:dyDescent="0.2">
      <c r="A248" s="42">
        <v>7</v>
      </c>
      <c r="B248" s="43">
        <v>798</v>
      </c>
      <c r="C248" s="44" t="s">
        <v>233</v>
      </c>
      <c r="D248" s="61">
        <v>148</v>
      </c>
      <c r="E248" s="2">
        <v>58</v>
      </c>
      <c r="F248" s="2">
        <f>735-(D248+E248)</f>
        <v>529</v>
      </c>
      <c r="G248" s="2">
        <f>SUM(D248:F248)</f>
        <v>735</v>
      </c>
      <c r="H248" s="62">
        <f>+(D248+E248)/G248</f>
        <v>0.28027210884353743</v>
      </c>
    </row>
    <row r="249" spans="1:17" ht="13.5" thickBot="1" x14ac:dyDescent="0.25">
      <c r="A249" s="42">
        <v>7</v>
      </c>
      <c r="B249" s="43">
        <v>799</v>
      </c>
      <c r="C249" s="44" t="s">
        <v>238</v>
      </c>
      <c r="D249" s="61">
        <v>49</v>
      </c>
      <c r="E249" s="2">
        <v>21</v>
      </c>
      <c r="F249" s="2">
        <f>393-(D249+E249)</f>
        <v>323</v>
      </c>
      <c r="G249" s="2">
        <f t="shared" si="43"/>
        <v>393</v>
      </c>
      <c r="H249" s="62">
        <f>+(D249+E249)/G249</f>
        <v>0.17811704834605599</v>
      </c>
    </row>
    <row r="250" spans="1:17" ht="13.5" thickBot="1" x14ac:dyDescent="0.25">
      <c r="A250" s="46"/>
      <c r="B250" s="47">
        <f>COUNTA(B162:B249)</f>
        <v>88</v>
      </c>
      <c r="C250" s="48" t="s">
        <v>20</v>
      </c>
      <c r="D250" s="4">
        <f>SUM(D162:D249)</f>
        <v>12841</v>
      </c>
      <c r="E250" s="3">
        <f>SUM(E162:E249)</f>
        <v>4835</v>
      </c>
      <c r="F250" s="50">
        <f>SUM(F162:F249)</f>
        <v>50603</v>
      </c>
      <c r="G250" s="3">
        <f t="shared" si="43"/>
        <v>68279</v>
      </c>
      <c r="H250" s="49">
        <f>+(D250+E250)/G250</f>
        <v>0.2588790111161558</v>
      </c>
    </row>
    <row r="251" spans="1:17" x14ac:dyDescent="0.2">
      <c r="A251" s="51"/>
      <c r="B251" s="52"/>
      <c r="C251" s="53"/>
      <c r="D251" s="63"/>
      <c r="E251" s="64"/>
      <c r="F251" s="65"/>
      <c r="G251" s="55"/>
      <c r="H251" s="56"/>
      <c r="I251" s="57"/>
      <c r="J251" s="57"/>
      <c r="K251" s="57"/>
      <c r="L251" s="57"/>
      <c r="M251" s="57"/>
      <c r="N251" s="57"/>
      <c r="O251" s="57"/>
      <c r="P251" s="57"/>
      <c r="Q251" s="57"/>
    </row>
    <row r="252" spans="1:17" x14ac:dyDescent="0.2">
      <c r="A252" s="51"/>
      <c r="B252" s="52"/>
      <c r="C252" s="58" t="s">
        <v>48</v>
      </c>
      <c r="D252" s="63"/>
      <c r="E252" s="64"/>
      <c r="F252" s="65"/>
      <c r="G252" s="55"/>
      <c r="H252" s="56"/>
    </row>
    <row r="253" spans="1:17" x14ac:dyDescent="0.2">
      <c r="A253" s="42">
        <v>8</v>
      </c>
      <c r="B253" s="43">
        <v>104</v>
      </c>
      <c r="C253" s="98" t="s">
        <v>576</v>
      </c>
      <c r="D253" s="61">
        <v>66</v>
      </c>
      <c r="E253" s="2">
        <v>32</v>
      </c>
      <c r="F253" s="2">
        <f>350-(D253+E253)</f>
        <v>252</v>
      </c>
      <c r="G253" s="2">
        <f>SUM(D253:F253)</f>
        <v>350</v>
      </c>
      <c r="H253" s="45">
        <f t="shared" ref="H253:H266" si="46">+(D253+E253)/G253</f>
        <v>0.28000000000000003</v>
      </c>
    </row>
    <row r="254" spans="1:17" x14ac:dyDescent="0.2">
      <c r="A254" s="42">
        <v>8</v>
      </c>
      <c r="B254" s="43">
        <v>108</v>
      </c>
      <c r="C254" s="98" t="s">
        <v>578</v>
      </c>
      <c r="D254" s="61">
        <v>117</v>
      </c>
      <c r="E254" s="2">
        <v>55</v>
      </c>
      <c r="F254" s="2">
        <f>370-(D254+E254)</f>
        <v>198</v>
      </c>
      <c r="G254" s="2">
        <f t="shared" ref="G254:G266" si="47">SUM(D254:F254)</f>
        <v>370</v>
      </c>
      <c r="H254" s="45">
        <f t="shared" si="46"/>
        <v>0.46486486486486489</v>
      </c>
    </row>
    <row r="255" spans="1:17" x14ac:dyDescent="0.2">
      <c r="A255" s="42">
        <v>8</v>
      </c>
      <c r="B255" s="43">
        <v>110</v>
      </c>
      <c r="C255" s="98" t="s">
        <v>579</v>
      </c>
      <c r="D255" s="61">
        <v>205</v>
      </c>
      <c r="E255" s="2">
        <v>81</v>
      </c>
      <c r="F255" s="2">
        <f>774-(D255+E255)</f>
        <v>488</v>
      </c>
      <c r="G255" s="2">
        <f t="shared" si="47"/>
        <v>774</v>
      </c>
      <c r="H255" s="45">
        <f t="shared" si="46"/>
        <v>0.36950904392764861</v>
      </c>
    </row>
    <row r="256" spans="1:17" x14ac:dyDescent="0.2">
      <c r="A256" s="42">
        <v>8</v>
      </c>
      <c r="B256" s="43">
        <v>112</v>
      </c>
      <c r="C256" s="98" t="s">
        <v>580</v>
      </c>
      <c r="D256" s="61">
        <v>56</v>
      </c>
      <c r="E256" s="2">
        <v>6</v>
      </c>
      <c r="F256" s="2">
        <f>134-(D256+E256)</f>
        <v>72</v>
      </c>
      <c r="G256" s="2">
        <f t="shared" si="47"/>
        <v>134</v>
      </c>
      <c r="H256" s="45">
        <f t="shared" si="46"/>
        <v>0.46268656716417911</v>
      </c>
    </row>
    <row r="257" spans="1:8" x14ac:dyDescent="0.2">
      <c r="A257" s="42">
        <v>8</v>
      </c>
      <c r="B257" s="43">
        <v>116</v>
      </c>
      <c r="C257" s="98" t="s">
        <v>581</v>
      </c>
      <c r="D257" s="61">
        <v>50</v>
      </c>
      <c r="E257" s="2">
        <v>23</v>
      </c>
      <c r="F257" s="2">
        <f>168-(D257+E257)</f>
        <v>95</v>
      </c>
      <c r="G257" s="2">
        <f t="shared" si="47"/>
        <v>168</v>
      </c>
      <c r="H257" s="45">
        <f t="shared" si="46"/>
        <v>0.43452380952380953</v>
      </c>
    </row>
    <row r="258" spans="1:8" x14ac:dyDescent="0.2">
      <c r="A258" s="42">
        <v>8</v>
      </c>
      <c r="B258" s="43">
        <v>124</v>
      </c>
      <c r="C258" s="98" t="s">
        <v>582</v>
      </c>
      <c r="D258" s="61">
        <v>19</v>
      </c>
      <c r="E258" s="2">
        <v>21</v>
      </c>
      <c r="F258" s="2">
        <f>88-(D258+E258)</f>
        <v>48</v>
      </c>
      <c r="G258" s="2">
        <f t="shared" si="47"/>
        <v>88</v>
      </c>
      <c r="H258" s="45">
        <f>+(D258+E258)/G258</f>
        <v>0.45454545454545453</v>
      </c>
    </row>
    <row r="259" spans="1:8" x14ac:dyDescent="0.2">
      <c r="A259" s="42">
        <v>8</v>
      </c>
      <c r="B259" s="43">
        <v>304</v>
      </c>
      <c r="C259" s="44" t="s">
        <v>49</v>
      </c>
      <c r="D259" s="61">
        <v>152</v>
      </c>
      <c r="E259" s="2">
        <v>70</v>
      </c>
      <c r="F259" s="2">
        <f>596-(D259+E259)</f>
        <v>374</v>
      </c>
      <c r="G259" s="2">
        <f t="shared" si="47"/>
        <v>596</v>
      </c>
      <c r="H259" s="45">
        <f t="shared" si="46"/>
        <v>0.37248322147651008</v>
      </c>
    </row>
    <row r="260" spans="1:8" x14ac:dyDescent="0.2">
      <c r="A260" s="42">
        <v>8</v>
      </c>
      <c r="B260" s="43">
        <v>404</v>
      </c>
      <c r="C260" s="44" t="s">
        <v>50</v>
      </c>
      <c r="D260" s="61">
        <v>116</v>
      </c>
      <c r="E260" s="2">
        <v>44</v>
      </c>
      <c r="F260" s="2">
        <f>403-(D260+E260)</f>
        <v>243</v>
      </c>
      <c r="G260" s="2">
        <f t="shared" si="47"/>
        <v>403</v>
      </c>
      <c r="H260" s="45">
        <f t="shared" si="46"/>
        <v>0.3970223325062035</v>
      </c>
    </row>
    <row r="261" spans="1:8" x14ac:dyDescent="0.2">
      <c r="A261" s="42">
        <v>8</v>
      </c>
      <c r="B261" s="43">
        <v>704</v>
      </c>
      <c r="C261" s="44" t="s">
        <v>51</v>
      </c>
      <c r="D261" s="61">
        <v>22</v>
      </c>
      <c r="E261" s="2">
        <v>11</v>
      </c>
      <c r="F261" s="2">
        <f>227-(D261+E261)</f>
        <v>194</v>
      </c>
      <c r="G261" s="2">
        <f t="shared" si="47"/>
        <v>227</v>
      </c>
      <c r="H261" s="45">
        <f t="shared" si="46"/>
        <v>0.14537444933920704</v>
      </c>
    </row>
    <row r="262" spans="1:8" x14ac:dyDescent="0.2">
      <c r="A262" s="42">
        <v>8</v>
      </c>
      <c r="B262" s="43">
        <v>708</v>
      </c>
      <c r="C262" s="44" t="s">
        <v>52</v>
      </c>
      <c r="D262" s="61">
        <v>72</v>
      </c>
      <c r="E262" s="2">
        <v>42</v>
      </c>
      <c r="F262" s="2">
        <f>314-(D262+E262)</f>
        <v>200</v>
      </c>
      <c r="G262" s="2">
        <f t="shared" si="47"/>
        <v>314</v>
      </c>
      <c r="H262" s="45">
        <f t="shared" si="46"/>
        <v>0.36305732484076431</v>
      </c>
    </row>
    <row r="263" spans="1:8" x14ac:dyDescent="0.2">
      <c r="A263" s="42">
        <v>8</v>
      </c>
      <c r="B263" s="43">
        <v>712</v>
      </c>
      <c r="C263" s="44" t="s">
        <v>53</v>
      </c>
      <c r="D263" s="61">
        <v>19</v>
      </c>
      <c r="E263" s="2">
        <v>16</v>
      </c>
      <c r="F263" s="2">
        <f>78-(D263+E263)</f>
        <v>43</v>
      </c>
      <c r="G263" s="2">
        <f t="shared" si="47"/>
        <v>78</v>
      </c>
      <c r="H263" s="45">
        <f t="shared" si="46"/>
        <v>0.44871794871794873</v>
      </c>
    </row>
    <row r="264" spans="1:8" x14ac:dyDescent="0.2">
      <c r="A264" s="42">
        <v>8</v>
      </c>
      <c r="B264" s="43">
        <v>714</v>
      </c>
      <c r="C264" s="44" t="s">
        <v>54</v>
      </c>
      <c r="D264" s="61">
        <v>168</v>
      </c>
      <c r="E264" s="2">
        <v>55</v>
      </c>
      <c r="F264" s="2">
        <f>840-(D264+E264)</f>
        <v>617</v>
      </c>
      <c r="G264" s="2">
        <f t="shared" si="47"/>
        <v>840</v>
      </c>
      <c r="H264" s="45">
        <f t="shared" si="46"/>
        <v>0.26547619047619048</v>
      </c>
    </row>
    <row r="265" spans="1:8" x14ac:dyDescent="0.2">
      <c r="A265" s="42">
        <v>8</v>
      </c>
      <c r="B265" s="43">
        <v>802</v>
      </c>
      <c r="C265" s="98" t="s">
        <v>577</v>
      </c>
      <c r="D265" s="61">
        <v>47</v>
      </c>
      <c r="E265" s="2">
        <v>11</v>
      </c>
      <c r="F265" s="2">
        <f>153-(D265+E265)</f>
        <v>95</v>
      </c>
      <c r="G265" s="2">
        <f t="shared" si="47"/>
        <v>153</v>
      </c>
      <c r="H265" s="45">
        <f t="shared" si="46"/>
        <v>0.37908496732026142</v>
      </c>
    </row>
    <row r="266" spans="1:8" ht="13.5" thickBot="1" x14ac:dyDescent="0.25">
      <c r="A266" s="51">
        <v>8</v>
      </c>
      <c r="B266" s="52">
        <v>804</v>
      </c>
      <c r="C266" s="53" t="s">
        <v>55</v>
      </c>
      <c r="D266" s="61">
        <v>8</v>
      </c>
      <c r="E266" s="2">
        <v>2</v>
      </c>
      <c r="F266" s="2">
        <f>23-(D266+E266)</f>
        <v>13</v>
      </c>
      <c r="G266" s="2">
        <f t="shared" si="47"/>
        <v>23</v>
      </c>
      <c r="H266" s="56">
        <f t="shared" si="46"/>
        <v>0.43478260869565216</v>
      </c>
    </row>
    <row r="267" spans="1:8" ht="13.5" thickBot="1" x14ac:dyDescent="0.25">
      <c r="A267" s="46"/>
      <c r="B267" s="47">
        <f>COUNTA(B253:B266)</f>
        <v>14</v>
      </c>
      <c r="C267" s="48" t="s">
        <v>20</v>
      </c>
      <c r="D267" s="4">
        <f>SUM(D253:D266)</f>
        <v>1117</v>
      </c>
      <c r="E267" s="3">
        <f>SUM(E253:E266)</f>
        <v>469</v>
      </c>
      <c r="F267" s="50">
        <f>SUM(F253:F266)</f>
        <v>2932</v>
      </c>
      <c r="G267" s="3">
        <f>SUM(D267:F267)</f>
        <v>4518</v>
      </c>
      <c r="H267" s="49">
        <f>+(D267+E267)/G267</f>
        <v>0.35104028331119963</v>
      </c>
    </row>
    <row r="268" spans="1:8" x14ac:dyDescent="0.2">
      <c r="A268" s="51"/>
      <c r="B268" s="52"/>
      <c r="C268" s="53"/>
      <c r="D268" s="5"/>
      <c r="E268" s="55"/>
      <c r="F268" s="54"/>
      <c r="G268" s="55"/>
      <c r="H268" s="56"/>
    </row>
    <row r="269" spans="1:8" x14ac:dyDescent="0.2">
      <c r="A269" s="51"/>
      <c r="B269" s="52"/>
      <c r="C269" s="58" t="s">
        <v>56</v>
      </c>
      <c r="D269" s="5"/>
      <c r="E269" s="55"/>
      <c r="F269" s="54"/>
      <c r="G269" s="55"/>
      <c r="H269" s="56"/>
    </row>
    <row r="270" spans="1:8" x14ac:dyDescent="0.2">
      <c r="A270" s="42">
        <v>9</v>
      </c>
      <c r="B270" s="43">
        <v>104</v>
      </c>
      <c r="C270" s="98" t="s">
        <v>585</v>
      </c>
      <c r="D270" s="61">
        <v>70</v>
      </c>
      <c r="E270" s="2">
        <v>21</v>
      </c>
      <c r="F270" s="2">
        <f>209-(D270+E270)</f>
        <v>118</v>
      </c>
      <c r="G270" s="2">
        <f t="shared" ref="G270:G279" si="48">SUM(D270:F270)</f>
        <v>209</v>
      </c>
      <c r="H270" s="45">
        <f t="shared" ref="H270:H279" si="49">+(D270+E270)/G270</f>
        <v>0.4354066985645933</v>
      </c>
    </row>
    <row r="271" spans="1:8" x14ac:dyDescent="0.2">
      <c r="A271" s="42">
        <v>9</v>
      </c>
      <c r="B271" s="43">
        <v>108</v>
      </c>
      <c r="C271" s="98" t="s">
        <v>586</v>
      </c>
      <c r="D271" s="61">
        <v>43</v>
      </c>
      <c r="E271" s="2">
        <v>36</v>
      </c>
      <c r="F271" s="2">
        <f>211-(D271+E271)</f>
        <v>132</v>
      </c>
      <c r="G271" s="2">
        <f t="shared" si="48"/>
        <v>211</v>
      </c>
      <c r="H271" s="45">
        <f t="shared" si="49"/>
        <v>0.37440758293838861</v>
      </c>
    </row>
    <row r="272" spans="1:8" x14ac:dyDescent="0.2">
      <c r="A272" s="42">
        <v>9</v>
      </c>
      <c r="B272" s="43">
        <v>120</v>
      </c>
      <c r="C272" s="98" t="s">
        <v>587</v>
      </c>
      <c r="D272" s="61">
        <v>80</v>
      </c>
      <c r="E272" s="2">
        <v>71</v>
      </c>
      <c r="F272" s="2">
        <f>313-(D272+E272)</f>
        <v>162</v>
      </c>
      <c r="G272" s="2">
        <f t="shared" si="48"/>
        <v>313</v>
      </c>
      <c r="H272" s="45">
        <f t="shared" si="49"/>
        <v>0.48242811501597443</v>
      </c>
    </row>
    <row r="273" spans="1:8" x14ac:dyDescent="0.2">
      <c r="A273" s="42">
        <v>9</v>
      </c>
      <c r="B273" s="43">
        <v>124</v>
      </c>
      <c r="C273" s="98" t="s">
        <v>583</v>
      </c>
      <c r="D273" s="61">
        <v>83</v>
      </c>
      <c r="E273" s="2">
        <v>16</v>
      </c>
      <c r="F273" s="2">
        <f>140-(D273+E273)</f>
        <v>41</v>
      </c>
      <c r="G273" s="2">
        <f t="shared" si="48"/>
        <v>140</v>
      </c>
      <c r="H273" s="45">
        <f t="shared" si="49"/>
        <v>0.70714285714285718</v>
      </c>
    </row>
    <row r="274" spans="1:8" x14ac:dyDescent="0.2">
      <c r="A274" s="42">
        <v>9</v>
      </c>
      <c r="B274" s="43">
        <v>128</v>
      </c>
      <c r="C274" s="98" t="s">
        <v>588</v>
      </c>
      <c r="D274" s="61">
        <v>144</v>
      </c>
      <c r="E274" s="2">
        <v>37</v>
      </c>
      <c r="F274" s="2">
        <f>350-(D274+E274)</f>
        <v>169</v>
      </c>
      <c r="G274" s="2">
        <f t="shared" si="48"/>
        <v>350</v>
      </c>
      <c r="H274" s="45">
        <f t="shared" si="49"/>
        <v>0.51714285714285713</v>
      </c>
    </row>
    <row r="275" spans="1:8" x14ac:dyDescent="0.2">
      <c r="A275" s="42">
        <v>9</v>
      </c>
      <c r="B275" s="43">
        <v>132</v>
      </c>
      <c r="C275" s="98" t="s">
        <v>590</v>
      </c>
      <c r="D275" s="61">
        <v>42</v>
      </c>
      <c r="E275" s="2">
        <v>24</v>
      </c>
      <c r="F275" s="2">
        <f>185-(D275+E275)</f>
        <v>119</v>
      </c>
      <c r="G275" s="2">
        <f t="shared" si="48"/>
        <v>185</v>
      </c>
      <c r="H275" s="45">
        <f t="shared" si="49"/>
        <v>0.35675675675675678</v>
      </c>
    </row>
    <row r="276" spans="1:8" x14ac:dyDescent="0.2">
      <c r="A276" s="42">
        <v>9</v>
      </c>
      <c r="B276" s="43">
        <v>404</v>
      </c>
      <c r="C276" s="98" t="s">
        <v>584</v>
      </c>
      <c r="D276" s="61">
        <v>67</v>
      </c>
      <c r="E276" s="2">
        <v>30</v>
      </c>
      <c r="F276" s="2">
        <f>210-(D276+E276)</f>
        <v>113</v>
      </c>
      <c r="G276" s="2">
        <f t="shared" si="48"/>
        <v>210</v>
      </c>
      <c r="H276" s="45">
        <f t="shared" si="49"/>
        <v>0.46190476190476193</v>
      </c>
    </row>
    <row r="277" spans="1:8" x14ac:dyDescent="0.2">
      <c r="A277" s="42">
        <v>9</v>
      </c>
      <c r="B277" s="43">
        <v>408</v>
      </c>
      <c r="C277" s="98" t="s">
        <v>589</v>
      </c>
      <c r="D277" s="61">
        <v>54</v>
      </c>
      <c r="E277" s="2">
        <v>39</v>
      </c>
      <c r="F277" s="2">
        <f>248-(D277+E277)</f>
        <v>155</v>
      </c>
      <c r="G277" s="2">
        <f t="shared" si="48"/>
        <v>248</v>
      </c>
      <c r="H277" s="45">
        <f t="shared" si="49"/>
        <v>0.375</v>
      </c>
    </row>
    <row r="278" spans="1:8" x14ac:dyDescent="0.2">
      <c r="A278" s="42">
        <v>9</v>
      </c>
      <c r="B278" s="43">
        <v>704</v>
      </c>
      <c r="C278" s="44" t="s">
        <v>57</v>
      </c>
      <c r="D278" s="61">
        <v>54</v>
      </c>
      <c r="E278" s="2">
        <v>15</v>
      </c>
      <c r="F278" s="2">
        <f>128-(D278+E278)</f>
        <v>59</v>
      </c>
      <c r="G278" s="2">
        <f t="shared" si="48"/>
        <v>128</v>
      </c>
      <c r="H278" s="45">
        <f t="shared" si="49"/>
        <v>0.5390625</v>
      </c>
    </row>
    <row r="279" spans="1:8" ht="13.5" thickBot="1" x14ac:dyDescent="0.25">
      <c r="A279" s="51">
        <v>9</v>
      </c>
      <c r="B279" s="52">
        <v>706</v>
      </c>
      <c r="C279" s="53" t="s">
        <v>58</v>
      </c>
      <c r="D279" s="61">
        <v>87</v>
      </c>
      <c r="E279" s="2">
        <v>47</v>
      </c>
      <c r="F279" s="2">
        <f>439-(D279+E279)</f>
        <v>305</v>
      </c>
      <c r="G279" s="2">
        <f t="shared" si="48"/>
        <v>439</v>
      </c>
      <c r="H279" s="56">
        <f t="shared" si="49"/>
        <v>0.30523917995444189</v>
      </c>
    </row>
    <row r="280" spans="1:8" ht="13.5" thickBot="1" x14ac:dyDescent="0.25">
      <c r="A280" s="46"/>
      <c r="B280" s="47">
        <f>COUNTA(B270:B279)</f>
        <v>10</v>
      </c>
      <c r="C280" s="48" t="s">
        <v>20</v>
      </c>
      <c r="D280" s="4">
        <f>SUM(D270:D279)</f>
        <v>724</v>
      </c>
      <c r="E280" s="3">
        <f>SUM(E270:E279)</f>
        <v>336</v>
      </c>
      <c r="F280" s="50">
        <f>SUM(F270:F279)</f>
        <v>1373</v>
      </c>
      <c r="G280" s="3">
        <f>SUM(D280:F280)</f>
        <v>2433</v>
      </c>
      <c r="H280" s="49">
        <f>+(D280+E280)/G280</f>
        <v>0.43567612001644063</v>
      </c>
    </row>
    <row r="281" spans="1:8" x14ac:dyDescent="0.2">
      <c r="A281" s="51"/>
      <c r="B281" s="52"/>
      <c r="C281" s="53"/>
      <c r="D281" s="5"/>
      <c r="E281" s="55"/>
      <c r="F281" s="54"/>
      <c r="G281" s="55"/>
      <c r="H281" s="56"/>
    </row>
    <row r="282" spans="1:8" x14ac:dyDescent="0.2">
      <c r="A282" s="51"/>
      <c r="B282" s="52"/>
      <c r="C282" s="58" t="s">
        <v>59</v>
      </c>
      <c r="D282" s="5"/>
      <c r="E282" s="55"/>
      <c r="F282" s="54"/>
      <c r="G282" s="55"/>
      <c r="H282" s="56"/>
    </row>
    <row r="283" spans="1:8" x14ac:dyDescent="0.2">
      <c r="A283" s="100">
        <v>10</v>
      </c>
      <c r="B283" s="43">
        <v>104</v>
      </c>
      <c r="C283" s="98" t="s">
        <v>591</v>
      </c>
      <c r="D283" s="61">
        <v>12</v>
      </c>
      <c r="E283" s="2">
        <v>1</v>
      </c>
      <c r="F283" s="2">
        <f>17-(D283+E283)</f>
        <v>4</v>
      </c>
      <c r="G283" s="2">
        <f t="shared" ref="G283:G291" si="50">SUM(D283:F283)</f>
        <v>17</v>
      </c>
      <c r="H283" s="45">
        <f t="shared" ref="H283:H291" si="51">+(D283+E283)/G283</f>
        <v>0.76470588235294112</v>
      </c>
    </row>
    <row r="284" spans="1:8" x14ac:dyDescent="0.2">
      <c r="A284" s="42">
        <v>10</v>
      </c>
      <c r="B284" s="43">
        <v>108</v>
      </c>
      <c r="C284" s="98" t="s">
        <v>592</v>
      </c>
      <c r="D284" s="61">
        <v>9</v>
      </c>
      <c r="E284" s="2">
        <v>0</v>
      </c>
      <c r="F284" s="2">
        <f>12-(D284+E284)</f>
        <v>3</v>
      </c>
      <c r="G284" s="2">
        <f t="shared" si="50"/>
        <v>12</v>
      </c>
      <c r="H284" s="45">
        <f t="shared" si="51"/>
        <v>0.75</v>
      </c>
    </row>
    <row r="285" spans="1:8" x14ac:dyDescent="0.2">
      <c r="A285" s="42">
        <v>10</v>
      </c>
      <c r="B285" s="43">
        <v>112</v>
      </c>
      <c r="C285" s="98" t="s">
        <v>595</v>
      </c>
      <c r="D285" s="61">
        <v>71</v>
      </c>
      <c r="E285" s="2">
        <v>19</v>
      </c>
      <c r="F285" s="2">
        <f>185-(D285+E285)</f>
        <v>95</v>
      </c>
      <c r="G285" s="2">
        <f t="shared" si="50"/>
        <v>185</v>
      </c>
      <c r="H285" s="45">
        <f t="shared" si="51"/>
        <v>0.48648648648648651</v>
      </c>
    </row>
    <row r="286" spans="1:8" x14ac:dyDescent="0.2">
      <c r="A286" s="42">
        <v>10</v>
      </c>
      <c r="B286" s="43">
        <v>116</v>
      </c>
      <c r="C286" s="98" t="s">
        <v>593</v>
      </c>
      <c r="D286" s="61">
        <v>14</v>
      </c>
      <c r="E286" s="2">
        <v>5</v>
      </c>
      <c r="F286" s="2">
        <f>77-(D286+E286)</f>
        <v>58</v>
      </c>
      <c r="G286" s="2">
        <f t="shared" si="50"/>
        <v>77</v>
      </c>
      <c r="H286" s="45">
        <f t="shared" si="51"/>
        <v>0.24675324675324675</v>
      </c>
    </row>
    <row r="287" spans="1:8" x14ac:dyDescent="0.2">
      <c r="A287" s="42">
        <v>10</v>
      </c>
      <c r="B287" s="43">
        <v>124</v>
      </c>
      <c r="C287" s="98" t="s">
        <v>594</v>
      </c>
      <c r="D287" s="61">
        <v>78</v>
      </c>
      <c r="E287" s="2">
        <v>43</v>
      </c>
      <c r="F287" s="2">
        <f>281-(D287+E287)</f>
        <v>160</v>
      </c>
      <c r="G287" s="2">
        <f t="shared" si="50"/>
        <v>281</v>
      </c>
      <c r="H287" s="45">
        <f t="shared" si="51"/>
        <v>0.4306049822064057</v>
      </c>
    </row>
    <row r="288" spans="1:8" x14ac:dyDescent="0.2">
      <c r="A288" s="42">
        <v>10</v>
      </c>
      <c r="B288" s="43">
        <v>304</v>
      </c>
      <c r="C288" s="98" t="s">
        <v>356</v>
      </c>
      <c r="D288" s="61">
        <v>27</v>
      </c>
      <c r="E288" s="2">
        <v>15</v>
      </c>
      <c r="F288" s="2">
        <f>82-(D288+E288)</f>
        <v>40</v>
      </c>
      <c r="G288" s="2">
        <f t="shared" si="50"/>
        <v>82</v>
      </c>
      <c r="H288" s="45">
        <f t="shared" si="51"/>
        <v>0.51219512195121952</v>
      </c>
    </row>
    <row r="289" spans="1:8" x14ac:dyDescent="0.2">
      <c r="A289" s="42">
        <v>10</v>
      </c>
      <c r="B289" s="43">
        <v>704</v>
      </c>
      <c r="C289" s="44" t="s">
        <v>209</v>
      </c>
      <c r="D289" s="61">
        <v>45</v>
      </c>
      <c r="E289" s="2">
        <v>12</v>
      </c>
      <c r="F289" s="2">
        <f>123-(D289+E289)</f>
        <v>66</v>
      </c>
      <c r="G289" s="2">
        <f t="shared" si="50"/>
        <v>123</v>
      </c>
      <c r="H289" s="45">
        <f>+(D289+E289)/G289</f>
        <v>0.46341463414634149</v>
      </c>
    </row>
    <row r="290" spans="1:8" x14ac:dyDescent="0.2">
      <c r="A290" s="42">
        <v>10</v>
      </c>
      <c r="B290" s="43">
        <v>708</v>
      </c>
      <c r="C290" s="44" t="s">
        <v>60</v>
      </c>
      <c r="D290" s="61">
        <v>21</v>
      </c>
      <c r="E290" s="2">
        <v>14</v>
      </c>
      <c r="F290" s="2">
        <f>84-(D290+E290)</f>
        <v>49</v>
      </c>
      <c r="G290" s="2">
        <f t="shared" ref="G290" si="52">SUM(D290:F290)</f>
        <v>84</v>
      </c>
      <c r="H290" s="45">
        <f t="shared" ref="H290" si="53">+(D290+E290)/G290</f>
        <v>0.41666666666666669</v>
      </c>
    </row>
    <row r="291" spans="1:8" ht="13.5" thickBot="1" x14ac:dyDescent="0.25">
      <c r="A291" s="51">
        <v>10</v>
      </c>
      <c r="B291" s="52">
        <v>712</v>
      </c>
      <c r="C291" s="117" t="s">
        <v>355</v>
      </c>
      <c r="D291" s="39">
        <v>41</v>
      </c>
      <c r="E291" s="40">
        <v>19</v>
      </c>
      <c r="F291" s="40">
        <f>120-(D291+E291)</f>
        <v>60</v>
      </c>
      <c r="G291" s="40">
        <f t="shared" si="50"/>
        <v>120</v>
      </c>
      <c r="H291" s="56">
        <f t="shared" si="51"/>
        <v>0.5</v>
      </c>
    </row>
    <row r="292" spans="1:8" ht="13.5" thickBot="1" x14ac:dyDescent="0.25">
      <c r="A292" s="46"/>
      <c r="B292" s="47">
        <f>COUNTA(B283:B291)</f>
        <v>9</v>
      </c>
      <c r="C292" s="48" t="s">
        <v>20</v>
      </c>
      <c r="D292" s="4">
        <f>SUM(D283:D291)</f>
        <v>318</v>
      </c>
      <c r="E292" s="3">
        <f>SUM(E283:E291)</f>
        <v>128</v>
      </c>
      <c r="F292" s="50">
        <f>SUM(F283:F291)</f>
        <v>535</v>
      </c>
      <c r="G292" s="3">
        <f>SUM(D292:F292)</f>
        <v>981</v>
      </c>
      <c r="H292" s="49">
        <f>+(D292+E292)/G292</f>
        <v>0.45463812436289502</v>
      </c>
    </row>
    <row r="293" spans="1:8" x14ac:dyDescent="0.2">
      <c r="A293" s="51"/>
      <c r="B293" s="52"/>
      <c r="C293" s="53"/>
      <c r="D293" s="5"/>
      <c r="E293" s="55"/>
      <c r="F293" s="54"/>
      <c r="G293" s="55"/>
      <c r="H293" s="56"/>
    </row>
    <row r="294" spans="1:8" x14ac:dyDescent="0.2">
      <c r="A294" s="51"/>
      <c r="B294" s="52"/>
      <c r="C294" s="58" t="s">
        <v>61</v>
      </c>
      <c r="D294" s="5"/>
      <c r="E294" s="55"/>
      <c r="F294" s="54"/>
      <c r="G294" s="55"/>
      <c r="H294" s="56"/>
    </row>
    <row r="295" spans="1:8" x14ac:dyDescent="0.2">
      <c r="A295" s="42">
        <v>11</v>
      </c>
      <c r="B295" s="43">
        <v>104</v>
      </c>
      <c r="C295" s="98" t="s">
        <v>969</v>
      </c>
      <c r="D295" s="61">
        <v>315</v>
      </c>
      <c r="E295" s="2">
        <v>81</v>
      </c>
      <c r="F295" s="2">
        <f>802-(D295+E295)</f>
        <v>406</v>
      </c>
      <c r="G295" s="2">
        <f t="shared" ref="G295:G298" si="54">SUM(D295:F295)</f>
        <v>802</v>
      </c>
      <c r="H295" s="45">
        <f t="shared" ref="H295:H298" si="55">+(D295+E295)/G295</f>
        <v>0.49376558603491272</v>
      </c>
    </row>
    <row r="296" spans="1:8" x14ac:dyDescent="0.2">
      <c r="A296" s="42">
        <v>11</v>
      </c>
      <c r="B296" s="43">
        <v>404</v>
      </c>
      <c r="C296" s="44" t="s">
        <v>210</v>
      </c>
      <c r="D296" s="61">
        <v>89</v>
      </c>
      <c r="E296" s="2">
        <v>18</v>
      </c>
      <c r="F296" s="2">
        <f>250-(D296+E296)</f>
        <v>143</v>
      </c>
      <c r="G296" s="2">
        <f t="shared" si="54"/>
        <v>250</v>
      </c>
      <c r="H296" s="45">
        <f t="shared" si="55"/>
        <v>0.42799999999999999</v>
      </c>
    </row>
    <row r="297" spans="1:8" ht="13.5" thickBot="1" x14ac:dyDescent="0.25">
      <c r="A297" s="51">
        <v>11</v>
      </c>
      <c r="B297" s="52">
        <v>704</v>
      </c>
      <c r="C297" s="53" t="s">
        <v>62</v>
      </c>
      <c r="D297" s="61">
        <v>139</v>
      </c>
      <c r="E297" s="2">
        <v>45</v>
      </c>
      <c r="F297" s="2">
        <f>470-(D297+E297)</f>
        <v>286</v>
      </c>
      <c r="G297" s="2">
        <f t="shared" si="54"/>
        <v>470</v>
      </c>
      <c r="H297" s="56">
        <f t="shared" si="55"/>
        <v>0.39148936170212767</v>
      </c>
    </row>
    <row r="298" spans="1:8" ht="13.5" thickBot="1" x14ac:dyDescent="0.25">
      <c r="A298" s="46"/>
      <c r="B298" s="47">
        <f>COUNTA(B295:B297)</f>
        <v>3</v>
      </c>
      <c r="C298" s="48" t="s">
        <v>20</v>
      </c>
      <c r="D298" s="4">
        <f>SUM(D295:D297)</f>
        <v>543</v>
      </c>
      <c r="E298" s="3">
        <f>SUM(E295:E297)</f>
        <v>144</v>
      </c>
      <c r="F298" s="50">
        <f>SUM(F295:F297)</f>
        <v>835</v>
      </c>
      <c r="G298" s="3">
        <f t="shared" si="54"/>
        <v>1522</v>
      </c>
      <c r="H298" s="49">
        <f t="shared" si="55"/>
        <v>0.45137976346911957</v>
      </c>
    </row>
    <row r="299" spans="1:8" x14ac:dyDescent="0.2">
      <c r="A299" s="51"/>
      <c r="B299" s="52"/>
      <c r="C299" s="53"/>
      <c r="D299" s="5"/>
      <c r="E299" s="55"/>
      <c r="F299" s="54"/>
      <c r="G299" s="55"/>
      <c r="H299" s="56"/>
    </row>
    <row r="300" spans="1:8" x14ac:dyDescent="0.2">
      <c r="A300" s="51"/>
      <c r="B300" s="52"/>
      <c r="C300" s="58" t="s">
        <v>63</v>
      </c>
      <c r="D300" s="5"/>
      <c r="E300" s="55"/>
      <c r="F300" s="54"/>
      <c r="G300" s="55"/>
      <c r="H300" s="56"/>
    </row>
    <row r="301" spans="1:8" x14ac:dyDescent="0.2">
      <c r="A301" s="42">
        <v>12</v>
      </c>
      <c r="B301" s="43">
        <v>102</v>
      </c>
      <c r="C301" s="98" t="s">
        <v>596</v>
      </c>
      <c r="D301" s="61">
        <v>373</v>
      </c>
      <c r="E301" s="2">
        <v>32</v>
      </c>
      <c r="F301" s="2">
        <f>604-(D301+E301)</f>
        <v>199</v>
      </c>
      <c r="G301" s="2">
        <f t="shared" ref="G301:G363" si="56">SUM(D301:F301)</f>
        <v>604</v>
      </c>
      <c r="H301" s="45">
        <f t="shared" ref="H301:H362" si="57">+(D301+E301)/G301</f>
        <v>0.67052980132450335</v>
      </c>
    </row>
    <row r="302" spans="1:8" x14ac:dyDescent="0.2">
      <c r="A302" s="42">
        <v>12</v>
      </c>
      <c r="B302" s="43">
        <v>103</v>
      </c>
      <c r="C302" s="98" t="s">
        <v>597</v>
      </c>
      <c r="D302" s="61">
        <v>279</v>
      </c>
      <c r="E302" s="2">
        <v>76</v>
      </c>
      <c r="F302" s="2">
        <f>630-(D302+E302)</f>
        <v>275</v>
      </c>
      <c r="G302" s="2">
        <f t="shared" si="56"/>
        <v>630</v>
      </c>
      <c r="H302" s="45">
        <f t="shared" si="57"/>
        <v>0.56349206349206349</v>
      </c>
    </row>
    <row r="303" spans="1:8" x14ac:dyDescent="0.2">
      <c r="A303" s="42">
        <v>12</v>
      </c>
      <c r="B303" s="43">
        <v>104</v>
      </c>
      <c r="C303" s="98" t="s">
        <v>654</v>
      </c>
      <c r="D303" s="61">
        <v>220</v>
      </c>
      <c r="E303" s="2">
        <v>40</v>
      </c>
      <c r="F303" s="2">
        <f>573-(D303+E303)</f>
        <v>313</v>
      </c>
      <c r="G303" s="2">
        <f t="shared" si="56"/>
        <v>573</v>
      </c>
      <c r="H303" s="45">
        <f t="shared" si="57"/>
        <v>0.4537521815008726</v>
      </c>
    </row>
    <row r="304" spans="1:8" x14ac:dyDescent="0.2">
      <c r="A304" s="42">
        <v>12</v>
      </c>
      <c r="B304" s="43">
        <v>105</v>
      </c>
      <c r="C304" s="98" t="s">
        <v>625</v>
      </c>
      <c r="D304" s="61">
        <v>237</v>
      </c>
      <c r="E304" s="2">
        <v>82</v>
      </c>
      <c r="F304" s="2">
        <f>618-(D304+E304)</f>
        <v>299</v>
      </c>
      <c r="G304" s="2">
        <f t="shared" si="56"/>
        <v>618</v>
      </c>
      <c r="H304" s="45">
        <f t="shared" si="57"/>
        <v>0.51618122977346281</v>
      </c>
    </row>
    <row r="305" spans="1:8" x14ac:dyDescent="0.2">
      <c r="A305" s="42">
        <v>12</v>
      </c>
      <c r="B305" s="43">
        <v>106</v>
      </c>
      <c r="C305" s="98" t="s">
        <v>599</v>
      </c>
      <c r="D305" s="61">
        <v>219</v>
      </c>
      <c r="E305" s="2">
        <v>35</v>
      </c>
      <c r="F305" s="2">
        <f>695-(D305+E305)</f>
        <v>441</v>
      </c>
      <c r="G305" s="2">
        <f t="shared" si="56"/>
        <v>695</v>
      </c>
      <c r="H305" s="45">
        <f t="shared" si="57"/>
        <v>0.36546762589928056</v>
      </c>
    </row>
    <row r="306" spans="1:8" x14ac:dyDescent="0.2">
      <c r="A306" s="42">
        <v>12</v>
      </c>
      <c r="B306" s="43">
        <v>107</v>
      </c>
      <c r="C306" s="98" t="s">
        <v>598</v>
      </c>
      <c r="D306" s="61">
        <v>322</v>
      </c>
      <c r="E306" s="2">
        <v>71</v>
      </c>
      <c r="F306" s="2">
        <f>697-(D306+E306)</f>
        <v>304</v>
      </c>
      <c r="G306" s="2">
        <f t="shared" si="56"/>
        <v>697</v>
      </c>
      <c r="H306" s="45">
        <f t="shared" si="57"/>
        <v>0.56384505021520803</v>
      </c>
    </row>
    <row r="307" spans="1:8" x14ac:dyDescent="0.2">
      <c r="A307" s="42">
        <v>12</v>
      </c>
      <c r="B307" s="43">
        <v>110</v>
      </c>
      <c r="C307" s="98" t="s">
        <v>604</v>
      </c>
      <c r="D307" s="61">
        <v>218</v>
      </c>
      <c r="E307" s="2">
        <v>45</v>
      </c>
      <c r="F307" s="2">
        <f>467-(D307+E307)</f>
        <v>204</v>
      </c>
      <c r="G307" s="2">
        <f t="shared" si="56"/>
        <v>467</v>
      </c>
      <c r="H307" s="45">
        <f t="shared" si="57"/>
        <v>0.56316916488222701</v>
      </c>
    </row>
    <row r="308" spans="1:8" x14ac:dyDescent="0.2">
      <c r="A308" s="42">
        <v>12</v>
      </c>
      <c r="B308" s="43">
        <v>111</v>
      </c>
      <c r="C308" s="98" t="s">
        <v>606</v>
      </c>
      <c r="D308" s="61">
        <v>318</v>
      </c>
      <c r="E308" s="2">
        <v>57</v>
      </c>
      <c r="F308" s="2">
        <f>744-(D308+E308)</f>
        <v>369</v>
      </c>
      <c r="G308" s="2">
        <f t="shared" si="56"/>
        <v>744</v>
      </c>
      <c r="H308" s="45">
        <f t="shared" si="57"/>
        <v>0.50403225806451613</v>
      </c>
    </row>
    <row r="309" spans="1:8" x14ac:dyDescent="0.2">
      <c r="A309" s="42">
        <v>12</v>
      </c>
      <c r="B309" s="43">
        <v>112</v>
      </c>
      <c r="C309" s="98" t="s">
        <v>607</v>
      </c>
      <c r="D309" s="61">
        <v>27</v>
      </c>
      <c r="E309" s="2">
        <v>7</v>
      </c>
      <c r="F309" s="2">
        <f>487-(D309+E309)</f>
        <v>453</v>
      </c>
      <c r="G309" s="2">
        <f t="shared" si="56"/>
        <v>487</v>
      </c>
      <c r="H309" s="45">
        <f t="shared" si="57"/>
        <v>6.9815195071868577E-2</v>
      </c>
    </row>
    <row r="310" spans="1:8" x14ac:dyDescent="0.2">
      <c r="A310" s="42">
        <v>12</v>
      </c>
      <c r="B310" s="43">
        <v>114</v>
      </c>
      <c r="C310" s="98" t="s">
        <v>516</v>
      </c>
      <c r="D310" s="61">
        <v>109</v>
      </c>
      <c r="E310" s="2">
        <v>20</v>
      </c>
      <c r="F310" s="2">
        <f>612-(D310+E310)</f>
        <v>483</v>
      </c>
      <c r="G310" s="2">
        <f t="shared" si="56"/>
        <v>612</v>
      </c>
      <c r="H310" s="45">
        <f t="shared" si="57"/>
        <v>0.2107843137254902</v>
      </c>
    </row>
    <row r="311" spans="1:8" x14ac:dyDescent="0.2">
      <c r="A311" s="42">
        <v>12</v>
      </c>
      <c r="B311" s="43">
        <v>116</v>
      </c>
      <c r="C311" s="98" t="s">
        <v>608</v>
      </c>
      <c r="D311" s="61">
        <v>521</v>
      </c>
      <c r="E311" s="2">
        <v>55</v>
      </c>
      <c r="F311" s="2">
        <f>689-(D311+E311)</f>
        <v>113</v>
      </c>
      <c r="G311" s="2">
        <f t="shared" si="56"/>
        <v>689</v>
      </c>
      <c r="H311" s="45">
        <f t="shared" si="57"/>
        <v>0.83599419448476053</v>
      </c>
    </row>
    <row r="312" spans="1:8" x14ac:dyDescent="0.2">
      <c r="A312" s="42">
        <v>12</v>
      </c>
      <c r="B312" s="99">
        <v>118</v>
      </c>
      <c r="C312" s="98" t="s">
        <v>609</v>
      </c>
      <c r="D312" s="61">
        <v>173</v>
      </c>
      <c r="E312" s="2">
        <v>64</v>
      </c>
      <c r="F312" s="2">
        <f>750-(D312+E312)</f>
        <v>513</v>
      </c>
      <c r="G312" s="2">
        <f t="shared" ref="G312" si="58">SUM(D312:F312)</f>
        <v>750</v>
      </c>
      <c r="H312" s="45">
        <f t="shared" ref="H312" si="59">+(D312+E312)/G312</f>
        <v>0.316</v>
      </c>
    </row>
    <row r="313" spans="1:8" x14ac:dyDescent="0.2">
      <c r="A313" s="42">
        <v>12</v>
      </c>
      <c r="B313" s="43">
        <v>124</v>
      </c>
      <c r="C313" s="98" t="s">
        <v>610</v>
      </c>
      <c r="D313" s="61">
        <v>39</v>
      </c>
      <c r="E313" s="2">
        <v>4</v>
      </c>
      <c r="F313" s="2">
        <f>487-(D313+E313)</f>
        <v>444</v>
      </c>
      <c r="G313" s="2">
        <f t="shared" si="56"/>
        <v>487</v>
      </c>
      <c r="H313" s="45">
        <f t="shared" si="57"/>
        <v>8.8295687885010271E-2</v>
      </c>
    </row>
    <row r="314" spans="1:8" x14ac:dyDescent="0.2">
      <c r="A314" s="42">
        <v>12</v>
      </c>
      <c r="B314" s="43">
        <v>126</v>
      </c>
      <c r="C314" s="98" t="s">
        <v>644</v>
      </c>
      <c r="D314" s="61">
        <v>265</v>
      </c>
      <c r="E314" s="2">
        <v>46</v>
      </c>
      <c r="F314" s="2">
        <f>549-(D314+E314)</f>
        <v>238</v>
      </c>
      <c r="G314" s="2">
        <f t="shared" si="56"/>
        <v>549</v>
      </c>
      <c r="H314" s="45">
        <f t="shared" si="57"/>
        <v>0.56648451730418947</v>
      </c>
    </row>
    <row r="315" spans="1:8" x14ac:dyDescent="0.2">
      <c r="A315" s="42">
        <v>12</v>
      </c>
      <c r="B315" s="43">
        <v>127</v>
      </c>
      <c r="C315" s="98" t="s">
        <v>613</v>
      </c>
      <c r="D315" s="61">
        <v>311</v>
      </c>
      <c r="E315" s="2">
        <v>107</v>
      </c>
      <c r="F315" s="2">
        <f>798-(D315+E315)</f>
        <v>380</v>
      </c>
      <c r="G315" s="2">
        <f t="shared" si="56"/>
        <v>798</v>
      </c>
      <c r="H315" s="45">
        <f t="shared" si="57"/>
        <v>0.52380952380952384</v>
      </c>
    </row>
    <row r="316" spans="1:8" x14ac:dyDescent="0.2">
      <c r="A316" s="42">
        <v>12</v>
      </c>
      <c r="B316" s="43">
        <v>128</v>
      </c>
      <c r="C316" s="98" t="s">
        <v>614</v>
      </c>
      <c r="D316" s="61">
        <v>581</v>
      </c>
      <c r="E316" s="2">
        <v>82</v>
      </c>
      <c r="F316" s="2">
        <f>850-(D316+E316)</f>
        <v>187</v>
      </c>
      <c r="G316" s="2">
        <f t="shared" si="56"/>
        <v>850</v>
      </c>
      <c r="H316" s="45">
        <f t="shared" si="57"/>
        <v>0.78</v>
      </c>
    </row>
    <row r="317" spans="1:8" x14ac:dyDescent="0.2">
      <c r="A317" s="42">
        <v>12</v>
      </c>
      <c r="B317" s="43">
        <v>130</v>
      </c>
      <c r="C317" s="98" t="s">
        <v>619</v>
      </c>
      <c r="D317" s="61">
        <v>295</v>
      </c>
      <c r="E317" s="2">
        <v>62</v>
      </c>
      <c r="F317" s="2">
        <f>711-(D317+E317)</f>
        <v>354</v>
      </c>
      <c r="G317" s="2">
        <f t="shared" si="56"/>
        <v>711</v>
      </c>
      <c r="H317" s="45">
        <f t="shared" si="57"/>
        <v>0.50210970464135019</v>
      </c>
    </row>
    <row r="318" spans="1:8" x14ac:dyDescent="0.2">
      <c r="A318" s="42">
        <v>12</v>
      </c>
      <c r="B318" s="43">
        <v>131</v>
      </c>
      <c r="C318" s="98" t="s">
        <v>974</v>
      </c>
      <c r="D318" s="61">
        <v>274</v>
      </c>
      <c r="E318" s="2">
        <v>81</v>
      </c>
      <c r="F318" s="2">
        <f>799-(D318+E318)</f>
        <v>444</v>
      </c>
      <c r="G318" s="2">
        <f t="shared" si="56"/>
        <v>799</v>
      </c>
      <c r="H318" s="45">
        <f t="shared" si="57"/>
        <v>0.44430538172715894</v>
      </c>
    </row>
    <row r="319" spans="1:8" x14ac:dyDescent="0.2">
      <c r="A319" s="42">
        <v>12</v>
      </c>
      <c r="B319" s="43">
        <v>134</v>
      </c>
      <c r="C319" s="98" t="s">
        <v>618</v>
      </c>
      <c r="D319" s="61">
        <v>571</v>
      </c>
      <c r="E319" s="2">
        <v>79</v>
      </c>
      <c r="F319" s="2">
        <f>809-(D319+E319)</f>
        <v>159</v>
      </c>
      <c r="G319" s="2">
        <f t="shared" si="56"/>
        <v>809</v>
      </c>
      <c r="H319" s="45">
        <f t="shared" si="57"/>
        <v>0.80346106304079112</v>
      </c>
    </row>
    <row r="320" spans="1:8" x14ac:dyDescent="0.2">
      <c r="A320" s="42">
        <v>12</v>
      </c>
      <c r="B320" s="43">
        <v>135</v>
      </c>
      <c r="C320" s="98" t="s">
        <v>621</v>
      </c>
      <c r="D320" s="61">
        <v>364</v>
      </c>
      <c r="E320" s="2">
        <v>45</v>
      </c>
      <c r="F320" s="2">
        <f>686-(D320+E320)</f>
        <v>277</v>
      </c>
      <c r="G320" s="2">
        <f t="shared" si="56"/>
        <v>686</v>
      </c>
      <c r="H320" s="45">
        <f t="shared" si="57"/>
        <v>0.59620991253644318</v>
      </c>
    </row>
    <row r="321" spans="1:8" x14ac:dyDescent="0.2">
      <c r="A321" s="42">
        <v>12</v>
      </c>
      <c r="B321" s="43">
        <v>137</v>
      </c>
      <c r="C321" s="98" t="s">
        <v>620</v>
      </c>
      <c r="D321" s="61">
        <v>79</v>
      </c>
      <c r="E321" s="2">
        <v>15</v>
      </c>
      <c r="F321" s="2">
        <f>677-(D321+E321)</f>
        <v>583</v>
      </c>
      <c r="G321" s="2">
        <f t="shared" si="56"/>
        <v>677</v>
      </c>
      <c r="H321" s="45">
        <f t="shared" si="57"/>
        <v>0.13884785819793205</v>
      </c>
    </row>
    <row r="322" spans="1:8" x14ac:dyDescent="0.2">
      <c r="A322" s="42">
        <v>12</v>
      </c>
      <c r="B322" s="43">
        <v>138</v>
      </c>
      <c r="C322" s="98" t="s">
        <v>626</v>
      </c>
      <c r="D322" s="61">
        <v>255</v>
      </c>
      <c r="E322" s="2">
        <v>32</v>
      </c>
      <c r="F322" s="2">
        <f>530-(D322+E322)</f>
        <v>243</v>
      </c>
      <c r="G322" s="2">
        <f t="shared" si="56"/>
        <v>530</v>
      </c>
      <c r="H322" s="45">
        <f t="shared" si="57"/>
        <v>0.54150943396226414</v>
      </c>
    </row>
    <row r="323" spans="1:8" x14ac:dyDescent="0.2">
      <c r="A323" s="42">
        <v>12</v>
      </c>
      <c r="B323" s="43">
        <v>139</v>
      </c>
      <c r="C323" s="98" t="s">
        <v>624</v>
      </c>
      <c r="D323" s="61">
        <v>404</v>
      </c>
      <c r="E323" s="2">
        <v>35</v>
      </c>
      <c r="F323" s="2">
        <f>568-(D323+E323)</f>
        <v>129</v>
      </c>
      <c r="G323" s="2">
        <f t="shared" si="56"/>
        <v>568</v>
      </c>
      <c r="H323" s="45">
        <f t="shared" si="57"/>
        <v>0.772887323943662</v>
      </c>
    </row>
    <row r="324" spans="1:8" x14ac:dyDescent="0.2">
      <c r="A324" s="42">
        <v>12</v>
      </c>
      <c r="B324" s="43">
        <v>140</v>
      </c>
      <c r="C324" s="98" t="s">
        <v>629</v>
      </c>
      <c r="D324" s="61">
        <v>374</v>
      </c>
      <c r="E324" s="2">
        <v>81</v>
      </c>
      <c r="F324" s="2">
        <f>755-(D324+E324)</f>
        <v>300</v>
      </c>
      <c r="G324" s="2">
        <f t="shared" si="56"/>
        <v>755</v>
      </c>
      <c r="H324" s="45">
        <f t="shared" si="57"/>
        <v>0.60264900662251653</v>
      </c>
    </row>
    <row r="325" spans="1:8" x14ac:dyDescent="0.2">
      <c r="A325" s="42">
        <v>12</v>
      </c>
      <c r="B325" s="43">
        <v>141</v>
      </c>
      <c r="C325" s="98" t="s">
        <v>623</v>
      </c>
      <c r="D325" s="61">
        <v>312</v>
      </c>
      <c r="E325" s="2">
        <v>62</v>
      </c>
      <c r="F325" s="2">
        <f>600-(D325+E325)</f>
        <v>226</v>
      </c>
      <c r="G325" s="2">
        <f t="shared" si="56"/>
        <v>600</v>
      </c>
      <c r="H325" s="45">
        <f t="shared" si="57"/>
        <v>0.62333333333333329</v>
      </c>
    </row>
    <row r="326" spans="1:8" x14ac:dyDescent="0.2">
      <c r="A326" s="42">
        <v>12</v>
      </c>
      <c r="B326" s="43">
        <v>148</v>
      </c>
      <c r="C326" s="98" t="s">
        <v>482</v>
      </c>
      <c r="D326" s="61">
        <v>378</v>
      </c>
      <c r="E326" s="2">
        <v>24</v>
      </c>
      <c r="F326" s="2">
        <f>430-(D326+E326)</f>
        <v>28</v>
      </c>
      <c r="G326" s="2">
        <f t="shared" si="56"/>
        <v>430</v>
      </c>
      <c r="H326" s="45">
        <f t="shared" si="57"/>
        <v>0.93488372093023253</v>
      </c>
    </row>
    <row r="327" spans="1:8" x14ac:dyDescent="0.2">
      <c r="A327" s="42">
        <v>12</v>
      </c>
      <c r="B327" s="43">
        <v>156</v>
      </c>
      <c r="C327" s="98" t="s">
        <v>630</v>
      </c>
      <c r="D327" s="61">
        <v>381</v>
      </c>
      <c r="E327" s="2">
        <v>60</v>
      </c>
      <c r="F327" s="2">
        <f>894-(D327+E327)</f>
        <v>453</v>
      </c>
      <c r="G327" s="2">
        <f t="shared" si="56"/>
        <v>894</v>
      </c>
      <c r="H327" s="45">
        <f t="shared" si="57"/>
        <v>0.49328859060402686</v>
      </c>
    </row>
    <row r="328" spans="1:8" x14ac:dyDescent="0.2">
      <c r="A328" s="42">
        <v>12</v>
      </c>
      <c r="B328" s="43">
        <v>160</v>
      </c>
      <c r="C328" s="98" t="s">
        <v>632</v>
      </c>
      <c r="D328" s="61">
        <v>231</v>
      </c>
      <c r="E328" s="2">
        <v>21</v>
      </c>
      <c r="F328" s="2">
        <f>424-(D328+E328)</f>
        <v>172</v>
      </c>
      <c r="G328" s="2">
        <f t="shared" si="56"/>
        <v>424</v>
      </c>
      <c r="H328" s="45">
        <f t="shared" si="57"/>
        <v>0.59433962264150941</v>
      </c>
    </row>
    <row r="329" spans="1:8" x14ac:dyDescent="0.2">
      <c r="A329" s="42">
        <v>12</v>
      </c>
      <c r="B329" s="43">
        <v>164</v>
      </c>
      <c r="C329" s="98" t="s">
        <v>633</v>
      </c>
      <c r="D329" s="61">
        <v>604</v>
      </c>
      <c r="E329" s="2">
        <v>66</v>
      </c>
      <c r="F329" s="2">
        <f>773-(D329+E329)</f>
        <v>103</v>
      </c>
      <c r="G329" s="2">
        <f t="shared" si="56"/>
        <v>773</v>
      </c>
      <c r="H329" s="45">
        <f t="shared" si="57"/>
        <v>0.86675291073738681</v>
      </c>
    </row>
    <row r="330" spans="1:8" x14ac:dyDescent="0.2">
      <c r="A330" s="42">
        <v>12</v>
      </c>
      <c r="B330" s="43">
        <v>168</v>
      </c>
      <c r="C330" s="98" t="s">
        <v>634</v>
      </c>
      <c r="D330" s="61">
        <v>48</v>
      </c>
      <c r="E330" s="2">
        <v>15</v>
      </c>
      <c r="F330" s="2">
        <f>567-(D330+E330)</f>
        <v>504</v>
      </c>
      <c r="G330" s="2">
        <f t="shared" si="56"/>
        <v>567</v>
      </c>
      <c r="H330" s="45">
        <f t="shared" si="57"/>
        <v>0.1111111111111111</v>
      </c>
    </row>
    <row r="331" spans="1:8" x14ac:dyDescent="0.2">
      <c r="A331" s="42">
        <v>12</v>
      </c>
      <c r="B331" s="43">
        <v>170</v>
      </c>
      <c r="C331" s="98" t="s">
        <v>635</v>
      </c>
      <c r="D331" s="61">
        <v>31</v>
      </c>
      <c r="E331" s="2">
        <v>4</v>
      </c>
      <c r="F331" s="2">
        <f>533-(D331+E331)</f>
        <v>498</v>
      </c>
      <c r="G331" s="2">
        <f t="shared" si="56"/>
        <v>533</v>
      </c>
      <c r="H331" s="45">
        <f t="shared" si="57"/>
        <v>6.5666041275797379E-2</v>
      </c>
    </row>
    <row r="332" spans="1:8" x14ac:dyDescent="0.2">
      <c r="A332" s="42">
        <v>12</v>
      </c>
      <c r="B332" s="43">
        <v>172</v>
      </c>
      <c r="C332" s="98" t="s">
        <v>636</v>
      </c>
      <c r="D332" s="61">
        <v>83</v>
      </c>
      <c r="E332" s="2">
        <v>7</v>
      </c>
      <c r="F332" s="2">
        <f>433-(D332+E332)</f>
        <v>343</v>
      </c>
      <c r="G332" s="2">
        <f t="shared" si="56"/>
        <v>433</v>
      </c>
      <c r="H332" s="45">
        <f t="shared" si="57"/>
        <v>0.20785219399538107</v>
      </c>
    </row>
    <row r="333" spans="1:8" x14ac:dyDescent="0.2">
      <c r="A333" s="42">
        <v>12</v>
      </c>
      <c r="B333" s="43">
        <v>176</v>
      </c>
      <c r="C333" s="98" t="s">
        <v>638</v>
      </c>
      <c r="D333" s="61">
        <v>340</v>
      </c>
      <c r="E333" s="2">
        <v>31</v>
      </c>
      <c r="F333" s="2">
        <f>515-(D333+E333)</f>
        <v>144</v>
      </c>
      <c r="G333" s="2">
        <f t="shared" si="56"/>
        <v>515</v>
      </c>
      <c r="H333" s="45">
        <f t="shared" si="57"/>
        <v>0.7203883495145631</v>
      </c>
    </row>
    <row r="334" spans="1:8" x14ac:dyDescent="0.2">
      <c r="A334" s="42">
        <v>12</v>
      </c>
      <c r="B334" s="43">
        <v>177</v>
      </c>
      <c r="C334" s="98" t="s">
        <v>617</v>
      </c>
      <c r="D334" s="61">
        <v>369</v>
      </c>
      <c r="E334" s="2">
        <v>38</v>
      </c>
      <c r="F334" s="2">
        <f>695-(D334+E334)</f>
        <v>288</v>
      </c>
      <c r="G334" s="2">
        <f t="shared" si="56"/>
        <v>695</v>
      </c>
      <c r="H334" s="45">
        <f t="shared" si="57"/>
        <v>0.58561151079136686</v>
      </c>
    </row>
    <row r="335" spans="1:8" x14ac:dyDescent="0.2">
      <c r="A335" s="42">
        <v>12</v>
      </c>
      <c r="B335" s="43">
        <v>178</v>
      </c>
      <c r="C335" s="98" t="s">
        <v>640</v>
      </c>
      <c r="D335" s="61">
        <v>444</v>
      </c>
      <c r="E335" s="2">
        <v>54</v>
      </c>
      <c r="F335" s="2">
        <f>664-(D335+E335)</f>
        <v>166</v>
      </c>
      <c r="G335" s="2">
        <f t="shared" si="56"/>
        <v>664</v>
      </c>
      <c r="H335" s="45">
        <f t="shared" si="57"/>
        <v>0.75</v>
      </c>
    </row>
    <row r="336" spans="1:8" x14ac:dyDescent="0.2">
      <c r="A336" s="42">
        <v>12</v>
      </c>
      <c r="B336" s="43">
        <v>179</v>
      </c>
      <c r="C336" s="98" t="s">
        <v>639</v>
      </c>
      <c r="D336" s="61">
        <v>435</v>
      </c>
      <c r="E336" s="2">
        <v>61</v>
      </c>
      <c r="F336" s="2">
        <f>684-(D336+E336)</f>
        <v>188</v>
      </c>
      <c r="G336" s="2">
        <f t="shared" si="56"/>
        <v>684</v>
      </c>
      <c r="H336" s="45">
        <f t="shared" si="57"/>
        <v>0.72514619883040932</v>
      </c>
    </row>
    <row r="337" spans="1:8" x14ac:dyDescent="0.2">
      <c r="A337" s="42">
        <v>12</v>
      </c>
      <c r="B337" s="43">
        <v>180</v>
      </c>
      <c r="C337" s="98" t="s">
        <v>642</v>
      </c>
      <c r="D337" s="61">
        <v>363</v>
      </c>
      <c r="E337" s="2">
        <v>48</v>
      </c>
      <c r="F337" s="2">
        <f>649-(D337+E337)</f>
        <v>238</v>
      </c>
      <c r="G337" s="2">
        <f t="shared" si="56"/>
        <v>649</v>
      </c>
      <c r="H337" s="45">
        <f t="shared" si="57"/>
        <v>0.63328197226502314</v>
      </c>
    </row>
    <row r="338" spans="1:8" x14ac:dyDescent="0.2">
      <c r="A338" s="42">
        <v>12</v>
      </c>
      <c r="B338" s="43">
        <v>182</v>
      </c>
      <c r="C338" s="98" t="s">
        <v>641</v>
      </c>
      <c r="D338" s="61">
        <v>438</v>
      </c>
      <c r="E338" s="2">
        <v>98</v>
      </c>
      <c r="F338" s="2">
        <f>838-(D338+E338)</f>
        <v>302</v>
      </c>
      <c r="G338" s="2">
        <f t="shared" si="56"/>
        <v>838</v>
      </c>
      <c r="H338" s="45">
        <f t="shared" si="57"/>
        <v>0.63961813842482096</v>
      </c>
    </row>
    <row r="339" spans="1:8" x14ac:dyDescent="0.2">
      <c r="A339" s="42">
        <v>12</v>
      </c>
      <c r="B339" s="43">
        <v>184</v>
      </c>
      <c r="C339" s="98" t="s">
        <v>643</v>
      </c>
      <c r="D339" s="61">
        <v>622</v>
      </c>
      <c r="E339" s="2">
        <v>46</v>
      </c>
      <c r="F339" s="2">
        <f>783-(D339+E339)</f>
        <v>115</v>
      </c>
      <c r="G339" s="2">
        <f t="shared" si="56"/>
        <v>783</v>
      </c>
      <c r="H339" s="45">
        <f t="shared" si="57"/>
        <v>0.85312899106002549</v>
      </c>
    </row>
    <row r="340" spans="1:8" x14ac:dyDescent="0.2">
      <c r="A340" s="42">
        <v>12</v>
      </c>
      <c r="B340" s="43">
        <v>186</v>
      </c>
      <c r="C340" s="98" t="s">
        <v>645</v>
      </c>
      <c r="D340" s="61">
        <v>372</v>
      </c>
      <c r="E340" s="2">
        <v>59</v>
      </c>
      <c r="F340" s="2">
        <f>546-(D340+E340)</f>
        <v>115</v>
      </c>
      <c r="G340" s="2">
        <f t="shared" si="56"/>
        <v>546</v>
      </c>
      <c r="H340" s="45">
        <f t="shared" si="57"/>
        <v>0.78937728937728935</v>
      </c>
    </row>
    <row r="341" spans="1:8" x14ac:dyDescent="0.2">
      <c r="A341" s="42">
        <v>12</v>
      </c>
      <c r="B341" s="43">
        <v>188</v>
      </c>
      <c r="C341" s="98" t="s">
        <v>646</v>
      </c>
      <c r="D341" s="61">
        <v>374</v>
      </c>
      <c r="E341" s="2">
        <v>42</v>
      </c>
      <c r="F341" s="2">
        <f>510-(D341+E341)</f>
        <v>94</v>
      </c>
      <c r="G341" s="2">
        <f t="shared" si="56"/>
        <v>510</v>
      </c>
      <c r="H341" s="45">
        <f t="shared" si="57"/>
        <v>0.81568627450980391</v>
      </c>
    </row>
    <row r="342" spans="1:8" x14ac:dyDescent="0.2">
      <c r="A342" s="42">
        <v>12</v>
      </c>
      <c r="B342" s="43">
        <v>189</v>
      </c>
      <c r="C342" s="98" t="s">
        <v>648</v>
      </c>
      <c r="D342" s="61">
        <v>259</v>
      </c>
      <c r="E342" s="2">
        <v>46</v>
      </c>
      <c r="F342" s="2">
        <f>457-(D342+E342)</f>
        <v>152</v>
      </c>
      <c r="G342" s="2">
        <f t="shared" si="56"/>
        <v>457</v>
      </c>
      <c r="H342" s="45">
        <f t="shared" si="57"/>
        <v>0.66739606126914663</v>
      </c>
    </row>
    <row r="343" spans="1:8" x14ac:dyDescent="0.2">
      <c r="A343" s="42">
        <v>12</v>
      </c>
      <c r="B343" s="43">
        <v>190</v>
      </c>
      <c r="C343" s="98" t="s">
        <v>647</v>
      </c>
      <c r="D343" s="61">
        <v>92</v>
      </c>
      <c r="E343" s="2">
        <v>20</v>
      </c>
      <c r="F343" s="2">
        <f>426-(D343+E343)</f>
        <v>314</v>
      </c>
      <c r="G343" s="2">
        <f t="shared" si="56"/>
        <v>426</v>
      </c>
      <c r="H343" s="45">
        <f t="shared" si="57"/>
        <v>0.26291079812206575</v>
      </c>
    </row>
    <row r="344" spans="1:8" x14ac:dyDescent="0.2">
      <c r="A344" s="42">
        <v>12</v>
      </c>
      <c r="B344" s="43">
        <v>192</v>
      </c>
      <c r="C344" s="98" t="s">
        <v>650</v>
      </c>
      <c r="D344" s="61">
        <v>216</v>
      </c>
      <c r="E344" s="2">
        <v>21</v>
      </c>
      <c r="F344" s="2">
        <f>524-(D344+E344)</f>
        <v>287</v>
      </c>
      <c r="G344" s="2">
        <f>SUM(D344:F344)</f>
        <v>524</v>
      </c>
      <c r="H344" s="45">
        <f>+(D344+E344)/G344</f>
        <v>0.45229007633587787</v>
      </c>
    </row>
    <row r="345" spans="1:8" x14ac:dyDescent="0.2">
      <c r="A345" s="42">
        <v>12</v>
      </c>
      <c r="B345" s="43">
        <v>193</v>
      </c>
      <c r="C345" s="98" t="s">
        <v>616</v>
      </c>
      <c r="D345" s="61">
        <v>236</v>
      </c>
      <c r="E345" s="2">
        <v>32</v>
      </c>
      <c r="F345" s="2">
        <f>571-(D345+E345)</f>
        <v>303</v>
      </c>
      <c r="G345" s="2">
        <f t="shared" si="56"/>
        <v>571</v>
      </c>
      <c r="H345" s="45">
        <f t="shared" si="57"/>
        <v>0.46935201401050786</v>
      </c>
    </row>
    <row r="346" spans="1:8" x14ac:dyDescent="0.2">
      <c r="A346" s="42">
        <v>12</v>
      </c>
      <c r="B346" s="43">
        <v>194</v>
      </c>
      <c r="C346" s="98" t="s">
        <v>603</v>
      </c>
      <c r="D346" s="61">
        <v>156</v>
      </c>
      <c r="E346" s="2">
        <v>55</v>
      </c>
      <c r="F346" s="2">
        <f>628-(D346+E346)</f>
        <v>417</v>
      </c>
      <c r="G346" s="2">
        <f t="shared" si="56"/>
        <v>628</v>
      </c>
      <c r="H346" s="45">
        <f t="shared" si="57"/>
        <v>0.3359872611464968</v>
      </c>
    </row>
    <row r="347" spans="1:8" x14ac:dyDescent="0.2">
      <c r="A347" s="42">
        <v>12</v>
      </c>
      <c r="B347" s="43">
        <v>195</v>
      </c>
      <c r="C347" s="98" t="s">
        <v>656</v>
      </c>
      <c r="D347" s="61">
        <v>72</v>
      </c>
      <c r="E347" s="2">
        <v>17</v>
      </c>
      <c r="F347" s="2">
        <f>575-(D347+E347)</f>
        <v>486</v>
      </c>
      <c r="G347" s="2">
        <f t="shared" si="56"/>
        <v>575</v>
      </c>
      <c r="H347" s="45">
        <f t="shared" si="57"/>
        <v>0.15478260869565216</v>
      </c>
    </row>
    <row r="348" spans="1:8" x14ac:dyDescent="0.2">
      <c r="A348" s="42">
        <v>12</v>
      </c>
      <c r="B348" s="43">
        <v>196</v>
      </c>
      <c r="C348" s="98" t="s">
        <v>649</v>
      </c>
      <c r="D348" s="61">
        <v>316</v>
      </c>
      <c r="E348" s="2">
        <v>39</v>
      </c>
      <c r="F348" s="2">
        <f>456-(D348+E348)</f>
        <v>101</v>
      </c>
      <c r="G348" s="2">
        <f t="shared" si="56"/>
        <v>456</v>
      </c>
      <c r="H348" s="45">
        <f t="shared" si="57"/>
        <v>0.77850877192982459</v>
      </c>
    </row>
    <row r="349" spans="1:8" x14ac:dyDescent="0.2">
      <c r="A349" s="42">
        <v>12</v>
      </c>
      <c r="B349" s="43">
        <v>197</v>
      </c>
      <c r="C349" s="98" t="s">
        <v>651</v>
      </c>
      <c r="D349" s="61">
        <v>695</v>
      </c>
      <c r="E349" s="2">
        <v>77</v>
      </c>
      <c r="F349" s="2">
        <f>876-(D349+E349)</f>
        <v>104</v>
      </c>
      <c r="G349" s="2">
        <f t="shared" si="56"/>
        <v>876</v>
      </c>
      <c r="H349" s="45">
        <f t="shared" si="57"/>
        <v>0.88127853881278539</v>
      </c>
    </row>
    <row r="350" spans="1:8" x14ac:dyDescent="0.2">
      <c r="A350" s="42">
        <v>12</v>
      </c>
      <c r="B350" s="43">
        <v>198</v>
      </c>
      <c r="C350" s="98" t="s">
        <v>652</v>
      </c>
      <c r="D350" s="61">
        <v>286</v>
      </c>
      <c r="E350" s="2">
        <v>42</v>
      </c>
      <c r="F350" s="2">
        <f>558-(D350+E350)</f>
        <v>230</v>
      </c>
      <c r="G350" s="2">
        <f t="shared" si="56"/>
        <v>558</v>
      </c>
      <c r="H350" s="45">
        <f t="shared" si="57"/>
        <v>0.58781362007168458</v>
      </c>
    </row>
    <row r="351" spans="1:8" x14ac:dyDescent="0.2">
      <c r="A351" s="42">
        <v>12</v>
      </c>
      <c r="B351" s="43">
        <v>199</v>
      </c>
      <c r="C351" s="98" t="s">
        <v>655</v>
      </c>
      <c r="D351" s="61">
        <v>189</v>
      </c>
      <c r="E351" s="2">
        <v>21</v>
      </c>
      <c r="F351" s="2">
        <f>475-(D351+E351)</f>
        <v>265</v>
      </c>
      <c r="G351" s="2">
        <f t="shared" si="56"/>
        <v>475</v>
      </c>
      <c r="H351" s="45">
        <f t="shared" si="57"/>
        <v>0.44210526315789472</v>
      </c>
    </row>
    <row r="352" spans="1:8" x14ac:dyDescent="0.2">
      <c r="A352" s="42">
        <v>12</v>
      </c>
      <c r="B352" s="43">
        <v>201</v>
      </c>
      <c r="C352" s="98" t="s">
        <v>659</v>
      </c>
      <c r="D352" s="61">
        <v>340</v>
      </c>
      <c r="E352" s="2">
        <v>69</v>
      </c>
      <c r="F352" s="2">
        <f>730-(D352+E352)</f>
        <v>321</v>
      </c>
      <c r="G352" s="2">
        <f t="shared" si="56"/>
        <v>730</v>
      </c>
      <c r="H352" s="45">
        <f t="shared" si="57"/>
        <v>0.5602739726027397</v>
      </c>
    </row>
    <row r="353" spans="1:8" x14ac:dyDescent="0.2">
      <c r="A353" s="42">
        <v>12</v>
      </c>
      <c r="B353" s="43">
        <v>202</v>
      </c>
      <c r="C353" s="98" t="s">
        <v>663</v>
      </c>
      <c r="D353" s="61">
        <v>386</v>
      </c>
      <c r="E353" s="2">
        <v>67</v>
      </c>
      <c r="F353" s="2">
        <f>574-(D353+E353)</f>
        <v>121</v>
      </c>
      <c r="G353" s="2">
        <f t="shared" si="56"/>
        <v>574</v>
      </c>
      <c r="H353" s="45">
        <f t="shared" si="57"/>
        <v>0.78919860627177696</v>
      </c>
    </row>
    <row r="354" spans="1:8" x14ac:dyDescent="0.2">
      <c r="A354" s="42">
        <v>12</v>
      </c>
      <c r="B354" s="43">
        <v>203</v>
      </c>
      <c r="C354" s="98" t="s">
        <v>657</v>
      </c>
      <c r="D354" s="61">
        <v>418</v>
      </c>
      <c r="E354" s="2">
        <v>64</v>
      </c>
      <c r="F354" s="2">
        <f>855-(D354+E354)</f>
        <v>373</v>
      </c>
      <c r="G354" s="2">
        <f t="shared" si="56"/>
        <v>855</v>
      </c>
      <c r="H354" s="45">
        <f t="shared" si="57"/>
        <v>0.56374269005847955</v>
      </c>
    </row>
    <row r="355" spans="1:8" x14ac:dyDescent="0.2">
      <c r="A355" s="42">
        <v>12</v>
      </c>
      <c r="B355" s="43">
        <v>204</v>
      </c>
      <c r="C355" s="98" t="s">
        <v>660</v>
      </c>
      <c r="D355" s="61">
        <v>516</v>
      </c>
      <c r="E355" s="2">
        <v>65</v>
      </c>
      <c r="F355" s="2">
        <f>746-(D355+E355)</f>
        <v>165</v>
      </c>
      <c r="G355" s="2">
        <f t="shared" si="56"/>
        <v>746</v>
      </c>
      <c r="H355" s="45">
        <f t="shared" si="57"/>
        <v>0.77882037533512061</v>
      </c>
    </row>
    <row r="356" spans="1:8" x14ac:dyDescent="0.2">
      <c r="A356" s="42">
        <v>12</v>
      </c>
      <c r="B356" s="43">
        <v>205</v>
      </c>
      <c r="C356" s="98" t="s">
        <v>662</v>
      </c>
      <c r="D356" s="61">
        <v>283</v>
      </c>
      <c r="E356" s="2">
        <v>47</v>
      </c>
      <c r="F356" s="2">
        <f>642-(D356+E356)</f>
        <v>312</v>
      </c>
      <c r="G356" s="2">
        <f t="shared" si="56"/>
        <v>642</v>
      </c>
      <c r="H356" s="45">
        <f t="shared" si="57"/>
        <v>0.51401869158878499</v>
      </c>
    </row>
    <row r="357" spans="1:8" x14ac:dyDescent="0.2">
      <c r="A357" s="42">
        <v>12</v>
      </c>
      <c r="B357" s="43">
        <v>206</v>
      </c>
      <c r="C357" s="98" t="s">
        <v>661</v>
      </c>
      <c r="D357" s="61">
        <v>315</v>
      </c>
      <c r="E357" s="2">
        <v>67</v>
      </c>
      <c r="F357" s="2">
        <f>780-(D357+E357)</f>
        <v>398</v>
      </c>
      <c r="G357" s="2">
        <f t="shared" si="56"/>
        <v>780</v>
      </c>
      <c r="H357" s="45">
        <f>+(D357+E357)/G357</f>
        <v>0.48974358974358972</v>
      </c>
    </row>
    <row r="358" spans="1:8" x14ac:dyDescent="0.2">
      <c r="A358" s="42">
        <v>12</v>
      </c>
      <c r="B358" s="43">
        <v>208</v>
      </c>
      <c r="C358" s="98" t="s">
        <v>665</v>
      </c>
      <c r="D358" s="61">
        <v>357</v>
      </c>
      <c r="E358" s="2">
        <v>64</v>
      </c>
      <c r="F358" s="2">
        <f>790-(D358+E358)</f>
        <v>369</v>
      </c>
      <c r="G358" s="2">
        <f t="shared" si="56"/>
        <v>790</v>
      </c>
      <c r="H358" s="45">
        <f t="shared" si="57"/>
        <v>0.53291139240506324</v>
      </c>
    </row>
    <row r="359" spans="1:8" x14ac:dyDescent="0.2">
      <c r="A359" s="42">
        <v>12</v>
      </c>
      <c r="B359" s="43">
        <v>212</v>
      </c>
      <c r="C359" s="98" t="s">
        <v>666</v>
      </c>
      <c r="D359" s="61">
        <v>131</v>
      </c>
      <c r="E359" s="2">
        <v>10</v>
      </c>
      <c r="F359" s="2">
        <f>645-(D359+E359)</f>
        <v>504</v>
      </c>
      <c r="G359" s="2">
        <f t="shared" si="56"/>
        <v>645</v>
      </c>
      <c r="H359" s="45">
        <f t="shared" si="57"/>
        <v>0.21860465116279071</v>
      </c>
    </row>
    <row r="360" spans="1:8" x14ac:dyDescent="0.2">
      <c r="A360" s="42">
        <v>12</v>
      </c>
      <c r="B360" s="43">
        <v>216</v>
      </c>
      <c r="C360" s="98" t="s">
        <v>667</v>
      </c>
      <c r="D360" s="61">
        <v>557</v>
      </c>
      <c r="E360" s="2">
        <v>38</v>
      </c>
      <c r="F360" s="2">
        <f>716-(D360+E360)</f>
        <v>121</v>
      </c>
      <c r="G360" s="2">
        <f t="shared" si="56"/>
        <v>716</v>
      </c>
      <c r="H360" s="45">
        <f t="shared" si="57"/>
        <v>0.83100558659217882</v>
      </c>
    </row>
    <row r="361" spans="1:8" x14ac:dyDescent="0.2">
      <c r="A361" s="42">
        <v>12</v>
      </c>
      <c r="B361" s="43">
        <v>220</v>
      </c>
      <c r="C361" s="98" t="s">
        <v>668</v>
      </c>
      <c r="D361" s="61">
        <v>110</v>
      </c>
      <c r="E361" s="2">
        <v>23</v>
      </c>
      <c r="F361" s="2">
        <f>420-(D361+E361)</f>
        <v>287</v>
      </c>
      <c r="G361" s="2">
        <f t="shared" si="56"/>
        <v>420</v>
      </c>
      <c r="H361" s="45">
        <f t="shared" si="57"/>
        <v>0.31666666666666665</v>
      </c>
    </row>
    <row r="362" spans="1:8" x14ac:dyDescent="0.2">
      <c r="A362" s="42">
        <v>12</v>
      </c>
      <c r="B362" s="43">
        <v>400</v>
      </c>
      <c r="C362" s="98" t="s">
        <v>600</v>
      </c>
      <c r="D362" s="61">
        <v>297</v>
      </c>
      <c r="E362" s="2">
        <v>57</v>
      </c>
      <c r="F362" s="2">
        <f>1011-(D362+E362)</f>
        <v>657</v>
      </c>
      <c r="G362" s="2">
        <f t="shared" si="56"/>
        <v>1011</v>
      </c>
      <c r="H362" s="45">
        <f t="shared" si="57"/>
        <v>0.35014836795252224</v>
      </c>
    </row>
    <row r="363" spans="1:8" x14ac:dyDescent="0.2">
      <c r="A363" s="42">
        <v>12</v>
      </c>
      <c r="B363" s="43">
        <v>402</v>
      </c>
      <c r="C363" s="98" t="s">
        <v>601</v>
      </c>
      <c r="D363" s="61">
        <v>236</v>
      </c>
      <c r="E363" s="2">
        <v>38</v>
      </c>
      <c r="F363" s="2">
        <f>833-(D363+E363)</f>
        <v>559</v>
      </c>
      <c r="G363" s="2">
        <f t="shared" si="56"/>
        <v>833</v>
      </c>
      <c r="H363" s="45">
        <f t="shared" ref="H363:H389" si="60">+(D363+E363)/G363</f>
        <v>0.32893157262905159</v>
      </c>
    </row>
    <row r="364" spans="1:8" x14ac:dyDescent="0.2">
      <c r="A364" s="42">
        <v>12</v>
      </c>
      <c r="B364" s="43">
        <v>404</v>
      </c>
      <c r="C364" s="98" t="s">
        <v>602</v>
      </c>
      <c r="D364" s="61">
        <v>351</v>
      </c>
      <c r="E364" s="2">
        <v>69</v>
      </c>
      <c r="F364" s="2">
        <f>944-(D364+E364)</f>
        <v>524</v>
      </c>
      <c r="G364" s="2">
        <f t="shared" ref="G364:G389" si="61">SUM(D364:F364)</f>
        <v>944</v>
      </c>
      <c r="H364" s="45">
        <f t="shared" si="60"/>
        <v>0.44491525423728812</v>
      </c>
    </row>
    <row r="365" spans="1:8" x14ac:dyDescent="0.2">
      <c r="A365" s="42">
        <v>12</v>
      </c>
      <c r="B365" s="43">
        <v>410</v>
      </c>
      <c r="C365" s="98" t="s">
        <v>605</v>
      </c>
      <c r="D365" s="61">
        <v>58</v>
      </c>
      <c r="E365" s="2">
        <v>11</v>
      </c>
      <c r="F365" s="2">
        <f>655-(D365+E365)</f>
        <v>586</v>
      </c>
      <c r="G365" s="2">
        <f t="shared" si="61"/>
        <v>655</v>
      </c>
      <c r="H365" s="45">
        <f t="shared" si="60"/>
        <v>0.10534351145038168</v>
      </c>
    </row>
    <row r="366" spans="1:8" x14ac:dyDescent="0.2">
      <c r="A366" s="42">
        <v>12</v>
      </c>
      <c r="B366" s="43">
        <v>411</v>
      </c>
      <c r="C366" s="98" t="s">
        <v>611</v>
      </c>
      <c r="D366" s="61">
        <v>421</v>
      </c>
      <c r="E366" s="2">
        <v>63</v>
      </c>
      <c r="F366" s="2">
        <f>952-(D366+E366)</f>
        <v>468</v>
      </c>
      <c r="G366" s="2">
        <f t="shared" si="61"/>
        <v>952</v>
      </c>
      <c r="H366" s="45">
        <f t="shared" si="60"/>
        <v>0.50840336134453779</v>
      </c>
    </row>
    <row r="367" spans="1:8" x14ac:dyDescent="0.2">
      <c r="A367" s="42">
        <v>12</v>
      </c>
      <c r="B367" s="43">
        <v>412</v>
      </c>
      <c r="C367" s="98" t="s">
        <v>612</v>
      </c>
      <c r="D367" s="61">
        <v>263</v>
      </c>
      <c r="E367" s="2">
        <v>34</v>
      </c>
      <c r="F367" s="2">
        <f>880-(D367+E367)</f>
        <v>583</v>
      </c>
      <c r="G367" s="2">
        <f t="shared" si="61"/>
        <v>880</v>
      </c>
      <c r="H367" s="45">
        <f t="shared" si="60"/>
        <v>0.33750000000000002</v>
      </c>
    </row>
    <row r="368" spans="1:8" x14ac:dyDescent="0.2">
      <c r="A368" s="42">
        <v>12</v>
      </c>
      <c r="B368" s="43">
        <v>416</v>
      </c>
      <c r="C368" s="98" t="s">
        <v>615</v>
      </c>
      <c r="D368" s="61">
        <v>574</v>
      </c>
      <c r="E368" s="2">
        <v>44</v>
      </c>
      <c r="F368" s="2">
        <f>717-(D368+E368)</f>
        <v>99</v>
      </c>
      <c r="G368" s="2">
        <f t="shared" si="61"/>
        <v>717</v>
      </c>
      <c r="H368" s="45">
        <f t="shared" si="60"/>
        <v>0.86192468619246865</v>
      </c>
    </row>
    <row r="369" spans="1:8" x14ac:dyDescent="0.2">
      <c r="A369" s="42">
        <v>12</v>
      </c>
      <c r="B369" s="43">
        <v>418</v>
      </c>
      <c r="C369" s="98" t="s">
        <v>622</v>
      </c>
      <c r="D369" s="61">
        <v>487</v>
      </c>
      <c r="E369" s="2">
        <v>75</v>
      </c>
      <c r="F369" s="2">
        <f>1197-(D369+E369)</f>
        <v>635</v>
      </c>
      <c r="G369" s="2">
        <f t="shared" si="61"/>
        <v>1197</v>
      </c>
      <c r="H369" s="45">
        <f t="shared" si="60"/>
        <v>0.46950710108604843</v>
      </c>
    </row>
    <row r="370" spans="1:8" x14ac:dyDescent="0.2">
      <c r="A370" s="42">
        <v>12</v>
      </c>
      <c r="B370" s="43">
        <v>419</v>
      </c>
      <c r="C370" s="98" t="s">
        <v>653</v>
      </c>
      <c r="D370" s="61">
        <v>440</v>
      </c>
      <c r="E370" s="2">
        <v>88</v>
      </c>
      <c r="F370" s="2">
        <f>1089-(D370+E370)</f>
        <v>561</v>
      </c>
      <c r="G370" s="2">
        <f t="shared" si="61"/>
        <v>1089</v>
      </c>
      <c r="H370" s="45">
        <f>+(D370+E370)/G370</f>
        <v>0.48484848484848486</v>
      </c>
    </row>
    <row r="371" spans="1:8" x14ac:dyDescent="0.2">
      <c r="A371" s="42">
        <v>12</v>
      </c>
      <c r="B371" s="43">
        <v>420</v>
      </c>
      <c r="C371" s="98" t="s">
        <v>628</v>
      </c>
      <c r="D371" s="61">
        <v>511</v>
      </c>
      <c r="E371" s="2">
        <v>70</v>
      </c>
      <c r="F371" s="2">
        <f>799-(D371+E371)</f>
        <v>218</v>
      </c>
      <c r="G371" s="2">
        <f t="shared" si="61"/>
        <v>799</v>
      </c>
      <c r="H371" s="45">
        <f t="shared" si="60"/>
        <v>0.72715894868585729</v>
      </c>
    </row>
    <row r="372" spans="1:8" x14ac:dyDescent="0.2">
      <c r="A372" s="42">
        <v>12</v>
      </c>
      <c r="B372" s="43">
        <v>422</v>
      </c>
      <c r="C372" s="98" t="s">
        <v>627</v>
      </c>
      <c r="D372" s="61">
        <v>586</v>
      </c>
      <c r="E372" s="2">
        <v>84</v>
      </c>
      <c r="F372" s="2">
        <f>1110-(D372+E372)</f>
        <v>440</v>
      </c>
      <c r="G372" s="2">
        <f t="shared" si="61"/>
        <v>1110</v>
      </c>
      <c r="H372" s="45">
        <f t="shared" si="60"/>
        <v>0.60360360360360366</v>
      </c>
    </row>
    <row r="373" spans="1:8" x14ac:dyDescent="0.2">
      <c r="A373" s="42">
        <v>12</v>
      </c>
      <c r="B373" s="43">
        <v>423</v>
      </c>
      <c r="C373" s="98" t="s">
        <v>631</v>
      </c>
      <c r="D373" s="61">
        <v>505</v>
      </c>
      <c r="E373" s="2">
        <v>104</v>
      </c>
      <c r="F373" s="2">
        <f>1190-(D373+E373)</f>
        <v>581</v>
      </c>
      <c r="G373" s="2">
        <f t="shared" si="61"/>
        <v>1190</v>
      </c>
      <c r="H373" s="45">
        <f>+(D373+E373)/G373</f>
        <v>0.5117647058823529</v>
      </c>
    </row>
    <row r="374" spans="1:8" x14ac:dyDescent="0.2">
      <c r="A374" s="42">
        <v>12</v>
      </c>
      <c r="B374" s="43">
        <v>424</v>
      </c>
      <c r="C374" s="98" t="s">
        <v>637</v>
      </c>
      <c r="D374" s="61">
        <v>85</v>
      </c>
      <c r="E374" s="2">
        <v>11</v>
      </c>
      <c r="F374" s="2">
        <f>838-(D374+E374)</f>
        <v>742</v>
      </c>
      <c r="G374" s="2">
        <f t="shared" si="61"/>
        <v>838</v>
      </c>
      <c r="H374" s="45">
        <f t="shared" si="60"/>
        <v>0.11455847255369929</v>
      </c>
    </row>
    <row r="375" spans="1:8" x14ac:dyDescent="0.2">
      <c r="A375" s="42">
        <v>12</v>
      </c>
      <c r="B375" s="43">
        <v>428</v>
      </c>
      <c r="C375" s="98" t="s">
        <v>658</v>
      </c>
      <c r="D375" s="61">
        <v>459</v>
      </c>
      <c r="E375" s="2">
        <v>73</v>
      </c>
      <c r="F375" s="2">
        <f>899-(D375+E375)</f>
        <v>367</v>
      </c>
      <c r="G375" s="2">
        <f t="shared" si="61"/>
        <v>899</v>
      </c>
      <c r="H375" s="45">
        <f t="shared" si="60"/>
        <v>0.59176863181312567</v>
      </c>
    </row>
    <row r="376" spans="1:8" x14ac:dyDescent="0.2">
      <c r="A376" s="42">
        <v>12</v>
      </c>
      <c r="B376" s="43">
        <v>434</v>
      </c>
      <c r="C376" s="98" t="s">
        <v>664</v>
      </c>
      <c r="D376" s="61">
        <v>811</v>
      </c>
      <c r="E376" s="2">
        <v>105</v>
      </c>
      <c r="F376" s="2">
        <f>1158-(D376+E376)</f>
        <v>242</v>
      </c>
      <c r="G376" s="2">
        <f t="shared" si="61"/>
        <v>1158</v>
      </c>
      <c r="H376" s="45">
        <f t="shared" si="60"/>
        <v>0.79101899827288424</v>
      </c>
    </row>
    <row r="377" spans="1:8" x14ac:dyDescent="0.2">
      <c r="A377" s="42">
        <v>12</v>
      </c>
      <c r="B377" s="43">
        <v>558</v>
      </c>
      <c r="C377" s="98" t="s">
        <v>424</v>
      </c>
      <c r="D377" s="61">
        <v>62</v>
      </c>
      <c r="E377" s="2">
        <v>12</v>
      </c>
      <c r="F377" s="2">
        <f>883-(D377+E377)</f>
        <v>809</v>
      </c>
      <c r="G377" s="2">
        <f t="shared" ref="G377" si="62">SUM(D377:F377)</f>
        <v>883</v>
      </c>
      <c r="H377" s="45">
        <f t="shared" ref="H377" si="63">+(D377+E377)/G377</f>
        <v>8.3805209513023782E-2</v>
      </c>
    </row>
    <row r="378" spans="1:8" x14ac:dyDescent="0.2">
      <c r="A378" s="42">
        <v>12</v>
      </c>
      <c r="B378" s="43">
        <v>616</v>
      </c>
      <c r="C378" s="98" t="s">
        <v>425</v>
      </c>
      <c r="D378" s="61">
        <v>79</v>
      </c>
      <c r="E378" s="2">
        <v>9</v>
      </c>
      <c r="F378" s="2">
        <f>129-(D378+E378)</f>
        <v>41</v>
      </c>
      <c r="G378" s="2">
        <f>SUM(D378:F378)</f>
        <v>129</v>
      </c>
      <c r="H378" s="45">
        <f>+(D378+E378)/G378</f>
        <v>0.68217054263565891</v>
      </c>
    </row>
    <row r="379" spans="1:8" x14ac:dyDescent="0.2">
      <c r="A379" s="42">
        <v>12</v>
      </c>
      <c r="B379" s="43">
        <v>683</v>
      </c>
      <c r="C379" s="98" t="s">
        <v>422</v>
      </c>
      <c r="D379" s="61">
        <v>16</v>
      </c>
      <c r="E379" s="2">
        <v>1</v>
      </c>
      <c r="F379" s="2">
        <f>22-(D379+E379)</f>
        <v>5</v>
      </c>
      <c r="G379" s="2">
        <f t="shared" ref="G379" si="64">SUM(D379:F379)</f>
        <v>22</v>
      </c>
      <c r="H379" s="45">
        <f t="shared" ref="H379" si="65">+(D379+E379)/G379</f>
        <v>0.77272727272727271</v>
      </c>
    </row>
    <row r="380" spans="1:8" x14ac:dyDescent="0.2">
      <c r="A380" s="42">
        <v>12</v>
      </c>
      <c r="B380" s="43">
        <v>702</v>
      </c>
      <c r="C380" s="44" t="s">
        <v>64</v>
      </c>
      <c r="D380" s="61">
        <v>689</v>
      </c>
      <c r="E380" s="2">
        <v>107</v>
      </c>
      <c r="F380" s="2">
        <f>1642-(D380+E380)</f>
        <v>846</v>
      </c>
      <c r="G380" s="2">
        <f t="shared" si="61"/>
        <v>1642</v>
      </c>
      <c r="H380" s="45">
        <f t="shared" si="60"/>
        <v>0.48477466504263095</v>
      </c>
    </row>
    <row r="381" spans="1:8" x14ac:dyDescent="0.2">
      <c r="A381" s="42">
        <v>12</v>
      </c>
      <c r="B381" s="43">
        <v>704</v>
      </c>
      <c r="C381" s="44" t="s">
        <v>65</v>
      </c>
      <c r="D381" s="61">
        <v>481</v>
      </c>
      <c r="E381" s="2">
        <v>101</v>
      </c>
      <c r="F381" s="2">
        <f>1599-(D381+E381)</f>
        <v>1017</v>
      </c>
      <c r="G381" s="2">
        <f t="shared" si="61"/>
        <v>1599</v>
      </c>
      <c r="H381" s="45">
        <f t="shared" si="60"/>
        <v>0.36397748592870544</v>
      </c>
    </row>
    <row r="382" spans="1:8" x14ac:dyDescent="0.2">
      <c r="A382" s="42">
        <v>12</v>
      </c>
      <c r="B382" s="43">
        <v>708</v>
      </c>
      <c r="C382" s="44" t="s">
        <v>66</v>
      </c>
      <c r="D382" s="61">
        <v>824</v>
      </c>
      <c r="E382" s="2">
        <v>110</v>
      </c>
      <c r="F382" s="2">
        <f>1703-(D382+E382)</f>
        <v>769</v>
      </c>
      <c r="G382" s="2">
        <f t="shared" si="61"/>
        <v>1703</v>
      </c>
      <c r="H382" s="45">
        <f t="shared" si="60"/>
        <v>0.54844392248972407</v>
      </c>
    </row>
    <row r="383" spans="1:8" x14ac:dyDescent="0.2">
      <c r="A383" s="42">
        <v>12</v>
      </c>
      <c r="B383" s="43">
        <v>710</v>
      </c>
      <c r="C383" s="44" t="s">
        <v>67</v>
      </c>
      <c r="D383" s="61">
        <v>791</v>
      </c>
      <c r="E383" s="2">
        <v>116</v>
      </c>
      <c r="F383" s="2">
        <f>2177-(D383+E383)</f>
        <v>1270</v>
      </c>
      <c r="G383" s="2">
        <f t="shared" si="61"/>
        <v>2177</v>
      </c>
      <c r="H383" s="45">
        <f t="shared" si="60"/>
        <v>0.41662838768948096</v>
      </c>
    </row>
    <row r="384" spans="1:8" x14ac:dyDescent="0.2">
      <c r="A384" s="42">
        <v>12</v>
      </c>
      <c r="B384" s="43">
        <v>714</v>
      </c>
      <c r="C384" s="44" t="s">
        <v>68</v>
      </c>
      <c r="D384" s="61">
        <v>682</v>
      </c>
      <c r="E384" s="2">
        <v>120</v>
      </c>
      <c r="F384" s="2">
        <f>1704-(D384+E384)</f>
        <v>902</v>
      </c>
      <c r="G384" s="2">
        <f t="shared" si="61"/>
        <v>1704</v>
      </c>
      <c r="H384" s="45">
        <f t="shared" si="60"/>
        <v>0.47065727699530518</v>
      </c>
    </row>
    <row r="385" spans="1:8" x14ac:dyDescent="0.2">
      <c r="A385" s="42">
        <v>12</v>
      </c>
      <c r="B385" s="43">
        <v>716</v>
      </c>
      <c r="C385" s="44" t="s">
        <v>69</v>
      </c>
      <c r="D385" s="61">
        <v>185</v>
      </c>
      <c r="E385" s="2">
        <v>16</v>
      </c>
      <c r="F385" s="2">
        <f>1454-(D385+E385)</f>
        <v>1253</v>
      </c>
      <c r="G385" s="2">
        <f t="shared" si="61"/>
        <v>1454</v>
      </c>
      <c r="H385" s="45">
        <f t="shared" si="60"/>
        <v>0.13823933975240715</v>
      </c>
    </row>
    <row r="386" spans="1:8" x14ac:dyDescent="0.2">
      <c r="A386" s="42">
        <v>12</v>
      </c>
      <c r="B386" s="43">
        <v>718</v>
      </c>
      <c r="C386" s="44" t="s">
        <v>70</v>
      </c>
      <c r="D386" s="61">
        <v>124</v>
      </c>
      <c r="E386" s="2">
        <v>21</v>
      </c>
      <c r="F386" s="2">
        <f>1477-(D386+E386)</f>
        <v>1332</v>
      </c>
      <c r="G386" s="2">
        <f t="shared" si="61"/>
        <v>1477</v>
      </c>
      <c r="H386" s="45">
        <f t="shared" si="60"/>
        <v>9.8171970209884898E-2</v>
      </c>
    </row>
    <row r="387" spans="1:8" x14ac:dyDescent="0.2">
      <c r="A387" s="42">
        <v>12</v>
      </c>
      <c r="B387" s="43">
        <v>722</v>
      </c>
      <c r="C387" s="44" t="s">
        <v>71</v>
      </c>
      <c r="D387" s="61">
        <v>536</v>
      </c>
      <c r="E387" s="2">
        <v>77</v>
      </c>
      <c r="F387" s="2">
        <f>1861-(D387+E387)</f>
        <v>1248</v>
      </c>
      <c r="G387" s="2">
        <f>SUM(D387:F387)</f>
        <v>1861</v>
      </c>
      <c r="H387" s="45">
        <f>+(D387+E387)/G387</f>
        <v>0.32939279957012357</v>
      </c>
    </row>
    <row r="388" spans="1:8" x14ac:dyDescent="0.2">
      <c r="A388" s="42">
        <v>12</v>
      </c>
      <c r="B388" s="43">
        <v>760</v>
      </c>
      <c r="C388" s="98" t="s">
        <v>426</v>
      </c>
      <c r="D388" s="61">
        <v>478</v>
      </c>
      <c r="E388" s="2">
        <v>18</v>
      </c>
      <c r="F388" s="2">
        <f>721-(D388+E388)</f>
        <v>225</v>
      </c>
      <c r="G388" s="2">
        <f>SUM(D388:F388)</f>
        <v>721</v>
      </c>
      <c r="H388" s="45">
        <f>+(D388+E388)/G388</f>
        <v>0.68793342579750349</v>
      </c>
    </row>
    <row r="389" spans="1:8" ht="13.5" thickBot="1" x14ac:dyDescent="0.25">
      <c r="A389" s="42">
        <v>12</v>
      </c>
      <c r="B389" s="43">
        <v>810</v>
      </c>
      <c r="C389" s="98" t="s">
        <v>423</v>
      </c>
      <c r="D389" s="61">
        <v>108</v>
      </c>
      <c r="E389" s="2">
        <v>27</v>
      </c>
      <c r="F389" s="2">
        <f>219-(D389+E389)</f>
        <v>84</v>
      </c>
      <c r="G389" s="2">
        <f t="shared" si="61"/>
        <v>219</v>
      </c>
      <c r="H389" s="45">
        <f t="shared" si="60"/>
        <v>0.61643835616438358</v>
      </c>
    </row>
    <row r="390" spans="1:8" ht="13.5" thickBot="1" x14ac:dyDescent="0.25">
      <c r="A390" s="46"/>
      <c r="B390" s="47">
        <f>COUNTA(B301:B389)</f>
        <v>89</v>
      </c>
      <c r="C390" s="48" t="s">
        <v>20</v>
      </c>
      <c r="D390" s="4">
        <f>SUM(D301:D389)</f>
        <v>29722</v>
      </c>
      <c r="E390" s="4">
        <f>SUM(E301:E389)</f>
        <v>4534</v>
      </c>
      <c r="F390" s="4">
        <f>SUM(F301:F389)</f>
        <v>34374</v>
      </c>
      <c r="G390" s="4">
        <f>SUM(G301:G389)</f>
        <v>68630</v>
      </c>
      <c r="H390" s="49">
        <f>+(D390+E390)/G390</f>
        <v>0.49914031764534461</v>
      </c>
    </row>
    <row r="391" spans="1:8" x14ac:dyDescent="0.2">
      <c r="A391" s="51"/>
      <c r="B391" s="52"/>
      <c r="C391" s="53"/>
      <c r="D391" s="5"/>
      <c r="E391" s="55"/>
      <c r="F391" s="54"/>
      <c r="G391" s="55"/>
      <c r="H391" s="56"/>
    </row>
    <row r="392" spans="1:8" x14ac:dyDescent="0.2">
      <c r="A392" s="51"/>
      <c r="B392" s="52"/>
      <c r="C392" s="58" t="s">
        <v>72</v>
      </c>
      <c r="D392" s="5"/>
      <c r="E392" s="55"/>
      <c r="F392" s="54"/>
      <c r="G392" s="55"/>
      <c r="H392" s="56"/>
    </row>
    <row r="393" spans="1:8" x14ac:dyDescent="0.2">
      <c r="A393" s="42">
        <v>13</v>
      </c>
      <c r="B393" s="43">
        <v>104</v>
      </c>
      <c r="C393" s="98" t="s">
        <v>670</v>
      </c>
      <c r="D393" s="61">
        <v>333</v>
      </c>
      <c r="E393" s="2">
        <v>50</v>
      </c>
      <c r="F393" s="2">
        <f>588-(D393+E393)</f>
        <v>205</v>
      </c>
      <c r="G393" s="2">
        <f t="shared" ref="G393:G407" si="66">SUM(D393:F393)</f>
        <v>588</v>
      </c>
      <c r="H393" s="45">
        <f t="shared" ref="H393:H407" si="67">+(D393+E393)/G393</f>
        <v>0.65136054421768708</v>
      </c>
    </row>
    <row r="394" spans="1:8" x14ac:dyDescent="0.2">
      <c r="A394" s="42">
        <v>13</v>
      </c>
      <c r="B394" s="43">
        <v>108</v>
      </c>
      <c r="C394" s="44" t="s">
        <v>73</v>
      </c>
      <c r="D394" s="61">
        <v>179</v>
      </c>
      <c r="E394" s="2">
        <v>34</v>
      </c>
      <c r="F394" s="2">
        <f>333-(D394+E394)</f>
        <v>120</v>
      </c>
      <c r="G394" s="2">
        <f t="shared" si="66"/>
        <v>333</v>
      </c>
      <c r="H394" s="45">
        <f t="shared" si="67"/>
        <v>0.63963963963963966</v>
      </c>
    </row>
    <row r="395" spans="1:8" x14ac:dyDescent="0.2">
      <c r="A395" s="42">
        <v>13</v>
      </c>
      <c r="B395" s="43">
        <v>112</v>
      </c>
      <c r="C395" s="44" t="s">
        <v>74</v>
      </c>
      <c r="D395" s="61">
        <v>129</v>
      </c>
      <c r="E395" s="2">
        <v>50</v>
      </c>
      <c r="F395" s="2">
        <f>533-(D395+E395)</f>
        <v>354</v>
      </c>
      <c r="G395" s="2">
        <f t="shared" si="66"/>
        <v>533</v>
      </c>
      <c r="H395" s="45">
        <f t="shared" si="67"/>
        <v>0.33583489681050654</v>
      </c>
    </row>
    <row r="396" spans="1:8" x14ac:dyDescent="0.2">
      <c r="A396" s="42">
        <v>13</v>
      </c>
      <c r="B396" s="43">
        <v>116</v>
      </c>
      <c r="C396" s="44" t="s">
        <v>75</v>
      </c>
      <c r="D396" s="61">
        <v>80</v>
      </c>
      <c r="E396" s="2">
        <v>29</v>
      </c>
      <c r="F396" s="2">
        <f>139-(D396+E396)</f>
        <v>30</v>
      </c>
      <c r="G396" s="2">
        <f t="shared" si="66"/>
        <v>139</v>
      </c>
      <c r="H396" s="45">
        <f t="shared" si="67"/>
        <v>0.78417266187050361</v>
      </c>
    </row>
    <row r="397" spans="1:8" x14ac:dyDescent="0.2">
      <c r="A397" s="42">
        <v>13</v>
      </c>
      <c r="B397" s="43">
        <v>120</v>
      </c>
      <c r="C397" s="98" t="s">
        <v>671</v>
      </c>
      <c r="D397" s="61">
        <v>160</v>
      </c>
      <c r="E397" s="2">
        <v>114</v>
      </c>
      <c r="F397" s="2">
        <f>569-(D397+E397)</f>
        <v>295</v>
      </c>
      <c r="G397" s="2">
        <f t="shared" si="66"/>
        <v>569</v>
      </c>
      <c r="H397" s="45">
        <f t="shared" si="67"/>
        <v>0.48154657293497366</v>
      </c>
    </row>
    <row r="398" spans="1:8" x14ac:dyDescent="0.2">
      <c r="A398" s="42">
        <v>13</v>
      </c>
      <c r="B398" s="43">
        <v>124</v>
      </c>
      <c r="C398" s="44" t="s">
        <v>76</v>
      </c>
      <c r="D398" s="61">
        <v>186</v>
      </c>
      <c r="E398" s="2">
        <v>34</v>
      </c>
      <c r="F398" s="2">
        <f>508-(D398+E398)</f>
        <v>288</v>
      </c>
      <c r="G398" s="2">
        <f t="shared" si="66"/>
        <v>508</v>
      </c>
      <c r="H398" s="45">
        <f t="shared" si="67"/>
        <v>0.43307086614173229</v>
      </c>
    </row>
    <row r="399" spans="1:8" x14ac:dyDescent="0.2">
      <c r="A399" s="42">
        <v>13</v>
      </c>
      <c r="B399" s="43">
        <v>128</v>
      </c>
      <c r="C399" s="44" t="s">
        <v>77</v>
      </c>
      <c r="D399" s="61">
        <v>255</v>
      </c>
      <c r="E399" s="2">
        <v>70</v>
      </c>
      <c r="F399" s="2">
        <f>787-(D399+E399)</f>
        <v>462</v>
      </c>
      <c r="G399" s="2">
        <f t="shared" si="66"/>
        <v>787</v>
      </c>
      <c r="H399" s="45">
        <f t="shared" si="67"/>
        <v>0.41296060991105465</v>
      </c>
    </row>
    <row r="400" spans="1:8" x14ac:dyDescent="0.2">
      <c r="A400" s="42">
        <v>13</v>
      </c>
      <c r="B400" s="43">
        <v>132</v>
      </c>
      <c r="C400" s="98" t="s">
        <v>672</v>
      </c>
      <c r="D400" s="61">
        <v>191</v>
      </c>
      <c r="E400" s="2">
        <v>72</v>
      </c>
      <c r="F400" s="2">
        <f>585-(D400+E400)</f>
        <v>322</v>
      </c>
      <c r="G400" s="2">
        <f t="shared" si="66"/>
        <v>585</v>
      </c>
      <c r="H400" s="45">
        <f t="shared" si="67"/>
        <v>0.44957264957264959</v>
      </c>
    </row>
    <row r="401" spans="1:8" x14ac:dyDescent="0.2">
      <c r="A401" s="42">
        <v>13</v>
      </c>
      <c r="B401" s="43">
        <v>136</v>
      </c>
      <c r="C401" s="98" t="s">
        <v>673</v>
      </c>
      <c r="D401" s="61">
        <v>230</v>
      </c>
      <c r="E401" s="2">
        <v>84</v>
      </c>
      <c r="F401" s="2">
        <f>521-(D401+E401)</f>
        <v>207</v>
      </c>
      <c r="G401" s="2">
        <f t="shared" si="66"/>
        <v>521</v>
      </c>
      <c r="H401" s="45">
        <f t="shared" si="67"/>
        <v>0.60268714011516311</v>
      </c>
    </row>
    <row r="402" spans="1:8" x14ac:dyDescent="0.2">
      <c r="A402" s="42">
        <v>13</v>
      </c>
      <c r="B402" s="43">
        <v>304</v>
      </c>
      <c r="C402" s="128" t="s">
        <v>78</v>
      </c>
      <c r="D402" s="61">
        <v>318</v>
      </c>
      <c r="E402" s="2">
        <v>73</v>
      </c>
      <c r="F402" s="2">
        <f>926-(D402+E402)</f>
        <v>535</v>
      </c>
      <c r="G402" s="2">
        <f t="shared" si="66"/>
        <v>926</v>
      </c>
      <c r="H402" s="45">
        <f t="shared" si="67"/>
        <v>0.4222462203023758</v>
      </c>
    </row>
    <row r="403" spans="1:8" x14ac:dyDescent="0.2">
      <c r="A403" s="42">
        <v>13</v>
      </c>
      <c r="B403" s="43">
        <v>306</v>
      </c>
      <c r="C403" s="44" t="s">
        <v>252</v>
      </c>
      <c r="D403" s="61">
        <v>299</v>
      </c>
      <c r="E403" s="2">
        <v>107</v>
      </c>
      <c r="F403" s="2">
        <f>833-(D403+E403)</f>
        <v>427</v>
      </c>
      <c r="G403" s="2">
        <f t="shared" si="66"/>
        <v>833</v>
      </c>
      <c r="H403" s="45">
        <f t="shared" si="67"/>
        <v>0.48739495798319327</v>
      </c>
    </row>
    <row r="404" spans="1:8" x14ac:dyDescent="0.2">
      <c r="A404" s="42">
        <v>13</v>
      </c>
      <c r="B404" s="43">
        <v>704</v>
      </c>
      <c r="C404" s="98" t="s">
        <v>669</v>
      </c>
      <c r="D404" s="61">
        <v>292</v>
      </c>
      <c r="E404" s="2">
        <v>68</v>
      </c>
      <c r="F404" s="2">
        <f>1164-(D404+E404)</f>
        <v>804</v>
      </c>
      <c r="G404" s="2">
        <f t="shared" si="66"/>
        <v>1164</v>
      </c>
      <c r="H404" s="45">
        <f t="shared" si="67"/>
        <v>0.30927835051546393</v>
      </c>
    </row>
    <row r="405" spans="1:8" x14ac:dyDescent="0.2">
      <c r="A405" s="42">
        <v>13</v>
      </c>
      <c r="B405" s="43">
        <v>712</v>
      </c>
      <c r="C405" s="44" t="s">
        <v>79</v>
      </c>
      <c r="D405" s="61">
        <v>349</v>
      </c>
      <c r="E405" s="2">
        <v>91</v>
      </c>
      <c r="F405" s="2">
        <f>1089-(D405+E405)</f>
        <v>649</v>
      </c>
      <c r="G405" s="2">
        <f t="shared" si="66"/>
        <v>1089</v>
      </c>
      <c r="H405" s="45">
        <f t="shared" si="67"/>
        <v>0.40404040404040403</v>
      </c>
    </row>
    <row r="406" spans="1:8" ht="13.5" thickBot="1" x14ac:dyDescent="0.25">
      <c r="A406" s="51">
        <v>13</v>
      </c>
      <c r="B406" s="52">
        <v>750</v>
      </c>
      <c r="C406" s="53" t="s">
        <v>228</v>
      </c>
      <c r="D406" s="61">
        <v>66</v>
      </c>
      <c r="E406" s="2">
        <v>4</v>
      </c>
      <c r="F406" s="2">
        <f>116-(D406+E406)</f>
        <v>46</v>
      </c>
      <c r="G406" s="2">
        <f t="shared" si="66"/>
        <v>116</v>
      </c>
      <c r="H406" s="56">
        <f t="shared" si="67"/>
        <v>0.60344827586206895</v>
      </c>
    </row>
    <row r="407" spans="1:8" ht="13.5" thickBot="1" x14ac:dyDescent="0.25">
      <c r="A407" s="46"/>
      <c r="B407" s="47">
        <f>COUNTA(B393:B406)</f>
        <v>14</v>
      </c>
      <c r="C407" s="48" t="s">
        <v>20</v>
      </c>
      <c r="D407" s="4">
        <f>SUM(D393:D406)</f>
        <v>3067</v>
      </c>
      <c r="E407" s="3">
        <f>SUM(E393:E406)</f>
        <v>880</v>
      </c>
      <c r="F407" s="50">
        <f>SUM(F393:F406)</f>
        <v>4744</v>
      </c>
      <c r="G407" s="3">
        <f t="shared" si="66"/>
        <v>8691</v>
      </c>
      <c r="H407" s="49">
        <f t="shared" si="67"/>
        <v>0.45414796916350247</v>
      </c>
    </row>
    <row r="408" spans="1:8" x14ac:dyDescent="0.2">
      <c r="A408" s="51"/>
      <c r="B408" s="52"/>
      <c r="C408" s="53"/>
      <c r="D408" s="5"/>
      <c r="E408" s="55"/>
      <c r="F408" s="54"/>
      <c r="G408" s="55"/>
      <c r="H408" s="56"/>
    </row>
    <row r="409" spans="1:8" x14ac:dyDescent="0.2">
      <c r="A409" s="51"/>
      <c r="B409" s="52"/>
      <c r="C409" s="58" t="s">
        <v>80</v>
      </c>
      <c r="D409" s="5"/>
      <c r="E409" s="55"/>
      <c r="F409" s="54"/>
      <c r="G409" s="55"/>
      <c r="H409" s="56"/>
    </row>
    <row r="410" spans="1:8" x14ac:dyDescent="0.2">
      <c r="A410" s="42">
        <v>14</v>
      </c>
      <c r="B410" s="43">
        <v>109</v>
      </c>
      <c r="C410" s="98" t="s">
        <v>683</v>
      </c>
      <c r="D410" s="61">
        <v>183</v>
      </c>
      <c r="E410" s="2">
        <v>29</v>
      </c>
      <c r="F410" s="2">
        <f>760-(D410+E410)</f>
        <v>548</v>
      </c>
      <c r="G410" s="2">
        <f t="shared" ref="G410:G443" si="68">SUM(D410:F410)</f>
        <v>760</v>
      </c>
      <c r="H410" s="45">
        <f t="shared" ref="H410:H444" si="69">+(D410+E410)/G410</f>
        <v>0.27894736842105261</v>
      </c>
    </row>
    <row r="411" spans="1:8" x14ac:dyDescent="0.2">
      <c r="A411" s="42">
        <v>14</v>
      </c>
      <c r="B411" s="43">
        <v>111</v>
      </c>
      <c r="C411" s="98" t="s">
        <v>513</v>
      </c>
      <c r="D411" s="61">
        <v>359</v>
      </c>
      <c r="E411" s="2">
        <v>81</v>
      </c>
      <c r="F411" s="2">
        <f>746-(D411+E411)</f>
        <v>306</v>
      </c>
      <c r="G411" s="2">
        <f t="shared" si="68"/>
        <v>746</v>
      </c>
      <c r="H411" s="45">
        <f t="shared" si="69"/>
        <v>0.58981233243967823</v>
      </c>
    </row>
    <row r="412" spans="1:8" x14ac:dyDescent="0.2">
      <c r="A412" s="42">
        <v>14</v>
      </c>
      <c r="B412" s="43">
        <v>114</v>
      </c>
      <c r="C412" s="98" t="s">
        <v>704</v>
      </c>
      <c r="D412" s="61">
        <v>185</v>
      </c>
      <c r="E412" s="2">
        <v>92</v>
      </c>
      <c r="F412" s="2">
        <f>1072-(D412+E412)</f>
        <v>795</v>
      </c>
      <c r="G412" s="2">
        <f>SUM(D412:F412)</f>
        <v>1072</v>
      </c>
      <c r="H412" s="45">
        <f>+(D412+E412)/G412</f>
        <v>0.25839552238805968</v>
      </c>
    </row>
    <row r="413" spans="1:8" x14ac:dyDescent="0.2">
      <c r="A413" s="42">
        <v>14</v>
      </c>
      <c r="B413" s="43">
        <v>115</v>
      </c>
      <c r="C413" s="98" t="s">
        <v>688</v>
      </c>
      <c r="D413" s="61">
        <v>86</v>
      </c>
      <c r="E413" s="2">
        <v>34</v>
      </c>
      <c r="F413" s="2">
        <f>793-(D413+E413)</f>
        <v>673</v>
      </c>
      <c r="G413" s="2">
        <f>SUM(D413:F413)</f>
        <v>793</v>
      </c>
      <c r="H413" s="45">
        <f>+(D413+E413)/G413</f>
        <v>0.15132408575031525</v>
      </c>
    </row>
    <row r="414" spans="1:8" x14ac:dyDescent="0.2">
      <c r="A414" s="42">
        <v>14</v>
      </c>
      <c r="B414" s="43">
        <v>117</v>
      </c>
      <c r="C414" s="98" t="s">
        <v>710</v>
      </c>
      <c r="D414" s="61">
        <v>130</v>
      </c>
      <c r="E414" s="2">
        <v>48</v>
      </c>
      <c r="F414" s="2">
        <f>674-(D414+E414)</f>
        <v>496</v>
      </c>
      <c r="G414" s="2">
        <f t="shared" ref="G414" si="70">SUM(D414:F414)</f>
        <v>674</v>
      </c>
      <c r="H414" s="45">
        <f t="shared" ref="H414" si="71">+(D414+E414)/G414</f>
        <v>0.26409495548961426</v>
      </c>
    </row>
    <row r="415" spans="1:8" x14ac:dyDescent="0.2">
      <c r="A415" s="42">
        <v>14</v>
      </c>
      <c r="B415" s="43">
        <v>118</v>
      </c>
      <c r="C415" s="98" t="s">
        <v>689</v>
      </c>
      <c r="D415" s="61">
        <v>76</v>
      </c>
      <c r="E415" s="2">
        <v>40</v>
      </c>
      <c r="F415" s="2">
        <f>812-(D415+E415)</f>
        <v>696</v>
      </c>
      <c r="G415" s="2">
        <f t="shared" ref="G415" si="72">SUM(D415:F415)</f>
        <v>812</v>
      </c>
      <c r="H415" s="45">
        <f t="shared" ref="H415" si="73">+(D415+E415)/G415</f>
        <v>0.14285714285714285</v>
      </c>
    </row>
    <row r="416" spans="1:8" x14ac:dyDescent="0.2">
      <c r="A416" s="42">
        <v>14</v>
      </c>
      <c r="B416" s="43">
        <v>119</v>
      </c>
      <c r="C416" s="98" t="s">
        <v>701</v>
      </c>
      <c r="D416" s="61">
        <v>120</v>
      </c>
      <c r="E416" s="2">
        <v>47</v>
      </c>
      <c r="F416" s="2">
        <f>850-(D416+E416)</f>
        <v>683</v>
      </c>
      <c r="G416" s="2">
        <f>SUM(D416:F416)</f>
        <v>850</v>
      </c>
      <c r="H416" s="45">
        <f>+(D416+E416)/G416</f>
        <v>0.19647058823529412</v>
      </c>
    </row>
    <row r="417" spans="1:8" ht="14.25" customHeight="1" x14ac:dyDescent="0.2">
      <c r="A417" s="42">
        <v>14</v>
      </c>
      <c r="B417" s="43">
        <v>126</v>
      </c>
      <c r="C417" s="98" t="s">
        <v>690</v>
      </c>
      <c r="D417" s="61">
        <v>89</v>
      </c>
      <c r="E417" s="2">
        <v>30</v>
      </c>
      <c r="F417" s="2">
        <f>684-(D417+E417)</f>
        <v>565</v>
      </c>
      <c r="G417" s="2">
        <f t="shared" si="68"/>
        <v>684</v>
      </c>
      <c r="H417" s="45">
        <f t="shared" si="69"/>
        <v>0.17397660818713451</v>
      </c>
    </row>
    <row r="418" spans="1:8" x14ac:dyDescent="0.2">
      <c r="A418" s="42">
        <v>14</v>
      </c>
      <c r="B418" s="43">
        <v>128</v>
      </c>
      <c r="C418" s="98" t="s">
        <v>691</v>
      </c>
      <c r="D418" s="61">
        <v>162</v>
      </c>
      <c r="E418" s="2">
        <v>62</v>
      </c>
      <c r="F418" s="2">
        <f>750-(D418+E418)</f>
        <v>526</v>
      </c>
      <c r="G418" s="2">
        <f t="shared" ref="G418" si="74">SUM(D418:F418)</f>
        <v>750</v>
      </c>
      <c r="H418" s="45">
        <f t="shared" ref="H418" si="75">+(D418+E418)/G418</f>
        <v>0.29866666666666669</v>
      </c>
    </row>
    <row r="419" spans="1:8" x14ac:dyDescent="0.2">
      <c r="A419" s="42">
        <v>14</v>
      </c>
      <c r="B419" s="43">
        <v>131</v>
      </c>
      <c r="C419" s="98" t="s">
        <v>693</v>
      </c>
      <c r="D419" s="61">
        <v>119</v>
      </c>
      <c r="E419" s="2">
        <v>75</v>
      </c>
      <c r="F419" s="2">
        <f>1038-(D419+E419)</f>
        <v>844</v>
      </c>
      <c r="G419" s="2">
        <f t="shared" si="68"/>
        <v>1038</v>
      </c>
      <c r="H419" s="45">
        <f t="shared" si="69"/>
        <v>0.18689788053949905</v>
      </c>
    </row>
    <row r="420" spans="1:8" x14ac:dyDescent="0.2">
      <c r="A420" s="42">
        <v>14</v>
      </c>
      <c r="B420" s="43">
        <v>132</v>
      </c>
      <c r="C420" s="98" t="s">
        <v>694</v>
      </c>
      <c r="D420" s="61">
        <v>324</v>
      </c>
      <c r="E420" s="2">
        <v>71</v>
      </c>
      <c r="F420" s="2">
        <f>692-(D420+E420)</f>
        <v>297</v>
      </c>
      <c r="G420" s="2">
        <f t="shared" si="68"/>
        <v>692</v>
      </c>
      <c r="H420" s="45">
        <f t="shared" si="69"/>
        <v>0.57080924855491333</v>
      </c>
    </row>
    <row r="421" spans="1:8" x14ac:dyDescent="0.2">
      <c r="A421" s="42">
        <v>14</v>
      </c>
      <c r="B421" s="43">
        <v>133</v>
      </c>
      <c r="C421" s="98" t="s">
        <v>698</v>
      </c>
      <c r="D421" s="61">
        <v>65</v>
      </c>
      <c r="E421" s="2">
        <v>37</v>
      </c>
      <c r="F421" s="2">
        <f>891-(D421+E421)</f>
        <v>789</v>
      </c>
      <c r="G421" s="2">
        <f t="shared" si="68"/>
        <v>891</v>
      </c>
      <c r="H421" s="45">
        <f t="shared" si="69"/>
        <v>0.11447811447811448</v>
      </c>
    </row>
    <row r="422" spans="1:8" x14ac:dyDescent="0.2">
      <c r="A422" s="42">
        <v>14</v>
      </c>
      <c r="B422" s="43">
        <v>134</v>
      </c>
      <c r="C422" s="98" t="s">
        <v>697</v>
      </c>
      <c r="D422" s="61">
        <v>139</v>
      </c>
      <c r="E422" s="2">
        <v>72</v>
      </c>
      <c r="F422" s="2">
        <f>793-(D422+E422)</f>
        <v>582</v>
      </c>
      <c r="G422" s="2">
        <f t="shared" si="68"/>
        <v>793</v>
      </c>
      <c r="H422" s="45">
        <f t="shared" si="69"/>
        <v>0.26607818411097101</v>
      </c>
    </row>
    <row r="423" spans="1:8" x14ac:dyDescent="0.2">
      <c r="A423" s="42">
        <v>14</v>
      </c>
      <c r="B423" s="43">
        <v>136</v>
      </c>
      <c r="C423" s="98" t="s">
        <v>695</v>
      </c>
      <c r="D423" s="61">
        <v>87</v>
      </c>
      <c r="E423" s="2">
        <v>47</v>
      </c>
      <c r="F423" s="2">
        <f>892-(D423+E423)</f>
        <v>758</v>
      </c>
      <c r="G423" s="2">
        <f t="shared" si="68"/>
        <v>892</v>
      </c>
      <c r="H423" s="45">
        <f t="shared" si="69"/>
        <v>0.15022421524663676</v>
      </c>
    </row>
    <row r="424" spans="1:8" x14ac:dyDescent="0.2">
      <c r="A424" s="42">
        <v>14</v>
      </c>
      <c r="B424" s="43">
        <v>138</v>
      </c>
      <c r="C424" s="98" t="s">
        <v>700</v>
      </c>
      <c r="D424" s="61">
        <v>252</v>
      </c>
      <c r="E424" s="2">
        <v>29</v>
      </c>
      <c r="F424" s="2">
        <f>343-(D424+E424)</f>
        <v>62</v>
      </c>
      <c r="G424" s="2">
        <f t="shared" si="68"/>
        <v>343</v>
      </c>
      <c r="H424" s="45">
        <f t="shared" si="69"/>
        <v>0.81924198250728864</v>
      </c>
    </row>
    <row r="425" spans="1:8" x14ac:dyDescent="0.2">
      <c r="A425" s="42">
        <v>14</v>
      </c>
      <c r="B425" s="43">
        <v>145</v>
      </c>
      <c r="C425" s="98" t="s">
        <v>703</v>
      </c>
      <c r="D425" s="61">
        <v>260</v>
      </c>
      <c r="E425" s="2">
        <v>79</v>
      </c>
      <c r="F425" s="2">
        <f>931-(D425+E425)</f>
        <v>592</v>
      </c>
      <c r="G425" s="2">
        <f t="shared" si="68"/>
        <v>931</v>
      </c>
      <c r="H425" s="45">
        <f t="shared" si="69"/>
        <v>0.364124597207304</v>
      </c>
    </row>
    <row r="426" spans="1:8" x14ac:dyDescent="0.2">
      <c r="A426" s="42">
        <v>14</v>
      </c>
      <c r="B426" s="43">
        <v>146</v>
      </c>
      <c r="C426" s="98" t="s">
        <v>702</v>
      </c>
      <c r="D426" s="61">
        <v>72</v>
      </c>
      <c r="E426" s="2">
        <v>29</v>
      </c>
      <c r="F426" s="2">
        <f>816-(D426+E426)</f>
        <v>715</v>
      </c>
      <c r="G426" s="2">
        <f t="shared" si="68"/>
        <v>816</v>
      </c>
      <c r="H426" s="45">
        <f t="shared" si="69"/>
        <v>0.12377450980392157</v>
      </c>
    </row>
    <row r="427" spans="1:8" x14ac:dyDescent="0.2">
      <c r="A427" s="42">
        <v>14</v>
      </c>
      <c r="B427" s="43">
        <v>147</v>
      </c>
      <c r="C427" s="98" t="s">
        <v>705</v>
      </c>
      <c r="D427" s="61">
        <v>318</v>
      </c>
      <c r="E427" s="2">
        <v>90</v>
      </c>
      <c r="F427" s="2">
        <f>795-(D427+E427)</f>
        <v>387</v>
      </c>
      <c r="G427" s="2">
        <f t="shared" si="68"/>
        <v>795</v>
      </c>
      <c r="H427" s="45">
        <f t="shared" si="69"/>
        <v>0.51320754716981132</v>
      </c>
    </row>
    <row r="428" spans="1:8" x14ac:dyDescent="0.2">
      <c r="A428" s="42">
        <v>14</v>
      </c>
      <c r="B428" s="43">
        <v>152</v>
      </c>
      <c r="C428" s="98" t="s">
        <v>707</v>
      </c>
      <c r="D428" s="61">
        <v>129</v>
      </c>
      <c r="E428" s="2">
        <v>48</v>
      </c>
      <c r="F428" s="2">
        <f>798-(D428+E428)</f>
        <v>621</v>
      </c>
      <c r="G428" s="2">
        <f t="shared" si="68"/>
        <v>798</v>
      </c>
      <c r="H428" s="45">
        <f t="shared" si="69"/>
        <v>0.22180451127819548</v>
      </c>
    </row>
    <row r="429" spans="1:8" x14ac:dyDescent="0.2">
      <c r="A429" s="42">
        <v>14</v>
      </c>
      <c r="B429" s="43">
        <v>153</v>
      </c>
      <c r="C429" s="98" t="s">
        <v>706</v>
      </c>
      <c r="D429" s="61">
        <v>256</v>
      </c>
      <c r="E429" s="2">
        <v>54</v>
      </c>
      <c r="F429" s="2">
        <f>643-(D429+E429)</f>
        <v>333</v>
      </c>
      <c r="G429" s="2">
        <f t="shared" si="68"/>
        <v>643</v>
      </c>
      <c r="H429" s="45">
        <f t="shared" si="69"/>
        <v>0.48211508553654742</v>
      </c>
    </row>
    <row r="430" spans="1:8" x14ac:dyDescent="0.2">
      <c r="A430" s="42">
        <v>14</v>
      </c>
      <c r="B430" s="43">
        <v>157</v>
      </c>
      <c r="C430" s="98" t="s">
        <v>708</v>
      </c>
      <c r="D430" s="61">
        <v>87</v>
      </c>
      <c r="E430" s="2">
        <v>47</v>
      </c>
      <c r="F430" s="2">
        <f>699-(D430+E430)</f>
        <v>565</v>
      </c>
      <c r="G430" s="2">
        <f t="shared" si="68"/>
        <v>699</v>
      </c>
      <c r="H430" s="45">
        <f t="shared" si="69"/>
        <v>0.19170243204577969</v>
      </c>
    </row>
    <row r="431" spans="1:8" x14ac:dyDescent="0.2">
      <c r="A431" s="42">
        <v>14</v>
      </c>
      <c r="B431" s="43">
        <v>160</v>
      </c>
      <c r="C431" s="98" t="s">
        <v>711</v>
      </c>
      <c r="D431" s="61">
        <v>120</v>
      </c>
      <c r="E431" s="2">
        <v>41</v>
      </c>
      <c r="F431" s="2">
        <f>919-(D431+E431)</f>
        <v>758</v>
      </c>
      <c r="G431" s="2">
        <f t="shared" si="68"/>
        <v>919</v>
      </c>
      <c r="H431" s="45">
        <f t="shared" si="69"/>
        <v>0.17519042437431992</v>
      </c>
    </row>
    <row r="432" spans="1:8" x14ac:dyDescent="0.2">
      <c r="A432" s="42">
        <v>14</v>
      </c>
      <c r="B432" s="43">
        <v>161</v>
      </c>
      <c r="C432" s="98" t="s">
        <v>712</v>
      </c>
      <c r="D432" s="61">
        <v>78</v>
      </c>
      <c r="E432" s="2">
        <v>42</v>
      </c>
      <c r="F432" s="2">
        <f>696-(D432+E432)</f>
        <v>576</v>
      </c>
      <c r="G432" s="2">
        <f t="shared" si="68"/>
        <v>696</v>
      </c>
      <c r="H432" s="45">
        <f t="shared" si="69"/>
        <v>0.17241379310344829</v>
      </c>
    </row>
    <row r="433" spans="1:8" x14ac:dyDescent="0.2">
      <c r="A433" s="42">
        <v>14</v>
      </c>
      <c r="B433" s="43">
        <v>162</v>
      </c>
      <c r="C433" s="98" t="s">
        <v>713</v>
      </c>
      <c r="D433" s="61">
        <v>120</v>
      </c>
      <c r="E433" s="2">
        <v>43</v>
      </c>
      <c r="F433" s="2">
        <f>475-(D433+E433)</f>
        <v>312</v>
      </c>
      <c r="G433" s="2">
        <f t="shared" si="68"/>
        <v>475</v>
      </c>
      <c r="H433" s="45">
        <f t="shared" si="69"/>
        <v>0.34315789473684211</v>
      </c>
    </row>
    <row r="434" spans="1:8" x14ac:dyDescent="0.2">
      <c r="A434" s="42">
        <v>14</v>
      </c>
      <c r="B434" s="43">
        <v>163</v>
      </c>
      <c r="C434" s="98" t="s">
        <v>709</v>
      </c>
      <c r="D434" s="61">
        <v>97</v>
      </c>
      <c r="E434" s="2">
        <v>46</v>
      </c>
      <c r="F434" s="2">
        <f>811-(D434+E434)</f>
        <v>668</v>
      </c>
      <c r="G434" s="2">
        <f t="shared" si="68"/>
        <v>811</v>
      </c>
      <c r="H434" s="45">
        <f t="shared" si="69"/>
        <v>0.17632552404438964</v>
      </c>
    </row>
    <row r="435" spans="1:8" x14ac:dyDescent="0.2">
      <c r="A435" s="42">
        <v>14</v>
      </c>
      <c r="B435" s="43">
        <v>167</v>
      </c>
      <c r="C435" s="98" t="s">
        <v>715</v>
      </c>
      <c r="D435" s="61">
        <v>83</v>
      </c>
      <c r="E435" s="2">
        <v>36</v>
      </c>
      <c r="F435" s="2">
        <f>782-(D435+E435)</f>
        <v>663</v>
      </c>
      <c r="G435" s="2">
        <f t="shared" si="68"/>
        <v>782</v>
      </c>
      <c r="H435" s="45">
        <f t="shared" si="69"/>
        <v>0.15217391304347827</v>
      </c>
    </row>
    <row r="436" spans="1:8" x14ac:dyDescent="0.2">
      <c r="A436" s="42">
        <v>14</v>
      </c>
      <c r="B436" s="43">
        <v>168</v>
      </c>
      <c r="C436" s="98" t="s">
        <v>716</v>
      </c>
      <c r="D436" s="61">
        <v>154</v>
      </c>
      <c r="E436" s="2">
        <v>51</v>
      </c>
      <c r="F436" s="2">
        <f>501-(D436+E436)</f>
        <v>296</v>
      </c>
      <c r="G436" s="2">
        <f t="shared" si="68"/>
        <v>501</v>
      </c>
      <c r="H436" s="45">
        <f t="shared" si="69"/>
        <v>0.40918163672654689</v>
      </c>
    </row>
    <row r="437" spans="1:8" x14ac:dyDescent="0.2">
      <c r="A437" s="42">
        <v>14</v>
      </c>
      <c r="B437" s="43">
        <v>169</v>
      </c>
      <c r="C437" s="98" t="s">
        <v>718</v>
      </c>
      <c r="D437" s="61">
        <v>167</v>
      </c>
      <c r="E437" s="2">
        <v>70</v>
      </c>
      <c r="F437" s="2">
        <f>574-(D437+E437)</f>
        <v>337</v>
      </c>
      <c r="G437" s="2">
        <f t="shared" si="68"/>
        <v>574</v>
      </c>
      <c r="H437" s="45">
        <f t="shared" si="69"/>
        <v>0.41289198606271776</v>
      </c>
    </row>
    <row r="438" spans="1:8" x14ac:dyDescent="0.2">
      <c r="A438" s="42">
        <v>14</v>
      </c>
      <c r="B438" s="43">
        <v>170</v>
      </c>
      <c r="C438" s="98" t="s">
        <v>717</v>
      </c>
      <c r="D438" s="61">
        <v>128</v>
      </c>
      <c r="E438" s="2">
        <v>65</v>
      </c>
      <c r="F438" s="2">
        <f>586-(D438+E438)</f>
        <v>393</v>
      </c>
      <c r="G438" s="2">
        <f t="shared" si="68"/>
        <v>586</v>
      </c>
      <c r="H438" s="45">
        <f t="shared" si="69"/>
        <v>0.32935153583617749</v>
      </c>
    </row>
    <row r="439" spans="1:8" x14ac:dyDescent="0.2">
      <c r="A439" s="42">
        <v>14</v>
      </c>
      <c r="B439" s="43">
        <v>175</v>
      </c>
      <c r="C439" s="98" t="s">
        <v>685</v>
      </c>
      <c r="D439" s="61">
        <v>159</v>
      </c>
      <c r="E439" s="2">
        <v>74</v>
      </c>
      <c r="F439" s="2">
        <f>736-(D439+E439)</f>
        <v>503</v>
      </c>
      <c r="G439" s="2">
        <f>SUM(D439:F439)</f>
        <v>736</v>
      </c>
      <c r="H439" s="45">
        <f>+(D439+E439)/G439</f>
        <v>0.31657608695652173</v>
      </c>
    </row>
    <row r="440" spans="1:8" x14ac:dyDescent="0.2">
      <c r="A440" s="42">
        <v>14</v>
      </c>
      <c r="B440" s="43">
        <v>176</v>
      </c>
      <c r="C440" s="98" t="s">
        <v>692</v>
      </c>
      <c r="D440" s="61">
        <v>74</v>
      </c>
      <c r="E440" s="2">
        <v>44</v>
      </c>
      <c r="F440" s="2">
        <f>944-(D440+E440)</f>
        <v>826</v>
      </c>
      <c r="G440" s="2">
        <f>SUM(D440:F440)</f>
        <v>944</v>
      </c>
      <c r="H440" s="45">
        <f>+(D440+E440)/G440</f>
        <v>0.125</v>
      </c>
    </row>
    <row r="441" spans="1:8" x14ac:dyDescent="0.2">
      <c r="A441" s="42">
        <v>14</v>
      </c>
      <c r="B441" s="43">
        <v>177</v>
      </c>
      <c r="C441" s="98" t="s">
        <v>684</v>
      </c>
      <c r="D441" s="61">
        <v>106</v>
      </c>
      <c r="E441" s="2">
        <v>53</v>
      </c>
      <c r="F441" s="2">
        <f>911-(D441+E441)</f>
        <v>752</v>
      </c>
      <c r="G441" s="2">
        <f>SUM(D441:F441)</f>
        <v>911</v>
      </c>
      <c r="H441" s="45">
        <f>+(D441+E441)/G441</f>
        <v>0.17453347969264543</v>
      </c>
    </row>
    <row r="442" spans="1:8" x14ac:dyDescent="0.2">
      <c r="A442" s="42">
        <v>14</v>
      </c>
      <c r="B442" s="43">
        <v>406</v>
      </c>
      <c r="C442" s="98" t="s">
        <v>696</v>
      </c>
      <c r="D442" s="61">
        <v>314</v>
      </c>
      <c r="E442" s="2">
        <v>91</v>
      </c>
      <c r="F442" s="2">
        <f>827-(D442+E442)</f>
        <v>422</v>
      </c>
      <c r="G442" s="2">
        <f t="shared" si="68"/>
        <v>827</v>
      </c>
      <c r="H442" s="45">
        <f t="shared" si="69"/>
        <v>0.48972188633615477</v>
      </c>
    </row>
    <row r="443" spans="1:8" x14ac:dyDescent="0.2">
      <c r="A443" s="42">
        <v>14</v>
      </c>
      <c r="B443" s="43">
        <v>409</v>
      </c>
      <c r="C443" s="44" t="s">
        <v>87</v>
      </c>
      <c r="D443" s="61">
        <v>145</v>
      </c>
      <c r="E443" s="2">
        <v>81</v>
      </c>
      <c r="F443" s="2">
        <f>1162-(D443+E443)</f>
        <v>936</v>
      </c>
      <c r="G443" s="2">
        <f t="shared" si="68"/>
        <v>1162</v>
      </c>
      <c r="H443" s="45">
        <f t="shared" si="69"/>
        <v>0.1944922547332186</v>
      </c>
    </row>
    <row r="444" spans="1:8" x14ac:dyDescent="0.2">
      <c r="A444" s="42">
        <v>14</v>
      </c>
      <c r="B444" s="43">
        <v>411</v>
      </c>
      <c r="C444" s="44" t="s">
        <v>89</v>
      </c>
      <c r="D444" s="61">
        <v>142</v>
      </c>
      <c r="E444" s="2">
        <v>59</v>
      </c>
      <c r="F444" s="2">
        <f>1584-(D444+E444)</f>
        <v>1383</v>
      </c>
      <c r="G444" s="2">
        <f t="shared" ref="G444:G459" si="76">SUM(D444:F444)</f>
        <v>1584</v>
      </c>
      <c r="H444" s="45">
        <f t="shared" si="69"/>
        <v>0.12689393939393939</v>
      </c>
    </row>
    <row r="445" spans="1:8" x14ac:dyDescent="0.2">
      <c r="A445" s="42">
        <v>14</v>
      </c>
      <c r="B445" s="43">
        <v>412</v>
      </c>
      <c r="C445" s="44" t="s">
        <v>90</v>
      </c>
      <c r="D445" s="61">
        <v>387</v>
      </c>
      <c r="E445" s="2">
        <v>86</v>
      </c>
      <c r="F445" s="2">
        <f>974-(D445+E445)</f>
        <v>501</v>
      </c>
      <c r="G445" s="2">
        <f t="shared" si="76"/>
        <v>974</v>
      </c>
      <c r="H445" s="45">
        <f t="shared" ref="H445:H457" si="77">+(D445+E445)/G445</f>
        <v>0.48562628336755648</v>
      </c>
    </row>
    <row r="446" spans="1:8" x14ac:dyDescent="0.2">
      <c r="A446" s="42">
        <v>14</v>
      </c>
      <c r="B446" s="43">
        <v>413</v>
      </c>
      <c r="C446" s="44" t="s">
        <v>91</v>
      </c>
      <c r="D446" s="61">
        <v>179</v>
      </c>
      <c r="E446" s="2">
        <v>91</v>
      </c>
      <c r="F446" s="2">
        <f>1475-(D446+E446)</f>
        <v>1205</v>
      </c>
      <c r="G446" s="2">
        <f t="shared" si="76"/>
        <v>1475</v>
      </c>
      <c r="H446" s="45">
        <f t="shared" si="77"/>
        <v>0.18305084745762712</v>
      </c>
    </row>
    <row r="447" spans="1:8" x14ac:dyDescent="0.2">
      <c r="A447" s="42">
        <v>14</v>
      </c>
      <c r="B447" s="43">
        <v>414</v>
      </c>
      <c r="C447" s="44" t="s">
        <v>92</v>
      </c>
      <c r="D447" s="61">
        <v>255</v>
      </c>
      <c r="E447" s="2">
        <v>88</v>
      </c>
      <c r="F447" s="2">
        <f>1152-(D447+E447)</f>
        <v>809</v>
      </c>
      <c r="G447" s="2">
        <f t="shared" si="76"/>
        <v>1152</v>
      </c>
      <c r="H447" s="45">
        <f t="shared" si="77"/>
        <v>0.29774305555555558</v>
      </c>
    </row>
    <row r="448" spans="1:8" x14ac:dyDescent="0.2">
      <c r="A448" s="42">
        <v>14</v>
      </c>
      <c r="B448" s="43">
        <v>415</v>
      </c>
      <c r="C448" s="44" t="s">
        <v>93</v>
      </c>
      <c r="D448" s="61">
        <v>173</v>
      </c>
      <c r="E448" s="2">
        <v>68</v>
      </c>
      <c r="F448" s="2">
        <f>1149-(D448+E448)</f>
        <v>908</v>
      </c>
      <c r="G448" s="2">
        <f t="shared" si="76"/>
        <v>1149</v>
      </c>
      <c r="H448" s="45">
        <f t="shared" si="77"/>
        <v>0.20974760661444736</v>
      </c>
    </row>
    <row r="449" spans="1:8" x14ac:dyDescent="0.2">
      <c r="A449" s="42">
        <v>14</v>
      </c>
      <c r="B449" s="43">
        <v>416</v>
      </c>
      <c r="C449" s="44" t="s">
        <v>240</v>
      </c>
      <c r="D449" s="61">
        <v>277</v>
      </c>
      <c r="E449" s="2">
        <v>117</v>
      </c>
      <c r="F449" s="2">
        <f>1277-(D449+E449)</f>
        <v>883</v>
      </c>
      <c r="G449" s="2">
        <f>SUM(D449:F449)</f>
        <v>1277</v>
      </c>
      <c r="H449" s="45">
        <f>+(D449+E449)/G449</f>
        <v>0.30853563038371185</v>
      </c>
    </row>
    <row r="450" spans="1:8" x14ac:dyDescent="0.2">
      <c r="A450" s="42">
        <v>14</v>
      </c>
      <c r="B450" s="43">
        <v>417</v>
      </c>
      <c r="C450" s="44" t="s">
        <v>241</v>
      </c>
      <c r="D450" s="61">
        <v>183</v>
      </c>
      <c r="E450" s="2">
        <v>100</v>
      </c>
      <c r="F450" s="2">
        <f>1457-(D450+E450)</f>
        <v>1174</v>
      </c>
      <c r="G450" s="2">
        <f>SUM(D450:F450)</f>
        <v>1457</v>
      </c>
      <c r="H450" s="45">
        <f>+(D450+E450)/G450</f>
        <v>0.19423472889498972</v>
      </c>
    </row>
    <row r="451" spans="1:8" x14ac:dyDescent="0.2">
      <c r="A451" s="42">
        <v>14</v>
      </c>
      <c r="B451" s="43">
        <v>703</v>
      </c>
      <c r="C451" s="44" t="s">
        <v>95</v>
      </c>
      <c r="D451" s="61">
        <v>359</v>
      </c>
      <c r="E451" s="2">
        <v>135</v>
      </c>
      <c r="F451" s="2">
        <f>2348-(D451+E451)</f>
        <v>1854</v>
      </c>
      <c r="G451" s="2">
        <f t="shared" si="76"/>
        <v>2348</v>
      </c>
      <c r="H451" s="45">
        <f t="shared" si="77"/>
        <v>0.21039182282793867</v>
      </c>
    </row>
    <row r="452" spans="1:8" x14ac:dyDescent="0.2">
      <c r="A452" s="42">
        <v>14</v>
      </c>
      <c r="B452" s="43">
        <v>704</v>
      </c>
      <c r="C452" s="44" t="s">
        <v>96</v>
      </c>
      <c r="D452" s="61">
        <v>179</v>
      </c>
      <c r="E452" s="2">
        <v>80</v>
      </c>
      <c r="F452" s="2">
        <f>2310-(D452+E452)</f>
        <v>2051</v>
      </c>
      <c r="G452" s="2">
        <f t="shared" si="76"/>
        <v>2310</v>
      </c>
      <c r="H452" s="45">
        <f t="shared" si="77"/>
        <v>0.11212121212121212</v>
      </c>
    </row>
    <row r="453" spans="1:8" x14ac:dyDescent="0.2">
      <c r="A453" s="42">
        <v>14</v>
      </c>
      <c r="B453" s="43">
        <v>707</v>
      </c>
      <c r="C453" s="98" t="s">
        <v>976</v>
      </c>
      <c r="D453" s="61">
        <v>182</v>
      </c>
      <c r="E453" s="2">
        <v>95</v>
      </c>
      <c r="F453" s="2">
        <f>1434-(D453+E453)</f>
        <v>1157</v>
      </c>
      <c r="G453" s="2">
        <f t="shared" ref="G453" si="78">SUM(D453:F453)</f>
        <v>1434</v>
      </c>
      <c r="H453" s="45">
        <f t="shared" si="77"/>
        <v>0.19316596931659694</v>
      </c>
    </row>
    <row r="454" spans="1:8" x14ac:dyDescent="0.2">
      <c r="A454" s="42">
        <v>14</v>
      </c>
      <c r="B454" s="43">
        <v>710</v>
      </c>
      <c r="C454" s="44" t="s">
        <v>100</v>
      </c>
      <c r="D454" s="61">
        <v>191</v>
      </c>
      <c r="E454" s="2">
        <v>88</v>
      </c>
      <c r="F454" s="2">
        <f>1970-(D454+E454)</f>
        <v>1691</v>
      </c>
      <c r="G454" s="2">
        <f t="shared" si="76"/>
        <v>1970</v>
      </c>
      <c r="H454" s="45">
        <f t="shared" si="77"/>
        <v>0.14162436548223351</v>
      </c>
    </row>
    <row r="455" spans="1:8" x14ac:dyDescent="0.2">
      <c r="A455" s="42">
        <v>14</v>
      </c>
      <c r="B455" s="43">
        <v>716</v>
      </c>
      <c r="C455" s="98" t="s">
        <v>714</v>
      </c>
      <c r="D455" s="61">
        <v>125</v>
      </c>
      <c r="E455" s="2">
        <v>19</v>
      </c>
      <c r="F455" s="2">
        <f>523-(D455+E455)</f>
        <v>379</v>
      </c>
      <c r="G455" s="2">
        <f t="shared" ref="G455" si="79">SUM(D455:F455)</f>
        <v>523</v>
      </c>
      <c r="H455" s="45">
        <f t="shared" ref="H455" si="80">+(D455+E455)/G455</f>
        <v>0.27533460803059273</v>
      </c>
    </row>
    <row r="456" spans="1:8" x14ac:dyDescent="0.2">
      <c r="A456" s="42">
        <v>14</v>
      </c>
      <c r="B456" s="43">
        <v>718</v>
      </c>
      <c r="C456" s="44" t="s">
        <v>101</v>
      </c>
      <c r="D456" s="61">
        <v>477</v>
      </c>
      <c r="E456" s="2">
        <v>107</v>
      </c>
      <c r="F456" s="2">
        <f>1825-(D456+E456)</f>
        <v>1241</v>
      </c>
      <c r="G456" s="2">
        <f t="shared" si="76"/>
        <v>1825</v>
      </c>
      <c r="H456" s="45">
        <f t="shared" si="77"/>
        <v>0.32</v>
      </c>
    </row>
    <row r="457" spans="1:8" x14ac:dyDescent="0.2">
      <c r="A457" s="42">
        <v>14</v>
      </c>
      <c r="B457" s="43">
        <v>802</v>
      </c>
      <c r="C457" s="44" t="s">
        <v>102</v>
      </c>
      <c r="D457" s="61">
        <v>47</v>
      </c>
      <c r="E457" s="2">
        <v>8</v>
      </c>
      <c r="F457" s="2">
        <f>181-(D457+E457)</f>
        <v>126</v>
      </c>
      <c r="G457" s="2">
        <f t="shared" si="76"/>
        <v>181</v>
      </c>
      <c r="H457" s="45">
        <f t="shared" si="77"/>
        <v>0.30386740331491713</v>
      </c>
    </row>
    <row r="458" spans="1:8" x14ac:dyDescent="0.2">
      <c r="A458" s="42">
        <v>14</v>
      </c>
      <c r="B458" s="43">
        <v>810</v>
      </c>
      <c r="C458" s="98" t="s">
        <v>699</v>
      </c>
      <c r="D458" s="61">
        <v>49</v>
      </c>
      <c r="E458" s="2">
        <v>3</v>
      </c>
      <c r="F458" s="2">
        <f>157-(D458+E458)</f>
        <v>105</v>
      </c>
      <c r="G458" s="2">
        <f t="shared" ref="G458" si="81">SUM(D458:F458)</f>
        <v>157</v>
      </c>
      <c r="H458" s="45">
        <f>+(D458+E458)/G458</f>
        <v>0.33121019108280253</v>
      </c>
    </row>
    <row r="459" spans="1:8" ht="13.5" thickBot="1" x14ac:dyDescent="0.25">
      <c r="A459" s="42">
        <v>14</v>
      </c>
      <c r="B459" s="43">
        <v>998</v>
      </c>
      <c r="C459" s="98" t="s">
        <v>438</v>
      </c>
      <c r="D459" s="61">
        <v>44</v>
      </c>
      <c r="E459" s="2">
        <v>25</v>
      </c>
      <c r="F459" s="2">
        <f>298-(D459+E459)</f>
        <v>229</v>
      </c>
      <c r="G459" s="2">
        <f t="shared" si="76"/>
        <v>298</v>
      </c>
      <c r="H459" s="45">
        <f>+(D459+E459)/G459</f>
        <v>0.23154362416107382</v>
      </c>
    </row>
    <row r="460" spans="1:8" ht="13.5" thickBot="1" x14ac:dyDescent="0.25">
      <c r="A460" s="46"/>
      <c r="B460" s="47">
        <f>COUNTA(B410:B459)</f>
        <v>50</v>
      </c>
      <c r="C460" s="48" t="s">
        <v>20</v>
      </c>
      <c r="D460" s="4">
        <f>SUM(D410:D459)</f>
        <v>8492</v>
      </c>
      <c r="E460" s="3">
        <f>SUM(E410:E459)</f>
        <v>3047</v>
      </c>
      <c r="F460" s="50">
        <f>SUM(F410:F459)</f>
        <v>34971</v>
      </c>
      <c r="G460" s="3">
        <f>SUM(D460:F460)</f>
        <v>46510</v>
      </c>
      <c r="H460" s="49">
        <f>+(D460+E460)/G460</f>
        <v>0.24809718340141904</v>
      </c>
    </row>
    <row r="461" spans="1:8" x14ac:dyDescent="0.2">
      <c r="A461" s="51"/>
      <c r="B461" s="52"/>
      <c r="C461" s="53"/>
      <c r="D461" s="5"/>
      <c r="E461" s="55"/>
      <c r="F461" s="54"/>
      <c r="G461" s="55"/>
      <c r="H461" s="56"/>
    </row>
    <row r="462" spans="1:8" x14ac:dyDescent="0.2">
      <c r="A462" s="51"/>
      <c r="B462" s="52"/>
      <c r="C462" s="58" t="s">
        <v>103</v>
      </c>
      <c r="D462" s="6"/>
      <c r="E462" s="55"/>
      <c r="F462" s="66"/>
      <c r="G462" s="55"/>
      <c r="H462" s="56"/>
    </row>
    <row r="463" spans="1:8" x14ac:dyDescent="0.2">
      <c r="A463" s="42">
        <v>15</v>
      </c>
      <c r="B463" s="43">
        <v>110</v>
      </c>
      <c r="C463" s="98" t="s">
        <v>674</v>
      </c>
      <c r="D463" s="61">
        <v>93</v>
      </c>
      <c r="E463" s="93">
        <v>39</v>
      </c>
      <c r="F463" s="2">
        <f>322-(D463+E463)</f>
        <v>190</v>
      </c>
      <c r="G463" s="2">
        <f t="shared" ref="G463:G468" si="82">SUM(D463:F463)</f>
        <v>322</v>
      </c>
      <c r="H463" s="45">
        <f t="shared" ref="H463:H468" si="83">+(D463+E463)/G463</f>
        <v>0.40993788819875776</v>
      </c>
    </row>
    <row r="464" spans="1:8" x14ac:dyDescent="0.2">
      <c r="A464" s="42">
        <v>15</v>
      </c>
      <c r="B464" s="43">
        <v>112</v>
      </c>
      <c r="C464" s="98" t="s">
        <v>676</v>
      </c>
      <c r="D464" s="61">
        <v>161</v>
      </c>
      <c r="E464" s="93">
        <v>78</v>
      </c>
      <c r="F464" s="2">
        <f>521-(D464+E464)</f>
        <v>282</v>
      </c>
      <c r="G464" s="2">
        <f t="shared" si="82"/>
        <v>521</v>
      </c>
      <c r="H464" s="45">
        <f t="shared" si="83"/>
        <v>0.45873320537428025</v>
      </c>
    </row>
    <row r="465" spans="1:8" x14ac:dyDescent="0.2">
      <c r="A465" s="42">
        <v>15</v>
      </c>
      <c r="B465" s="43">
        <v>112</v>
      </c>
      <c r="C465" s="98" t="s">
        <v>675</v>
      </c>
      <c r="D465" s="61">
        <v>83</v>
      </c>
      <c r="E465" s="93">
        <v>26</v>
      </c>
      <c r="F465" s="2">
        <f>312-(D465+E465)</f>
        <v>203</v>
      </c>
      <c r="G465" s="2">
        <f t="shared" si="82"/>
        <v>312</v>
      </c>
      <c r="H465" s="45">
        <f t="shared" si="83"/>
        <v>0.34935897435897434</v>
      </c>
    </row>
    <row r="466" spans="1:8" x14ac:dyDescent="0.2">
      <c r="A466" s="42">
        <v>15</v>
      </c>
      <c r="B466" s="43">
        <v>304</v>
      </c>
      <c r="C466" s="44" t="s">
        <v>242</v>
      </c>
      <c r="D466" s="61">
        <v>94</v>
      </c>
      <c r="E466" s="93">
        <v>35</v>
      </c>
      <c r="F466" s="2">
        <f>349-(D466+E466)</f>
        <v>220</v>
      </c>
      <c r="G466" s="2">
        <f t="shared" si="82"/>
        <v>349</v>
      </c>
      <c r="H466" s="45">
        <f t="shared" si="83"/>
        <v>0.36962750716332377</v>
      </c>
    </row>
    <row r="467" spans="1:8" ht="13.5" thickBot="1" x14ac:dyDescent="0.25">
      <c r="A467" s="51">
        <v>15</v>
      </c>
      <c r="B467" s="52">
        <v>704</v>
      </c>
      <c r="C467" s="53" t="s">
        <v>104</v>
      </c>
      <c r="D467" s="61">
        <v>190</v>
      </c>
      <c r="E467" s="94">
        <v>57</v>
      </c>
      <c r="F467" s="2">
        <f>724-(D467+E467)</f>
        <v>477</v>
      </c>
      <c r="G467" s="2">
        <f t="shared" si="82"/>
        <v>724</v>
      </c>
      <c r="H467" s="56">
        <f t="shared" si="83"/>
        <v>0.34116022099447513</v>
      </c>
    </row>
    <row r="468" spans="1:8" ht="13.5" thickBot="1" x14ac:dyDescent="0.25">
      <c r="A468" s="46"/>
      <c r="B468" s="47">
        <f>COUNTA(B463:B467)</f>
        <v>5</v>
      </c>
      <c r="C468" s="48" t="s">
        <v>20</v>
      </c>
      <c r="D468" s="4">
        <f>SUM(D463:D467)</f>
        <v>621</v>
      </c>
      <c r="E468" s="3">
        <f>SUM(E463:E467)</f>
        <v>235</v>
      </c>
      <c r="F468" s="50">
        <f>SUM(F463:F467)</f>
        <v>1372</v>
      </c>
      <c r="G468" s="3">
        <f t="shared" si="82"/>
        <v>2228</v>
      </c>
      <c r="H468" s="49">
        <f t="shared" si="83"/>
        <v>0.38420107719928187</v>
      </c>
    </row>
    <row r="469" spans="1:8" x14ac:dyDescent="0.2">
      <c r="A469" s="51"/>
      <c r="B469" s="52"/>
      <c r="C469" s="53"/>
      <c r="D469" s="5"/>
      <c r="E469" s="55"/>
      <c r="F469" s="54"/>
      <c r="G469" s="55"/>
      <c r="H469" s="56"/>
    </row>
    <row r="470" spans="1:8" x14ac:dyDescent="0.2">
      <c r="A470" s="51"/>
      <c r="B470" s="52"/>
      <c r="C470" s="58" t="s">
        <v>105</v>
      </c>
      <c r="D470" s="5"/>
      <c r="E470" s="55"/>
      <c r="F470" s="54"/>
      <c r="G470" s="55"/>
      <c r="H470" s="56"/>
    </row>
    <row r="471" spans="1:8" x14ac:dyDescent="0.2">
      <c r="A471" s="42">
        <v>16</v>
      </c>
      <c r="B471" s="43">
        <v>110</v>
      </c>
      <c r="C471" s="98" t="s">
        <v>677</v>
      </c>
      <c r="D471" s="61">
        <v>31</v>
      </c>
      <c r="E471" s="2">
        <v>13</v>
      </c>
      <c r="F471" s="2">
        <f>49-(D471+E471)</f>
        <v>5</v>
      </c>
      <c r="G471" s="2">
        <f t="shared" ref="G471:G477" si="84">SUM(D471:F471)</f>
        <v>49</v>
      </c>
      <c r="H471" s="45">
        <f t="shared" ref="H471:H476" si="85">+(D471+E471)/G471</f>
        <v>0.89795918367346939</v>
      </c>
    </row>
    <row r="472" spans="1:8" x14ac:dyDescent="0.2">
      <c r="A472" s="42">
        <v>16</v>
      </c>
      <c r="B472" s="43">
        <v>116</v>
      </c>
      <c r="C472" s="44" t="s">
        <v>106</v>
      </c>
      <c r="D472" s="61">
        <v>142</v>
      </c>
      <c r="E472" s="2">
        <v>82</v>
      </c>
      <c r="F472" s="2">
        <f>455-(D472+E472)</f>
        <v>231</v>
      </c>
      <c r="G472" s="2">
        <f t="shared" si="84"/>
        <v>455</v>
      </c>
      <c r="H472" s="45">
        <f t="shared" si="85"/>
        <v>0.49230769230769234</v>
      </c>
    </row>
    <row r="473" spans="1:8" x14ac:dyDescent="0.2">
      <c r="A473" s="42">
        <v>16</v>
      </c>
      <c r="B473" s="43">
        <v>120</v>
      </c>
      <c r="C473" s="44" t="s">
        <v>107</v>
      </c>
      <c r="D473" s="61">
        <v>45</v>
      </c>
      <c r="E473" s="2">
        <v>40</v>
      </c>
      <c r="F473" s="2">
        <f>134-(D473+E473)</f>
        <v>49</v>
      </c>
      <c r="G473" s="2">
        <f t="shared" si="84"/>
        <v>134</v>
      </c>
      <c r="H473" s="45">
        <f t="shared" si="85"/>
        <v>0.63432835820895528</v>
      </c>
    </row>
    <row r="474" spans="1:8" x14ac:dyDescent="0.2">
      <c r="A474" s="42">
        <v>16</v>
      </c>
      <c r="B474" s="43">
        <v>130</v>
      </c>
      <c r="C474" s="98" t="s">
        <v>678</v>
      </c>
      <c r="D474" s="61">
        <v>11</v>
      </c>
      <c r="E474" s="2">
        <v>10</v>
      </c>
      <c r="F474" s="2">
        <f>26-(D474+E474)</f>
        <v>5</v>
      </c>
      <c r="G474" s="2">
        <f t="shared" si="84"/>
        <v>26</v>
      </c>
      <c r="H474" s="45">
        <f t="shared" si="85"/>
        <v>0.80769230769230771</v>
      </c>
    </row>
    <row r="475" spans="1:8" x14ac:dyDescent="0.2">
      <c r="A475" s="42">
        <v>16</v>
      </c>
      <c r="B475" s="43">
        <v>310</v>
      </c>
      <c r="C475" s="44" t="s">
        <v>108</v>
      </c>
      <c r="D475" s="61">
        <v>34</v>
      </c>
      <c r="E475" s="2">
        <v>28</v>
      </c>
      <c r="F475" s="2">
        <f>116-(D475+E475)</f>
        <v>54</v>
      </c>
      <c r="G475" s="2">
        <f t="shared" si="84"/>
        <v>116</v>
      </c>
      <c r="H475" s="45">
        <f t="shared" si="85"/>
        <v>0.53448275862068961</v>
      </c>
    </row>
    <row r="476" spans="1:8" x14ac:dyDescent="0.2">
      <c r="A476" s="42">
        <v>16</v>
      </c>
      <c r="B476" s="43">
        <v>704</v>
      </c>
      <c r="C476" s="44" t="s">
        <v>109</v>
      </c>
      <c r="D476" s="61">
        <v>54</v>
      </c>
      <c r="E476" s="2">
        <v>24</v>
      </c>
      <c r="F476" s="2">
        <f>255-(D476+E476)</f>
        <v>177</v>
      </c>
      <c r="G476" s="2">
        <f t="shared" si="84"/>
        <v>255</v>
      </c>
      <c r="H476" s="45">
        <f t="shared" si="85"/>
        <v>0.30588235294117649</v>
      </c>
    </row>
    <row r="477" spans="1:8" x14ac:dyDescent="0.2">
      <c r="A477" s="42">
        <v>16</v>
      </c>
      <c r="B477" s="43">
        <v>704</v>
      </c>
      <c r="C477" s="44" t="s">
        <v>110</v>
      </c>
      <c r="D477" s="61">
        <v>26</v>
      </c>
      <c r="E477" s="2">
        <v>22</v>
      </c>
      <c r="F477" s="2">
        <f>123-(D477+E477)</f>
        <v>75</v>
      </c>
      <c r="G477" s="2">
        <f t="shared" si="84"/>
        <v>123</v>
      </c>
      <c r="H477" s="45">
        <f>+(D477+E477)/G477</f>
        <v>0.3902439024390244</v>
      </c>
    </row>
    <row r="478" spans="1:8" ht="13.5" thickBot="1" x14ac:dyDescent="0.25">
      <c r="A478" s="42">
        <v>16</v>
      </c>
      <c r="B478" s="43">
        <v>900</v>
      </c>
      <c r="C478" s="98" t="s">
        <v>427</v>
      </c>
      <c r="D478" s="61">
        <v>18</v>
      </c>
      <c r="E478" s="2">
        <v>0</v>
      </c>
      <c r="F478" s="2">
        <f>18-(D478+E478)</f>
        <v>0</v>
      </c>
      <c r="G478" s="2">
        <f>SUM(D478:F478)</f>
        <v>18</v>
      </c>
      <c r="H478" s="45">
        <f>+(D478+E478)/G478</f>
        <v>1</v>
      </c>
    </row>
    <row r="479" spans="1:8" ht="13.5" thickBot="1" x14ac:dyDescent="0.25">
      <c r="A479" s="46"/>
      <c r="B479" s="47">
        <f>COUNTA(B471:B478)</f>
        <v>8</v>
      </c>
      <c r="C479" s="48" t="s">
        <v>20</v>
      </c>
      <c r="D479" s="4">
        <f>SUM(D471:D478)</f>
        <v>361</v>
      </c>
      <c r="E479" s="3">
        <f>SUM(E471:E478)</f>
        <v>219</v>
      </c>
      <c r="F479" s="50">
        <f>SUM(F471:F478)</f>
        <v>596</v>
      </c>
      <c r="G479" s="3">
        <f>SUM(D479:F479)</f>
        <v>1176</v>
      </c>
      <c r="H479" s="49">
        <f>+(D479+E479)/G479</f>
        <v>0.49319727891156462</v>
      </c>
    </row>
    <row r="480" spans="1:8" x14ac:dyDescent="0.2">
      <c r="A480" s="51"/>
      <c r="B480" s="52"/>
      <c r="C480" s="53"/>
      <c r="D480" s="5"/>
      <c r="E480" s="55"/>
      <c r="F480" s="54"/>
      <c r="G480" s="55"/>
      <c r="H480" s="56"/>
    </row>
    <row r="481" spans="1:8" x14ac:dyDescent="0.2">
      <c r="A481" s="51"/>
      <c r="B481" s="52"/>
      <c r="C481" s="58" t="s">
        <v>111</v>
      </c>
      <c r="D481" s="5"/>
      <c r="E481" s="55"/>
      <c r="F481" s="54"/>
      <c r="G481" s="55"/>
      <c r="H481" s="56"/>
    </row>
    <row r="482" spans="1:8" x14ac:dyDescent="0.2">
      <c r="A482" s="42">
        <v>17</v>
      </c>
      <c r="B482" s="43">
        <v>105</v>
      </c>
      <c r="C482" s="98" t="s">
        <v>680</v>
      </c>
      <c r="D482" s="61">
        <v>244</v>
      </c>
      <c r="E482" s="2">
        <v>73</v>
      </c>
      <c r="F482" s="2">
        <f>534-(D482+E482)</f>
        <v>217</v>
      </c>
      <c r="G482" s="2">
        <f t="shared" ref="G482" si="86">SUM(D482:F482)</f>
        <v>534</v>
      </c>
      <c r="H482" s="45">
        <f t="shared" ref="H482" si="87">+(D482+E482)/G482</f>
        <v>0.59363295880149813</v>
      </c>
    </row>
    <row r="483" spans="1:8" x14ac:dyDescent="0.2">
      <c r="A483" s="42">
        <v>17</v>
      </c>
      <c r="B483" s="43">
        <v>109</v>
      </c>
      <c r="C483" s="98" t="s">
        <v>679</v>
      </c>
      <c r="D483" s="61">
        <v>83</v>
      </c>
      <c r="E483" s="2">
        <v>23</v>
      </c>
      <c r="F483" s="2">
        <f>207-(D483+E483)</f>
        <v>101</v>
      </c>
      <c r="G483" s="2">
        <f t="shared" ref="G483" si="88">SUM(D483:F483)</f>
        <v>207</v>
      </c>
      <c r="H483" s="45">
        <f t="shared" ref="H483" si="89">+(D483+E483)/G483</f>
        <v>0.51207729468599039</v>
      </c>
    </row>
    <row r="484" spans="1:8" x14ac:dyDescent="0.2">
      <c r="A484" s="42">
        <v>17</v>
      </c>
      <c r="B484" s="43">
        <v>112</v>
      </c>
      <c r="C484" s="98" t="s">
        <v>682</v>
      </c>
      <c r="D484" s="61">
        <v>198</v>
      </c>
      <c r="E484" s="2">
        <v>66</v>
      </c>
      <c r="F484" s="2">
        <f>480-(D484+E484)</f>
        <v>216</v>
      </c>
      <c r="G484" s="2">
        <f t="shared" ref="G484:G488" si="90">SUM(D484:F484)</f>
        <v>480</v>
      </c>
      <c r="H484" s="45">
        <f t="shared" ref="H484:H488" si="91">+(D484+E484)/G484</f>
        <v>0.55000000000000004</v>
      </c>
    </row>
    <row r="485" spans="1:8" x14ac:dyDescent="0.2">
      <c r="A485" s="42">
        <v>17</v>
      </c>
      <c r="B485" s="43">
        <v>310</v>
      </c>
      <c r="C485" s="98" t="s">
        <v>681</v>
      </c>
      <c r="D485" s="61">
        <v>225</v>
      </c>
      <c r="E485" s="2">
        <v>74</v>
      </c>
      <c r="F485" s="2">
        <f>562-(D485+E485)</f>
        <v>263</v>
      </c>
      <c r="G485" s="2">
        <f t="shared" si="90"/>
        <v>562</v>
      </c>
      <c r="H485" s="45">
        <f t="shared" si="91"/>
        <v>0.53202846975088969</v>
      </c>
    </row>
    <row r="486" spans="1:8" x14ac:dyDescent="0.2">
      <c r="A486" s="42">
        <v>17</v>
      </c>
      <c r="B486" s="43">
        <v>320</v>
      </c>
      <c r="C486" s="44" t="s">
        <v>112</v>
      </c>
      <c r="D486" s="61">
        <v>123</v>
      </c>
      <c r="E486" s="2">
        <v>49</v>
      </c>
      <c r="F486" s="2">
        <f>308-(D486+E486)</f>
        <v>136</v>
      </c>
      <c r="G486" s="2">
        <f t="shared" si="90"/>
        <v>308</v>
      </c>
      <c r="H486" s="45">
        <f t="shared" si="91"/>
        <v>0.55844155844155841</v>
      </c>
    </row>
    <row r="487" spans="1:8" x14ac:dyDescent="0.2">
      <c r="A487" s="42">
        <v>17</v>
      </c>
      <c r="B487" s="43">
        <v>704</v>
      </c>
      <c r="C487" s="44" t="s">
        <v>113</v>
      </c>
      <c r="D487" s="61">
        <v>177</v>
      </c>
      <c r="E487" s="2">
        <v>60</v>
      </c>
      <c r="F487" s="2">
        <f>584-(D487+E487)</f>
        <v>347</v>
      </c>
      <c r="G487" s="2">
        <f t="shared" si="90"/>
        <v>584</v>
      </c>
      <c r="H487" s="45">
        <f t="shared" si="91"/>
        <v>0.40582191780821919</v>
      </c>
    </row>
    <row r="488" spans="1:8" ht="13.5" thickBot="1" x14ac:dyDescent="0.25">
      <c r="A488" s="42">
        <v>17</v>
      </c>
      <c r="B488" s="43">
        <v>708</v>
      </c>
      <c r="C488" s="44" t="s">
        <v>114</v>
      </c>
      <c r="D488" s="61">
        <v>101</v>
      </c>
      <c r="E488" s="2">
        <v>45</v>
      </c>
      <c r="F488" s="2">
        <f>288-(D488+E488)</f>
        <v>142</v>
      </c>
      <c r="G488" s="2">
        <f t="shared" si="90"/>
        <v>288</v>
      </c>
      <c r="H488" s="45">
        <f t="shared" si="91"/>
        <v>0.50694444444444442</v>
      </c>
    </row>
    <row r="489" spans="1:8" ht="13.5" thickBot="1" x14ac:dyDescent="0.25">
      <c r="A489" s="46"/>
      <c r="B489" s="47">
        <f>COUNTA(B482:B488)</f>
        <v>7</v>
      </c>
      <c r="C489" s="48" t="s">
        <v>20</v>
      </c>
      <c r="D489" s="4">
        <f>SUM(D482:D488)</f>
        <v>1151</v>
      </c>
      <c r="E489" s="3">
        <f>SUM(E482:E488)</f>
        <v>390</v>
      </c>
      <c r="F489" s="50">
        <f>SUM(F482:F488)</f>
        <v>1422</v>
      </c>
      <c r="G489" s="3">
        <f>SUM(D489:F489)</f>
        <v>2963</v>
      </c>
      <c r="H489" s="49">
        <f>+(D489+E489)/G489</f>
        <v>0.5200809989875127</v>
      </c>
    </row>
    <row r="490" spans="1:8" x14ac:dyDescent="0.2">
      <c r="A490" s="51"/>
      <c r="B490" s="52"/>
      <c r="C490" s="53"/>
      <c r="D490" s="5"/>
      <c r="E490" s="55"/>
      <c r="F490" s="54"/>
      <c r="G490" s="55"/>
      <c r="H490" s="56"/>
    </row>
    <row r="491" spans="1:8" x14ac:dyDescent="0.2">
      <c r="A491" s="51"/>
      <c r="B491" s="52"/>
      <c r="C491" s="58" t="s">
        <v>42</v>
      </c>
      <c r="D491" s="5"/>
      <c r="E491" s="55"/>
      <c r="F491" s="54"/>
      <c r="G491" s="55"/>
      <c r="H491" s="56"/>
    </row>
    <row r="492" spans="1:8" x14ac:dyDescent="0.2">
      <c r="A492" s="42">
        <v>18</v>
      </c>
      <c r="B492" s="43">
        <v>104</v>
      </c>
      <c r="C492" s="44" t="s">
        <v>115</v>
      </c>
      <c r="D492" s="61">
        <v>98</v>
      </c>
      <c r="E492" s="2">
        <v>65</v>
      </c>
      <c r="F492" s="2">
        <f>646-(D492+E492)</f>
        <v>483</v>
      </c>
      <c r="G492" s="2">
        <f>SUM(D492:F492)</f>
        <v>646</v>
      </c>
      <c r="H492" s="45">
        <f>+(D492+E492)/G492</f>
        <v>0.25232198142414863</v>
      </c>
    </row>
    <row r="493" spans="1:8" x14ac:dyDescent="0.2">
      <c r="A493" s="42">
        <v>18</v>
      </c>
      <c r="B493" s="99">
        <v>106</v>
      </c>
      <c r="C493" s="98" t="s">
        <v>357</v>
      </c>
      <c r="D493" s="61">
        <v>35</v>
      </c>
      <c r="E493" s="2">
        <v>22</v>
      </c>
      <c r="F493" s="2">
        <f>646-(D493+E493)</f>
        <v>589</v>
      </c>
      <c r="G493" s="2">
        <f>SUM(D493:F493)</f>
        <v>646</v>
      </c>
      <c r="H493" s="45">
        <f>+(D493+E493)/G493</f>
        <v>8.8235294117647065E-2</v>
      </c>
    </row>
    <row r="494" spans="1:8" x14ac:dyDescent="0.2">
      <c r="A494" s="42">
        <v>18</v>
      </c>
      <c r="B494" s="43">
        <v>304</v>
      </c>
      <c r="C494" s="44" t="s">
        <v>116</v>
      </c>
      <c r="D494" s="61">
        <v>70</v>
      </c>
      <c r="E494" s="2">
        <v>43</v>
      </c>
      <c r="F494" s="2">
        <f>570-(D494+E494)</f>
        <v>457</v>
      </c>
      <c r="G494" s="2">
        <f>SUM(D494:F494)</f>
        <v>570</v>
      </c>
      <c r="H494" s="45">
        <f>+(D494+E494)/G494</f>
        <v>0.19824561403508772</v>
      </c>
    </row>
    <row r="495" spans="1:8" ht="13.5" thickBot="1" x14ac:dyDescent="0.25">
      <c r="A495" s="51">
        <v>18</v>
      </c>
      <c r="B495" s="52">
        <v>704</v>
      </c>
      <c r="C495" s="53" t="s">
        <v>117</v>
      </c>
      <c r="D495" s="61">
        <v>81</v>
      </c>
      <c r="E495" s="2">
        <v>37</v>
      </c>
      <c r="F495" s="2">
        <f>741-(D495+E495)</f>
        <v>623</v>
      </c>
      <c r="G495" s="2">
        <f>SUM(D495:F495)</f>
        <v>741</v>
      </c>
      <c r="H495" s="56">
        <f>+(D495+E495)/G495</f>
        <v>0.15924426450742241</v>
      </c>
    </row>
    <row r="496" spans="1:8" ht="13.5" thickBot="1" x14ac:dyDescent="0.25">
      <c r="A496" s="46"/>
      <c r="B496" s="47">
        <f>COUNTA(B492:B495)</f>
        <v>4</v>
      </c>
      <c r="C496" s="48" t="s">
        <v>20</v>
      </c>
      <c r="D496" s="4">
        <f>SUM(D492:D495)</f>
        <v>284</v>
      </c>
      <c r="E496" s="3">
        <f>SUM(E492:E495)</f>
        <v>167</v>
      </c>
      <c r="F496" s="50">
        <f>SUM(F492:F495)</f>
        <v>2152</v>
      </c>
      <c r="G496" s="3">
        <f>SUM(D496:F496)</f>
        <v>2603</v>
      </c>
      <c r="H496" s="49">
        <f>+(D496+E496)/G496</f>
        <v>0.17326162120630043</v>
      </c>
    </row>
    <row r="497" spans="1:8" x14ac:dyDescent="0.2">
      <c r="A497" s="51"/>
      <c r="B497" s="52"/>
      <c r="C497" s="53"/>
      <c r="D497" s="5"/>
      <c r="E497" s="55"/>
      <c r="F497" s="54"/>
      <c r="G497" s="55"/>
      <c r="H497" s="56"/>
    </row>
    <row r="498" spans="1:8" x14ac:dyDescent="0.2">
      <c r="A498" s="51"/>
      <c r="B498" s="52"/>
      <c r="C498" s="58" t="s">
        <v>118</v>
      </c>
      <c r="D498" s="5"/>
      <c r="E498" s="55"/>
      <c r="F498" s="54"/>
      <c r="G498" s="55"/>
      <c r="H498" s="56"/>
    </row>
    <row r="499" spans="1:8" x14ac:dyDescent="0.2">
      <c r="A499" s="42">
        <v>19</v>
      </c>
      <c r="B499" s="43">
        <v>100</v>
      </c>
      <c r="C499" s="98" t="s">
        <v>719</v>
      </c>
      <c r="D499" s="61">
        <v>174</v>
      </c>
      <c r="E499" s="2">
        <v>69</v>
      </c>
      <c r="F499" s="2">
        <f>698-(D499+E499)</f>
        <v>455</v>
      </c>
      <c r="G499" s="2">
        <f t="shared" ref="G499:G538" si="92">SUM(D499:F499)</f>
        <v>698</v>
      </c>
      <c r="H499" s="45">
        <f t="shared" ref="H499:H538" si="93">+(D499+E499)/G499</f>
        <v>0.34813753581661894</v>
      </c>
    </row>
    <row r="500" spans="1:8" x14ac:dyDescent="0.2">
      <c r="A500" s="42">
        <v>19</v>
      </c>
      <c r="B500" s="43">
        <v>104</v>
      </c>
      <c r="C500" s="98" t="s">
        <v>720</v>
      </c>
      <c r="D500" s="61">
        <v>245</v>
      </c>
      <c r="E500" s="2">
        <v>82</v>
      </c>
      <c r="F500" s="2">
        <f>705-(D500+E500)</f>
        <v>378</v>
      </c>
      <c r="G500" s="2">
        <f t="shared" si="92"/>
        <v>705</v>
      </c>
      <c r="H500" s="45">
        <f t="shared" si="93"/>
        <v>0.46382978723404256</v>
      </c>
    </row>
    <row r="501" spans="1:8" x14ac:dyDescent="0.2">
      <c r="A501" s="42">
        <v>19</v>
      </c>
      <c r="B501" s="43">
        <v>108</v>
      </c>
      <c r="C501" s="98" t="s">
        <v>721</v>
      </c>
      <c r="D501" s="61">
        <v>195</v>
      </c>
      <c r="E501" s="2">
        <v>73</v>
      </c>
      <c r="F501" s="2">
        <f>615-(D501+E501)</f>
        <v>347</v>
      </c>
      <c r="G501" s="2">
        <f t="shared" si="92"/>
        <v>615</v>
      </c>
      <c r="H501" s="45">
        <f t="shared" si="93"/>
        <v>0.43577235772357725</v>
      </c>
    </row>
    <row r="502" spans="1:8" x14ac:dyDescent="0.2">
      <c r="A502" s="42">
        <v>19</v>
      </c>
      <c r="B502" s="43">
        <v>112</v>
      </c>
      <c r="C502" s="98" t="s">
        <v>722</v>
      </c>
      <c r="D502" s="61">
        <v>247</v>
      </c>
      <c r="E502" s="2">
        <v>65</v>
      </c>
      <c r="F502" s="2">
        <f>697-(D502+E502)</f>
        <v>385</v>
      </c>
      <c r="G502" s="2">
        <f t="shared" si="92"/>
        <v>697</v>
      </c>
      <c r="H502" s="45">
        <f t="shared" si="93"/>
        <v>0.44763271162123386</v>
      </c>
    </row>
    <row r="503" spans="1:8" x14ac:dyDescent="0.2">
      <c r="A503" s="42">
        <v>19</v>
      </c>
      <c r="B503" s="43">
        <v>116</v>
      </c>
      <c r="C503" s="98" t="s">
        <v>479</v>
      </c>
      <c r="D503" s="61">
        <v>103</v>
      </c>
      <c r="E503" s="2">
        <v>48</v>
      </c>
      <c r="F503" s="2">
        <f>686-(D503+E503)</f>
        <v>535</v>
      </c>
      <c r="G503" s="2">
        <f t="shared" si="92"/>
        <v>686</v>
      </c>
      <c r="H503" s="45">
        <f t="shared" si="93"/>
        <v>0.22011661807580174</v>
      </c>
    </row>
    <row r="504" spans="1:8" x14ac:dyDescent="0.2">
      <c r="A504" s="42">
        <v>19</v>
      </c>
      <c r="B504" s="43">
        <v>117</v>
      </c>
      <c r="C504" s="98" t="s">
        <v>723</v>
      </c>
      <c r="D504" s="61">
        <v>268</v>
      </c>
      <c r="E504" s="2">
        <v>92</v>
      </c>
      <c r="F504" s="2">
        <f>718-(D504+E504)</f>
        <v>358</v>
      </c>
      <c r="G504" s="2">
        <f>SUM(D504:F504)</f>
        <v>718</v>
      </c>
      <c r="H504" s="45">
        <f>+(D504+E504)/G504</f>
        <v>0.50139275766016711</v>
      </c>
    </row>
    <row r="505" spans="1:8" x14ac:dyDescent="0.2">
      <c r="A505" s="42">
        <v>19</v>
      </c>
      <c r="B505" s="43">
        <v>118</v>
      </c>
      <c r="C505" s="98" t="s">
        <v>724</v>
      </c>
      <c r="D505" s="61">
        <v>174</v>
      </c>
      <c r="E505" s="2">
        <v>76</v>
      </c>
      <c r="F505" s="2">
        <f>905-(D505+E505)</f>
        <v>655</v>
      </c>
      <c r="G505" s="2">
        <f>SUM(D505:F505)</f>
        <v>905</v>
      </c>
      <c r="H505" s="45">
        <f>+(D505+E505)/G505</f>
        <v>0.27624309392265195</v>
      </c>
    </row>
    <row r="506" spans="1:8" x14ac:dyDescent="0.2">
      <c r="A506" s="42">
        <v>19</v>
      </c>
      <c r="B506" s="43">
        <v>119</v>
      </c>
      <c r="C506" s="98" t="s">
        <v>692</v>
      </c>
      <c r="D506" s="61">
        <v>121</v>
      </c>
      <c r="E506" s="2">
        <v>51</v>
      </c>
      <c r="F506" s="2">
        <f>685-(D506+E506)</f>
        <v>513</v>
      </c>
      <c r="G506" s="2">
        <f>SUM(D506:F506)</f>
        <v>685</v>
      </c>
      <c r="H506" s="45">
        <f>+(D506+E506)/G506</f>
        <v>0.25109489051094891</v>
      </c>
    </row>
    <row r="507" spans="1:8" x14ac:dyDescent="0.2">
      <c r="A507" s="42">
        <v>19</v>
      </c>
      <c r="B507" s="43">
        <v>120</v>
      </c>
      <c r="C507" s="98" t="s">
        <v>725</v>
      </c>
      <c r="D507" s="61">
        <v>165</v>
      </c>
      <c r="E507" s="2">
        <v>60</v>
      </c>
      <c r="F507" s="2">
        <f>412-(D507+E507)</f>
        <v>187</v>
      </c>
      <c r="G507" s="2">
        <f t="shared" si="92"/>
        <v>412</v>
      </c>
      <c r="H507" s="45">
        <f t="shared" si="93"/>
        <v>0.54611650485436891</v>
      </c>
    </row>
    <row r="508" spans="1:8" x14ac:dyDescent="0.2">
      <c r="A508" s="42">
        <v>19</v>
      </c>
      <c r="B508" s="43">
        <v>130</v>
      </c>
      <c r="C508" s="98" t="s">
        <v>726</v>
      </c>
      <c r="D508" s="61">
        <v>107</v>
      </c>
      <c r="E508" s="2">
        <v>38</v>
      </c>
      <c r="F508" s="2">
        <f>736-(D508+E508)</f>
        <v>591</v>
      </c>
      <c r="G508" s="2">
        <f>SUM(D508:F508)</f>
        <v>736</v>
      </c>
      <c r="H508" s="45">
        <f>+(D508+E508)/G508</f>
        <v>0.19701086956521738</v>
      </c>
    </row>
    <row r="509" spans="1:8" x14ac:dyDescent="0.2">
      <c r="A509" s="42">
        <v>19</v>
      </c>
      <c r="B509" s="43">
        <v>136</v>
      </c>
      <c r="C509" s="98" t="s">
        <v>727</v>
      </c>
      <c r="D509" s="61">
        <v>169</v>
      </c>
      <c r="E509" s="2">
        <v>74</v>
      </c>
      <c r="F509" s="2">
        <f>535-(D509+E509)</f>
        <v>292</v>
      </c>
      <c r="G509" s="2">
        <f t="shared" si="92"/>
        <v>535</v>
      </c>
      <c r="H509" s="45">
        <f t="shared" si="93"/>
        <v>0.45420560747663552</v>
      </c>
    </row>
    <row r="510" spans="1:8" x14ac:dyDescent="0.2">
      <c r="A510" s="42">
        <v>19</v>
      </c>
      <c r="B510" s="43">
        <v>140</v>
      </c>
      <c r="C510" s="98" t="s">
        <v>729</v>
      </c>
      <c r="D510" s="61">
        <v>119</v>
      </c>
      <c r="E510" s="2">
        <v>51</v>
      </c>
      <c r="F510" s="2">
        <f>879-(D510+E510)</f>
        <v>709</v>
      </c>
      <c r="G510" s="2">
        <f t="shared" si="92"/>
        <v>879</v>
      </c>
      <c r="H510" s="45">
        <f t="shared" si="93"/>
        <v>0.19340159271899887</v>
      </c>
    </row>
    <row r="511" spans="1:8" x14ac:dyDescent="0.2">
      <c r="A511" s="42">
        <v>19</v>
      </c>
      <c r="B511" s="43">
        <v>142</v>
      </c>
      <c r="C511" s="98" t="s">
        <v>730</v>
      </c>
      <c r="D511" s="61">
        <v>80</v>
      </c>
      <c r="E511" s="2">
        <v>26</v>
      </c>
      <c r="F511" s="2">
        <f>474-(D511+E511)</f>
        <v>368</v>
      </c>
      <c r="G511" s="2">
        <f t="shared" si="92"/>
        <v>474</v>
      </c>
      <c r="H511" s="45">
        <f t="shared" si="93"/>
        <v>0.22362869198312235</v>
      </c>
    </row>
    <row r="512" spans="1:8" x14ac:dyDescent="0.2">
      <c r="A512" s="42">
        <v>19</v>
      </c>
      <c r="B512" s="43">
        <v>143</v>
      </c>
      <c r="C512" s="98" t="s">
        <v>731</v>
      </c>
      <c r="D512" s="61">
        <v>216</v>
      </c>
      <c r="E512" s="2">
        <v>86</v>
      </c>
      <c r="F512" s="2">
        <f>735-(D512+E512)</f>
        <v>433</v>
      </c>
      <c r="G512" s="2">
        <f>SUM(D512:F512)</f>
        <v>735</v>
      </c>
      <c r="H512" s="45">
        <f>+(D512+E512)/G512</f>
        <v>0.41088435374149662</v>
      </c>
    </row>
    <row r="513" spans="1:8" x14ac:dyDescent="0.2">
      <c r="A513" s="42">
        <v>19</v>
      </c>
      <c r="B513" s="43">
        <v>144</v>
      </c>
      <c r="C513" s="98" t="s">
        <v>486</v>
      </c>
      <c r="D513" s="61">
        <v>214</v>
      </c>
      <c r="E513" s="2">
        <v>80</v>
      </c>
      <c r="F513" s="2">
        <f>540-(D513+E513)</f>
        <v>246</v>
      </c>
      <c r="G513" s="2">
        <f t="shared" si="92"/>
        <v>540</v>
      </c>
      <c r="H513" s="45">
        <f t="shared" si="93"/>
        <v>0.5444444444444444</v>
      </c>
    </row>
    <row r="514" spans="1:8" x14ac:dyDescent="0.2">
      <c r="A514" s="42">
        <v>19</v>
      </c>
      <c r="B514" s="43">
        <v>148</v>
      </c>
      <c r="C514" s="98" t="s">
        <v>732</v>
      </c>
      <c r="D514" s="61">
        <v>183</v>
      </c>
      <c r="E514" s="2">
        <v>103</v>
      </c>
      <c r="F514" s="2">
        <f>640-(D514+E514)</f>
        <v>354</v>
      </c>
      <c r="G514" s="2">
        <f>SUM(D514:F514)</f>
        <v>640</v>
      </c>
      <c r="H514" s="45">
        <f>+(D514+E514)/G514</f>
        <v>0.44687500000000002</v>
      </c>
    </row>
    <row r="515" spans="1:8" x14ac:dyDescent="0.2">
      <c r="A515" s="42">
        <v>19</v>
      </c>
      <c r="B515" s="43">
        <v>156</v>
      </c>
      <c r="C515" s="98" t="s">
        <v>734</v>
      </c>
      <c r="D515" s="61">
        <v>286</v>
      </c>
      <c r="E515" s="2">
        <v>111</v>
      </c>
      <c r="F515" s="2">
        <f>884-(D515+E515)</f>
        <v>487</v>
      </c>
      <c r="G515" s="2">
        <f t="shared" si="92"/>
        <v>884</v>
      </c>
      <c r="H515" s="45">
        <f t="shared" si="93"/>
        <v>0.4490950226244344</v>
      </c>
    </row>
    <row r="516" spans="1:8" x14ac:dyDescent="0.2">
      <c r="A516" s="42">
        <v>19</v>
      </c>
      <c r="B516" s="43">
        <v>158</v>
      </c>
      <c r="C516" s="98" t="s">
        <v>736</v>
      </c>
      <c r="D516" s="61">
        <v>165</v>
      </c>
      <c r="E516" s="2">
        <v>102</v>
      </c>
      <c r="F516" s="2">
        <f>802-(D516+E516)</f>
        <v>535</v>
      </c>
      <c r="G516" s="2">
        <f>SUM(D516:F516)</f>
        <v>802</v>
      </c>
      <c r="H516" s="45">
        <f>+(D516+E516)/G516</f>
        <v>0.33291770573566087</v>
      </c>
    </row>
    <row r="517" spans="1:8" x14ac:dyDescent="0.2">
      <c r="A517" s="42">
        <v>19</v>
      </c>
      <c r="B517" s="43">
        <v>160</v>
      </c>
      <c r="C517" s="98" t="s">
        <v>735</v>
      </c>
      <c r="D517" s="61">
        <v>216</v>
      </c>
      <c r="E517" s="2">
        <v>82</v>
      </c>
      <c r="F517" s="2">
        <f>778-(D517+E517)</f>
        <v>480</v>
      </c>
      <c r="G517" s="2">
        <f t="shared" si="92"/>
        <v>778</v>
      </c>
      <c r="H517" s="45">
        <f t="shared" si="93"/>
        <v>0.38303341902313626</v>
      </c>
    </row>
    <row r="518" spans="1:8" x14ac:dyDescent="0.2">
      <c r="A518" s="42">
        <v>19</v>
      </c>
      <c r="B518" s="43">
        <v>164</v>
      </c>
      <c r="C518" s="98" t="s">
        <v>737</v>
      </c>
      <c r="D518" s="61">
        <v>105</v>
      </c>
      <c r="E518" s="2">
        <v>56</v>
      </c>
      <c r="F518" s="2">
        <f>455-(D518+E518)</f>
        <v>294</v>
      </c>
      <c r="G518" s="2">
        <f t="shared" si="92"/>
        <v>455</v>
      </c>
      <c r="H518" s="45">
        <f t="shared" si="93"/>
        <v>0.35384615384615387</v>
      </c>
    </row>
    <row r="519" spans="1:8" x14ac:dyDescent="0.2">
      <c r="A519" s="42">
        <v>19</v>
      </c>
      <c r="B519" s="43">
        <v>168</v>
      </c>
      <c r="C519" s="98" t="s">
        <v>440</v>
      </c>
      <c r="D519" s="61">
        <v>235</v>
      </c>
      <c r="E519" s="2">
        <v>111</v>
      </c>
      <c r="F519" s="2">
        <f>675-(D519+E519)</f>
        <v>329</v>
      </c>
      <c r="G519" s="2">
        <f t="shared" si="92"/>
        <v>675</v>
      </c>
      <c r="H519" s="45">
        <f t="shared" si="93"/>
        <v>0.5125925925925926</v>
      </c>
    </row>
    <row r="520" spans="1:8" x14ac:dyDescent="0.2">
      <c r="A520" s="42">
        <v>19</v>
      </c>
      <c r="B520" s="43">
        <v>170</v>
      </c>
      <c r="C520" s="98" t="s">
        <v>740</v>
      </c>
      <c r="D520" s="61">
        <v>180</v>
      </c>
      <c r="E520" s="2">
        <v>100</v>
      </c>
      <c r="F520" s="2">
        <f>834-(D520+E520)</f>
        <v>554</v>
      </c>
      <c r="G520" s="2">
        <f t="shared" si="92"/>
        <v>834</v>
      </c>
      <c r="H520" s="45">
        <f>+(D520+E520)/G520</f>
        <v>0.33573141486810554</v>
      </c>
    </row>
    <row r="521" spans="1:8" x14ac:dyDescent="0.2">
      <c r="A521" s="42">
        <v>19</v>
      </c>
      <c r="B521" s="43">
        <v>171</v>
      </c>
      <c r="C521" s="98" t="s">
        <v>741</v>
      </c>
      <c r="D521" s="61">
        <v>204</v>
      </c>
      <c r="E521" s="2">
        <v>86</v>
      </c>
      <c r="F521" s="2">
        <f>793-(D521+E521)</f>
        <v>503</v>
      </c>
      <c r="G521" s="2">
        <f t="shared" si="92"/>
        <v>793</v>
      </c>
      <c r="H521" s="45">
        <f>+(D521+E521)/G521</f>
        <v>0.3656998738965952</v>
      </c>
    </row>
    <row r="522" spans="1:8" x14ac:dyDescent="0.2">
      <c r="A522" s="42">
        <v>19</v>
      </c>
      <c r="B522" s="43">
        <v>172</v>
      </c>
      <c r="C522" s="98" t="s">
        <v>742</v>
      </c>
      <c r="D522" s="61">
        <v>181</v>
      </c>
      <c r="E522" s="2">
        <v>75</v>
      </c>
      <c r="F522" s="2">
        <f>481-(D522+E522)</f>
        <v>225</v>
      </c>
      <c r="G522" s="2">
        <f t="shared" si="92"/>
        <v>481</v>
      </c>
      <c r="H522" s="45">
        <f t="shared" si="93"/>
        <v>0.53222453222453225</v>
      </c>
    </row>
    <row r="523" spans="1:8" x14ac:dyDescent="0.2">
      <c r="A523" s="42">
        <v>19</v>
      </c>
      <c r="B523" s="43">
        <v>180</v>
      </c>
      <c r="C523" s="98" t="s">
        <v>743</v>
      </c>
      <c r="D523" s="61">
        <v>307</v>
      </c>
      <c r="E523" s="2">
        <v>116</v>
      </c>
      <c r="F523" s="2">
        <f>758-(D523+E523)</f>
        <v>335</v>
      </c>
      <c r="G523" s="2">
        <f t="shared" si="92"/>
        <v>758</v>
      </c>
      <c r="H523" s="45">
        <f t="shared" si="93"/>
        <v>0.55804749340369397</v>
      </c>
    </row>
    <row r="524" spans="1:8" x14ac:dyDescent="0.2">
      <c r="A524" s="42">
        <v>19</v>
      </c>
      <c r="B524" s="43">
        <v>184</v>
      </c>
      <c r="C524" s="98" t="s">
        <v>744</v>
      </c>
      <c r="D524" s="61">
        <v>246</v>
      </c>
      <c r="E524" s="2">
        <v>86</v>
      </c>
      <c r="F524" s="2">
        <f>529-(D524+E524)</f>
        <v>197</v>
      </c>
      <c r="G524" s="2">
        <f t="shared" si="92"/>
        <v>529</v>
      </c>
      <c r="H524" s="45">
        <f t="shared" si="93"/>
        <v>0.6275992438563327</v>
      </c>
    </row>
    <row r="525" spans="1:8" x14ac:dyDescent="0.2">
      <c r="A525" s="42">
        <v>19</v>
      </c>
      <c r="B525" s="43">
        <v>402</v>
      </c>
      <c r="C525" s="44" t="s">
        <v>275</v>
      </c>
      <c r="D525" s="61">
        <v>350</v>
      </c>
      <c r="E525" s="2">
        <v>146</v>
      </c>
      <c r="F525" s="2">
        <f>1302-(D525+E525)</f>
        <v>806</v>
      </c>
      <c r="G525" s="2">
        <f t="shared" si="92"/>
        <v>1302</v>
      </c>
      <c r="H525" s="45">
        <f t="shared" si="93"/>
        <v>0.38095238095238093</v>
      </c>
    </row>
    <row r="526" spans="1:8" x14ac:dyDescent="0.2">
      <c r="A526" s="42">
        <v>19</v>
      </c>
      <c r="B526" s="43">
        <v>404</v>
      </c>
      <c r="C526" s="44" t="s">
        <v>267</v>
      </c>
      <c r="D526" s="61">
        <v>224</v>
      </c>
      <c r="E526" s="2">
        <v>89</v>
      </c>
      <c r="F526" s="2">
        <f>1154-(D526+E526)</f>
        <v>841</v>
      </c>
      <c r="G526" s="2">
        <f t="shared" si="92"/>
        <v>1154</v>
      </c>
      <c r="H526" s="45">
        <f t="shared" si="93"/>
        <v>0.27123050259965337</v>
      </c>
    </row>
    <row r="527" spans="1:8" x14ac:dyDescent="0.2">
      <c r="A527" s="42">
        <v>19</v>
      </c>
      <c r="B527" s="43">
        <v>406</v>
      </c>
      <c r="C527" s="44" t="s">
        <v>276</v>
      </c>
      <c r="D527" s="61">
        <v>266</v>
      </c>
      <c r="E527" s="2">
        <v>96</v>
      </c>
      <c r="F527" s="2">
        <f>877-(D527+E527)</f>
        <v>515</v>
      </c>
      <c r="G527" s="2">
        <f>SUM(D527:F527)</f>
        <v>877</v>
      </c>
      <c r="H527" s="45">
        <f>+(D527+E527)/G527</f>
        <v>0.41277080957810719</v>
      </c>
    </row>
    <row r="528" spans="1:8" x14ac:dyDescent="0.2">
      <c r="A528" s="42">
        <v>19</v>
      </c>
      <c r="B528" s="43">
        <v>408</v>
      </c>
      <c r="C528" s="98" t="s">
        <v>733</v>
      </c>
      <c r="D528" s="61">
        <v>345</v>
      </c>
      <c r="E528" s="2">
        <v>122</v>
      </c>
      <c r="F528" s="2">
        <f>1058-(D528+E528)</f>
        <v>591</v>
      </c>
      <c r="G528" s="2">
        <f t="shared" si="92"/>
        <v>1058</v>
      </c>
      <c r="H528" s="45">
        <f t="shared" si="93"/>
        <v>0.44139886578449905</v>
      </c>
    </row>
    <row r="529" spans="1:8" x14ac:dyDescent="0.2">
      <c r="A529" s="42">
        <v>19</v>
      </c>
      <c r="B529" s="43">
        <v>420</v>
      </c>
      <c r="C529" s="98" t="s">
        <v>739</v>
      </c>
      <c r="D529" s="61">
        <v>249</v>
      </c>
      <c r="E529" s="2">
        <v>91</v>
      </c>
      <c r="F529" s="2">
        <f>1178-(D529+E529)</f>
        <v>838</v>
      </c>
      <c r="G529" s="2">
        <f t="shared" si="92"/>
        <v>1178</v>
      </c>
      <c r="H529" s="45">
        <f t="shared" si="93"/>
        <v>0.28862478777589134</v>
      </c>
    </row>
    <row r="530" spans="1:8" x14ac:dyDescent="0.2">
      <c r="A530" s="42">
        <v>19</v>
      </c>
      <c r="B530" s="43">
        <v>424</v>
      </c>
      <c r="C530" s="44" t="s">
        <v>119</v>
      </c>
      <c r="D530" s="61">
        <v>281</v>
      </c>
      <c r="E530" s="2">
        <v>94</v>
      </c>
      <c r="F530" s="2">
        <f>920-(D530+E530)</f>
        <v>545</v>
      </c>
      <c r="G530" s="2">
        <f t="shared" si="92"/>
        <v>920</v>
      </c>
      <c r="H530" s="45">
        <f t="shared" si="93"/>
        <v>0.40760869565217389</v>
      </c>
    </row>
    <row r="531" spans="1:8" x14ac:dyDescent="0.2">
      <c r="A531" s="42">
        <v>19</v>
      </c>
      <c r="B531" s="43">
        <v>640</v>
      </c>
      <c r="C531" s="44" t="s">
        <v>254</v>
      </c>
      <c r="D531" s="61">
        <v>13</v>
      </c>
      <c r="E531" s="2">
        <v>0</v>
      </c>
      <c r="F531" s="2">
        <f>29-(D531+E531)</f>
        <v>16</v>
      </c>
      <c r="G531" s="2">
        <f>SUM(D531:F531)</f>
        <v>29</v>
      </c>
      <c r="H531" s="45">
        <f>+(D531+E531)/G531</f>
        <v>0.44827586206896552</v>
      </c>
    </row>
    <row r="532" spans="1:8" x14ac:dyDescent="0.2">
      <c r="A532" s="42">
        <v>19</v>
      </c>
      <c r="B532" s="43">
        <v>702</v>
      </c>
      <c r="C532" s="98" t="s">
        <v>728</v>
      </c>
      <c r="D532" s="61">
        <v>157</v>
      </c>
      <c r="E532" s="2">
        <v>89</v>
      </c>
      <c r="F532" s="2">
        <f>1194-(D532+E532)</f>
        <v>948</v>
      </c>
      <c r="G532" s="2">
        <f>SUM(D532:F532)</f>
        <v>1194</v>
      </c>
      <c r="H532" s="45">
        <f>+(D532+E532)/G532</f>
        <v>0.20603015075376885</v>
      </c>
    </row>
    <row r="533" spans="1:8" x14ac:dyDescent="0.2">
      <c r="A533" s="42">
        <v>19</v>
      </c>
      <c r="B533" s="43">
        <v>704</v>
      </c>
      <c r="C533" s="44" t="s">
        <v>255</v>
      </c>
      <c r="D533" s="61">
        <v>299</v>
      </c>
      <c r="E533" s="2">
        <v>120</v>
      </c>
      <c r="F533" s="2">
        <f>1024-(D533+E533)</f>
        <v>605</v>
      </c>
      <c r="G533" s="2">
        <f t="shared" si="92"/>
        <v>1024</v>
      </c>
      <c r="H533" s="45">
        <f t="shared" si="93"/>
        <v>0.4091796875</v>
      </c>
    </row>
    <row r="534" spans="1:8" x14ac:dyDescent="0.2">
      <c r="A534" s="42">
        <v>19</v>
      </c>
      <c r="B534" s="43">
        <v>706</v>
      </c>
      <c r="C534" s="98" t="s">
        <v>738</v>
      </c>
      <c r="D534" s="61">
        <v>184</v>
      </c>
      <c r="E534" s="2">
        <v>69</v>
      </c>
      <c r="F534" s="2">
        <f>1130-(D534+E534)</f>
        <v>877</v>
      </c>
      <c r="G534" s="2">
        <f t="shared" ref="G534" si="94">SUM(D534:F534)</f>
        <v>1130</v>
      </c>
      <c r="H534" s="45">
        <f t="shared" ref="H534" si="95">+(D534+E534)/G534</f>
        <v>0.22389380530973452</v>
      </c>
    </row>
    <row r="535" spans="1:8" x14ac:dyDescent="0.2">
      <c r="A535" s="42">
        <v>19</v>
      </c>
      <c r="B535" s="43">
        <v>708</v>
      </c>
      <c r="C535" s="44" t="s">
        <v>256</v>
      </c>
      <c r="D535" s="61">
        <v>244</v>
      </c>
      <c r="E535" s="2">
        <v>67</v>
      </c>
      <c r="F535" s="2">
        <f>1012-(D535+E535)</f>
        <v>701</v>
      </c>
      <c r="G535" s="2">
        <f t="shared" si="92"/>
        <v>1012</v>
      </c>
      <c r="H535" s="45">
        <f t="shared" si="93"/>
        <v>0.30731225296442688</v>
      </c>
    </row>
    <row r="536" spans="1:8" x14ac:dyDescent="0.2">
      <c r="A536" s="42">
        <v>19</v>
      </c>
      <c r="B536" s="43">
        <v>712</v>
      </c>
      <c r="C536" s="44" t="s">
        <v>257</v>
      </c>
      <c r="D536" s="61">
        <v>245</v>
      </c>
      <c r="E536" s="2">
        <v>83</v>
      </c>
      <c r="F536" s="2">
        <f>1140-(D536+E536)</f>
        <v>812</v>
      </c>
      <c r="G536" s="2">
        <f t="shared" si="92"/>
        <v>1140</v>
      </c>
      <c r="H536" s="45">
        <f t="shared" si="93"/>
        <v>0.28771929824561404</v>
      </c>
    </row>
    <row r="537" spans="1:8" x14ac:dyDescent="0.2">
      <c r="A537" s="42">
        <v>19</v>
      </c>
      <c r="B537" s="43">
        <v>720</v>
      </c>
      <c r="C537" s="44" t="s">
        <v>120</v>
      </c>
      <c r="D537" s="61">
        <v>130</v>
      </c>
      <c r="E537" s="2">
        <v>22</v>
      </c>
      <c r="F537" s="2">
        <f>263-(D537+E537)</f>
        <v>111</v>
      </c>
      <c r="G537" s="2">
        <f t="shared" si="92"/>
        <v>263</v>
      </c>
      <c r="H537" s="45">
        <f t="shared" si="93"/>
        <v>0.57794676806083645</v>
      </c>
    </row>
    <row r="538" spans="1:8" ht="13.5" thickBot="1" x14ac:dyDescent="0.25">
      <c r="A538" s="51">
        <v>19</v>
      </c>
      <c r="B538" s="52">
        <v>750</v>
      </c>
      <c r="C538" s="117" t="s">
        <v>439</v>
      </c>
      <c r="D538" s="61">
        <v>46</v>
      </c>
      <c r="E538" s="2">
        <v>0</v>
      </c>
      <c r="F538" s="2">
        <f>46-(D538+E538)</f>
        <v>0</v>
      </c>
      <c r="G538" s="2">
        <f t="shared" si="92"/>
        <v>46</v>
      </c>
      <c r="H538" s="56">
        <f t="shared" si="93"/>
        <v>1</v>
      </c>
    </row>
    <row r="539" spans="1:8" ht="13.5" thickBot="1" x14ac:dyDescent="0.25">
      <c r="A539" s="46"/>
      <c r="B539" s="47">
        <f>COUNTA(B499:B538)</f>
        <v>40</v>
      </c>
      <c r="C539" s="48" t="s">
        <v>20</v>
      </c>
      <c r="D539" s="4">
        <f>SUM(D499:D538)</f>
        <v>7938</v>
      </c>
      <c r="E539" s="3">
        <f>SUM(E499:E538)</f>
        <v>3087</v>
      </c>
      <c r="F539" s="50">
        <f>SUM(F499:F538)</f>
        <v>18951</v>
      </c>
      <c r="G539" s="3">
        <f>SUM(D539:F539)</f>
        <v>29976</v>
      </c>
      <c r="H539" s="49">
        <f>+(D539+E539)/G539</f>
        <v>0.36779423538831063</v>
      </c>
    </row>
    <row r="540" spans="1:8" x14ac:dyDescent="0.2">
      <c r="A540" s="51"/>
      <c r="B540" s="52"/>
      <c r="C540" s="53"/>
      <c r="D540" s="5"/>
      <c r="E540" s="55"/>
      <c r="F540" s="54"/>
      <c r="G540" s="55"/>
      <c r="H540" s="56"/>
    </row>
    <row r="541" spans="1:8" x14ac:dyDescent="0.2">
      <c r="A541" s="51"/>
      <c r="B541" s="52"/>
      <c r="C541" s="58" t="s">
        <v>121</v>
      </c>
      <c r="D541" s="67"/>
      <c r="E541" s="68"/>
      <c r="F541" s="66"/>
      <c r="G541" s="55"/>
      <c r="H541" s="56"/>
    </row>
    <row r="542" spans="1:8" x14ac:dyDescent="0.2">
      <c r="A542" s="42">
        <v>20</v>
      </c>
      <c r="B542" s="43">
        <v>104</v>
      </c>
      <c r="C542" s="98" t="s">
        <v>745</v>
      </c>
      <c r="D542" s="61">
        <v>93</v>
      </c>
      <c r="E542" s="2">
        <v>37</v>
      </c>
      <c r="F542" s="2">
        <f>248-(D542+E542)</f>
        <v>118</v>
      </c>
      <c r="G542" s="2">
        <f t="shared" ref="G542:G547" si="96">SUM(D542:F542)</f>
        <v>248</v>
      </c>
      <c r="H542" s="45">
        <f t="shared" ref="H542:H547" si="97">+(D542+E542)/G542</f>
        <v>0.52419354838709675</v>
      </c>
    </row>
    <row r="543" spans="1:8" x14ac:dyDescent="0.2">
      <c r="A543" s="42">
        <v>20</v>
      </c>
      <c r="B543" s="43">
        <v>108</v>
      </c>
      <c r="C543" s="98" t="s">
        <v>746</v>
      </c>
      <c r="D543" s="61">
        <v>48</v>
      </c>
      <c r="E543" s="2">
        <v>21</v>
      </c>
      <c r="F543" s="2">
        <f>143-(D543+E543)</f>
        <v>74</v>
      </c>
      <c r="G543" s="2">
        <f t="shared" si="96"/>
        <v>143</v>
      </c>
      <c r="H543" s="45">
        <f t="shared" si="97"/>
        <v>0.4825174825174825</v>
      </c>
    </row>
    <row r="544" spans="1:8" x14ac:dyDescent="0.2">
      <c r="A544" s="42">
        <v>20</v>
      </c>
      <c r="B544" s="43">
        <v>112</v>
      </c>
      <c r="C544" s="98" t="s">
        <v>748</v>
      </c>
      <c r="D544" s="61">
        <v>141</v>
      </c>
      <c r="E544" s="2">
        <v>51</v>
      </c>
      <c r="F544" s="2">
        <f>356-(D544+E544)</f>
        <v>164</v>
      </c>
      <c r="G544" s="2">
        <f t="shared" si="96"/>
        <v>356</v>
      </c>
      <c r="H544" s="45">
        <f t="shared" si="97"/>
        <v>0.5393258426966292</v>
      </c>
    </row>
    <row r="545" spans="1:8" x14ac:dyDescent="0.2">
      <c r="A545" s="42">
        <v>20</v>
      </c>
      <c r="B545" s="43">
        <v>116</v>
      </c>
      <c r="C545" s="98" t="s">
        <v>747</v>
      </c>
      <c r="D545" s="61">
        <v>161</v>
      </c>
      <c r="E545" s="2">
        <v>45</v>
      </c>
      <c r="F545" s="2">
        <f>297-(D545+E545)</f>
        <v>91</v>
      </c>
      <c r="G545" s="2">
        <f t="shared" si="96"/>
        <v>297</v>
      </c>
      <c r="H545" s="45">
        <f t="shared" si="97"/>
        <v>0.69360269360269355</v>
      </c>
    </row>
    <row r="546" spans="1:8" x14ac:dyDescent="0.2">
      <c r="A546" s="42">
        <v>20</v>
      </c>
      <c r="B546" s="43">
        <v>120</v>
      </c>
      <c r="C546" s="98" t="s">
        <v>749</v>
      </c>
      <c r="D546" s="61">
        <v>84</v>
      </c>
      <c r="E546" s="2">
        <v>25</v>
      </c>
      <c r="F546" s="2">
        <f>154-(D546+E546)</f>
        <v>45</v>
      </c>
      <c r="G546" s="2">
        <f t="shared" si="96"/>
        <v>154</v>
      </c>
      <c r="H546" s="45">
        <f t="shared" si="97"/>
        <v>0.70779220779220775</v>
      </c>
    </row>
    <row r="547" spans="1:8" x14ac:dyDescent="0.2">
      <c r="A547" s="42">
        <v>20</v>
      </c>
      <c r="B547" s="43">
        <v>404</v>
      </c>
      <c r="C547" s="44" t="s">
        <v>217</v>
      </c>
      <c r="D547" s="61">
        <v>146</v>
      </c>
      <c r="E547" s="2">
        <v>68</v>
      </c>
      <c r="F547" s="2">
        <f>366-(D547+E547)</f>
        <v>152</v>
      </c>
      <c r="G547" s="2">
        <f t="shared" si="96"/>
        <v>366</v>
      </c>
      <c r="H547" s="45">
        <f t="shared" si="97"/>
        <v>0.58469945355191255</v>
      </c>
    </row>
    <row r="548" spans="1:8" ht="13.5" thickBot="1" x14ac:dyDescent="0.25">
      <c r="A548" s="42">
        <v>20</v>
      </c>
      <c r="B548" s="43">
        <v>704</v>
      </c>
      <c r="C548" s="44" t="s">
        <v>122</v>
      </c>
      <c r="D548" s="61">
        <v>229</v>
      </c>
      <c r="E548" s="2">
        <v>82</v>
      </c>
      <c r="F548" s="2">
        <f>709-(D548+E548)</f>
        <v>398</v>
      </c>
      <c r="G548" s="2">
        <f>SUM(D548:F548)</f>
        <v>709</v>
      </c>
      <c r="H548" s="45">
        <f>+(D548+E548)/G548</f>
        <v>0.43864598025387869</v>
      </c>
    </row>
    <row r="549" spans="1:8" ht="13.5" thickBot="1" x14ac:dyDescent="0.25">
      <c r="A549" s="46"/>
      <c r="B549" s="47">
        <f>COUNTA(B542:B548)</f>
        <v>7</v>
      </c>
      <c r="C549" s="48" t="s">
        <v>20</v>
      </c>
      <c r="D549" s="4">
        <f>SUM(D542:D548)</f>
        <v>902</v>
      </c>
      <c r="E549" s="4">
        <f>SUM(E542:E548)</f>
        <v>329</v>
      </c>
      <c r="F549" s="4">
        <f>SUM(F542:F548)</f>
        <v>1042</v>
      </c>
      <c r="G549" s="4">
        <f>SUM(G542:G548)</f>
        <v>2273</v>
      </c>
      <c r="H549" s="49">
        <f>+(D549+E549)/G549</f>
        <v>0.54157501099868011</v>
      </c>
    </row>
    <row r="550" spans="1:8" x14ac:dyDescent="0.2">
      <c r="A550" s="51"/>
      <c r="B550" s="52"/>
      <c r="C550" s="53"/>
      <c r="D550" s="5"/>
      <c r="E550" s="55"/>
      <c r="F550" s="54"/>
      <c r="G550" s="55"/>
      <c r="H550" s="56"/>
    </row>
    <row r="551" spans="1:8" x14ac:dyDescent="0.2">
      <c r="A551" s="51"/>
      <c r="B551" s="52"/>
      <c r="C551" s="58" t="s">
        <v>123</v>
      </c>
      <c r="D551" s="5"/>
      <c r="E551" s="55"/>
      <c r="F551" s="54"/>
      <c r="G551" s="55"/>
      <c r="H551" s="56"/>
    </row>
    <row r="552" spans="1:8" x14ac:dyDescent="0.2">
      <c r="A552" s="42">
        <v>21</v>
      </c>
      <c r="B552" s="43">
        <v>110</v>
      </c>
      <c r="C552" s="44" t="s">
        <v>124</v>
      </c>
      <c r="D552" s="61">
        <v>101</v>
      </c>
      <c r="E552" s="2">
        <v>31</v>
      </c>
      <c r="F552" s="2">
        <f>328-(D552+E552)</f>
        <v>196</v>
      </c>
      <c r="G552" s="2">
        <f>SUM(D552:F552)</f>
        <v>328</v>
      </c>
      <c r="H552" s="45">
        <f>+(D552+E552)/G552</f>
        <v>0.40243902439024393</v>
      </c>
    </row>
    <row r="553" spans="1:8" x14ac:dyDescent="0.2">
      <c r="A553" s="42">
        <v>21</v>
      </c>
      <c r="B553" s="43">
        <v>304</v>
      </c>
      <c r="C553" s="44" t="s">
        <v>125</v>
      </c>
      <c r="D553" s="61">
        <v>76</v>
      </c>
      <c r="E553" s="2">
        <v>15</v>
      </c>
      <c r="F553" s="2">
        <f>292-(D553+E553)</f>
        <v>201</v>
      </c>
      <c r="G553" s="2">
        <f>SUM(D553:F553)</f>
        <v>292</v>
      </c>
      <c r="H553" s="45">
        <f>+(D553+E553)/G553</f>
        <v>0.31164383561643838</v>
      </c>
    </row>
    <row r="554" spans="1:8" ht="13.5" thickBot="1" x14ac:dyDescent="0.25">
      <c r="A554" s="51">
        <v>21</v>
      </c>
      <c r="B554" s="52">
        <v>704</v>
      </c>
      <c r="C554" s="53" t="s">
        <v>126</v>
      </c>
      <c r="D554" s="61">
        <v>63</v>
      </c>
      <c r="E554" s="2">
        <v>13</v>
      </c>
      <c r="F554" s="2">
        <f>292-(D554+E554)</f>
        <v>216</v>
      </c>
      <c r="G554" s="2">
        <f>SUM(D554:F554)</f>
        <v>292</v>
      </c>
      <c r="H554" s="56">
        <f>+(D554+E554)/G554</f>
        <v>0.26027397260273971</v>
      </c>
    </row>
    <row r="555" spans="1:8" ht="13.5" thickBot="1" x14ac:dyDescent="0.25">
      <c r="A555" s="46"/>
      <c r="B555" s="47">
        <f>COUNTA(B552:B554)</f>
        <v>3</v>
      </c>
      <c r="C555" s="48" t="s">
        <v>20</v>
      </c>
      <c r="D555" s="4">
        <f>SUM(D552:D554)</f>
        <v>240</v>
      </c>
      <c r="E555" s="3">
        <f>SUM(E552:E554)</f>
        <v>59</v>
      </c>
      <c r="F555" s="50">
        <f>SUM(F552:F554)</f>
        <v>613</v>
      </c>
      <c r="G555" s="3">
        <f>SUM(D555:F555)</f>
        <v>912</v>
      </c>
      <c r="H555" s="49">
        <f>+(D555+E555)/G555</f>
        <v>0.32785087719298245</v>
      </c>
    </row>
    <row r="556" spans="1:8" x14ac:dyDescent="0.2">
      <c r="A556" s="51"/>
      <c r="B556" s="52"/>
      <c r="C556" s="53"/>
      <c r="D556" s="5"/>
      <c r="E556" s="55"/>
      <c r="F556" s="54"/>
      <c r="G556" s="55"/>
      <c r="H556" s="56"/>
    </row>
    <row r="557" spans="1:8" x14ac:dyDescent="0.2">
      <c r="A557" s="51"/>
      <c r="B557" s="52"/>
      <c r="C557" s="58" t="s">
        <v>127</v>
      </c>
      <c r="D557" s="5"/>
      <c r="E557" s="55"/>
      <c r="F557" s="54"/>
      <c r="G557" s="55"/>
      <c r="H557" s="56"/>
    </row>
    <row r="558" spans="1:8" x14ac:dyDescent="0.2">
      <c r="A558" s="42">
        <v>22</v>
      </c>
      <c r="B558" s="43">
        <v>104</v>
      </c>
      <c r="C558" s="98" t="s">
        <v>753</v>
      </c>
      <c r="D558" s="61">
        <v>121</v>
      </c>
      <c r="E558" s="2">
        <v>13</v>
      </c>
      <c r="F558" s="2">
        <f>552-(D558+E558)</f>
        <v>418</v>
      </c>
      <c r="G558" s="2">
        <f t="shared" ref="G558:G564" si="98">SUM(D558:F558)</f>
        <v>552</v>
      </c>
      <c r="H558" s="45">
        <f t="shared" ref="H558:H564" si="99">+(D558+E558)/G558</f>
        <v>0.24275362318840579</v>
      </c>
    </row>
    <row r="559" spans="1:8" x14ac:dyDescent="0.2">
      <c r="A559" s="42">
        <v>22</v>
      </c>
      <c r="B559" s="43">
        <v>108</v>
      </c>
      <c r="C559" s="98" t="s">
        <v>751</v>
      </c>
      <c r="D559" s="61">
        <v>195</v>
      </c>
      <c r="E559" s="2">
        <v>13</v>
      </c>
      <c r="F559" s="2">
        <f>396-(D559+E559)</f>
        <v>188</v>
      </c>
      <c r="G559" s="2">
        <f t="shared" si="98"/>
        <v>396</v>
      </c>
      <c r="H559" s="45">
        <f t="shared" si="99"/>
        <v>0.5252525252525253</v>
      </c>
    </row>
    <row r="560" spans="1:8" x14ac:dyDescent="0.2">
      <c r="A560" s="42">
        <v>22</v>
      </c>
      <c r="B560" s="43">
        <v>112</v>
      </c>
      <c r="C560" s="98" t="s">
        <v>750</v>
      </c>
      <c r="D560" s="61">
        <v>82</v>
      </c>
      <c r="E560" s="2">
        <v>9</v>
      </c>
      <c r="F560" s="2">
        <f>524-(D560+E560)</f>
        <v>433</v>
      </c>
      <c r="G560" s="2">
        <f t="shared" si="98"/>
        <v>524</v>
      </c>
      <c r="H560" s="45">
        <f t="shared" si="99"/>
        <v>0.17366412213740459</v>
      </c>
    </row>
    <row r="561" spans="1:8" x14ac:dyDescent="0.2">
      <c r="A561" s="42">
        <v>22</v>
      </c>
      <c r="B561" s="43">
        <v>116</v>
      </c>
      <c r="C561" s="98" t="s">
        <v>754</v>
      </c>
      <c r="D561" s="61">
        <v>80</v>
      </c>
      <c r="E561" s="2">
        <v>17</v>
      </c>
      <c r="F561" s="2">
        <f>485-(D561+E561)</f>
        <v>388</v>
      </c>
      <c r="G561" s="2">
        <f t="shared" si="98"/>
        <v>485</v>
      </c>
      <c r="H561" s="45">
        <f>+(D561+E561)/G561</f>
        <v>0.2</v>
      </c>
    </row>
    <row r="562" spans="1:8" x14ac:dyDescent="0.2">
      <c r="A562" s="42">
        <v>22</v>
      </c>
      <c r="B562" s="43">
        <v>304</v>
      </c>
      <c r="C562" s="44" t="s">
        <v>128</v>
      </c>
      <c r="D562" s="61">
        <v>104</v>
      </c>
      <c r="E562" s="2">
        <v>12</v>
      </c>
      <c r="F562" s="2">
        <f>714-(D562+E562)</f>
        <v>598</v>
      </c>
      <c r="G562" s="2">
        <f t="shared" si="98"/>
        <v>714</v>
      </c>
      <c r="H562" s="45">
        <f t="shared" si="99"/>
        <v>0.16246498599439776</v>
      </c>
    </row>
    <row r="563" spans="1:8" x14ac:dyDescent="0.2">
      <c r="A563" s="85">
        <v>22</v>
      </c>
      <c r="B563" s="85">
        <v>308</v>
      </c>
      <c r="C563" s="87" t="s">
        <v>129</v>
      </c>
      <c r="D563" s="61">
        <v>101</v>
      </c>
      <c r="E563" s="2">
        <v>16</v>
      </c>
      <c r="F563" s="2">
        <f>675-(D563+E563)</f>
        <v>558</v>
      </c>
      <c r="G563" s="2">
        <f>SUM(D563:F563)</f>
        <v>675</v>
      </c>
      <c r="H563" s="56">
        <f>+(D563+E563)/G563</f>
        <v>0.17333333333333334</v>
      </c>
    </row>
    <row r="564" spans="1:8" ht="13.5" thickBot="1" x14ac:dyDescent="0.25">
      <c r="A564" s="120">
        <v>22</v>
      </c>
      <c r="B564" s="69">
        <v>704</v>
      </c>
      <c r="C564" s="102" t="s">
        <v>752</v>
      </c>
      <c r="D564" s="61">
        <v>123</v>
      </c>
      <c r="E564" s="2">
        <v>23</v>
      </c>
      <c r="F564" s="2">
        <f>1071-(D564+E564)</f>
        <v>925</v>
      </c>
      <c r="G564" s="2">
        <f t="shared" si="98"/>
        <v>1071</v>
      </c>
      <c r="H564" s="70">
        <f t="shared" si="99"/>
        <v>0.13632119514472454</v>
      </c>
    </row>
    <row r="565" spans="1:8" ht="13.5" thickBot="1" x14ac:dyDescent="0.25">
      <c r="A565" s="46"/>
      <c r="B565" s="47">
        <f>COUNTA(B558:B564)</f>
        <v>7</v>
      </c>
      <c r="C565" s="48" t="s">
        <v>20</v>
      </c>
      <c r="D565" s="4">
        <f>SUM(D558:D564)</f>
        <v>806</v>
      </c>
      <c r="E565" s="3">
        <f>SUM(E558:E564)</f>
        <v>103</v>
      </c>
      <c r="F565" s="50">
        <f>SUM(F558:F564)</f>
        <v>3508</v>
      </c>
      <c r="G565" s="3">
        <f>SUM(D565:F565)</f>
        <v>4417</v>
      </c>
      <c r="H565" s="49">
        <f>+(D565+E565)/G565</f>
        <v>0.20579578899705683</v>
      </c>
    </row>
    <row r="566" spans="1:8" x14ac:dyDescent="0.2">
      <c r="A566" s="51"/>
      <c r="B566" s="52"/>
      <c r="C566" s="53"/>
      <c r="D566" s="5"/>
      <c r="E566" s="55"/>
      <c r="F566" s="54"/>
      <c r="G566" s="55"/>
      <c r="H566" s="56"/>
    </row>
    <row r="567" spans="1:8" x14ac:dyDescent="0.2">
      <c r="A567" s="51"/>
      <c r="B567" s="52"/>
      <c r="C567" s="58" t="s">
        <v>130</v>
      </c>
      <c r="D567" s="5"/>
      <c r="E567" s="55"/>
      <c r="F567" s="54"/>
      <c r="G567" s="55"/>
      <c r="H567" s="56"/>
    </row>
    <row r="568" spans="1:8" x14ac:dyDescent="0.2">
      <c r="A568" s="42">
        <v>23</v>
      </c>
      <c r="B568" s="43">
        <v>104</v>
      </c>
      <c r="C568" s="98" t="s">
        <v>755</v>
      </c>
      <c r="D568" s="61">
        <v>79</v>
      </c>
      <c r="E568" s="2">
        <v>18</v>
      </c>
      <c r="F568" s="2">
        <f>137-(D568+E568)</f>
        <v>40</v>
      </c>
      <c r="G568" s="2">
        <f>SUM(D568:F568)</f>
        <v>137</v>
      </c>
      <c r="H568" s="45">
        <f>+(D568+E568)/G568</f>
        <v>0.70802919708029199</v>
      </c>
    </row>
    <row r="569" spans="1:8" x14ac:dyDescent="0.2">
      <c r="A569" s="42">
        <v>23</v>
      </c>
      <c r="B569" s="43">
        <v>112</v>
      </c>
      <c r="C569" s="98" t="s">
        <v>756</v>
      </c>
      <c r="D569" s="61">
        <v>21</v>
      </c>
      <c r="E569" s="2">
        <v>11</v>
      </c>
      <c r="F569" s="2">
        <f>40-(D569+E569)</f>
        <v>8</v>
      </c>
      <c r="G569" s="2">
        <f>SUM(D569:F569)</f>
        <v>40</v>
      </c>
      <c r="H569" s="45">
        <f>+(D569+E569)/G569</f>
        <v>0.8</v>
      </c>
    </row>
    <row r="570" spans="1:8" ht="13.5" thickBot="1" x14ac:dyDescent="0.25">
      <c r="A570" s="51">
        <v>23</v>
      </c>
      <c r="B570" s="52">
        <v>708</v>
      </c>
      <c r="C570" s="53" t="s">
        <v>131</v>
      </c>
      <c r="D570" s="61">
        <v>81</v>
      </c>
      <c r="E570" s="2">
        <v>20</v>
      </c>
      <c r="F570" s="2">
        <f>169-(D570+E570)</f>
        <v>68</v>
      </c>
      <c r="G570" s="2">
        <f>SUM(D570:F570)</f>
        <v>169</v>
      </c>
      <c r="H570" s="56">
        <f>+(D570+E570)/G570</f>
        <v>0.59763313609467461</v>
      </c>
    </row>
    <row r="571" spans="1:8" ht="13.5" thickBot="1" x14ac:dyDescent="0.25">
      <c r="A571" s="46"/>
      <c r="B571" s="47">
        <f>COUNTA(B568:B570)</f>
        <v>3</v>
      </c>
      <c r="C571" s="48" t="s">
        <v>20</v>
      </c>
      <c r="D571" s="4">
        <f>SUM(D568:D570)</f>
        <v>181</v>
      </c>
      <c r="E571" s="3">
        <f>SUM(E568:E570)</f>
        <v>49</v>
      </c>
      <c r="F571" s="50">
        <f>SUM(F568:F570)</f>
        <v>116</v>
      </c>
      <c r="G571" s="3">
        <f>SUM(D571:F571)</f>
        <v>346</v>
      </c>
      <c r="H571" s="49">
        <f>+(D571+E571)/G571</f>
        <v>0.66473988439306353</v>
      </c>
    </row>
    <row r="572" spans="1:8" x14ac:dyDescent="0.2">
      <c r="A572" s="51"/>
      <c r="B572" s="52"/>
      <c r="C572" s="53"/>
      <c r="D572" s="5"/>
      <c r="E572" s="55"/>
      <c r="F572" s="54"/>
      <c r="G572" s="55"/>
      <c r="H572" s="56"/>
    </row>
    <row r="573" spans="1:8" x14ac:dyDescent="0.2">
      <c r="A573" s="51"/>
      <c r="B573" s="52"/>
      <c r="C573" s="58" t="s">
        <v>132</v>
      </c>
      <c r="D573" s="5"/>
      <c r="E573" s="55"/>
      <c r="F573" s="54"/>
      <c r="G573" s="55"/>
      <c r="H573" s="56"/>
    </row>
    <row r="574" spans="1:8" x14ac:dyDescent="0.2">
      <c r="A574" s="42">
        <v>24</v>
      </c>
      <c r="B574" s="43">
        <v>110</v>
      </c>
      <c r="C574" s="44" t="s">
        <v>211</v>
      </c>
      <c r="D574" s="61">
        <v>56</v>
      </c>
      <c r="E574" s="2">
        <v>7</v>
      </c>
      <c r="F574" s="2">
        <f>119-(D574+E574)</f>
        <v>56</v>
      </c>
      <c r="G574" s="2">
        <f>SUM(D574:F574)</f>
        <v>119</v>
      </c>
      <c r="H574" s="45">
        <f>+(D574+E574)/G574</f>
        <v>0.52941176470588236</v>
      </c>
    </row>
    <row r="575" spans="1:8" x14ac:dyDescent="0.2">
      <c r="A575" s="42">
        <v>24</v>
      </c>
      <c r="B575" s="43">
        <v>112</v>
      </c>
      <c r="C575" s="44" t="s">
        <v>212</v>
      </c>
      <c r="D575" s="61">
        <v>78</v>
      </c>
      <c r="E575" s="2">
        <v>5</v>
      </c>
      <c r="F575" s="2">
        <f>125-(D575+E575)</f>
        <v>42</v>
      </c>
      <c r="G575" s="2">
        <f>SUM(D575:F575)</f>
        <v>125</v>
      </c>
      <c r="H575" s="45">
        <f>+(D575+E575)/G575</f>
        <v>0.66400000000000003</v>
      </c>
    </row>
    <row r="576" spans="1:8" x14ac:dyDescent="0.2">
      <c r="A576" s="42">
        <v>24</v>
      </c>
      <c r="B576" s="43">
        <v>304</v>
      </c>
      <c r="C576" s="128" t="s">
        <v>213</v>
      </c>
      <c r="D576" s="61">
        <v>51</v>
      </c>
      <c r="E576" s="2">
        <v>4</v>
      </c>
      <c r="F576" s="2">
        <f>98-(D576+E576)</f>
        <v>43</v>
      </c>
      <c r="G576" s="2">
        <f>SUM(D576:F576)</f>
        <v>98</v>
      </c>
      <c r="H576" s="45">
        <f>+(D576+E576)/G576</f>
        <v>0.56122448979591832</v>
      </c>
    </row>
    <row r="577" spans="1:8" ht="13.5" thickBot="1" x14ac:dyDescent="0.25">
      <c r="A577" s="51">
        <v>24</v>
      </c>
      <c r="B577" s="52">
        <v>708</v>
      </c>
      <c r="C577" s="136" t="s">
        <v>214</v>
      </c>
      <c r="D577" s="61">
        <v>72</v>
      </c>
      <c r="E577" s="2">
        <v>4</v>
      </c>
      <c r="F577" s="2">
        <f>135-(D577+E577)</f>
        <v>59</v>
      </c>
      <c r="G577" s="2">
        <f>SUM(D577:F577)</f>
        <v>135</v>
      </c>
      <c r="H577" s="56">
        <f>+(D577+E577)/G577</f>
        <v>0.562962962962963</v>
      </c>
    </row>
    <row r="578" spans="1:8" ht="13.5" thickBot="1" x14ac:dyDescent="0.25">
      <c r="A578" s="46"/>
      <c r="B578" s="47">
        <f>COUNTA(B574:B577)</f>
        <v>4</v>
      </c>
      <c r="C578" s="48" t="s">
        <v>20</v>
      </c>
      <c r="D578" s="4">
        <f>SUM(D574:D577)</f>
        <v>257</v>
      </c>
      <c r="E578" s="3">
        <f>SUM(E574:E577)</f>
        <v>20</v>
      </c>
      <c r="F578" s="50">
        <f>SUM(F574:F577)</f>
        <v>200</v>
      </c>
      <c r="G578" s="3">
        <f>SUM(D578:F578)</f>
        <v>477</v>
      </c>
      <c r="H578" s="49">
        <f>+(D578+E578)/G578</f>
        <v>0.58071278825995809</v>
      </c>
    </row>
    <row r="579" spans="1:8" x14ac:dyDescent="0.2">
      <c r="A579" s="51"/>
      <c r="B579" s="52"/>
      <c r="C579" s="53"/>
      <c r="D579" s="5"/>
      <c r="E579" s="55"/>
      <c r="F579" s="54"/>
      <c r="G579" s="55"/>
      <c r="H579" s="56"/>
    </row>
    <row r="580" spans="1:8" x14ac:dyDescent="0.2">
      <c r="A580" s="51"/>
      <c r="B580" s="52"/>
      <c r="C580" s="58" t="s">
        <v>133</v>
      </c>
      <c r="D580" s="5"/>
      <c r="E580" s="55"/>
      <c r="F580" s="54"/>
      <c r="G580" s="55"/>
      <c r="H580" s="56"/>
    </row>
    <row r="581" spans="1:8" x14ac:dyDescent="0.2">
      <c r="A581" s="42">
        <v>25</v>
      </c>
      <c r="B581" s="43">
        <v>104</v>
      </c>
      <c r="C581" s="98" t="s">
        <v>758</v>
      </c>
      <c r="D581" s="61">
        <v>296</v>
      </c>
      <c r="E581" s="2">
        <v>78</v>
      </c>
      <c r="F581" s="2">
        <f>594-(D581+E581)</f>
        <v>220</v>
      </c>
      <c r="G581" s="2">
        <f t="shared" ref="G581:G592" si="100">SUM(D581:F581)</f>
        <v>594</v>
      </c>
      <c r="H581" s="45">
        <f t="shared" ref="H581:H592" si="101">+(D581+E581)/G581</f>
        <v>0.62962962962962965</v>
      </c>
    </row>
    <row r="582" spans="1:8" x14ac:dyDescent="0.2">
      <c r="A582" s="42">
        <v>25</v>
      </c>
      <c r="B582" s="43">
        <v>108</v>
      </c>
      <c r="C582" s="98" t="s">
        <v>759</v>
      </c>
      <c r="D582" s="61">
        <v>70</v>
      </c>
      <c r="E582" s="2">
        <v>7</v>
      </c>
      <c r="F582" s="2">
        <f>98-(D582+E582)</f>
        <v>21</v>
      </c>
      <c r="G582" s="2">
        <f t="shared" si="100"/>
        <v>98</v>
      </c>
      <c r="H582" s="45">
        <f t="shared" si="101"/>
        <v>0.7857142857142857</v>
      </c>
    </row>
    <row r="583" spans="1:8" x14ac:dyDescent="0.2">
      <c r="A583" s="42">
        <v>25</v>
      </c>
      <c r="B583" s="43">
        <v>124</v>
      </c>
      <c r="C583" s="98" t="s">
        <v>760</v>
      </c>
      <c r="D583" s="61">
        <v>16</v>
      </c>
      <c r="E583" s="2">
        <v>7</v>
      </c>
      <c r="F583" s="2">
        <f>27-(D583+E583)</f>
        <v>4</v>
      </c>
      <c r="G583" s="2">
        <f t="shared" si="100"/>
        <v>27</v>
      </c>
      <c r="H583" s="45">
        <f t="shared" si="101"/>
        <v>0.85185185185185186</v>
      </c>
    </row>
    <row r="584" spans="1:8" x14ac:dyDescent="0.2">
      <c r="A584" s="42">
        <v>25</v>
      </c>
      <c r="B584" s="43">
        <v>132</v>
      </c>
      <c r="C584" s="98" t="s">
        <v>761</v>
      </c>
      <c r="D584" s="61">
        <v>209</v>
      </c>
      <c r="E584" s="2">
        <v>7</v>
      </c>
      <c r="F584" s="2">
        <f>237-(D584+E584)</f>
        <v>21</v>
      </c>
      <c r="G584" s="2">
        <f t="shared" si="100"/>
        <v>237</v>
      </c>
      <c r="H584" s="45">
        <f t="shared" si="101"/>
        <v>0.91139240506329111</v>
      </c>
    </row>
    <row r="585" spans="1:8" x14ac:dyDescent="0.2">
      <c r="A585" s="42">
        <v>25</v>
      </c>
      <c r="B585" s="43">
        <v>136</v>
      </c>
      <c r="C585" s="44" t="s">
        <v>134</v>
      </c>
      <c r="D585" s="61">
        <v>172</v>
      </c>
      <c r="E585" s="2">
        <v>12</v>
      </c>
      <c r="F585" s="2">
        <f>197-(D585+E585)</f>
        <v>13</v>
      </c>
      <c r="G585" s="2">
        <f t="shared" si="100"/>
        <v>197</v>
      </c>
      <c r="H585" s="45">
        <f t="shared" si="101"/>
        <v>0.93401015228426398</v>
      </c>
    </row>
    <row r="586" spans="1:8" x14ac:dyDescent="0.2">
      <c r="A586" s="42">
        <v>25</v>
      </c>
      <c r="B586" s="43">
        <v>140</v>
      </c>
      <c r="C586" s="98" t="s">
        <v>762</v>
      </c>
      <c r="D586" s="61">
        <v>100</v>
      </c>
      <c r="E586" s="2">
        <v>33</v>
      </c>
      <c r="F586" s="2">
        <f>319-(D586+E586)</f>
        <v>186</v>
      </c>
      <c r="G586" s="2">
        <f t="shared" si="100"/>
        <v>319</v>
      </c>
      <c r="H586" s="45">
        <f t="shared" si="101"/>
        <v>0.41692789968652039</v>
      </c>
    </row>
    <row r="587" spans="1:8" x14ac:dyDescent="0.2">
      <c r="A587" s="42">
        <v>25</v>
      </c>
      <c r="B587" s="43">
        <v>308</v>
      </c>
      <c r="C587" s="98" t="s">
        <v>757</v>
      </c>
      <c r="D587" s="61">
        <v>149</v>
      </c>
      <c r="E587" s="2">
        <v>37</v>
      </c>
      <c r="F587" s="2">
        <f>310-(D587+E587)</f>
        <v>124</v>
      </c>
      <c r="G587" s="2">
        <f t="shared" si="100"/>
        <v>310</v>
      </c>
      <c r="H587" s="45">
        <f t="shared" si="101"/>
        <v>0.6</v>
      </c>
    </row>
    <row r="588" spans="1:8" x14ac:dyDescent="0.2">
      <c r="A588" s="42">
        <v>25</v>
      </c>
      <c r="B588" s="43">
        <v>704</v>
      </c>
      <c r="C588" s="44" t="s">
        <v>135</v>
      </c>
      <c r="D588" s="61">
        <v>90</v>
      </c>
      <c r="E588" s="2">
        <v>21</v>
      </c>
      <c r="F588" s="2">
        <f>287-(D588+E588)</f>
        <v>176</v>
      </c>
      <c r="G588" s="2">
        <f t="shared" si="100"/>
        <v>287</v>
      </c>
      <c r="H588" s="45">
        <f t="shared" si="101"/>
        <v>0.38675958188153309</v>
      </c>
    </row>
    <row r="589" spans="1:8" x14ac:dyDescent="0.2">
      <c r="A589" s="42">
        <v>25</v>
      </c>
      <c r="B589" s="43">
        <v>706</v>
      </c>
      <c r="C589" s="44" t="s">
        <v>136</v>
      </c>
      <c r="D589" s="61">
        <v>210</v>
      </c>
      <c r="E589" s="2">
        <v>12</v>
      </c>
      <c r="F589" s="2">
        <f>253-(D589+E589)</f>
        <v>31</v>
      </c>
      <c r="G589" s="2">
        <f t="shared" si="100"/>
        <v>253</v>
      </c>
      <c r="H589" s="45">
        <f t="shared" si="101"/>
        <v>0.87747035573122534</v>
      </c>
    </row>
    <row r="590" spans="1:8" x14ac:dyDescent="0.2">
      <c r="A590" s="42">
        <v>25</v>
      </c>
      <c r="B590" s="43">
        <v>708</v>
      </c>
      <c r="C590" s="44" t="s">
        <v>137</v>
      </c>
      <c r="D590" s="61">
        <v>182</v>
      </c>
      <c r="E590" s="2">
        <v>30</v>
      </c>
      <c r="F590" s="2">
        <f>393-(D590+E590)</f>
        <v>181</v>
      </c>
      <c r="G590" s="2">
        <f t="shared" si="100"/>
        <v>393</v>
      </c>
      <c r="H590" s="45">
        <f t="shared" si="101"/>
        <v>0.53944020356234101</v>
      </c>
    </row>
    <row r="591" spans="1:8" x14ac:dyDescent="0.2">
      <c r="A591" s="42">
        <v>25</v>
      </c>
      <c r="B591" s="43">
        <v>710</v>
      </c>
      <c r="C591" s="44" t="s">
        <v>138</v>
      </c>
      <c r="D591" s="61">
        <v>230</v>
      </c>
      <c r="E591" s="2">
        <v>11</v>
      </c>
      <c r="F591" s="2">
        <f>261-(D591+E591)</f>
        <v>20</v>
      </c>
      <c r="G591" s="2">
        <f t="shared" si="100"/>
        <v>261</v>
      </c>
      <c r="H591" s="45">
        <f t="shared" si="101"/>
        <v>0.92337164750957856</v>
      </c>
    </row>
    <row r="592" spans="1:8" ht="13.5" thickBot="1" x14ac:dyDescent="0.25">
      <c r="A592" s="42">
        <v>25</v>
      </c>
      <c r="B592" s="43">
        <v>712</v>
      </c>
      <c r="C592" s="44" t="s">
        <v>139</v>
      </c>
      <c r="D592" s="61">
        <v>28</v>
      </c>
      <c r="E592" s="2">
        <v>0</v>
      </c>
      <c r="F592" s="2">
        <f>33-(D592+E592)</f>
        <v>5</v>
      </c>
      <c r="G592" s="2">
        <f t="shared" si="100"/>
        <v>33</v>
      </c>
      <c r="H592" s="45">
        <f t="shared" si="101"/>
        <v>0.84848484848484851</v>
      </c>
    </row>
    <row r="593" spans="1:8" ht="13.5" thickBot="1" x14ac:dyDescent="0.25">
      <c r="A593" s="46"/>
      <c r="B593" s="47">
        <f>COUNTA(B581:B592)</f>
        <v>12</v>
      </c>
      <c r="C593" s="48" t="s">
        <v>20</v>
      </c>
      <c r="D593" s="4">
        <f>SUM(D581:D592)</f>
        <v>1752</v>
      </c>
      <c r="E593" s="3">
        <f>SUM(E581:E592)</f>
        <v>255</v>
      </c>
      <c r="F593" s="50">
        <f>SUM(F581:F592)</f>
        <v>1002</v>
      </c>
      <c r="G593" s="3">
        <f>SUM(D593:F593)</f>
        <v>3009</v>
      </c>
      <c r="H593" s="49">
        <f>+(D593+E593)/G593</f>
        <v>0.66699900299102688</v>
      </c>
    </row>
    <row r="594" spans="1:8" x14ac:dyDescent="0.2">
      <c r="A594" s="51"/>
      <c r="B594" s="52"/>
      <c r="C594" s="53"/>
      <c r="D594" s="5"/>
      <c r="E594" s="55"/>
      <c r="F594" s="54"/>
      <c r="G594" s="55"/>
      <c r="H594" s="56"/>
    </row>
    <row r="595" spans="1:8" x14ac:dyDescent="0.2">
      <c r="A595" s="51"/>
      <c r="B595" s="52"/>
      <c r="C595" s="58" t="s">
        <v>140</v>
      </c>
      <c r="D595" s="5"/>
      <c r="E595" s="55"/>
      <c r="F595" s="54"/>
      <c r="G595" s="55"/>
      <c r="H595" s="56"/>
    </row>
    <row r="596" spans="1:8" x14ac:dyDescent="0.2">
      <c r="A596" s="42">
        <v>26</v>
      </c>
      <c r="B596" s="43">
        <v>104</v>
      </c>
      <c r="C596" s="98" t="s">
        <v>763</v>
      </c>
      <c r="D596" s="61">
        <v>205</v>
      </c>
      <c r="E596" s="2">
        <v>68</v>
      </c>
      <c r="F596" s="2">
        <f>515-(D596+E596)</f>
        <v>242</v>
      </c>
      <c r="G596" s="2">
        <f t="shared" ref="G596:G607" si="102">SUM(D596:F596)</f>
        <v>515</v>
      </c>
      <c r="H596" s="45">
        <f t="shared" ref="H596:H607" si="103">+(D596+E596)/G596</f>
        <v>0.53009708737864081</v>
      </c>
    </row>
    <row r="597" spans="1:8" x14ac:dyDescent="0.2">
      <c r="A597" s="42">
        <v>26</v>
      </c>
      <c r="B597" s="43">
        <v>116</v>
      </c>
      <c r="C597" s="98" t="s">
        <v>764</v>
      </c>
      <c r="D597" s="61">
        <v>8</v>
      </c>
      <c r="E597" s="2">
        <v>9</v>
      </c>
      <c r="F597" s="2">
        <f>39-(D597+E597)</f>
        <v>22</v>
      </c>
      <c r="G597" s="2">
        <f t="shared" si="102"/>
        <v>39</v>
      </c>
      <c r="H597" s="45">
        <f t="shared" si="103"/>
        <v>0.4358974358974359</v>
      </c>
    </row>
    <row r="598" spans="1:8" x14ac:dyDescent="0.2">
      <c r="A598" s="42">
        <v>26</v>
      </c>
      <c r="B598" s="43">
        <v>120</v>
      </c>
      <c r="C598" s="98" t="s">
        <v>633</v>
      </c>
      <c r="D598" s="61">
        <v>246</v>
      </c>
      <c r="E598" s="2">
        <v>127</v>
      </c>
      <c r="F598" s="2">
        <f>656-(D598+E598)</f>
        <v>283</v>
      </c>
      <c r="G598" s="2">
        <f t="shared" si="102"/>
        <v>656</v>
      </c>
      <c r="H598" s="45">
        <f t="shared" si="103"/>
        <v>0.56859756097560976</v>
      </c>
    </row>
    <row r="599" spans="1:8" x14ac:dyDescent="0.2">
      <c r="A599" s="42">
        <v>26</v>
      </c>
      <c r="B599" s="43">
        <v>124</v>
      </c>
      <c r="C599" s="98" t="s">
        <v>766</v>
      </c>
      <c r="D599" s="61">
        <v>167</v>
      </c>
      <c r="E599" s="2">
        <v>72</v>
      </c>
      <c r="F599" s="2">
        <f>481-(D599+E599)</f>
        <v>242</v>
      </c>
      <c r="G599" s="2">
        <f t="shared" si="102"/>
        <v>481</v>
      </c>
      <c r="H599" s="45">
        <f t="shared" si="103"/>
        <v>0.49688149688149691</v>
      </c>
    </row>
    <row r="600" spans="1:8" x14ac:dyDescent="0.2">
      <c r="A600" s="42">
        <v>26</v>
      </c>
      <c r="B600" s="43">
        <v>132</v>
      </c>
      <c r="C600" s="98" t="s">
        <v>767</v>
      </c>
      <c r="D600" s="61">
        <v>168</v>
      </c>
      <c r="E600" s="2">
        <v>80</v>
      </c>
      <c r="F600" s="2">
        <f>511-(D600+E600)</f>
        <v>263</v>
      </c>
      <c r="G600" s="2">
        <f t="shared" si="102"/>
        <v>511</v>
      </c>
      <c r="H600" s="45">
        <f t="shared" si="103"/>
        <v>0.48532289628180036</v>
      </c>
    </row>
    <row r="601" spans="1:8" x14ac:dyDescent="0.2">
      <c r="A601" s="42">
        <v>26</v>
      </c>
      <c r="B601" s="43">
        <v>310</v>
      </c>
      <c r="C601" s="44" t="s">
        <v>141</v>
      </c>
      <c r="D601" s="61">
        <v>93</v>
      </c>
      <c r="E601" s="2">
        <v>40</v>
      </c>
      <c r="F601" s="2">
        <f t="shared" ref="F601" si="104">261-(D601+E601)</f>
        <v>128</v>
      </c>
      <c r="G601" s="2">
        <f t="shared" si="102"/>
        <v>261</v>
      </c>
      <c r="H601" s="45">
        <f t="shared" si="103"/>
        <v>0.50957854406130265</v>
      </c>
    </row>
    <row r="602" spans="1:8" x14ac:dyDescent="0.2">
      <c r="A602" s="42">
        <v>26</v>
      </c>
      <c r="B602" s="43">
        <v>320</v>
      </c>
      <c r="C602" s="44" t="s">
        <v>142</v>
      </c>
      <c r="D602" s="61">
        <v>96</v>
      </c>
      <c r="E602" s="2">
        <v>43</v>
      </c>
      <c r="F602" s="2">
        <f>300-(D602+E602)</f>
        <v>161</v>
      </c>
      <c r="G602" s="2">
        <f t="shared" si="102"/>
        <v>300</v>
      </c>
      <c r="H602" s="45">
        <f t="shared" si="103"/>
        <v>0.46333333333333332</v>
      </c>
    </row>
    <row r="603" spans="1:8" x14ac:dyDescent="0.2">
      <c r="A603" s="42">
        <v>26</v>
      </c>
      <c r="B603" s="43">
        <v>330</v>
      </c>
      <c r="C603" s="44" t="s">
        <v>143</v>
      </c>
      <c r="D603" s="61">
        <v>146</v>
      </c>
      <c r="E603" s="2">
        <v>70</v>
      </c>
      <c r="F603" s="2">
        <f>472-(D603+E603)</f>
        <v>256</v>
      </c>
      <c r="G603" s="2">
        <f t="shared" si="102"/>
        <v>472</v>
      </c>
      <c r="H603" s="45">
        <f t="shared" si="103"/>
        <v>0.4576271186440678</v>
      </c>
    </row>
    <row r="604" spans="1:8" x14ac:dyDescent="0.2">
      <c r="A604" s="42">
        <v>26</v>
      </c>
      <c r="B604" s="43">
        <v>704</v>
      </c>
      <c r="C604" s="98" t="s">
        <v>765</v>
      </c>
      <c r="D604" s="61">
        <v>61</v>
      </c>
      <c r="E604" s="2">
        <v>34</v>
      </c>
      <c r="F604" s="2">
        <f>266-(D604+E604)</f>
        <v>171</v>
      </c>
      <c r="G604" s="2">
        <f t="shared" si="102"/>
        <v>266</v>
      </c>
      <c r="H604" s="45">
        <f t="shared" si="103"/>
        <v>0.35714285714285715</v>
      </c>
    </row>
    <row r="605" spans="1:8" x14ac:dyDescent="0.2">
      <c r="A605" s="42">
        <v>26</v>
      </c>
      <c r="B605" s="43">
        <v>708</v>
      </c>
      <c r="C605" s="44" t="s">
        <v>144</v>
      </c>
      <c r="D605" s="61">
        <v>185</v>
      </c>
      <c r="E605" s="2">
        <v>58</v>
      </c>
      <c r="F605" s="2">
        <f>618-(D605+E605)</f>
        <v>375</v>
      </c>
      <c r="G605" s="2">
        <f t="shared" si="102"/>
        <v>618</v>
      </c>
      <c r="H605" s="45">
        <f t="shared" si="103"/>
        <v>0.39320388349514562</v>
      </c>
    </row>
    <row r="606" spans="1:8" x14ac:dyDescent="0.2">
      <c r="A606" s="42">
        <v>26</v>
      </c>
      <c r="B606" s="43">
        <v>712</v>
      </c>
      <c r="C606" s="98" t="s">
        <v>145</v>
      </c>
      <c r="D606" s="61">
        <v>149</v>
      </c>
      <c r="E606" s="2">
        <v>47</v>
      </c>
      <c r="F606" s="2">
        <f>434-(D606+E606)</f>
        <v>238</v>
      </c>
      <c r="G606" s="2">
        <f t="shared" ref="G606" si="105">SUM(D606:F606)</f>
        <v>434</v>
      </c>
      <c r="H606" s="45">
        <f t="shared" ref="H606" si="106">+(D606+E606)/G606</f>
        <v>0.45161290322580644</v>
      </c>
    </row>
    <row r="607" spans="1:8" ht="13.5" thickBot="1" x14ac:dyDescent="0.25">
      <c r="A607" s="51">
        <v>26</v>
      </c>
      <c r="B607" s="52">
        <v>716</v>
      </c>
      <c r="C607" s="53" t="s">
        <v>146</v>
      </c>
      <c r="D607" s="61">
        <v>31</v>
      </c>
      <c r="E607" s="2">
        <v>7</v>
      </c>
      <c r="F607" s="2">
        <f>70-(D607+E607)</f>
        <v>32</v>
      </c>
      <c r="G607" s="2">
        <f t="shared" si="102"/>
        <v>70</v>
      </c>
      <c r="H607" s="56">
        <f t="shared" si="103"/>
        <v>0.54285714285714282</v>
      </c>
    </row>
    <row r="608" spans="1:8" ht="13.5" thickBot="1" x14ac:dyDescent="0.25">
      <c r="A608" s="46"/>
      <c r="B608" s="47">
        <f>COUNTA(B596:B607)</f>
        <v>12</v>
      </c>
      <c r="C608" s="48" t="s">
        <v>20</v>
      </c>
      <c r="D608" s="4">
        <f>SUM(D596:D607)</f>
        <v>1555</v>
      </c>
      <c r="E608" s="3">
        <f>SUM(E596:E607)</f>
        <v>655</v>
      </c>
      <c r="F608" s="50">
        <f>SUM(F596:F607)</f>
        <v>2413</v>
      </c>
      <c r="G608" s="3">
        <f>SUM(D608:F608)</f>
        <v>4623</v>
      </c>
      <c r="H608" s="49">
        <f>+(D608+E608)/G608</f>
        <v>0.47804455980964744</v>
      </c>
    </row>
    <row r="609" spans="1:8" x14ac:dyDescent="0.2">
      <c r="A609" s="51"/>
      <c r="B609" s="52"/>
      <c r="C609" s="53"/>
      <c r="D609" s="5"/>
      <c r="E609" s="55"/>
      <c r="F609" s="54"/>
      <c r="G609" s="55"/>
      <c r="H609" s="56"/>
    </row>
    <row r="610" spans="1:8" x14ac:dyDescent="0.2">
      <c r="A610" s="51"/>
      <c r="B610" s="52"/>
      <c r="C610" s="58" t="s">
        <v>147</v>
      </c>
      <c r="D610" s="5"/>
      <c r="E610" s="55"/>
      <c r="F610" s="54"/>
      <c r="G610" s="55"/>
      <c r="H610" s="56"/>
    </row>
    <row r="611" spans="1:8" x14ac:dyDescent="0.2">
      <c r="A611" s="42">
        <v>27</v>
      </c>
      <c r="B611" s="43">
        <v>108</v>
      </c>
      <c r="C611" s="98" t="s">
        <v>768</v>
      </c>
      <c r="D611" s="61">
        <v>190</v>
      </c>
      <c r="E611" s="2">
        <v>75</v>
      </c>
      <c r="F611" s="2">
        <f>460-(D611+E611)</f>
        <v>195</v>
      </c>
      <c r="G611" s="2">
        <f t="shared" ref="G611:G617" si="107">SUM(D611:F611)</f>
        <v>460</v>
      </c>
      <c r="H611" s="45">
        <f t="shared" ref="H611:H617" si="108">+(D611+E611)/G611</f>
        <v>0.57608695652173914</v>
      </c>
    </row>
    <row r="612" spans="1:8" x14ac:dyDescent="0.2">
      <c r="A612" s="42">
        <v>27</v>
      </c>
      <c r="B612" s="43">
        <v>112</v>
      </c>
      <c r="C612" s="98" t="s">
        <v>453</v>
      </c>
      <c r="D612" s="39">
        <v>204</v>
      </c>
      <c r="E612" s="40">
        <v>87</v>
      </c>
      <c r="F612" s="2">
        <f>476-(D612+E612)</f>
        <v>185</v>
      </c>
      <c r="G612" s="2">
        <f t="shared" si="107"/>
        <v>476</v>
      </c>
      <c r="H612" s="45">
        <f t="shared" si="108"/>
        <v>0.6113445378151261</v>
      </c>
    </row>
    <row r="613" spans="1:8" x14ac:dyDescent="0.2">
      <c r="A613" s="42">
        <v>27</v>
      </c>
      <c r="B613" s="43">
        <v>116</v>
      </c>
      <c r="C613" s="98" t="s">
        <v>769</v>
      </c>
      <c r="D613" s="39">
        <v>161</v>
      </c>
      <c r="E613" s="40">
        <v>72</v>
      </c>
      <c r="F613" s="2">
        <f>376-(D613+E613)</f>
        <v>143</v>
      </c>
      <c r="G613" s="2">
        <f t="shared" si="107"/>
        <v>376</v>
      </c>
      <c r="H613" s="45">
        <f t="shared" si="108"/>
        <v>0.61968085106382975</v>
      </c>
    </row>
    <row r="614" spans="1:8" x14ac:dyDescent="0.2">
      <c r="A614" s="42">
        <v>27</v>
      </c>
      <c r="B614" s="43">
        <v>302</v>
      </c>
      <c r="C614" s="44" t="s">
        <v>148</v>
      </c>
      <c r="D614" s="39">
        <v>95</v>
      </c>
      <c r="E614" s="40">
        <v>46</v>
      </c>
      <c r="F614" s="2">
        <f>255-(D614+E614)</f>
        <v>114</v>
      </c>
      <c r="G614" s="2">
        <f t="shared" si="107"/>
        <v>255</v>
      </c>
      <c r="H614" s="45">
        <f t="shared" si="108"/>
        <v>0.55294117647058827</v>
      </c>
    </row>
    <row r="615" spans="1:8" x14ac:dyDescent="0.2">
      <c r="A615" s="42">
        <v>27</v>
      </c>
      <c r="B615" s="43">
        <v>304</v>
      </c>
      <c r="C615" s="44" t="s">
        <v>149</v>
      </c>
      <c r="D615" s="39">
        <v>176</v>
      </c>
      <c r="E615" s="40">
        <v>74</v>
      </c>
      <c r="F615" s="2">
        <f>454-(D615+E615)</f>
        <v>204</v>
      </c>
      <c r="G615" s="2">
        <f t="shared" si="107"/>
        <v>454</v>
      </c>
      <c r="H615" s="45">
        <f t="shared" si="108"/>
        <v>0.5506607929515418</v>
      </c>
    </row>
    <row r="616" spans="1:8" x14ac:dyDescent="0.2">
      <c r="A616" s="42">
        <v>27</v>
      </c>
      <c r="B616" s="43">
        <v>704</v>
      </c>
      <c r="C616" s="44" t="s">
        <v>150</v>
      </c>
      <c r="D616" s="39">
        <v>105</v>
      </c>
      <c r="E616" s="40">
        <v>54</v>
      </c>
      <c r="F616" s="2">
        <f>323-(D616+E616)</f>
        <v>164</v>
      </c>
      <c r="G616" s="2">
        <f t="shared" si="107"/>
        <v>323</v>
      </c>
      <c r="H616" s="45">
        <f t="shared" si="108"/>
        <v>0.49226006191950467</v>
      </c>
    </row>
    <row r="617" spans="1:8" ht="13.5" thickBot="1" x14ac:dyDescent="0.25">
      <c r="A617" s="51">
        <v>27</v>
      </c>
      <c r="B617" s="52">
        <v>708</v>
      </c>
      <c r="C617" s="53" t="s">
        <v>151</v>
      </c>
      <c r="D617" s="39">
        <v>168</v>
      </c>
      <c r="E617" s="40">
        <v>67</v>
      </c>
      <c r="F617" s="2">
        <f>572-(D617+E617)</f>
        <v>337</v>
      </c>
      <c r="G617" s="2">
        <f t="shared" si="107"/>
        <v>572</v>
      </c>
      <c r="H617" s="56">
        <f t="shared" si="108"/>
        <v>0.41083916083916083</v>
      </c>
    </row>
    <row r="618" spans="1:8" ht="13.5" thickBot="1" x14ac:dyDescent="0.25">
      <c r="A618" s="46"/>
      <c r="B618" s="47">
        <f>COUNTA(B611:B617)</f>
        <v>7</v>
      </c>
      <c r="C618" s="48" t="s">
        <v>20</v>
      </c>
      <c r="D618" s="4">
        <f>SUM(D611:D617)</f>
        <v>1099</v>
      </c>
      <c r="E618" s="3">
        <f>SUM(E611:E617)</f>
        <v>475</v>
      </c>
      <c r="F618" s="50">
        <f>SUM(F611:F617)</f>
        <v>1342</v>
      </c>
      <c r="G618" s="3">
        <f>SUM(D618:F618)</f>
        <v>2916</v>
      </c>
      <c r="H618" s="49">
        <f>+(D618+E618)/G618</f>
        <v>0.53978052126200271</v>
      </c>
    </row>
    <row r="619" spans="1:8" x14ac:dyDescent="0.2">
      <c r="A619" s="51"/>
      <c r="B619" s="52"/>
      <c r="C619" s="53"/>
      <c r="D619" s="5"/>
      <c r="E619" s="55"/>
      <c r="F619" s="54"/>
      <c r="G619" s="55"/>
      <c r="H619" s="56"/>
    </row>
    <row r="620" spans="1:8" x14ac:dyDescent="0.2">
      <c r="A620" s="51"/>
      <c r="B620" s="52"/>
      <c r="C620" s="58" t="s">
        <v>152</v>
      </c>
      <c r="D620" s="5"/>
      <c r="E620" s="55"/>
      <c r="F620" s="54"/>
      <c r="G620" s="55"/>
      <c r="H620" s="56"/>
    </row>
    <row r="621" spans="1:8" x14ac:dyDescent="0.2">
      <c r="A621" s="42">
        <v>28</v>
      </c>
      <c r="B621" s="43">
        <v>104</v>
      </c>
      <c r="C621" s="44" t="s">
        <v>153</v>
      </c>
      <c r="D621" s="61">
        <v>98</v>
      </c>
      <c r="E621" s="2">
        <v>28</v>
      </c>
      <c r="F621" s="2">
        <f>585-(D621+E621)</f>
        <v>459</v>
      </c>
      <c r="G621" s="2">
        <f>SUM(D621:F621)</f>
        <v>585</v>
      </c>
      <c r="H621" s="45">
        <f>+(D621+E621)/G621</f>
        <v>0.2153846153846154</v>
      </c>
    </row>
    <row r="622" spans="1:8" x14ac:dyDescent="0.2">
      <c r="A622" s="42">
        <v>28</v>
      </c>
      <c r="B622" s="43">
        <v>304</v>
      </c>
      <c r="C622" s="44" t="s">
        <v>154</v>
      </c>
      <c r="D622" s="61">
        <v>88</v>
      </c>
      <c r="E622" s="2">
        <v>33</v>
      </c>
      <c r="F622" s="2">
        <f>461-(D622+E622)</f>
        <v>340</v>
      </c>
      <c r="G622" s="2">
        <f>SUM(D622:F622)</f>
        <v>461</v>
      </c>
      <c r="H622" s="45">
        <f>+(D622+E622)/G622</f>
        <v>0.26247288503253796</v>
      </c>
    </row>
    <row r="623" spans="1:8" ht="13.5" thickBot="1" x14ac:dyDescent="0.25">
      <c r="A623" s="51">
        <v>28</v>
      </c>
      <c r="B623" s="52">
        <v>704</v>
      </c>
      <c r="C623" s="53" t="s">
        <v>155</v>
      </c>
      <c r="D623" s="61">
        <v>33</v>
      </c>
      <c r="E623" s="2">
        <v>19</v>
      </c>
      <c r="F623" s="2">
        <f>406-(D623+E623)</f>
        <v>354</v>
      </c>
      <c r="G623" s="2">
        <f>SUM(D623:F623)</f>
        <v>406</v>
      </c>
      <c r="H623" s="56">
        <f>+(D623+E623)/G623</f>
        <v>0.12807881773399016</v>
      </c>
    </row>
    <row r="624" spans="1:8" ht="13.5" thickBot="1" x14ac:dyDescent="0.25">
      <c r="A624" s="46"/>
      <c r="B624" s="47">
        <f>COUNTA(B621:B623)</f>
        <v>3</v>
      </c>
      <c r="C624" s="48" t="s">
        <v>20</v>
      </c>
      <c r="D624" s="4">
        <f>SUM(D621:D623)</f>
        <v>219</v>
      </c>
      <c r="E624" s="3">
        <f>SUM(E621:E623)</f>
        <v>80</v>
      </c>
      <c r="F624" s="50">
        <f>SUM(F621:F623)</f>
        <v>1153</v>
      </c>
      <c r="G624" s="3">
        <f>SUM(D624:F624)</f>
        <v>1452</v>
      </c>
      <c r="H624" s="49">
        <f>+(D624+E624)/G624</f>
        <v>0.2059228650137741</v>
      </c>
    </row>
    <row r="625" spans="1:8" x14ac:dyDescent="0.2">
      <c r="A625" s="51"/>
      <c r="B625" s="52"/>
      <c r="C625" s="53"/>
      <c r="D625" s="5"/>
      <c r="E625" s="55"/>
      <c r="F625" s="54"/>
      <c r="G625" s="55"/>
      <c r="H625" s="56"/>
    </row>
    <row r="626" spans="1:8" x14ac:dyDescent="0.2">
      <c r="A626" s="51"/>
      <c r="B626" s="52"/>
      <c r="C626" s="58" t="s">
        <v>156</v>
      </c>
      <c r="D626" s="5"/>
      <c r="E626" s="55"/>
      <c r="F626" s="54"/>
      <c r="G626" s="55"/>
      <c r="H626" s="56"/>
    </row>
    <row r="627" spans="1:8" ht="13.5" thickBot="1" x14ac:dyDescent="0.25">
      <c r="A627" s="42">
        <v>29</v>
      </c>
      <c r="B627" s="43">
        <v>108</v>
      </c>
      <c r="C627" s="44" t="s">
        <v>215</v>
      </c>
      <c r="D627" s="61">
        <v>85</v>
      </c>
      <c r="E627" s="2">
        <v>26</v>
      </c>
      <c r="F627" s="2">
        <f>217-(D627+E627)</f>
        <v>106</v>
      </c>
      <c r="G627" s="2">
        <f>SUM(D627:F627)</f>
        <v>217</v>
      </c>
      <c r="H627" s="45">
        <f>+(D627+E627)/G627</f>
        <v>0.51152073732718895</v>
      </c>
    </row>
    <row r="628" spans="1:8" ht="13.5" thickBot="1" x14ac:dyDescent="0.25">
      <c r="A628" s="46"/>
      <c r="B628" s="47">
        <f>COUNTA(B627:B627)</f>
        <v>1</v>
      </c>
      <c r="C628" s="48" t="s">
        <v>20</v>
      </c>
      <c r="D628" s="4">
        <f>SUM(D627:D627)</f>
        <v>85</v>
      </c>
      <c r="E628" s="3">
        <f>SUM(E627:E627)</f>
        <v>26</v>
      </c>
      <c r="F628" s="50">
        <f>SUM(F627:F627)</f>
        <v>106</v>
      </c>
      <c r="G628" s="3">
        <f>SUM(D628:F628)</f>
        <v>217</v>
      </c>
      <c r="H628" s="49">
        <f>+(D628+E628)/G628</f>
        <v>0.51152073732718895</v>
      </c>
    </row>
    <row r="629" spans="1:8" x14ac:dyDescent="0.2">
      <c r="A629" s="51"/>
      <c r="B629" s="52"/>
      <c r="C629" s="53"/>
      <c r="D629" s="5"/>
      <c r="E629" s="55"/>
      <c r="F629" s="54"/>
      <c r="G629" s="55"/>
      <c r="H629" s="56"/>
    </row>
    <row r="630" spans="1:8" x14ac:dyDescent="0.2">
      <c r="A630" s="51"/>
      <c r="B630" s="52"/>
      <c r="C630" s="58" t="s">
        <v>157</v>
      </c>
      <c r="D630" s="5"/>
      <c r="E630" s="55"/>
      <c r="F630" s="54"/>
      <c r="G630" s="55"/>
      <c r="H630" s="56"/>
    </row>
    <row r="631" spans="1:8" x14ac:dyDescent="0.2">
      <c r="A631" s="42">
        <v>30</v>
      </c>
      <c r="B631" s="43">
        <v>102</v>
      </c>
      <c r="C631" s="98" t="s">
        <v>685</v>
      </c>
      <c r="D631" s="61">
        <v>175</v>
      </c>
      <c r="E631" s="2">
        <v>62</v>
      </c>
      <c r="F631" s="2">
        <f>603-(D631+E631)</f>
        <v>366</v>
      </c>
      <c r="G631" s="2">
        <f t="shared" ref="G631:G653" si="109">SUM(D631:F631)</f>
        <v>603</v>
      </c>
      <c r="H631" s="45">
        <f t="shared" ref="H631:H653" si="110">+(D631+E631)/G631</f>
        <v>0.39303482587064675</v>
      </c>
    </row>
    <row r="632" spans="1:8" x14ac:dyDescent="0.2">
      <c r="A632" s="42">
        <v>30</v>
      </c>
      <c r="B632" s="43">
        <v>104</v>
      </c>
      <c r="C632" s="98" t="s">
        <v>772</v>
      </c>
      <c r="D632" s="61">
        <v>45</v>
      </c>
      <c r="E632" s="2">
        <v>17</v>
      </c>
      <c r="F632" s="2">
        <f>228-(D632+E632)</f>
        <v>166</v>
      </c>
      <c r="G632" s="2">
        <f>SUM(D632:F632)</f>
        <v>228</v>
      </c>
      <c r="H632" s="45">
        <f>+(D632+E632)/G632</f>
        <v>0.27192982456140352</v>
      </c>
    </row>
    <row r="633" spans="1:8" x14ac:dyDescent="0.2">
      <c r="A633" s="42">
        <v>30</v>
      </c>
      <c r="B633" s="43">
        <v>106</v>
      </c>
      <c r="C633" s="98" t="s">
        <v>579</v>
      </c>
      <c r="D633" s="61">
        <v>159</v>
      </c>
      <c r="E633" s="2">
        <v>30</v>
      </c>
      <c r="F633" s="2">
        <f>483-(D633+E633)</f>
        <v>294</v>
      </c>
      <c r="G633" s="2">
        <f t="shared" si="109"/>
        <v>483</v>
      </c>
      <c r="H633" s="45">
        <f t="shared" si="110"/>
        <v>0.39130434782608697</v>
      </c>
    </row>
    <row r="634" spans="1:8" x14ac:dyDescent="0.2">
      <c r="A634" s="42">
        <v>30</v>
      </c>
      <c r="B634" s="43">
        <v>112</v>
      </c>
      <c r="C634" s="98" t="s">
        <v>773</v>
      </c>
      <c r="D634" s="61">
        <v>251</v>
      </c>
      <c r="E634" s="2">
        <v>81</v>
      </c>
      <c r="F634" s="2">
        <f>500-(D634+E634)</f>
        <v>168</v>
      </c>
      <c r="G634" s="2">
        <f t="shared" si="109"/>
        <v>500</v>
      </c>
      <c r="H634" s="45">
        <f t="shared" si="110"/>
        <v>0.66400000000000003</v>
      </c>
    </row>
    <row r="635" spans="1:8" x14ac:dyDescent="0.2">
      <c r="A635" s="42">
        <v>30</v>
      </c>
      <c r="B635" s="43">
        <v>116</v>
      </c>
      <c r="C635" s="98" t="s">
        <v>774</v>
      </c>
      <c r="D635" s="61">
        <v>13</v>
      </c>
      <c r="E635" s="2">
        <v>4</v>
      </c>
      <c r="F635" s="2">
        <f>18-(D635+E635)</f>
        <v>1</v>
      </c>
      <c r="G635" s="2">
        <f t="shared" si="109"/>
        <v>18</v>
      </c>
      <c r="H635" s="45">
        <f t="shared" si="110"/>
        <v>0.94444444444444442</v>
      </c>
    </row>
    <row r="636" spans="1:8" x14ac:dyDescent="0.2">
      <c r="A636" s="42">
        <v>30</v>
      </c>
      <c r="B636" s="43">
        <v>120</v>
      </c>
      <c r="C636" s="98" t="s">
        <v>651</v>
      </c>
      <c r="D636" s="61">
        <v>167</v>
      </c>
      <c r="E636" s="2">
        <v>43</v>
      </c>
      <c r="F636" s="2">
        <f>776-(D636+E636)</f>
        <v>566</v>
      </c>
      <c r="G636" s="2">
        <f t="shared" si="109"/>
        <v>776</v>
      </c>
      <c r="H636" s="45">
        <f t="shared" si="110"/>
        <v>0.27061855670103091</v>
      </c>
    </row>
    <row r="637" spans="1:8" x14ac:dyDescent="0.2">
      <c r="A637" s="42">
        <v>30</v>
      </c>
      <c r="B637" s="43">
        <v>124</v>
      </c>
      <c r="C637" s="98" t="s">
        <v>778</v>
      </c>
      <c r="D637" s="61">
        <v>111</v>
      </c>
      <c r="E637" s="2">
        <v>57</v>
      </c>
      <c r="F637" s="2">
        <f>765-(D637+E637)</f>
        <v>597</v>
      </c>
      <c r="G637" s="2">
        <f>SUM(D637:F637)</f>
        <v>765</v>
      </c>
      <c r="H637" s="45">
        <f>+(D637+E637)/G637</f>
        <v>0.2196078431372549</v>
      </c>
    </row>
    <row r="638" spans="1:8" x14ac:dyDescent="0.2">
      <c r="A638" s="42">
        <v>30</v>
      </c>
      <c r="B638" s="43">
        <v>128</v>
      </c>
      <c r="C638" s="98" t="s">
        <v>775</v>
      </c>
      <c r="D638" s="61">
        <v>117</v>
      </c>
      <c r="E638" s="2">
        <v>52</v>
      </c>
      <c r="F638" s="2">
        <f>526-(D638+E638)</f>
        <v>357</v>
      </c>
      <c r="G638" s="2">
        <f t="shared" si="109"/>
        <v>526</v>
      </c>
      <c r="H638" s="45">
        <f>+(D638+E638)/G638</f>
        <v>0.32129277566539927</v>
      </c>
    </row>
    <row r="639" spans="1:8" x14ac:dyDescent="0.2">
      <c r="A639" s="42">
        <v>30</v>
      </c>
      <c r="B639" s="43">
        <v>132</v>
      </c>
      <c r="C639" s="98" t="s">
        <v>776</v>
      </c>
      <c r="D639" s="61">
        <v>370</v>
      </c>
      <c r="E639" s="2">
        <v>82</v>
      </c>
      <c r="F639" s="2">
        <f>659-(D639+E639)</f>
        <v>207</v>
      </c>
      <c r="G639" s="2">
        <f t="shared" si="109"/>
        <v>659</v>
      </c>
      <c r="H639" s="45">
        <f t="shared" si="110"/>
        <v>0.68588770864946891</v>
      </c>
    </row>
    <row r="640" spans="1:8" x14ac:dyDescent="0.2">
      <c r="A640" s="42">
        <v>30</v>
      </c>
      <c r="B640" s="43">
        <v>134</v>
      </c>
      <c r="C640" s="98" t="s">
        <v>777</v>
      </c>
      <c r="D640" s="61">
        <v>120</v>
      </c>
      <c r="E640" s="2">
        <v>48</v>
      </c>
      <c r="F640" s="2">
        <f>571-(D640+E640)</f>
        <v>403</v>
      </c>
      <c r="G640" s="2">
        <f t="shared" si="109"/>
        <v>571</v>
      </c>
      <c r="H640" s="45">
        <f>+(D640+E640)/G640</f>
        <v>0.29422066549912435</v>
      </c>
    </row>
    <row r="641" spans="1:8" x14ac:dyDescent="0.2">
      <c r="A641" s="42">
        <v>30</v>
      </c>
      <c r="B641" s="43">
        <v>136</v>
      </c>
      <c r="C641" s="98" t="s">
        <v>782</v>
      </c>
      <c r="D641" s="61">
        <v>9</v>
      </c>
      <c r="E641" s="2">
        <v>10</v>
      </c>
      <c r="F641" s="2">
        <f>43-(D641+E641)</f>
        <v>24</v>
      </c>
      <c r="G641" s="2">
        <f t="shared" si="109"/>
        <v>43</v>
      </c>
      <c r="H641" s="45">
        <f t="shared" si="110"/>
        <v>0.44186046511627908</v>
      </c>
    </row>
    <row r="642" spans="1:8" x14ac:dyDescent="0.2">
      <c r="A642" s="42">
        <v>30</v>
      </c>
      <c r="B642" s="43">
        <v>138</v>
      </c>
      <c r="C642" s="98" t="s">
        <v>779</v>
      </c>
      <c r="D642" s="61">
        <v>222</v>
      </c>
      <c r="E642" s="2">
        <v>71</v>
      </c>
      <c r="F642" s="2">
        <f>691-(D642+E642)</f>
        <v>398</v>
      </c>
      <c r="G642" s="2">
        <f t="shared" ref="G642" si="111">SUM(D642:F642)</f>
        <v>691</v>
      </c>
      <c r="H642" s="45">
        <f t="shared" ref="H642" si="112">+(D642+E642)/G642</f>
        <v>0.42402315484804631</v>
      </c>
    </row>
    <row r="643" spans="1:8" x14ac:dyDescent="0.2">
      <c r="A643" s="42">
        <v>30</v>
      </c>
      <c r="B643" s="43">
        <v>140</v>
      </c>
      <c r="C643" s="98" t="s">
        <v>770</v>
      </c>
      <c r="D643" s="61">
        <v>261</v>
      </c>
      <c r="E643" s="2">
        <v>25</v>
      </c>
      <c r="F643" s="2">
        <f>313-(D643+E643)</f>
        <v>27</v>
      </c>
      <c r="G643" s="2">
        <f t="shared" si="109"/>
        <v>313</v>
      </c>
      <c r="H643" s="45">
        <f t="shared" si="110"/>
        <v>0.91373801916932906</v>
      </c>
    </row>
    <row r="644" spans="1:8" x14ac:dyDescent="0.2">
      <c r="A644" s="42">
        <v>30</v>
      </c>
      <c r="B644" s="43">
        <v>142</v>
      </c>
      <c r="C644" s="98" t="s">
        <v>783</v>
      </c>
      <c r="D644" s="61">
        <v>148</v>
      </c>
      <c r="E644" s="2">
        <v>44</v>
      </c>
      <c r="F644" s="2">
        <f>424-(D644+E644)</f>
        <v>232</v>
      </c>
      <c r="G644" s="2">
        <f t="shared" si="109"/>
        <v>424</v>
      </c>
      <c r="H644" s="45">
        <f t="shared" si="110"/>
        <v>0.45283018867924529</v>
      </c>
    </row>
    <row r="645" spans="1:8" x14ac:dyDescent="0.2">
      <c r="A645" s="42">
        <v>30</v>
      </c>
      <c r="B645" s="43">
        <v>146</v>
      </c>
      <c r="C645" s="98" t="s">
        <v>784</v>
      </c>
      <c r="D645" s="61">
        <v>236</v>
      </c>
      <c r="E645" s="2">
        <v>84</v>
      </c>
      <c r="F645" s="2">
        <f>983-(D645+E645)</f>
        <v>663</v>
      </c>
      <c r="G645" s="2">
        <f t="shared" si="109"/>
        <v>983</v>
      </c>
      <c r="H645" s="45">
        <f>+(D645+E645)/G645</f>
        <v>0.32553407934893186</v>
      </c>
    </row>
    <row r="646" spans="1:8" x14ac:dyDescent="0.2">
      <c r="A646" s="42">
        <v>30</v>
      </c>
      <c r="B646" s="43">
        <v>308</v>
      </c>
      <c r="C646" s="98" t="s">
        <v>456</v>
      </c>
      <c r="D646" s="61">
        <v>187</v>
      </c>
      <c r="E646" s="2">
        <v>62</v>
      </c>
      <c r="F646" s="2">
        <f>757-(D646+E646)</f>
        <v>508</v>
      </c>
      <c r="G646" s="2">
        <f t="shared" si="109"/>
        <v>757</v>
      </c>
      <c r="H646" s="45">
        <f t="shared" si="110"/>
        <v>0.32892998678996038</v>
      </c>
    </row>
    <row r="647" spans="1:8" x14ac:dyDescent="0.2">
      <c r="A647" s="42">
        <v>30</v>
      </c>
      <c r="B647" s="43">
        <v>404</v>
      </c>
      <c r="C647" s="98" t="s">
        <v>781</v>
      </c>
      <c r="D647" s="61">
        <v>241</v>
      </c>
      <c r="E647" s="2">
        <v>76</v>
      </c>
      <c r="F647" s="2">
        <f>689-(D647+E647)</f>
        <v>372</v>
      </c>
      <c r="G647" s="2">
        <f t="shared" si="109"/>
        <v>689</v>
      </c>
      <c r="H647" s="45">
        <f t="shared" si="110"/>
        <v>0.46008708272859217</v>
      </c>
    </row>
    <row r="648" spans="1:8" x14ac:dyDescent="0.2">
      <c r="A648" s="42">
        <v>30</v>
      </c>
      <c r="B648" s="43">
        <v>412</v>
      </c>
      <c r="C648" s="98" t="s">
        <v>771</v>
      </c>
      <c r="D648" s="61">
        <v>153</v>
      </c>
      <c r="E648" s="2">
        <v>64</v>
      </c>
      <c r="F648" s="2">
        <f>837-(D648+E648)</f>
        <v>620</v>
      </c>
      <c r="G648" s="2">
        <f>SUM(D648:F648)</f>
        <v>837</v>
      </c>
      <c r="H648" s="45">
        <f>+(D648+E648)/G648</f>
        <v>0.25925925925925924</v>
      </c>
    </row>
    <row r="649" spans="1:8" x14ac:dyDescent="0.2">
      <c r="A649" s="42">
        <v>30</v>
      </c>
      <c r="B649" s="43">
        <v>708</v>
      </c>
      <c r="C649" s="44" t="s">
        <v>158</v>
      </c>
      <c r="D649" s="61">
        <v>137</v>
      </c>
      <c r="E649" s="2">
        <v>57</v>
      </c>
      <c r="F649" s="2">
        <f>696-(D649+E649)</f>
        <v>502</v>
      </c>
      <c r="G649" s="2">
        <f t="shared" si="109"/>
        <v>696</v>
      </c>
      <c r="H649" s="45">
        <f t="shared" si="110"/>
        <v>0.27873563218390807</v>
      </c>
    </row>
    <row r="650" spans="1:8" x14ac:dyDescent="0.2">
      <c r="A650" s="42">
        <v>30</v>
      </c>
      <c r="B650" s="43">
        <v>712</v>
      </c>
      <c r="C650" s="44" t="s">
        <v>159</v>
      </c>
      <c r="D650" s="61">
        <v>394</v>
      </c>
      <c r="E650" s="2">
        <v>91</v>
      </c>
      <c r="F650" s="2">
        <f>1323-(D650+E650)</f>
        <v>838</v>
      </c>
      <c r="G650" s="2">
        <f t="shared" si="109"/>
        <v>1323</v>
      </c>
      <c r="H650" s="45">
        <f t="shared" si="110"/>
        <v>0.36659108087679515</v>
      </c>
    </row>
    <row r="651" spans="1:8" x14ac:dyDescent="0.2">
      <c r="A651" s="42">
        <v>30</v>
      </c>
      <c r="B651" s="99">
        <v>720</v>
      </c>
      <c r="C651" s="98" t="s">
        <v>780</v>
      </c>
      <c r="D651" s="61">
        <v>266</v>
      </c>
      <c r="E651" s="2">
        <v>96</v>
      </c>
      <c r="F651" s="2">
        <f>1433-(D651+E651)</f>
        <v>1071</v>
      </c>
      <c r="G651" s="2">
        <f t="shared" ref="G651" si="113">SUM(D651:F651)</f>
        <v>1433</v>
      </c>
      <c r="H651" s="45">
        <f t="shared" ref="H651" si="114">+(D651+E651)/G651</f>
        <v>0.25261688764829032</v>
      </c>
    </row>
    <row r="652" spans="1:8" x14ac:dyDescent="0.2">
      <c r="A652" s="42">
        <v>30</v>
      </c>
      <c r="B652" s="43">
        <v>714</v>
      </c>
      <c r="C652" s="44" t="s">
        <v>160</v>
      </c>
      <c r="D652" s="61">
        <v>138</v>
      </c>
      <c r="E652" s="2">
        <v>19</v>
      </c>
      <c r="F652" s="2">
        <f>179-(D652+E652)</f>
        <v>22</v>
      </c>
      <c r="G652" s="2">
        <f t="shared" si="109"/>
        <v>179</v>
      </c>
      <c r="H652" s="45">
        <f t="shared" si="110"/>
        <v>0.87709497206703912</v>
      </c>
    </row>
    <row r="653" spans="1:8" ht="13.5" thickBot="1" x14ac:dyDescent="0.25">
      <c r="A653" s="51">
        <v>30</v>
      </c>
      <c r="B653" s="52">
        <v>740</v>
      </c>
      <c r="C653" s="117" t="s">
        <v>999</v>
      </c>
      <c r="D653" s="61">
        <v>40</v>
      </c>
      <c r="E653" s="2">
        <v>6</v>
      </c>
      <c r="F653" s="2">
        <f>94-(D653+E653)</f>
        <v>48</v>
      </c>
      <c r="G653" s="2">
        <f t="shared" si="109"/>
        <v>94</v>
      </c>
      <c r="H653" s="56">
        <f t="shared" si="110"/>
        <v>0.48936170212765956</v>
      </c>
    </row>
    <row r="654" spans="1:8" ht="13.5" thickBot="1" x14ac:dyDescent="0.25">
      <c r="A654" s="46"/>
      <c r="B654" s="47">
        <f>COUNTA(B631:B653)</f>
        <v>23</v>
      </c>
      <c r="C654" s="48" t="s">
        <v>20</v>
      </c>
      <c r="D654" s="4">
        <f>SUM(D631:D653)</f>
        <v>3960</v>
      </c>
      <c r="E654" s="3">
        <f>SUM(E631:E653)</f>
        <v>1181</v>
      </c>
      <c r="F654" s="50">
        <f>SUM(F631:F653)</f>
        <v>8450</v>
      </c>
      <c r="G654" s="3">
        <f>SUM(D654:F654)</f>
        <v>13591</v>
      </c>
      <c r="H654" s="49">
        <f>+(D654+E654)/G654</f>
        <v>0.3782650283275697</v>
      </c>
    </row>
    <row r="655" spans="1:8" x14ac:dyDescent="0.2">
      <c r="A655" s="51"/>
      <c r="B655" s="52"/>
      <c r="C655" s="53"/>
      <c r="D655" s="5"/>
      <c r="E655" s="55"/>
      <c r="F655" s="54"/>
      <c r="G655" s="55"/>
      <c r="H655" s="56"/>
    </row>
    <row r="656" spans="1:8" x14ac:dyDescent="0.2">
      <c r="A656" s="51"/>
      <c r="B656" s="52"/>
      <c r="C656" s="58" t="s">
        <v>161</v>
      </c>
      <c r="D656" s="67"/>
      <c r="E656" s="68"/>
      <c r="F656" s="66"/>
      <c r="G656" s="55"/>
      <c r="H656" s="56"/>
    </row>
    <row r="657" spans="1:8" x14ac:dyDescent="0.2">
      <c r="A657" s="42">
        <v>31</v>
      </c>
      <c r="B657" s="43">
        <v>100</v>
      </c>
      <c r="C657" s="98" t="s">
        <v>785</v>
      </c>
      <c r="D657" s="61">
        <v>117</v>
      </c>
      <c r="E657" s="2">
        <v>55</v>
      </c>
      <c r="F657" s="2">
        <f>344-(D657+E657)</f>
        <v>172</v>
      </c>
      <c r="G657" s="2">
        <f t="shared" ref="G657:G667" si="115">SUM(D657:F657)</f>
        <v>344</v>
      </c>
      <c r="H657" s="45">
        <f t="shared" ref="H657:H667" si="116">+(D657+E657)/G657</f>
        <v>0.5</v>
      </c>
    </row>
    <row r="658" spans="1:8" x14ac:dyDescent="0.2">
      <c r="A658" s="42">
        <v>31</v>
      </c>
      <c r="B658" s="43">
        <v>110</v>
      </c>
      <c r="C658" s="98" t="s">
        <v>787</v>
      </c>
      <c r="D658" s="61">
        <v>137</v>
      </c>
      <c r="E658" s="2">
        <v>63</v>
      </c>
      <c r="F658" s="2">
        <f>450-(D658+E658)</f>
        <v>250</v>
      </c>
      <c r="G658" s="2">
        <f t="shared" si="115"/>
        <v>450</v>
      </c>
      <c r="H658" s="45">
        <f t="shared" si="116"/>
        <v>0.44444444444444442</v>
      </c>
    </row>
    <row r="659" spans="1:8" x14ac:dyDescent="0.2">
      <c r="A659" s="42">
        <v>31</v>
      </c>
      <c r="B659" s="43">
        <v>114</v>
      </c>
      <c r="C659" s="98" t="s">
        <v>468</v>
      </c>
      <c r="D659" s="61">
        <v>76</v>
      </c>
      <c r="E659" s="2">
        <v>48</v>
      </c>
      <c r="F659" s="2">
        <f>403-(D659+E659)</f>
        <v>279</v>
      </c>
      <c r="G659" s="2">
        <f t="shared" si="115"/>
        <v>403</v>
      </c>
      <c r="H659" s="45">
        <f t="shared" si="116"/>
        <v>0.30769230769230771</v>
      </c>
    </row>
    <row r="660" spans="1:8" x14ac:dyDescent="0.2">
      <c r="A660" s="42">
        <v>31</v>
      </c>
      <c r="B660" s="43">
        <v>116</v>
      </c>
      <c r="C660" s="98" t="s">
        <v>788</v>
      </c>
      <c r="D660" s="61">
        <v>132</v>
      </c>
      <c r="E660" s="2">
        <v>23</v>
      </c>
      <c r="F660" s="2">
        <f>271-(D660+E660)</f>
        <v>116</v>
      </c>
      <c r="G660" s="2">
        <f t="shared" si="115"/>
        <v>271</v>
      </c>
      <c r="H660" s="45">
        <f t="shared" si="116"/>
        <v>0.5719557195571956</v>
      </c>
    </row>
    <row r="661" spans="1:8" x14ac:dyDescent="0.2">
      <c r="A661" s="42">
        <v>31</v>
      </c>
      <c r="B661" s="43">
        <v>120</v>
      </c>
      <c r="C661" s="98" t="s">
        <v>789</v>
      </c>
      <c r="D661" s="61">
        <v>116</v>
      </c>
      <c r="E661" s="2">
        <v>59</v>
      </c>
      <c r="F661" s="2">
        <f>571-(D661+E661)</f>
        <v>396</v>
      </c>
      <c r="G661" s="2">
        <f t="shared" si="115"/>
        <v>571</v>
      </c>
      <c r="H661" s="45">
        <f t="shared" si="116"/>
        <v>0.30647985989492121</v>
      </c>
    </row>
    <row r="662" spans="1:8" x14ac:dyDescent="0.2">
      <c r="A662" s="42">
        <v>31</v>
      </c>
      <c r="B662" s="43">
        <v>124</v>
      </c>
      <c r="C662" s="98" t="s">
        <v>790</v>
      </c>
      <c r="D662" s="61">
        <v>189</v>
      </c>
      <c r="E662" s="2">
        <v>77</v>
      </c>
      <c r="F662" s="2">
        <f>566-(D662+E662)</f>
        <v>300</v>
      </c>
      <c r="G662" s="2">
        <f t="shared" si="115"/>
        <v>566</v>
      </c>
      <c r="H662" s="45">
        <f t="shared" si="116"/>
        <v>0.46996466431095407</v>
      </c>
    </row>
    <row r="663" spans="1:8" x14ac:dyDescent="0.2">
      <c r="A663" s="42">
        <v>31</v>
      </c>
      <c r="B663" s="43">
        <v>128</v>
      </c>
      <c r="C663" s="98" t="s">
        <v>358</v>
      </c>
      <c r="D663" s="61">
        <v>327</v>
      </c>
      <c r="E663" s="2">
        <v>46</v>
      </c>
      <c r="F663" s="2">
        <f>496-(D663+E663)</f>
        <v>123</v>
      </c>
      <c r="G663" s="2">
        <f t="shared" si="115"/>
        <v>496</v>
      </c>
      <c r="H663" s="45">
        <f t="shared" si="116"/>
        <v>0.75201612903225812</v>
      </c>
    </row>
    <row r="664" spans="1:8" x14ac:dyDescent="0.2">
      <c r="A664" s="42">
        <v>31</v>
      </c>
      <c r="B664" s="43">
        <v>250</v>
      </c>
      <c r="C664" s="98" t="s">
        <v>786</v>
      </c>
      <c r="D664" s="61">
        <v>39</v>
      </c>
      <c r="E664" s="2">
        <v>5</v>
      </c>
      <c r="F664" s="2">
        <f>93-(D664+E664)</f>
        <v>49</v>
      </c>
      <c r="G664" s="2">
        <f>SUM(D664:F664)</f>
        <v>93</v>
      </c>
      <c r="H664" s="45">
        <f>+(D664+E664)/G664</f>
        <v>0.4731182795698925</v>
      </c>
    </row>
    <row r="665" spans="1:8" x14ac:dyDescent="0.2">
      <c r="A665" s="42">
        <v>31</v>
      </c>
      <c r="B665" s="43">
        <v>310</v>
      </c>
      <c r="C665" s="44" t="s">
        <v>162</v>
      </c>
      <c r="D665" s="61">
        <v>230</v>
      </c>
      <c r="E665" s="2">
        <v>109</v>
      </c>
      <c r="F665" s="2">
        <f>891-(D665+E665)</f>
        <v>552</v>
      </c>
      <c r="G665" s="2">
        <f t="shared" si="115"/>
        <v>891</v>
      </c>
      <c r="H665" s="45">
        <f t="shared" si="116"/>
        <v>0.38047138047138046</v>
      </c>
    </row>
    <row r="666" spans="1:8" x14ac:dyDescent="0.2">
      <c r="A666" s="42">
        <v>31</v>
      </c>
      <c r="B666" s="43">
        <v>408</v>
      </c>
      <c r="C666" s="44" t="s">
        <v>163</v>
      </c>
      <c r="D666" s="61">
        <v>190</v>
      </c>
      <c r="E666" s="2">
        <v>90</v>
      </c>
      <c r="F666" s="2">
        <f>807-(D666+E666)</f>
        <v>527</v>
      </c>
      <c r="G666" s="2">
        <f t="shared" si="115"/>
        <v>807</v>
      </c>
      <c r="H666" s="45">
        <f t="shared" si="116"/>
        <v>0.34696406443618338</v>
      </c>
    </row>
    <row r="667" spans="1:8" x14ac:dyDescent="0.2">
      <c r="A667" s="42">
        <v>31</v>
      </c>
      <c r="B667" s="43">
        <v>704</v>
      </c>
      <c r="C667" s="44" t="s">
        <v>164</v>
      </c>
      <c r="D667" s="61">
        <v>197</v>
      </c>
      <c r="E667" s="2">
        <v>81</v>
      </c>
      <c r="F667" s="2">
        <f>1141-(D667+E667)</f>
        <v>863</v>
      </c>
      <c r="G667" s="2">
        <f t="shared" si="115"/>
        <v>1141</v>
      </c>
      <c r="H667" s="45">
        <f t="shared" si="116"/>
        <v>0.24364592462751972</v>
      </c>
    </row>
    <row r="668" spans="1:8" ht="13.5" thickBot="1" x14ac:dyDescent="0.25">
      <c r="A668" s="42">
        <v>31</v>
      </c>
      <c r="B668" s="43">
        <v>998</v>
      </c>
      <c r="C668" s="98" t="s">
        <v>994</v>
      </c>
      <c r="D668" s="61">
        <v>3</v>
      </c>
      <c r="E668" s="2">
        <v>0</v>
      </c>
      <c r="F668" s="2">
        <f>4-(D668+E668)</f>
        <v>1</v>
      </c>
      <c r="G668" s="2">
        <f>SUM(D668:F668)</f>
        <v>4</v>
      </c>
      <c r="H668" s="45">
        <f>+(D668+E668)/G668</f>
        <v>0.75</v>
      </c>
    </row>
    <row r="669" spans="1:8" ht="13.5" thickBot="1" x14ac:dyDescent="0.25">
      <c r="A669" s="46"/>
      <c r="B669" s="47">
        <f>COUNTA(B657:B668)</f>
        <v>12</v>
      </c>
      <c r="C669" s="48" t="s">
        <v>20</v>
      </c>
      <c r="D669" s="4">
        <f>SUM(D657:D668)</f>
        <v>1753</v>
      </c>
      <c r="E669" s="3">
        <f>SUM(E657:E668)</f>
        <v>656</v>
      </c>
      <c r="F669" s="50">
        <f>SUM(F657:F668)</f>
        <v>3628</v>
      </c>
      <c r="G669" s="3">
        <f>SUM(D669:F669)</f>
        <v>6037</v>
      </c>
      <c r="H669" s="49">
        <f>+(D669+E669)/G669</f>
        <v>0.39903925790955774</v>
      </c>
    </row>
    <row r="670" spans="1:8" x14ac:dyDescent="0.2">
      <c r="A670" s="51"/>
      <c r="B670" s="52"/>
      <c r="C670" s="53"/>
      <c r="D670" s="5"/>
      <c r="E670" s="55"/>
      <c r="F670" s="54"/>
      <c r="G670" s="55"/>
      <c r="H670" s="56"/>
    </row>
    <row r="671" spans="1:8" x14ac:dyDescent="0.2">
      <c r="A671" s="51"/>
      <c r="B671" s="52"/>
      <c r="C671" s="58" t="s">
        <v>43</v>
      </c>
      <c r="D671" s="5"/>
      <c r="E671" s="55"/>
      <c r="F671" s="54"/>
      <c r="G671" s="55"/>
      <c r="H671" s="56"/>
    </row>
    <row r="672" spans="1:8" x14ac:dyDescent="0.2">
      <c r="A672" s="42">
        <v>32</v>
      </c>
      <c r="B672" s="43">
        <v>106</v>
      </c>
      <c r="C672" s="98" t="s">
        <v>791</v>
      </c>
      <c r="D672" s="61">
        <v>209</v>
      </c>
      <c r="E672" s="2">
        <v>48</v>
      </c>
      <c r="F672" s="2">
        <v>216</v>
      </c>
      <c r="G672" s="2">
        <v>473</v>
      </c>
      <c r="H672" s="45">
        <v>0.54334038054968292</v>
      </c>
    </row>
    <row r="673" spans="1:8" x14ac:dyDescent="0.2">
      <c r="A673" s="42">
        <v>32</v>
      </c>
      <c r="B673" s="43">
        <v>108</v>
      </c>
      <c r="C673" s="98" t="s">
        <v>793</v>
      </c>
      <c r="D673" s="61">
        <v>128</v>
      </c>
      <c r="E673" s="2">
        <v>34</v>
      </c>
      <c r="F673" s="2">
        <v>278</v>
      </c>
      <c r="G673" s="2">
        <v>440</v>
      </c>
      <c r="H673" s="45">
        <v>0.36818181818181817</v>
      </c>
    </row>
    <row r="674" spans="1:8" x14ac:dyDescent="0.2">
      <c r="A674" s="42">
        <v>32</v>
      </c>
      <c r="B674" s="43">
        <v>110</v>
      </c>
      <c r="C674" s="98" t="s">
        <v>792</v>
      </c>
      <c r="D674" s="61">
        <v>108</v>
      </c>
      <c r="E674" s="2">
        <v>40</v>
      </c>
      <c r="F674" s="2">
        <v>209</v>
      </c>
      <c r="G674" s="2">
        <v>357</v>
      </c>
      <c r="H674" s="45">
        <v>0.41456582633053224</v>
      </c>
    </row>
    <row r="675" spans="1:8" x14ac:dyDescent="0.2">
      <c r="A675" s="42">
        <v>32</v>
      </c>
      <c r="B675" s="43">
        <v>114</v>
      </c>
      <c r="C675" s="98" t="s">
        <v>794</v>
      </c>
      <c r="D675" s="61">
        <v>105</v>
      </c>
      <c r="E675" s="2">
        <v>33</v>
      </c>
      <c r="F675" s="2">
        <v>353</v>
      </c>
      <c r="G675" s="2">
        <v>491</v>
      </c>
      <c r="H675" s="45">
        <v>0.28105906313645623</v>
      </c>
    </row>
    <row r="676" spans="1:8" x14ac:dyDescent="0.2">
      <c r="A676" s="42">
        <v>32</v>
      </c>
      <c r="B676" s="43">
        <v>312</v>
      </c>
      <c r="C676" s="98" t="s">
        <v>795</v>
      </c>
      <c r="D676" s="61">
        <v>223</v>
      </c>
      <c r="E676" s="2">
        <v>60</v>
      </c>
      <c r="F676" s="2">
        <v>524</v>
      </c>
      <c r="G676" s="2">
        <v>807</v>
      </c>
      <c r="H676" s="45">
        <v>0.3506815365551425</v>
      </c>
    </row>
    <row r="677" spans="1:8" x14ac:dyDescent="0.2">
      <c r="A677" s="42">
        <v>32</v>
      </c>
      <c r="B677" s="43">
        <v>212</v>
      </c>
      <c r="C677" s="98" t="s">
        <v>796</v>
      </c>
      <c r="D677" s="61">
        <v>238</v>
      </c>
      <c r="E677" s="2">
        <v>72</v>
      </c>
      <c r="F677" s="2">
        <v>485</v>
      </c>
      <c r="G677" s="2">
        <v>795</v>
      </c>
      <c r="H677" s="45">
        <v>0.38993710691823902</v>
      </c>
    </row>
    <row r="678" spans="1:8" ht="13.5" thickBot="1" x14ac:dyDescent="0.25">
      <c r="A678" s="51">
        <v>32</v>
      </c>
      <c r="B678" s="52">
        <v>704</v>
      </c>
      <c r="C678" s="53" t="s">
        <v>165</v>
      </c>
      <c r="D678" s="61">
        <v>350</v>
      </c>
      <c r="E678" s="2">
        <v>95</v>
      </c>
      <c r="F678" s="2">
        <v>985</v>
      </c>
      <c r="G678" s="2">
        <v>1430</v>
      </c>
      <c r="H678" s="56">
        <v>0.3111888111888112</v>
      </c>
    </row>
    <row r="679" spans="1:8" ht="13.5" thickBot="1" x14ac:dyDescent="0.25">
      <c r="A679" s="46"/>
      <c r="B679" s="47">
        <f>COUNTA(B672:B678)</f>
        <v>7</v>
      </c>
      <c r="C679" s="48" t="s">
        <v>20</v>
      </c>
      <c r="D679" s="4">
        <f>SUM(D672:D678)</f>
        <v>1361</v>
      </c>
      <c r="E679" s="3">
        <f>SUM(E672:E678)</f>
        <v>382</v>
      </c>
      <c r="F679" s="50">
        <f>SUM(F672:F678)</f>
        <v>3050</v>
      </c>
      <c r="G679" s="3">
        <f>SUM(D679:F679)</f>
        <v>4793</v>
      </c>
      <c r="H679" s="49">
        <f t="shared" ref="H679" si="117">+(D679+E679)/G679</f>
        <v>0.36365533069059042</v>
      </c>
    </row>
    <row r="680" spans="1:8" x14ac:dyDescent="0.2">
      <c r="A680" s="51"/>
      <c r="B680" s="52"/>
      <c r="C680" s="53"/>
      <c r="D680" s="5"/>
      <c r="E680" s="55"/>
      <c r="F680" s="54"/>
      <c r="G680" s="55"/>
      <c r="H680" s="56"/>
    </row>
    <row r="681" spans="1:8" x14ac:dyDescent="0.2">
      <c r="A681" s="51"/>
      <c r="B681" s="52"/>
      <c r="C681" s="58" t="s">
        <v>44</v>
      </c>
      <c r="D681" s="5"/>
      <c r="E681" s="55"/>
      <c r="F681" s="54"/>
      <c r="G681" s="55"/>
      <c r="H681" s="56"/>
    </row>
    <row r="682" spans="1:8" x14ac:dyDescent="0.2">
      <c r="A682" s="42">
        <v>33</v>
      </c>
      <c r="B682" s="43">
        <v>102</v>
      </c>
      <c r="C682" s="98" t="s">
        <v>798</v>
      </c>
      <c r="D682" s="61">
        <v>140</v>
      </c>
      <c r="E682" s="2">
        <v>67</v>
      </c>
      <c r="F682" s="2">
        <f>566-(D682+E682)</f>
        <v>359</v>
      </c>
      <c r="G682" s="2">
        <f t="shared" ref="G682:G717" si="118">SUM(D682:F682)</f>
        <v>566</v>
      </c>
      <c r="H682" s="45">
        <f>+(D682+E682)/G682</f>
        <v>0.36572438162544169</v>
      </c>
    </row>
    <row r="683" spans="1:8" x14ac:dyDescent="0.2">
      <c r="A683" s="42">
        <v>33</v>
      </c>
      <c r="B683" s="43">
        <v>103</v>
      </c>
      <c r="C683" s="98" t="s">
        <v>803</v>
      </c>
      <c r="D683" s="61">
        <v>397</v>
      </c>
      <c r="E683" s="2">
        <v>42</v>
      </c>
      <c r="F683" s="2">
        <f>517-(D683+E683)</f>
        <v>78</v>
      </c>
      <c r="G683" s="2">
        <f t="shared" si="118"/>
        <v>517</v>
      </c>
      <c r="H683" s="45">
        <f t="shared" ref="H683:H716" si="119">+(D683+E683)/G683</f>
        <v>0.84912959381044484</v>
      </c>
    </row>
    <row r="684" spans="1:8" x14ac:dyDescent="0.2">
      <c r="A684" s="42">
        <v>33</v>
      </c>
      <c r="B684" s="43">
        <v>104</v>
      </c>
      <c r="C684" s="98" t="s">
        <v>804</v>
      </c>
      <c r="D684" s="61">
        <v>117</v>
      </c>
      <c r="E684" s="2">
        <v>82</v>
      </c>
      <c r="F684" s="2">
        <f>380-(D684+E684)</f>
        <v>181</v>
      </c>
      <c r="G684" s="2">
        <f t="shared" si="118"/>
        <v>380</v>
      </c>
      <c r="H684" s="45">
        <f t="shared" si="119"/>
        <v>0.52368421052631575</v>
      </c>
    </row>
    <row r="685" spans="1:8" x14ac:dyDescent="0.2">
      <c r="A685" s="42">
        <v>33</v>
      </c>
      <c r="B685" s="43">
        <v>105</v>
      </c>
      <c r="C685" s="98" t="s">
        <v>799</v>
      </c>
      <c r="D685" s="61">
        <v>217</v>
      </c>
      <c r="E685" s="2">
        <v>59</v>
      </c>
      <c r="F685" s="2">
        <f>572-(D685+E685)</f>
        <v>296</v>
      </c>
      <c r="G685" s="2">
        <f t="shared" si="118"/>
        <v>572</v>
      </c>
      <c r="H685" s="45">
        <f t="shared" si="119"/>
        <v>0.4825174825174825</v>
      </c>
    </row>
    <row r="686" spans="1:8" x14ac:dyDescent="0.2">
      <c r="A686" s="42">
        <v>33</v>
      </c>
      <c r="B686" s="43">
        <v>107</v>
      </c>
      <c r="C686" s="98" t="s">
        <v>800</v>
      </c>
      <c r="D686" s="61">
        <v>255</v>
      </c>
      <c r="E686" s="2">
        <v>85</v>
      </c>
      <c r="F686" s="2">
        <f>611-(D686+E686)</f>
        <v>271</v>
      </c>
      <c r="G686" s="2">
        <f>SUM(D686:F686)</f>
        <v>611</v>
      </c>
      <c r="H686" s="45">
        <f>+(D686+E686)/G686</f>
        <v>0.55646481178396068</v>
      </c>
    </row>
    <row r="687" spans="1:8" x14ac:dyDescent="0.2">
      <c r="A687" s="42">
        <v>33</v>
      </c>
      <c r="B687" s="43">
        <v>108</v>
      </c>
      <c r="C687" s="98" t="s">
        <v>802</v>
      </c>
      <c r="D687" s="61">
        <v>63</v>
      </c>
      <c r="E687" s="2">
        <v>28</v>
      </c>
      <c r="F687" s="2">
        <f>284-(D687+E687)</f>
        <v>193</v>
      </c>
      <c r="G687" s="2">
        <f t="shared" si="118"/>
        <v>284</v>
      </c>
      <c r="H687" s="45">
        <f t="shared" si="119"/>
        <v>0.32042253521126762</v>
      </c>
    </row>
    <row r="688" spans="1:8" x14ac:dyDescent="0.2">
      <c r="A688" s="42">
        <v>33</v>
      </c>
      <c r="B688" s="43">
        <v>110</v>
      </c>
      <c r="C688" s="98" t="s">
        <v>801</v>
      </c>
      <c r="D688" s="61">
        <v>271</v>
      </c>
      <c r="E688" s="2">
        <v>81</v>
      </c>
      <c r="F688" s="2">
        <f>612-(D688+E688)</f>
        <v>260</v>
      </c>
      <c r="G688" s="2">
        <f t="shared" si="118"/>
        <v>612</v>
      </c>
      <c r="H688" s="45">
        <f t="shared" si="119"/>
        <v>0.57516339869281041</v>
      </c>
    </row>
    <row r="689" spans="1:8" x14ac:dyDescent="0.2">
      <c r="A689" s="42">
        <v>33</v>
      </c>
      <c r="B689" s="43">
        <v>111</v>
      </c>
      <c r="C689" s="98" t="s">
        <v>797</v>
      </c>
      <c r="D689" s="61">
        <v>195</v>
      </c>
      <c r="E689" s="2">
        <v>36</v>
      </c>
      <c r="F689" s="2">
        <f>587-(D689+E689)</f>
        <v>356</v>
      </c>
      <c r="G689" s="2">
        <f>SUM(D689:F689)</f>
        <v>587</v>
      </c>
      <c r="H689" s="45">
        <f>+(D689+E689)/G689</f>
        <v>0.39352640545144801</v>
      </c>
    </row>
    <row r="690" spans="1:8" x14ac:dyDescent="0.2">
      <c r="A690" s="42">
        <v>33</v>
      </c>
      <c r="B690" s="43">
        <v>112</v>
      </c>
      <c r="C690" s="98" t="s">
        <v>807</v>
      </c>
      <c r="D690" s="61">
        <v>290</v>
      </c>
      <c r="E690" s="2">
        <v>99</v>
      </c>
      <c r="F690" s="2">
        <f>611-(D690+E690)</f>
        <v>222</v>
      </c>
      <c r="G690" s="2">
        <f t="shared" si="118"/>
        <v>611</v>
      </c>
      <c r="H690" s="45">
        <f t="shared" si="119"/>
        <v>0.63666121112929619</v>
      </c>
    </row>
    <row r="691" spans="1:8" x14ac:dyDescent="0.2">
      <c r="A691" s="42">
        <v>33</v>
      </c>
      <c r="B691" s="43">
        <v>114</v>
      </c>
      <c r="C691" s="98" t="s">
        <v>808</v>
      </c>
      <c r="D691" s="61">
        <v>215</v>
      </c>
      <c r="E691" s="2">
        <v>101</v>
      </c>
      <c r="F691" s="2">
        <f>507-(D691+E691)</f>
        <v>191</v>
      </c>
      <c r="G691" s="2">
        <f t="shared" si="118"/>
        <v>507</v>
      </c>
      <c r="H691" s="45">
        <f t="shared" si="119"/>
        <v>0.62327416173570016</v>
      </c>
    </row>
    <row r="692" spans="1:8" x14ac:dyDescent="0.2">
      <c r="A692" s="42">
        <v>33</v>
      </c>
      <c r="B692" s="43">
        <v>116</v>
      </c>
      <c r="C692" s="98" t="s">
        <v>579</v>
      </c>
      <c r="D692" s="61">
        <v>350</v>
      </c>
      <c r="E692" s="2">
        <v>50</v>
      </c>
      <c r="F692" s="2">
        <f>544-(D692+E692)</f>
        <v>144</v>
      </c>
      <c r="G692" s="2">
        <f t="shared" si="118"/>
        <v>544</v>
      </c>
      <c r="H692" s="45">
        <f t="shared" si="119"/>
        <v>0.73529411764705888</v>
      </c>
    </row>
    <row r="693" spans="1:8" x14ac:dyDescent="0.2">
      <c r="A693" s="42">
        <v>33</v>
      </c>
      <c r="B693" s="43">
        <v>120</v>
      </c>
      <c r="C693" s="98" t="s">
        <v>528</v>
      </c>
      <c r="D693" s="61">
        <v>349</v>
      </c>
      <c r="E693" s="2">
        <v>47</v>
      </c>
      <c r="F693" s="2">
        <f>582-(D693+E693)</f>
        <v>186</v>
      </c>
      <c r="G693" s="2">
        <f t="shared" si="118"/>
        <v>582</v>
      </c>
      <c r="H693" s="45">
        <f t="shared" si="119"/>
        <v>0.68041237113402064</v>
      </c>
    </row>
    <row r="694" spans="1:8" x14ac:dyDescent="0.2">
      <c r="A694" s="42">
        <v>33</v>
      </c>
      <c r="B694" s="43">
        <v>121</v>
      </c>
      <c r="C694" s="98" t="s">
        <v>810</v>
      </c>
      <c r="D694" s="61">
        <v>176</v>
      </c>
      <c r="E694" s="2">
        <v>54</v>
      </c>
      <c r="F694" s="2">
        <f>466-(D694+E694)</f>
        <v>236</v>
      </c>
      <c r="G694" s="2">
        <f t="shared" si="118"/>
        <v>466</v>
      </c>
      <c r="H694" s="45">
        <f t="shared" si="119"/>
        <v>0.49356223175965663</v>
      </c>
    </row>
    <row r="695" spans="1:8" x14ac:dyDescent="0.2">
      <c r="A695" s="42">
        <v>33</v>
      </c>
      <c r="B695" s="43">
        <v>122</v>
      </c>
      <c r="C695" s="98" t="s">
        <v>812</v>
      </c>
      <c r="D695" s="61">
        <v>297</v>
      </c>
      <c r="E695" s="2">
        <v>55</v>
      </c>
      <c r="F695" s="2">
        <f>574-(D695+E695)</f>
        <v>222</v>
      </c>
      <c r="G695" s="2">
        <f t="shared" si="118"/>
        <v>574</v>
      </c>
      <c r="H695" s="45">
        <f>+(D695+E695)/G695</f>
        <v>0.61324041811846686</v>
      </c>
    </row>
    <row r="696" spans="1:8" x14ac:dyDescent="0.2">
      <c r="A696" s="42">
        <v>33</v>
      </c>
      <c r="B696" s="43">
        <v>123</v>
      </c>
      <c r="C696" s="98" t="s">
        <v>811</v>
      </c>
      <c r="D696" s="61">
        <v>159</v>
      </c>
      <c r="E696" s="2">
        <v>63</v>
      </c>
      <c r="F696" s="2">
        <f>414-(D696+E696)</f>
        <v>192</v>
      </c>
      <c r="G696" s="2">
        <f t="shared" si="118"/>
        <v>414</v>
      </c>
      <c r="H696" s="45">
        <f t="shared" si="119"/>
        <v>0.53623188405797106</v>
      </c>
    </row>
    <row r="697" spans="1:8" x14ac:dyDescent="0.2">
      <c r="A697" s="42">
        <v>33</v>
      </c>
      <c r="B697" s="43">
        <v>124</v>
      </c>
      <c r="C697" s="98" t="s">
        <v>813</v>
      </c>
      <c r="D697" s="61">
        <v>111</v>
      </c>
      <c r="E697" s="2">
        <v>47</v>
      </c>
      <c r="F697" s="2">
        <f>443-(D697+E697)</f>
        <v>285</v>
      </c>
      <c r="G697" s="2">
        <f t="shared" si="118"/>
        <v>443</v>
      </c>
      <c r="H697" s="45">
        <f t="shared" si="119"/>
        <v>0.35665914221218964</v>
      </c>
    </row>
    <row r="698" spans="1:8" x14ac:dyDescent="0.2">
      <c r="A698" s="42">
        <v>33</v>
      </c>
      <c r="B698" s="43">
        <v>128</v>
      </c>
      <c r="C698" s="98" t="s">
        <v>814</v>
      </c>
      <c r="D698" s="61">
        <v>21</v>
      </c>
      <c r="E698" s="2">
        <v>3</v>
      </c>
      <c r="F698" s="2">
        <f>38-(D698+E698)</f>
        <v>14</v>
      </c>
      <c r="G698" s="2">
        <f t="shared" ref="G698" si="120">SUM(D698:F698)</f>
        <v>38</v>
      </c>
      <c r="H698" s="45">
        <f t="shared" ref="H698" si="121">+(D698+E698)/G698</f>
        <v>0.63157894736842102</v>
      </c>
    </row>
    <row r="699" spans="1:8" x14ac:dyDescent="0.2">
      <c r="A699" s="42">
        <v>33</v>
      </c>
      <c r="B699" s="43">
        <v>130</v>
      </c>
      <c r="C699" s="98" t="s">
        <v>558</v>
      </c>
      <c r="D699" s="61">
        <v>251</v>
      </c>
      <c r="E699" s="2">
        <v>61</v>
      </c>
      <c r="F699" s="2">
        <f>534-(D699+E699)</f>
        <v>222</v>
      </c>
      <c r="G699" s="2">
        <f t="shared" si="118"/>
        <v>534</v>
      </c>
      <c r="H699" s="45">
        <f t="shared" si="119"/>
        <v>0.5842696629213483</v>
      </c>
    </row>
    <row r="700" spans="1:8" x14ac:dyDescent="0.2">
      <c r="A700" s="42">
        <v>33</v>
      </c>
      <c r="B700" s="43">
        <v>134</v>
      </c>
      <c r="C700" s="98" t="s">
        <v>816</v>
      </c>
      <c r="D700" s="61">
        <v>263</v>
      </c>
      <c r="E700" s="2">
        <v>93</v>
      </c>
      <c r="F700" s="2">
        <f>632-(D700+E700)</f>
        <v>276</v>
      </c>
      <c r="G700" s="2">
        <f t="shared" si="118"/>
        <v>632</v>
      </c>
      <c r="H700" s="45">
        <f t="shared" si="119"/>
        <v>0.56329113924050633</v>
      </c>
    </row>
    <row r="701" spans="1:8" x14ac:dyDescent="0.2">
      <c r="A701" s="42">
        <v>33</v>
      </c>
      <c r="B701" s="43">
        <v>140</v>
      </c>
      <c r="C701" s="98" t="s">
        <v>571</v>
      </c>
      <c r="D701" s="61">
        <v>243</v>
      </c>
      <c r="E701" s="2">
        <v>75</v>
      </c>
      <c r="F701" s="2">
        <f>483-(D701+E701)</f>
        <v>165</v>
      </c>
      <c r="G701" s="2">
        <f t="shared" si="118"/>
        <v>483</v>
      </c>
      <c r="H701" s="45">
        <f t="shared" si="119"/>
        <v>0.65838509316770188</v>
      </c>
    </row>
    <row r="702" spans="1:8" x14ac:dyDescent="0.2">
      <c r="A702" s="42">
        <v>33</v>
      </c>
      <c r="B702" s="43">
        <v>144</v>
      </c>
      <c r="C702" s="98" t="s">
        <v>706</v>
      </c>
      <c r="D702" s="61">
        <v>170</v>
      </c>
      <c r="E702" s="2">
        <v>73</v>
      </c>
      <c r="F702" s="2">
        <f>687-(D702+E702)</f>
        <v>444</v>
      </c>
      <c r="G702" s="2">
        <f>SUM(D702:F702)</f>
        <v>687</v>
      </c>
      <c r="H702" s="45">
        <f>+(D702+E702)/G702</f>
        <v>0.35371179039301309</v>
      </c>
    </row>
    <row r="703" spans="1:8" x14ac:dyDescent="0.2">
      <c r="A703" s="42">
        <v>33</v>
      </c>
      <c r="B703" s="43">
        <v>145</v>
      </c>
      <c r="C703" s="98" t="s">
        <v>806</v>
      </c>
      <c r="D703" s="61">
        <v>170</v>
      </c>
      <c r="E703" s="2">
        <v>43</v>
      </c>
      <c r="F703" s="2">
        <f>626-(D703+E703)</f>
        <v>413</v>
      </c>
      <c r="G703" s="2">
        <f>SUM(D703:F703)</f>
        <v>626</v>
      </c>
      <c r="H703" s="45">
        <f>+(D703+E703)/G703</f>
        <v>0.34025559105431308</v>
      </c>
    </row>
    <row r="704" spans="1:8" x14ac:dyDescent="0.2">
      <c r="A704" s="42">
        <v>33</v>
      </c>
      <c r="B704" s="43">
        <v>146</v>
      </c>
      <c r="C704" s="98" t="s">
        <v>809</v>
      </c>
      <c r="D704" s="61">
        <v>76</v>
      </c>
      <c r="E704" s="2">
        <v>22</v>
      </c>
      <c r="F704" s="2">
        <f>671-(D704+E704)</f>
        <v>573</v>
      </c>
      <c r="G704" s="2">
        <f>SUM(D704:F704)</f>
        <v>671</v>
      </c>
      <c r="H704" s="45">
        <f>+(D704+E704)/G704</f>
        <v>0.14605067064083457</v>
      </c>
    </row>
    <row r="705" spans="1:8" x14ac:dyDescent="0.2">
      <c r="A705" s="42">
        <v>33</v>
      </c>
      <c r="B705" s="43">
        <v>303</v>
      </c>
      <c r="C705" s="98" t="s">
        <v>815</v>
      </c>
      <c r="D705" s="61">
        <v>155</v>
      </c>
      <c r="E705" s="2">
        <v>63</v>
      </c>
      <c r="F705" s="2">
        <f>709-(D705+E705)</f>
        <v>491</v>
      </c>
      <c r="G705" s="2">
        <f t="shared" ref="G705" si="122">SUM(D705:F705)</f>
        <v>709</v>
      </c>
      <c r="H705" s="45">
        <f t="shared" ref="H705" si="123">+(D705+E705)/G705</f>
        <v>0.30747531734837802</v>
      </c>
    </row>
    <row r="706" spans="1:8" x14ac:dyDescent="0.2">
      <c r="A706" s="42">
        <v>33</v>
      </c>
      <c r="B706" s="43">
        <v>305</v>
      </c>
      <c r="C706" s="98" t="s">
        <v>459</v>
      </c>
      <c r="D706" s="61">
        <v>315</v>
      </c>
      <c r="E706" s="2">
        <v>78</v>
      </c>
      <c r="F706" s="2">
        <f>719-(D706+E706)</f>
        <v>326</v>
      </c>
      <c r="G706" s="2">
        <f t="shared" si="118"/>
        <v>719</v>
      </c>
      <c r="H706" s="45">
        <f t="shared" si="119"/>
        <v>0.54659248956884565</v>
      </c>
    </row>
    <row r="707" spans="1:8" x14ac:dyDescent="0.2">
      <c r="A707" s="42">
        <v>33</v>
      </c>
      <c r="B707" s="43">
        <v>308</v>
      </c>
      <c r="C707" s="98" t="s">
        <v>460</v>
      </c>
      <c r="D707" s="61">
        <v>258</v>
      </c>
      <c r="E707" s="2">
        <v>98</v>
      </c>
      <c r="F707" s="2">
        <f>624-(D707+E707)</f>
        <v>268</v>
      </c>
      <c r="G707" s="2">
        <f>SUM(D707:F707)</f>
        <v>624</v>
      </c>
      <c r="H707" s="45">
        <f>+(D707+E707)/G707</f>
        <v>0.57051282051282048</v>
      </c>
    </row>
    <row r="708" spans="1:8" x14ac:dyDescent="0.2">
      <c r="A708" s="42">
        <v>33</v>
      </c>
      <c r="B708" s="43">
        <v>320</v>
      </c>
      <c r="C708" s="98" t="s">
        <v>805</v>
      </c>
      <c r="D708" s="61">
        <v>334</v>
      </c>
      <c r="E708" s="2">
        <v>89</v>
      </c>
      <c r="F708" s="2">
        <f>832-(D708+E708)</f>
        <v>409</v>
      </c>
      <c r="G708" s="2">
        <f>SUM(D708:F708)</f>
        <v>832</v>
      </c>
      <c r="H708" s="45">
        <f>+(D708+E708)/G708</f>
        <v>0.50841346153846156</v>
      </c>
    </row>
    <row r="709" spans="1:8" x14ac:dyDescent="0.2">
      <c r="A709" s="42">
        <v>33</v>
      </c>
      <c r="B709" s="43">
        <v>325</v>
      </c>
      <c r="C709" s="98" t="s">
        <v>458</v>
      </c>
      <c r="D709" s="61">
        <v>335</v>
      </c>
      <c r="E709" s="2">
        <v>110</v>
      </c>
      <c r="F709" s="2">
        <f>829-(D709+E709)</f>
        <v>384</v>
      </c>
      <c r="G709" s="2">
        <f t="shared" si="118"/>
        <v>829</v>
      </c>
      <c r="H709" s="45">
        <f>+(D709+E709)/G709</f>
        <v>0.53679131483715314</v>
      </c>
    </row>
    <row r="710" spans="1:8" x14ac:dyDescent="0.2">
      <c r="A710" s="42">
        <v>33</v>
      </c>
      <c r="B710" s="43">
        <v>403</v>
      </c>
      <c r="C710" s="44" t="s">
        <v>284</v>
      </c>
      <c r="D710" s="61">
        <v>162</v>
      </c>
      <c r="E710" s="2">
        <v>45</v>
      </c>
      <c r="F710" s="2">
        <f>724-(D710+E710)</f>
        <v>517</v>
      </c>
      <c r="G710" s="2">
        <f>SUM(D710:F710)</f>
        <v>724</v>
      </c>
      <c r="H710" s="45">
        <f>+(D710+E710)/G710</f>
        <v>0.28591160220994477</v>
      </c>
    </row>
    <row r="711" spans="1:8" x14ac:dyDescent="0.2">
      <c r="A711" s="42">
        <v>33</v>
      </c>
      <c r="B711" s="43">
        <v>404</v>
      </c>
      <c r="C711" s="44" t="s">
        <v>166</v>
      </c>
      <c r="D711" s="61">
        <v>265</v>
      </c>
      <c r="E711" s="2">
        <v>55</v>
      </c>
      <c r="F711" s="2">
        <f>719-(D711+E711)</f>
        <v>399</v>
      </c>
      <c r="G711" s="2">
        <f t="shared" si="118"/>
        <v>719</v>
      </c>
      <c r="H711" s="45">
        <f t="shared" si="119"/>
        <v>0.44506258692628653</v>
      </c>
    </row>
    <row r="712" spans="1:8" x14ac:dyDescent="0.2">
      <c r="A712" s="42">
        <v>33</v>
      </c>
      <c r="B712" s="43">
        <v>408</v>
      </c>
      <c r="C712" s="44" t="s">
        <v>167</v>
      </c>
      <c r="D712" s="61">
        <v>214</v>
      </c>
      <c r="E712" s="2">
        <v>98</v>
      </c>
      <c r="F712" s="2">
        <f>605-(D712+E712)</f>
        <v>293</v>
      </c>
      <c r="G712" s="2">
        <f t="shared" si="118"/>
        <v>605</v>
      </c>
      <c r="H712" s="45">
        <f t="shared" si="119"/>
        <v>0.51570247933884295</v>
      </c>
    </row>
    <row r="713" spans="1:8" x14ac:dyDescent="0.2">
      <c r="A713" s="42">
        <v>33</v>
      </c>
      <c r="B713" s="43">
        <v>420</v>
      </c>
      <c r="C713" s="44" t="s">
        <v>168</v>
      </c>
      <c r="D713" s="61">
        <v>290</v>
      </c>
      <c r="E713" s="2">
        <v>54</v>
      </c>
      <c r="F713" s="2">
        <f>711-(D713+E713)</f>
        <v>367</v>
      </c>
      <c r="G713" s="2">
        <f t="shared" si="118"/>
        <v>711</v>
      </c>
      <c r="H713" s="45">
        <f t="shared" si="119"/>
        <v>0.4838255977496484</v>
      </c>
    </row>
    <row r="714" spans="1:8" x14ac:dyDescent="0.2">
      <c r="A714" s="42">
        <v>33</v>
      </c>
      <c r="B714" s="43">
        <v>425</v>
      </c>
      <c r="C714" s="44" t="s">
        <v>169</v>
      </c>
      <c r="D714" s="61">
        <v>278</v>
      </c>
      <c r="E714" s="2">
        <v>84</v>
      </c>
      <c r="F714" s="2">
        <f>860-(D714+E714)</f>
        <v>498</v>
      </c>
      <c r="G714" s="2">
        <f t="shared" si="118"/>
        <v>860</v>
      </c>
      <c r="H714" s="45">
        <f t="shared" si="119"/>
        <v>0.42093023255813955</v>
      </c>
    </row>
    <row r="715" spans="1:8" x14ac:dyDescent="0.2">
      <c r="A715" s="42">
        <v>33</v>
      </c>
      <c r="B715" s="43">
        <v>703</v>
      </c>
      <c r="C715" s="98" t="s">
        <v>457</v>
      </c>
      <c r="D715" s="61">
        <v>160</v>
      </c>
      <c r="E715" s="2">
        <v>51</v>
      </c>
      <c r="F715" s="2">
        <f>931-(D715+E715)</f>
        <v>720</v>
      </c>
      <c r="G715" s="2">
        <f t="shared" ref="G715" si="124">SUM(D715:F715)</f>
        <v>931</v>
      </c>
      <c r="H715" s="45">
        <f t="shared" ref="H715" si="125">+(D715+E715)/G715</f>
        <v>0.22663802363050484</v>
      </c>
    </row>
    <row r="716" spans="1:8" x14ac:dyDescent="0.2">
      <c r="A716" s="42">
        <v>33</v>
      </c>
      <c r="B716" s="43">
        <v>704</v>
      </c>
      <c r="C716" s="44" t="s">
        <v>170</v>
      </c>
      <c r="D716" s="61">
        <v>333</v>
      </c>
      <c r="E716" s="2">
        <v>65</v>
      </c>
      <c r="F716" s="2">
        <f>1007-(D716+E716)</f>
        <v>609</v>
      </c>
      <c r="G716" s="2">
        <f t="shared" si="118"/>
        <v>1007</v>
      </c>
      <c r="H716" s="45">
        <f t="shared" si="119"/>
        <v>0.39523336643495532</v>
      </c>
    </row>
    <row r="717" spans="1:8" x14ac:dyDescent="0.2">
      <c r="A717" s="42">
        <v>33</v>
      </c>
      <c r="B717" s="43">
        <v>712</v>
      </c>
      <c r="C717" s="44" t="s">
        <v>171</v>
      </c>
      <c r="D717" s="61">
        <v>143</v>
      </c>
      <c r="E717" s="2">
        <v>46</v>
      </c>
      <c r="F717" s="2">
        <f>404-(D717+E717)</f>
        <v>215</v>
      </c>
      <c r="G717" s="2">
        <f t="shared" si="118"/>
        <v>404</v>
      </c>
      <c r="H717" s="45">
        <f>+(D717+E717)/G717</f>
        <v>0.46782178217821785</v>
      </c>
    </row>
    <row r="718" spans="1:8" x14ac:dyDescent="0.2">
      <c r="A718" s="42">
        <v>33</v>
      </c>
      <c r="B718" s="43">
        <v>716</v>
      </c>
      <c r="C718" s="44" t="s">
        <v>218</v>
      </c>
      <c r="D718" s="61">
        <v>256</v>
      </c>
      <c r="E718" s="2">
        <v>87</v>
      </c>
      <c r="F718" s="2">
        <f>805-(D718+E718)</f>
        <v>462</v>
      </c>
      <c r="G718" s="2">
        <f>SUM(D718:F718)</f>
        <v>805</v>
      </c>
      <c r="H718" s="45">
        <f>+(D718+E718)/G718</f>
        <v>0.42608695652173911</v>
      </c>
    </row>
    <row r="719" spans="1:8" x14ac:dyDescent="0.2">
      <c r="A719" s="42">
        <v>33</v>
      </c>
      <c r="B719" s="43">
        <v>718</v>
      </c>
      <c r="C719" s="44" t="s">
        <v>243</v>
      </c>
      <c r="D719" s="61">
        <v>96</v>
      </c>
      <c r="E719" s="2">
        <v>15</v>
      </c>
      <c r="F719" s="2">
        <f>207-(D719+E719)</f>
        <v>96</v>
      </c>
      <c r="G719" s="2">
        <f>SUM(D719:F719)</f>
        <v>207</v>
      </c>
      <c r="H719" s="45">
        <f>+(D719+E719)/G719</f>
        <v>0.53623188405797106</v>
      </c>
    </row>
    <row r="720" spans="1:8" ht="13.5" thickBot="1" x14ac:dyDescent="0.25">
      <c r="A720" s="42">
        <v>33</v>
      </c>
      <c r="B720" s="43">
        <v>720</v>
      </c>
      <c r="C720" s="98" t="s">
        <v>998</v>
      </c>
      <c r="D720" s="61">
        <v>260</v>
      </c>
      <c r="E720" s="2">
        <v>71</v>
      </c>
      <c r="F720" s="2">
        <f>955-(D720+E720)</f>
        <v>624</v>
      </c>
      <c r="G720" s="2">
        <f>SUM(D720:F720)</f>
        <v>955</v>
      </c>
      <c r="H720" s="45">
        <f>+(D720+E720)/G720</f>
        <v>0.34659685863874345</v>
      </c>
    </row>
    <row r="721" spans="1:8" ht="13.5" thickBot="1" x14ac:dyDescent="0.25">
      <c r="A721" s="46"/>
      <c r="B721" s="47">
        <f>COUNTA(B682:B720)</f>
        <v>39</v>
      </c>
      <c r="C721" s="48" t="s">
        <v>20</v>
      </c>
      <c r="D721" s="4">
        <f>SUM(D682:D720)</f>
        <v>8650</v>
      </c>
      <c r="E721" s="3">
        <f>SUM(E682:E720)</f>
        <v>2475</v>
      </c>
      <c r="F721" s="50">
        <f>SUM(F682:F720)</f>
        <v>12457</v>
      </c>
      <c r="G721" s="3">
        <f>SUM(D721:F721)</f>
        <v>23582</v>
      </c>
      <c r="H721" s="49">
        <f>+(D721+E721)/G721</f>
        <v>0.47175812060045796</v>
      </c>
    </row>
    <row r="722" spans="1:8" x14ac:dyDescent="0.2">
      <c r="A722" s="51"/>
      <c r="B722" s="52"/>
      <c r="C722" s="53"/>
      <c r="D722" s="5"/>
      <c r="E722" s="55"/>
      <c r="F722" s="54"/>
      <c r="G722" s="55"/>
      <c r="H722" s="56"/>
    </row>
    <row r="723" spans="1:8" x14ac:dyDescent="0.2">
      <c r="A723" s="51"/>
      <c r="B723" s="52"/>
      <c r="C723" s="58" t="s">
        <v>172</v>
      </c>
      <c r="D723" s="5"/>
      <c r="E723" s="55"/>
      <c r="F723" s="54"/>
      <c r="G723" s="55"/>
      <c r="H723" s="56"/>
    </row>
    <row r="724" spans="1:8" x14ac:dyDescent="0.2">
      <c r="A724" s="42">
        <v>34</v>
      </c>
      <c r="B724" s="43">
        <v>108</v>
      </c>
      <c r="C724" s="98" t="s">
        <v>817</v>
      </c>
      <c r="D724" s="61">
        <v>19</v>
      </c>
      <c r="E724" s="2">
        <v>8</v>
      </c>
      <c r="F724" s="2">
        <f>33-(D724+E724)</f>
        <v>6</v>
      </c>
      <c r="G724" s="2">
        <f>SUM(D724:F724)</f>
        <v>33</v>
      </c>
      <c r="H724" s="45">
        <f>+(D724+E724)/G724</f>
        <v>0.81818181818181823</v>
      </c>
    </row>
    <row r="725" spans="1:8" x14ac:dyDescent="0.2">
      <c r="A725" s="42">
        <v>34</v>
      </c>
      <c r="B725" s="43">
        <v>112</v>
      </c>
      <c r="C725" s="98" t="s">
        <v>818</v>
      </c>
      <c r="D725" s="61">
        <v>80</v>
      </c>
      <c r="E725" s="2">
        <v>29</v>
      </c>
      <c r="F725" s="2">
        <f>251-(D725+E725)</f>
        <v>142</v>
      </c>
      <c r="G725" s="2">
        <f>SUM(D725:F725)</f>
        <v>251</v>
      </c>
      <c r="H725" s="45">
        <f>+(D725+E725)/G725</f>
        <v>0.43426294820717132</v>
      </c>
    </row>
    <row r="726" spans="1:8" x14ac:dyDescent="0.2">
      <c r="A726" s="42">
        <v>34</v>
      </c>
      <c r="B726" s="43">
        <v>302</v>
      </c>
      <c r="C726" s="44" t="s">
        <v>173</v>
      </c>
      <c r="D726" s="61">
        <v>45</v>
      </c>
      <c r="E726" s="2">
        <v>17</v>
      </c>
      <c r="F726" s="2">
        <f>125-(D726+E726)</f>
        <v>63</v>
      </c>
      <c r="G726" s="2">
        <f>SUM(D726:F726)</f>
        <v>125</v>
      </c>
      <c r="H726" s="45">
        <f>+(D726+E726)/G726</f>
        <v>0.496</v>
      </c>
    </row>
    <row r="727" spans="1:8" ht="13.5" thickBot="1" x14ac:dyDescent="0.25">
      <c r="A727" s="51">
        <v>34</v>
      </c>
      <c r="B727" s="52">
        <v>704</v>
      </c>
      <c r="C727" s="53" t="s">
        <v>174</v>
      </c>
      <c r="D727" s="61">
        <v>39</v>
      </c>
      <c r="E727" s="2">
        <v>29</v>
      </c>
      <c r="F727" s="2">
        <f>158-(D727+E727)</f>
        <v>90</v>
      </c>
      <c r="G727" s="2">
        <f>SUM(D727:F727)</f>
        <v>158</v>
      </c>
      <c r="H727" s="56">
        <f>+(D727+E727)/G727</f>
        <v>0.43037974683544306</v>
      </c>
    </row>
    <row r="728" spans="1:8" ht="13.5" thickBot="1" x14ac:dyDescent="0.25">
      <c r="A728" s="46"/>
      <c r="B728" s="47">
        <f>COUNTA(B724:B727)</f>
        <v>4</v>
      </c>
      <c r="C728" s="48" t="s">
        <v>20</v>
      </c>
      <c r="D728" s="4">
        <f>SUM(D724:D727)</f>
        <v>183</v>
      </c>
      <c r="E728" s="3">
        <f>SUM(E724:E727)</f>
        <v>83</v>
      </c>
      <c r="F728" s="50">
        <f>SUM(F724:F727)</f>
        <v>301</v>
      </c>
      <c r="G728" s="3">
        <f>SUM(D728:F728)</f>
        <v>567</v>
      </c>
      <c r="H728" s="49">
        <f>+(D728+E728)/G728</f>
        <v>0.46913580246913578</v>
      </c>
    </row>
    <row r="729" spans="1:8" x14ac:dyDescent="0.2">
      <c r="A729" s="51"/>
      <c r="B729" s="52"/>
      <c r="C729" s="53"/>
      <c r="D729" s="5"/>
      <c r="E729" s="55"/>
      <c r="F729" s="54"/>
      <c r="G729" s="55"/>
      <c r="H729" s="56"/>
    </row>
    <row r="730" spans="1:8" x14ac:dyDescent="0.2">
      <c r="A730" s="51"/>
      <c r="B730" s="52"/>
      <c r="C730" s="58" t="s">
        <v>175</v>
      </c>
      <c r="D730" s="5"/>
      <c r="E730" s="55"/>
      <c r="F730" s="54"/>
      <c r="G730" s="55"/>
      <c r="H730" s="56"/>
    </row>
    <row r="731" spans="1:8" x14ac:dyDescent="0.2">
      <c r="A731" s="42">
        <v>35</v>
      </c>
      <c r="B731" s="43">
        <v>100</v>
      </c>
      <c r="C731" s="98" t="s">
        <v>819</v>
      </c>
      <c r="D731" s="61">
        <v>79</v>
      </c>
      <c r="E731" s="2">
        <v>46</v>
      </c>
      <c r="F731" s="2">
        <f>564-(D731+E731)</f>
        <v>439</v>
      </c>
      <c r="G731" s="2">
        <f t="shared" ref="G731:G773" si="126">SUM(D731:F731)</f>
        <v>564</v>
      </c>
      <c r="H731" s="45">
        <f t="shared" ref="H731:H773" si="127">+(D731+E731)/G731</f>
        <v>0.22163120567375885</v>
      </c>
    </row>
    <row r="732" spans="1:8" x14ac:dyDescent="0.2">
      <c r="A732" s="42">
        <v>35</v>
      </c>
      <c r="B732" s="43">
        <v>108</v>
      </c>
      <c r="C732" s="98" t="s">
        <v>820</v>
      </c>
      <c r="D732" s="61">
        <v>254</v>
      </c>
      <c r="E732" s="2">
        <v>57</v>
      </c>
      <c r="F732" s="2">
        <f>381-(D732+E732)</f>
        <v>70</v>
      </c>
      <c r="G732" s="2">
        <f t="shared" si="126"/>
        <v>381</v>
      </c>
      <c r="H732" s="45">
        <f t="shared" si="127"/>
        <v>0.81627296587926512</v>
      </c>
    </row>
    <row r="733" spans="1:8" x14ac:dyDescent="0.2">
      <c r="A733" s="42">
        <v>35</v>
      </c>
      <c r="B733" s="43">
        <v>109</v>
      </c>
      <c r="C733" s="98" t="s">
        <v>821</v>
      </c>
      <c r="D733" s="61">
        <v>130</v>
      </c>
      <c r="E733" s="2">
        <v>56</v>
      </c>
      <c r="F733" s="2">
        <f>526-(D733+E733)</f>
        <v>340</v>
      </c>
      <c r="G733" s="2">
        <f t="shared" si="126"/>
        <v>526</v>
      </c>
      <c r="H733" s="45">
        <f t="shared" si="127"/>
        <v>0.35361216730038025</v>
      </c>
    </row>
    <row r="734" spans="1:8" x14ac:dyDescent="0.2">
      <c r="A734" s="42">
        <v>35</v>
      </c>
      <c r="B734" s="43">
        <v>110</v>
      </c>
      <c r="C734" s="98" t="s">
        <v>824</v>
      </c>
      <c r="D734" s="61">
        <v>114</v>
      </c>
      <c r="E734" s="2">
        <v>44</v>
      </c>
      <c r="F734" s="2">
        <f>443-(D734+E734)</f>
        <v>285</v>
      </c>
      <c r="G734" s="2">
        <f t="shared" si="126"/>
        <v>443</v>
      </c>
      <c r="H734" s="45">
        <f t="shared" si="127"/>
        <v>0.35665914221218964</v>
      </c>
    </row>
    <row r="735" spans="1:8" x14ac:dyDescent="0.2">
      <c r="A735" s="42">
        <v>35</v>
      </c>
      <c r="B735" s="43">
        <v>111</v>
      </c>
      <c r="C735" s="98" t="s">
        <v>823</v>
      </c>
      <c r="D735" s="61">
        <v>158</v>
      </c>
      <c r="E735" s="2">
        <v>55</v>
      </c>
      <c r="F735" s="2">
        <f>439-(D735+E735)</f>
        <v>226</v>
      </c>
      <c r="G735" s="2">
        <f t="shared" si="126"/>
        <v>439</v>
      </c>
      <c r="H735" s="45">
        <f t="shared" si="127"/>
        <v>0.48519362186788156</v>
      </c>
    </row>
    <row r="736" spans="1:8" x14ac:dyDescent="0.2">
      <c r="A736" s="42">
        <v>35</v>
      </c>
      <c r="B736" s="43">
        <v>112</v>
      </c>
      <c r="C736" s="98" t="s">
        <v>825</v>
      </c>
      <c r="D736" s="61">
        <v>74</v>
      </c>
      <c r="E736" s="2">
        <v>68</v>
      </c>
      <c r="F736" s="2">
        <f>567-(D736+E736)</f>
        <v>425</v>
      </c>
      <c r="G736" s="2">
        <f t="shared" si="126"/>
        <v>567</v>
      </c>
      <c r="H736" s="45">
        <f t="shared" si="127"/>
        <v>0.25044091710758376</v>
      </c>
    </row>
    <row r="737" spans="1:8" x14ac:dyDescent="0.2">
      <c r="A737" s="42">
        <v>35</v>
      </c>
      <c r="B737" s="43">
        <v>113</v>
      </c>
      <c r="C737" s="98" t="s">
        <v>822</v>
      </c>
      <c r="D737" s="61">
        <v>140</v>
      </c>
      <c r="E737" s="2">
        <v>70</v>
      </c>
      <c r="F737" s="2">
        <f>695-(D737+E737)</f>
        <v>485</v>
      </c>
      <c r="G737" s="2">
        <f t="shared" si="126"/>
        <v>695</v>
      </c>
      <c r="H737" s="45">
        <f t="shared" si="127"/>
        <v>0.30215827338129497</v>
      </c>
    </row>
    <row r="738" spans="1:8" x14ac:dyDescent="0.2">
      <c r="A738" s="42">
        <v>35</v>
      </c>
      <c r="B738" s="43">
        <v>114</v>
      </c>
      <c r="C738" s="98" t="s">
        <v>826</v>
      </c>
      <c r="D738" s="61">
        <v>124</v>
      </c>
      <c r="E738" s="2">
        <v>65</v>
      </c>
      <c r="F738" s="2">
        <f>674-(D738+E738)</f>
        <v>485</v>
      </c>
      <c r="G738" s="2">
        <f t="shared" si="126"/>
        <v>674</v>
      </c>
      <c r="H738" s="45">
        <f t="shared" si="127"/>
        <v>0.28041543026706234</v>
      </c>
    </row>
    <row r="739" spans="1:8" x14ac:dyDescent="0.2">
      <c r="A739" s="42">
        <v>35</v>
      </c>
      <c r="B739" s="43">
        <v>115</v>
      </c>
      <c r="C739" s="98" t="s">
        <v>385</v>
      </c>
      <c r="D739" s="61">
        <v>146</v>
      </c>
      <c r="E739" s="2">
        <v>87</v>
      </c>
      <c r="F739" s="2">
        <f>611-(D739+E739)</f>
        <v>378</v>
      </c>
      <c r="G739" s="2">
        <f t="shared" si="126"/>
        <v>611</v>
      </c>
      <c r="H739" s="45">
        <f>+(D739+E739)/G739</f>
        <v>0.381342062193126</v>
      </c>
    </row>
    <row r="740" spans="1:8" x14ac:dyDescent="0.2">
      <c r="A740" s="42">
        <v>35</v>
      </c>
      <c r="B740" s="43">
        <v>116</v>
      </c>
      <c r="C740" s="98" t="s">
        <v>827</v>
      </c>
      <c r="D740" s="61">
        <v>227</v>
      </c>
      <c r="E740" s="2">
        <v>61</v>
      </c>
      <c r="F740" s="2">
        <f>476-(D740+E740)</f>
        <v>188</v>
      </c>
      <c r="G740" s="2">
        <f t="shared" si="126"/>
        <v>476</v>
      </c>
      <c r="H740" s="45">
        <f t="shared" si="127"/>
        <v>0.60504201680672265</v>
      </c>
    </row>
    <row r="741" spans="1:8" x14ac:dyDescent="0.2">
      <c r="A741" s="42">
        <v>35</v>
      </c>
      <c r="B741" s="43">
        <v>120</v>
      </c>
      <c r="C741" s="98" t="s">
        <v>828</v>
      </c>
      <c r="D741" s="61">
        <v>59</v>
      </c>
      <c r="E741" s="2">
        <v>46</v>
      </c>
      <c r="F741" s="2">
        <f>559-(D741+E741)</f>
        <v>454</v>
      </c>
      <c r="G741" s="2">
        <f t="shared" si="126"/>
        <v>559</v>
      </c>
      <c r="H741" s="45">
        <f t="shared" si="127"/>
        <v>0.18783542039355994</v>
      </c>
    </row>
    <row r="742" spans="1:8" x14ac:dyDescent="0.2">
      <c r="A742" s="42">
        <v>35</v>
      </c>
      <c r="B742" s="43">
        <v>121</v>
      </c>
      <c r="C742" s="98" t="s">
        <v>700</v>
      </c>
      <c r="D742" s="61">
        <v>142</v>
      </c>
      <c r="E742" s="2">
        <v>90</v>
      </c>
      <c r="F742" s="2">
        <f>637-(D742+E742)</f>
        <v>405</v>
      </c>
      <c r="G742" s="2">
        <f t="shared" si="126"/>
        <v>637</v>
      </c>
      <c r="H742" s="45">
        <f t="shared" si="127"/>
        <v>0.36420722135007849</v>
      </c>
    </row>
    <row r="743" spans="1:8" x14ac:dyDescent="0.2">
      <c r="A743" s="42">
        <v>35</v>
      </c>
      <c r="B743" s="43">
        <v>122</v>
      </c>
      <c r="C743" s="98" t="s">
        <v>829</v>
      </c>
      <c r="D743" s="61">
        <v>133</v>
      </c>
      <c r="E743" s="2">
        <v>46</v>
      </c>
      <c r="F743" s="2">
        <f>330-(D743+E743)</f>
        <v>151</v>
      </c>
      <c r="G743" s="2">
        <f t="shared" si="126"/>
        <v>330</v>
      </c>
      <c r="H743" s="45">
        <f t="shared" si="127"/>
        <v>0.54242424242424248</v>
      </c>
    </row>
    <row r="744" spans="1:8" x14ac:dyDescent="0.2">
      <c r="A744" s="42">
        <v>35</v>
      </c>
      <c r="B744" s="43">
        <v>123</v>
      </c>
      <c r="C744" s="98" t="s">
        <v>830</v>
      </c>
      <c r="D744" s="61">
        <v>180</v>
      </c>
      <c r="E744" s="2">
        <v>74</v>
      </c>
      <c r="F744" s="2">
        <f>624-(D744+E744)</f>
        <v>370</v>
      </c>
      <c r="G744" s="2">
        <f t="shared" si="126"/>
        <v>624</v>
      </c>
      <c r="H744" s="45">
        <f t="shared" si="127"/>
        <v>0.40705128205128205</v>
      </c>
    </row>
    <row r="745" spans="1:8" x14ac:dyDescent="0.2">
      <c r="A745" s="42">
        <v>35</v>
      </c>
      <c r="B745" s="43">
        <v>124</v>
      </c>
      <c r="C745" s="98" t="s">
        <v>831</v>
      </c>
      <c r="D745" s="61">
        <v>154</v>
      </c>
      <c r="E745" s="2">
        <v>54</v>
      </c>
      <c r="F745" s="2">
        <f>400-(D745+E745)</f>
        <v>192</v>
      </c>
      <c r="G745" s="2">
        <f t="shared" si="126"/>
        <v>400</v>
      </c>
      <c r="H745" s="45">
        <f t="shared" si="127"/>
        <v>0.52</v>
      </c>
    </row>
    <row r="746" spans="1:8" x14ac:dyDescent="0.2">
      <c r="A746" s="42">
        <v>35</v>
      </c>
      <c r="B746" s="43">
        <v>128</v>
      </c>
      <c r="C746" s="98" t="s">
        <v>832</v>
      </c>
      <c r="D746" s="61">
        <v>141</v>
      </c>
      <c r="E746" s="2">
        <v>75</v>
      </c>
      <c r="F746" s="2">
        <f>534-(D746+E746)</f>
        <v>318</v>
      </c>
      <c r="G746" s="2">
        <f t="shared" si="126"/>
        <v>534</v>
      </c>
      <c r="H746" s="45">
        <f t="shared" si="127"/>
        <v>0.4044943820224719</v>
      </c>
    </row>
    <row r="747" spans="1:8" x14ac:dyDescent="0.2">
      <c r="A747" s="42">
        <v>35</v>
      </c>
      <c r="B747" s="43">
        <v>132</v>
      </c>
      <c r="C747" s="98" t="s">
        <v>476</v>
      </c>
      <c r="D747" s="61">
        <v>153</v>
      </c>
      <c r="E747" s="2">
        <v>62</v>
      </c>
      <c r="F747" s="2">
        <f>365-(D747+E747)</f>
        <v>150</v>
      </c>
      <c r="G747" s="2">
        <f t="shared" si="126"/>
        <v>365</v>
      </c>
      <c r="H747" s="45">
        <f t="shared" si="127"/>
        <v>0.58904109589041098</v>
      </c>
    </row>
    <row r="748" spans="1:8" x14ac:dyDescent="0.2">
      <c r="A748" s="42">
        <v>35</v>
      </c>
      <c r="B748" s="43">
        <v>138</v>
      </c>
      <c r="C748" s="98" t="s">
        <v>640</v>
      </c>
      <c r="D748" s="61">
        <v>135</v>
      </c>
      <c r="E748" s="2">
        <v>52</v>
      </c>
      <c r="F748" s="2">
        <f>460-(D748+E748)</f>
        <v>273</v>
      </c>
      <c r="G748" s="2">
        <f t="shared" si="126"/>
        <v>460</v>
      </c>
      <c r="H748" s="45">
        <f t="shared" si="127"/>
        <v>0.40652173913043477</v>
      </c>
    </row>
    <row r="749" spans="1:8" x14ac:dyDescent="0.2">
      <c r="A749" s="42">
        <v>35</v>
      </c>
      <c r="B749" s="43">
        <v>140</v>
      </c>
      <c r="C749" s="98" t="s">
        <v>835</v>
      </c>
      <c r="D749" s="61">
        <v>139</v>
      </c>
      <c r="E749" s="2">
        <v>71</v>
      </c>
      <c r="F749" s="2">
        <f>685-(D749+E749)</f>
        <v>475</v>
      </c>
      <c r="G749" s="2">
        <f t="shared" si="126"/>
        <v>685</v>
      </c>
      <c r="H749" s="45">
        <f t="shared" si="127"/>
        <v>0.30656934306569344</v>
      </c>
    </row>
    <row r="750" spans="1:8" x14ac:dyDescent="0.2">
      <c r="A750" s="42">
        <v>35</v>
      </c>
      <c r="B750" s="43">
        <v>144</v>
      </c>
      <c r="C750" s="98" t="s">
        <v>836</v>
      </c>
      <c r="D750" s="61">
        <v>219</v>
      </c>
      <c r="E750" s="2">
        <v>55</v>
      </c>
      <c r="F750" s="2">
        <f>500-(D750+E750)</f>
        <v>226</v>
      </c>
      <c r="G750" s="2">
        <f t="shared" si="126"/>
        <v>500</v>
      </c>
      <c r="H750" s="45">
        <f t="shared" si="127"/>
        <v>0.54800000000000004</v>
      </c>
    </row>
    <row r="751" spans="1:8" x14ac:dyDescent="0.2">
      <c r="A751" s="42">
        <v>35</v>
      </c>
      <c r="B751" s="43">
        <v>148</v>
      </c>
      <c r="C751" s="98" t="s">
        <v>646</v>
      </c>
      <c r="D751" s="61">
        <v>266</v>
      </c>
      <c r="E751" s="2">
        <v>52</v>
      </c>
      <c r="F751" s="2">
        <f>539-(D751+E751)</f>
        <v>221</v>
      </c>
      <c r="G751" s="2">
        <f t="shared" si="126"/>
        <v>539</v>
      </c>
      <c r="H751" s="45">
        <f t="shared" si="127"/>
        <v>0.58998144712430423</v>
      </c>
    </row>
    <row r="752" spans="1:8" x14ac:dyDescent="0.2">
      <c r="A752" s="42">
        <v>35</v>
      </c>
      <c r="B752" s="43">
        <v>152</v>
      </c>
      <c r="C752" s="98" t="s">
        <v>838</v>
      </c>
      <c r="D752" s="61">
        <v>209</v>
      </c>
      <c r="E752" s="2">
        <v>98</v>
      </c>
      <c r="F752" s="2">
        <f>508-(D752+E752)</f>
        <v>201</v>
      </c>
      <c r="G752" s="2">
        <f t="shared" si="126"/>
        <v>508</v>
      </c>
      <c r="H752" s="45">
        <f t="shared" si="127"/>
        <v>0.60433070866141736</v>
      </c>
    </row>
    <row r="753" spans="1:8" x14ac:dyDescent="0.2">
      <c r="A753" s="42">
        <v>35</v>
      </c>
      <c r="B753" s="43">
        <v>154</v>
      </c>
      <c r="C753" s="98" t="s">
        <v>844</v>
      </c>
      <c r="D753" s="61">
        <v>122</v>
      </c>
      <c r="E753" s="2">
        <v>54</v>
      </c>
      <c r="F753" s="2">
        <f>608-(D753+E753)</f>
        <v>432</v>
      </c>
      <c r="G753" s="2">
        <f t="shared" si="126"/>
        <v>608</v>
      </c>
      <c r="H753" s="45">
        <f t="shared" si="127"/>
        <v>0.28947368421052633</v>
      </c>
    </row>
    <row r="754" spans="1:8" x14ac:dyDescent="0.2">
      <c r="A754" s="42">
        <v>35</v>
      </c>
      <c r="B754" s="43">
        <v>156</v>
      </c>
      <c r="C754" s="98" t="s">
        <v>107</v>
      </c>
      <c r="D754" s="61">
        <v>110</v>
      </c>
      <c r="E754" s="2">
        <v>42</v>
      </c>
      <c r="F754" s="2">
        <f>568-(D754+E754)</f>
        <v>416</v>
      </c>
      <c r="G754" s="2">
        <f t="shared" si="126"/>
        <v>568</v>
      </c>
      <c r="H754" s="45">
        <f t="shared" si="127"/>
        <v>0.26760563380281688</v>
      </c>
    </row>
    <row r="755" spans="1:8" x14ac:dyDescent="0.2">
      <c r="A755" s="42">
        <v>35</v>
      </c>
      <c r="B755" s="43">
        <v>158</v>
      </c>
      <c r="C755" s="98" t="s">
        <v>411</v>
      </c>
      <c r="D755" s="61">
        <v>191</v>
      </c>
      <c r="E755" s="2">
        <v>84</v>
      </c>
      <c r="F755" s="2">
        <f>514-(D755+E755)</f>
        <v>239</v>
      </c>
      <c r="G755" s="2">
        <f t="shared" si="126"/>
        <v>514</v>
      </c>
      <c r="H755" s="45">
        <f t="shared" si="127"/>
        <v>0.53501945525291827</v>
      </c>
    </row>
    <row r="756" spans="1:8" x14ac:dyDescent="0.2">
      <c r="A756" s="42">
        <v>35</v>
      </c>
      <c r="B756" s="43">
        <v>160</v>
      </c>
      <c r="C756" s="98" t="s">
        <v>846</v>
      </c>
      <c r="D756" s="61">
        <v>220</v>
      </c>
      <c r="E756" s="2">
        <v>75</v>
      </c>
      <c r="F756" s="2">
        <f>496-(D756+E756)</f>
        <v>201</v>
      </c>
      <c r="G756" s="2">
        <f t="shared" si="126"/>
        <v>496</v>
      </c>
      <c r="H756" s="45">
        <f t="shared" si="127"/>
        <v>0.594758064516129</v>
      </c>
    </row>
    <row r="757" spans="1:8" x14ac:dyDescent="0.2">
      <c r="A757" s="42">
        <v>35</v>
      </c>
      <c r="B757" s="43">
        <v>162</v>
      </c>
      <c r="C757" s="98" t="s">
        <v>847</v>
      </c>
      <c r="D757" s="61">
        <v>158</v>
      </c>
      <c r="E757" s="2">
        <v>89</v>
      </c>
      <c r="F757" s="2">
        <f>635-(D757+E757)</f>
        <v>388</v>
      </c>
      <c r="G757" s="2">
        <f>SUM(D757:F757)</f>
        <v>635</v>
      </c>
      <c r="H757" s="45">
        <f>+(D757+E757)/G757</f>
        <v>0.38897637795275591</v>
      </c>
    </row>
    <row r="758" spans="1:8" x14ac:dyDescent="0.2">
      <c r="A758" s="42">
        <v>35</v>
      </c>
      <c r="B758" s="43">
        <v>164</v>
      </c>
      <c r="C758" s="98" t="s">
        <v>848</v>
      </c>
      <c r="D758" s="61">
        <v>99</v>
      </c>
      <c r="E758" s="2">
        <v>38</v>
      </c>
      <c r="F758" s="2">
        <f>395-(D758+E758)</f>
        <v>258</v>
      </c>
      <c r="G758" s="2">
        <f t="shared" si="126"/>
        <v>395</v>
      </c>
      <c r="H758" s="45">
        <f t="shared" si="127"/>
        <v>0.3468354430379747</v>
      </c>
    </row>
    <row r="759" spans="1:8" x14ac:dyDescent="0.2">
      <c r="A759" s="42">
        <v>35</v>
      </c>
      <c r="B759" s="43">
        <v>402</v>
      </c>
      <c r="C759" s="98" t="s">
        <v>833</v>
      </c>
      <c r="D759" s="61">
        <v>108</v>
      </c>
      <c r="E759" s="2">
        <v>53</v>
      </c>
      <c r="F759" s="2">
        <f>679-(D759+E759)</f>
        <v>518</v>
      </c>
      <c r="G759" s="2">
        <f t="shared" si="126"/>
        <v>679</v>
      </c>
      <c r="H759" s="45">
        <f t="shared" si="127"/>
        <v>0.23711340206185566</v>
      </c>
    </row>
    <row r="760" spans="1:8" x14ac:dyDescent="0.2">
      <c r="A760" s="42">
        <v>35</v>
      </c>
      <c r="B760" s="43">
        <v>403</v>
      </c>
      <c r="C760" s="98" t="s">
        <v>837</v>
      </c>
      <c r="D760" s="61">
        <v>160</v>
      </c>
      <c r="E760" s="2">
        <v>86</v>
      </c>
      <c r="F760" s="2">
        <f>996-(D760+E760)</f>
        <v>750</v>
      </c>
      <c r="G760" s="2">
        <f t="shared" si="126"/>
        <v>996</v>
      </c>
      <c r="H760" s="45">
        <f t="shared" si="127"/>
        <v>0.24698795180722891</v>
      </c>
    </row>
    <row r="761" spans="1:8" x14ac:dyDescent="0.2">
      <c r="A761" s="42">
        <v>35</v>
      </c>
      <c r="B761" s="43">
        <v>404</v>
      </c>
      <c r="C761" s="98" t="s">
        <v>839</v>
      </c>
      <c r="D761" s="61">
        <v>262</v>
      </c>
      <c r="E761" s="2">
        <v>99</v>
      </c>
      <c r="F761" s="2">
        <f>888-(D761+E761)</f>
        <v>527</v>
      </c>
      <c r="G761" s="2">
        <f t="shared" si="126"/>
        <v>888</v>
      </c>
      <c r="H761" s="45">
        <f t="shared" si="127"/>
        <v>0.40653153153153154</v>
      </c>
    </row>
    <row r="762" spans="1:8" x14ac:dyDescent="0.2">
      <c r="A762" s="42">
        <v>35</v>
      </c>
      <c r="B762" s="43">
        <v>405</v>
      </c>
      <c r="C762" s="98" t="s">
        <v>834</v>
      </c>
      <c r="D762" s="61">
        <v>155</v>
      </c>
      <c r="E762" s="2">
        <v>79</v>
      </c>
      <c r="F762" s="2">
        <f>911-(D762+E762)</f>
        <v>677</v>
      </c>
      <c r="G762" s="2">
        <f>SUM(D762:F762)</f>
        <v>911</v>
      </c>
      <c r="H762" s="45">
        <f>+(D762+E762)/G762</f>
        <v>0.25686059275521406</v>
      </c>
    </row>
    <row r="763" spans="1:8" x14ac:dyDescent="0.2">
      <c r="A763" s="42">
        <v>35</v>
      </c>
      <c r="B763" s="43">
        <v>406</v>
      </c>
      <c r="C763" s="98" t="s">
        <v>840</v>
      </c>
      <c r="D763" s="61">
        <v>266</v>
      </c>
      <c r="E763" s="2">
        <v>90</v>
      </c>
      <c r="F763" s="2">
        <f>818-(D763+E763)</f>
        <v>462</v>
      </c>
      <c r="G763" s="2">
        <f t="shared" si="126"/>
        <v>818</v>
      </c>
      <c r="H763" s="45">
        <f t="shared" si="127"/>
        <v>0.4352078239608802</v>
      </c>
    </row>
    <row r="764" spans="1:8" x14ac:dyDescent="0.2">
      <c r="A764" s="42">
        <v>35</v>
      </c>
      <c r="B764" s="43">
        <v>408</v>
      </c>
      <c r="C764" s="98" t="s">
        <v>842</v>
      </c>
      <c r="D764" s="61">
        <v>233</v>
      </c>
      <c r="E764" s="2">
        <v>68</v>
      </c>
      <c r="F764" s="2">
        <f>855-(D764+E764)</f>
        <v>554</v>
      </c>
      <c r="G764" s="2">
        <f t="shared" si="126"/>
        <v>855</v>
      </c>
      <c r="H764" s="45">
        <f t="shared" si="127"/>
        <v>0.352046783625731</v>
      </c>
    </row>
    <row r="765" spans="1:8" x14ac:dyDescent="0.2">
      <c r="A765" s="42">
        <v>35</v>
      </c>
      <c r="B765" s="43">
        <v>410</v>
      </c>
      <c r="C765" s="98" t="s">
        <v>843</v>
      </c>
      <c r="D765" s="61">
        <v>225</v>
      </c>
      <c r="E765" s="2">
        <v>64</v>
      </c>
      <c r="F765" s="2">
        <f>597-(D765+E765)</f>
        <v>308</v>
      </c>
      <c r="G765" s="2">
        <f t="shared" si="126"/>
        <v>597</v>
      </c>
      <c r="H765" s="45">
        <f t="shared" si="127"/>
        <v>0.48408710217755446</v>
      </c>
    </row>
    <row r="766" spans="1:8" x14ac:dyDescent="0.2">
      <c r="A766" s="42">
        <v>35</v>
      </c>
      <c r="B766" s="43">
        <v>412</v>
      </c>
      <c r="C766" s="98" t="s">
        <v>841</v>
      </c>
      <c r="D766" s="61">
        <v>45</v>
      </c>
      <c r="E766" s="2">
        <v>19</v>
      </c>
      <c r="F766" s="2">
        <f>355-(D766+E766)</f>
        <v>291</v>
      </c>
      <c r="G766" s="2">
        <f t="shared" si="126"/>
        <v>355</v>
      </c>
      <c r="H766" s="45">
        <f t="shared" si="127"/>
        <v>0.18028169014084508</v>
      </c>
    </row>
    <row r="767" spans="1:8" x14ac:dyDescent="0.2">
      <c r="A767" s="42">
        <v>35</v>
      </c>
      <c r="B767" s="43">
        <v>416</v>
      </c>
      <c r="C767" s="98" t="s">
        <v>845</v>
      </c>
      <c r="D767" s="61">
        <v>186</v>
      </c>
      <c r="E767" s="2">
        <v>83</v>
      </c>
      <c r="F767" s="2">
        <f>966-(D767+E767)</f>
        <v>697</v>
      </c>
      <c r="G767" s="2">
        <f t="shared" si="126"/>
        <v>966</v>
      </c>
      <c r="H767" s="45">
        <f t="shared" si="127"/>
        <v>0.27846790890269152</v>
      </c>
    </row>
    <row r="768" spans="1:8" x14ac:dyDescent="0.2">
      <c r="A768" s="42">
        <v>35</v>
      </c>
      <c r="B768" s="43">
        <v>701</v>
      </c>
      <c r="C768" s="44" t="s">
        <v>176</v>
      </c>
      <c r="D768" s="61">
        <v>318</v>
      </c>
      <c r="E768" s="2">
        <v>75</v>
      </c>
      <c r="F768" s="2">
        <f>1352-(D768+E768)</f>
        <v>959</v>
      </c>
      <c r="G768" s="2">
        <f t="shared" si="126"/>
        <v>1352</v>
      </c>
      <c r="H768" s="45">
        <f t="shared" si="127"/>
        <v>0.29068047337278108</v>
      </c>
    </row>
    <row r="769" spans="1:8" x14ac:dyDescent="0.2">
      <c r="A769" s="42">
        <v>35</v>
      </c>
      <c r="B769" s="43">
        <v>704</v>
      </c>
      <c r="C769" s="44" t="s">
        <v>177</v>
      </c>
      <c r="D769" s="61">
        <v>204</v>
      </c>
      <c r="E769" s="2">
        <v>105</v>
      </c>
      <c r="F769" s="2">
        <f>1791-(D769+E769)</f>
        <v>1482</v>
      </c>
      <c r="G769" s="2">
        <f t="shared" si="126"/>
        <v>1791</v>
      </c>
      <c r="H769" s="45">
        <f t="shared" si="127"/>
        <v>0.17252931323283083</v>
      </c>
    </row>
    <row r="770" spans="1:8" x14ac:dyDescent="0.2">
      <c r="A770" s="42">
        <v>35</v>
      </c>
      <c r="B770" s="43">
        <v>706</v>
      </c>
      <c r="C770" s="44" t="s">
        <v>178</v>
      </c>
      <c r="D770" s="61">
        <v>205</v>
      </c>
      <c r="E770" s="2">
        <v>111</v>
      </c>
      <c r="F770" s="2">
        <f>1732-(D770+E770)</f>
        <v>1416</v>
      </c>
      <c r="G770" s="2">
        <f t="shared" si="126"/>
        <v>1732</v>
      </c>
      <c r="H770" s="45">
        <f t="shared" si="127"/>
        <v>0.18244803695150116</v>
      </c>
    </row>
    <row r="771" spans="1:8" x14ac:dyDescent="0.2">
      <c r="A771" s="42">
        <v>35</v>
      </c>
      <c r="B771" s="43">
        <v>708</v>
      </c>
      <c r="C771" s="44" t="s">
        <v>179</v>
      </c>
      <c r="D771" s="61">
        <v>329</v>
      </c>
      <c r="E771" s="2">
        <v>137</v>
      </c>
      <c r="F771" s="2">
        <f>1492-(D771+E771)</f>
        <v>1026</v>
      </c>
      <c r="G771" s="2">
        <f t="shared" si="126"/>
        <v>1492</v>
      </c>
      <c r="H771" s="45">
        <f t="shared" si="127"/>
        <v>0.31233243967828417</v>
      </c>
    </row>
    <row r="772" spans="1:8" x14ac:dyDescent="0.2">
      <c r="A772" s="42">
        <v>35</v>
      </c>
      <c r="B772" s="43">
        <v>730</v>
      </c>
      <c r="C772" s="44" t="s">
        <v>244</v>
      </c>
      <c r="D772" s="61">
        <v>71</v>
      </c>
      <c r="E772" s="2">
        <v>10</v>
      </c>
      <c r="F772" s="2">
        <f>191-(D772+E772)</f>
        <v>110</v>
      </c>
      <c r="G772" s="2">
        <f>SUM(D772:F772)</f>
        <v>191</v>
      </c>
      <c r="H772" s="45">
        <f>+(D772+E772)/G772</f>
        <v>0.42408376963350786</v>
      </c>
    </row>
    <row r="773" spans="1:8" ht="13.5" thickBot="1" x14ac:dyDescent="0.25">
      <c r="A773" s="51">
        <v>35</v>
      </c>
      <c r="B773" s="52">
        <v>810</v>
      </c>
      <c r="C773" s="53" t="s">
        <v>180</v>
      </c>
      <c r="D773" s="61">
        <v>110</v>
      </c>
      <c r="E773" s="2">
        <v>24</v>
      </c>
      <c r="F773" s="2">
        <f>157-(D773+E773)</f>
        <v>23</v>
      </c>
      <c r="G773" s="2">
        <f t="shared" si="126"/>
        <v>157</v>
      </c>
      <c r="H773" s="56">
        <f t="shared" si="127"/>
        <v>0.85350318471337583</v>
      </c>
    </row>
    <row r="774" spans="1:8" ht="13.5" thickBot="1" x14ac:dyDescent="0.25">
      <c r="A774" s="46"/>
      <c r="B774" s="47">
        <f>COUNTA(B731:B773)</f>
        <v>43</v>
      </c>
      <c r="C774" s="48" t="s">
        <v>20</v>
      </c>
      <c r="D774" s="4">
        <f>SUM(D731:D773)</f>
        <v>7153</v>
      </c>
      <c r="E774" s="3">
        <f>SUM(E731:E773)</f>
        <v>2869</v>
      </c>
      <c r="F774" s="50">
        <f>SUM(F731:F773)</f>
        <v>18491</v>
      </c>
      <c r="G774" s="3">
        <f>SUM(D774:F774)</f>
        <v>28513</v>
      </c>
      <c r="H774" s="49">
        <f>+(D774+E774)/G774</f>
        <v>0.35148879458492616</v>
      </c>
    </row>
    <row r="775" spans="1:8" x14ac:dyDescent="0.2">
      <c r="A775" s="51"/>
      <c r="B775" s="52"/>
      <c r="C775" s="53"/>
      <c r="D775" s="5"/>
      <c r="E775" s="55"/>
      <c r="F775" s="54"/>
      <c r="G775" s="55"/>
      <c r="H775" s="56"/>
    </row>
    <row r="776" spans="1:8" x14ac:dyDescent="0.2">
      <c r="A776" s="51"/>
      <c r="B776" s="52"/>
      <c r="C776" s="58" t="s">
        <v>181</v>
      </c>
      <c r="D776" s="5"/>
      <c r="E776" s="55"/>
      <c r="F776" s="54"/>
      <c r="G776" s="55"/>
      <c r="H776" s="56"/>
    </row>
    <row r="777" spans="1:8" x14ac:dyDescent="0.2">
      <c r="A777" s="42">
        <v>36</v>
      </c>
      <c r="B777" s="43">
        <v>100</v>
      </c>
      <c r="C777" s="98" t="s">
        <v>451</v>
      </c>
      <c r="D777" s="61">
        <v>22</v>
      </c>
      <c r="E777" s="2">
        <v>0</v>
      </c>
      <c r="F777" s="2">
        <f>23-(D777+E777)</f>
        <v>1</v>
      </c>
      <c r="G777" s="2">
        <f>SUM(D777:F777)</f>
        <v>23</v>
      </c>
      <c r="H777" s="45">
        <f>+(D777+E777)/G777</f>
        <v>0.95652173913043481</v>
      </c>
    </row>
    <row r="778" spans="1:8" x14ac:dyDescent="0.2">
      <c r="A778" s="42">
        <v>36</v>
      </c>
      <c r="B778" s="43">
        <v>104</v>
      </c>
      <c r="C778" s="98" t="s">
        <v>856</v>
      </c>
      <c r="D778" s="61">
        <v>519</v>
      </c>
      <c r="E778" s="2">
        <v>49</v>
      </c>
      <c r="F778" s="2">
        <f>628-(D778+E778)</f>
        <v>60</v>
      </c>
      <c r="G778" s="2">
        <f>SUM(D778:F778)</f>
        <v>628</v>
      </c>
      <c r="H778" s="45">
        <f>+(D778+E778)/G778</f>
        <v>0.90445859872611467</v>
      </c>
    </row>
    <row r="779" spans="1:8" x14ac:dyDescent="0.2">
      <c r="A779" s="42">
        <v>36</v>
      </c>
      <c r="B779" s="43">
        <v>108</v>
      </c>
      <c r="C779" s="98" t="s">
        <v>857</v>
      </c>
      <c r="D779" s="61">
        <v>112</v>
      </c>
      <c r="E779" s="2">
        <v>12</v>
      </c>
      <c r="F779" s="2">
        <f>524-(D779+E779)</f>
        <v>400</v>
      </c>
      <c r="G779" s="2">
        <f t="shared" ref="G779:G819" si="128">SUM(D779:F779)</f>
        <v>524</v>
      </c>
      <c r="H779" s="45">
        <f t="shared" ref="H779:H819" si="129">+(D779+E779)/G779</f>
        <v>0.23664122137404581</v>
      </c>
    </row>
    <row r="780" spans="1:8" x14ac:dyDescent="0.2">
      <c r="A780" s="42">
        <v>36</v>
      </c>
      <c r="B780" s="43">
        <v>112</v>
      </c>
      <c r="C780" s="98" t="s">
        <v>394</v>
      </c>
      <c r="D780" s="61">
        <v>41</v>
      </c>
      <c r="E780" s="2">
        <v>8</v>
      </c>
      <c r="F780" s="2">
        <f>521-(D780+E780)</f>
        <v>472</v>
      </c>
      <c r="G780" s="2">
        <f t="shared" si="128"/>
        <v>521</v>
      </c>
      <c r="H780" s="45">
        <f t="shared" si="129"/>
        <v>9.4049904030710174E-2</v>
      </c>
    </row>
    <row r="781" spans="1:8" x14ac:dyDescent="0.2">
      <c r="A781" s="42">
        <v>36</v>
      </c>
      <c r="B781" s="43">
        <v>124</v>
      </c>
      <c r="C781" s="98" t="s">
        <v>859</v>
      </c>
      <c r="D781" s="61">
        <v>101</v>
      </c>
      <c r="E781" s="2">
        <v>14</v>
      </c>
      <c r="F781" s="2">
        <f>588-(D781+E781)</f>
        <v>473</v>
      </c>
      <c r="G781" s="2">
        <f t="shared" si="128"/>
        <v>588</v>
      </c>
      <c r="H781" s="45">
        <f t="shared" si="129"/>
        <v>0.195578231292517</v>
      </c>
    </row>
    <row r="782" spans="1:8" x14ac:dyDescent="0.2">
      <c r="A782" s="42">
        <v>36</v>
      </c>
      <c r="B782" s="43">
        <v>132</v>
      </c>
      <c r="C782" s="98" t="s">
        <v>860</v>
      </c>
      <c r="D782" s="61">
        <v>542</v>
      </c>
      <c r="E782" s="2">
        <v>32</v>
      </c>
      <c r="F782" s="2">
        <f>615-(D782+E782)</f>
        <v>41</v>
      </c>
      <c r="G782" s="2">
        <f t="shared" si="128"/>
        <v>615</v>
      </c>
      <c r="H782" s="45">
        <f t="shared" si="129"/>
        <v>0.93333333333333335</v>
      </c>
    </row>
    <row r="783" spans="1:8" x14ac:dyDescent="0.2">
      <c r="A783" s="42">
        <v>36</v>
      </c>
      <c r="B783" s="43">
        <v>136</v>
      </c>
      <c r="C783" s="98" t="s">
        <v>861</v>
      </c>
      <c r="D783" s="61">
        <v>172</v>
      </c>
      <c r="E783" s="2">
        <v>40</v>
      </c>
      <c r="F783" s="2">
        <f>528-(D783+E783)</f>
        <v>316</v>
      </c>
      <c r="G783" s="2">
        <f t="shared" si="128"/>
        <v>528</v>
      </c>
      <c r="H783" s="45">
        <f t="shared" si="129"/>
        <v>0.40151515151515149</v>
      </c>
    </row>
    <row r="784" spans="1:8" x14ac:dyDescent="0.2">
      <c r="A784" s="42">
        <v>36</v>
      </c>
      <c r="B784" s="43">
        <v>140</v>
      </c>
      <c r="C784" s="98" t="s">
        <v>874</v>
      </c>
      <c r="D784" s="61">
        <v>493</v>
      </c>
      <c r="E784" s="2">
        <v>75</v>
      </c>
      <c r="F784" s="2">
        <f>722-(D784+E784)</f>
        <v>154</v>
      </c>
      <c r="G784" s="2">
        <f t="shared" si="128"/>
        <v>722</v>
      </c>
      <c r="H784" s="45">
        <f t="shared" si="129"/>
        <v>0.78670360110803328</v>
      </c>
    </row>
    <row r="785" spans="1:8" x14ac:dyDescent="0.2">
      <c r="A785" s="42">
        <v>36</v>
      </c>
      <c r="B785" s="43">
        <v>144</v>
      </c>
      <c r="C785" s="98" t="s">
        <v>862</v>
      </c>
      <c r="D785" s="61">
        <v>68</v>
      </c>
      <c r="E785" s="2">
        <v>14</v>
      </c>
      <c r="F785" s="2">
        <f>401-(D785+E785)</f>
        <v>319</v>
      </c>
      <c r="G785" s="2">
        <f t="shared" si="128"/>
        <v>401</v>
      </c>
      <c r="H785" s="45">
        <f t="shared" si="129"/>
        <v>0.20448877805486285</v>
      </c>
    </row>
    <row r="786" spans="1:8" x14ac:dyDescent="0.2">
      <c r="A786" s="42">
        <v>36</v>
      </c>
      <c r="B786" s="43">
        <v>148</v>
      </c>
      <c r="C786" s="98" t="s">
        <v>863</v>
      </c>
      <c r="D786" s="61">
        <v>486</v>
      </c>
      <c r="E786" s="2">
        <v>58</v>
      </c>
      <c r="F786" s="2">
        <f>580-(D786+E786)</f>
        <v>36</v>
      </c>
      <c r="G786" s="2">
        <f t="shared" si="128"/>
        <v>580</v>
      </c>
      <c r="H786" s="45">
        <f t="shared" si="129"/>
        <v>0.93793103448275861</v>
      </c>
    </row>
    <row r="787" spans="1:8" x14ac:dyDescent="0.2">
      <c r="A787" s="42">
        <v>36</v>
      </c>
      <c r="B787" s="43">
        <v>160</v>
      </c>
      <c r="C787" s="98" t="s">
        <v>543</v>
      </c>
      <c r="D787" s="61">
        <v>524</v>
      </c>
      <c r="E787" s="2">
        <v>58</v>
      </c>
      <c r="F787" s="2">
        <f>624-(D787+E787)</f>
        <v>42</v>
      </c>
      <c r="G787" s="2">
        <f t="shared" si="128"/>
        <v>624</v>
      </c>
      <c r="H787" s="45">
        <f t="shared" si="129"/>
        <v>0.93269230769230771</v>
      </c>
    </row>
    <row r="788" spans="1:8" x14ac:dyDescent="0.2">
      <c r="A788" s="42">
        <v>36</v>
      </c>
      <c r="B788" s="43">
        <v>176</v>
      </c>
      <c r="C788" s="98" t="s">
        <v>864</v>
      </c>
      <c r="D788" s="61">
        <v>148</v>
      </c>
      <c r="E788" s="2">
        <v>33</v>
      </c>
      <c r="F788" s="2">
        <f>483-(D788+E788)</f>
        <v>302</v>
      </c>
      <c r="G788" s="2">
        <f t="shared" si="128"/>
        <v>483</v>
      </c>
      <c r="H788" s="45">
        <f t="shared" si="129"/>
        <v>0.37474120082815737</v>
      </c>
    </row>
    <row r="789" spans="1:8" x14ac:dyDescent="0.2">
      <c r="A789" s="42">
        <v>36</v>
      </c>
      <c r="B789" s="43">
        <v>180</v>
      </c>
      <c r="C789" s="98" t="s">
        <v>865</v>
      </c>
      <c r="D789" s="61">
        <v>126</v>
      </c>
      <c r="E789" s="2">
        <v>31</v>
      </c>
      <c r="F789" s="2">
        <f>601-(D789+E789)</f>
        <v>444</v>
      </c>
      <c r="G789" s="2">
        <f t="shared" si="128"/>
        <v>601</v>
      </c>
      <c r="H789" s="45">
        <f t="shared" si="129"/>
        <v>0.26123128119800332</v>
      </c>
    </row>
    <row r="790" spans="1:8" x14ac:dyDescent="0.2">
      <c r="A790" s="42">
        <v>36</v>
      </c>
      <c r="B790" s="43">
        <v>184</v>
      </c>
      <c r="C790" s="98" t="s">
        <v>868</v>
      </c>
      <c r="D790" s="61">
        <v>73</v>
      </c>
      <c r="E790" s="2">
        <v>17</v>
      </c>
      <c r="F790" s="2">
        <f>428-(D790+E790)</f>
        <v>338</v>
      </c>
      <c r="G790" s="2">
        <f t="shared" si="128"/>
        <v>428</v>
      </c>
      <c r="H790" s="45">
        <f t="shared" si="129"/>
        <v>0.2102803738317757</v>
      </c>
    </row>
    <row r="791" spans="1:8" x14ac:dyDescent="0.2">
      <c r="A791" s="42">
        <v>36</v>
      </c>
      <c r="B791" s="43">
        <v>188</v>
      </c>
      <c r="C791" s="98" t="s">
        <v>869</v>
      </c>
      <c r="D791" s="61">
        <v>435</v>
      </c>
      <c r="E791" s="2">
        <v>44</v>
      </c>
      <c r="F791" s="2">
        <f>559-(D791+E791)</f>
        <v>80</v>
      </c>
      <c r="G791" s="2">
        <f t="shared" si="128"/>
        <v>559</v>
      </c>
      <c r="H791" s="45">
        <f t="shared" si="129"/>
        <v>0.85688729874776381</v>
      </c>
    </row>
    <row r="792" spans="1:8" x14ac:dyDescent="0.2">
      <c r="A792" s="42">
        <v>36</v>
      </c>
      <c r="B792" s="43">
        <v>196</v>
      </c>
      <c r="C792" s="98" t="s">
        <v>482</v>
      </c>
      <c r="D792" s="61">
        <v>484</v>
      </c>
      <c r="E792" s="2">
        <v>35</v>
      </c>
      <c r="F792" s="2">
        <f>585-(D792+E792)</f>
        <v>66</v>
      </c>
      <c r="G792" s="2">
        <f t="shared" si="128"/>
        <v>585</v>
      </c>
      <c r="H792" s="45">
        <f t="shared" si="129"/>
        <v>0.88717948717948714</v>
      </c>
    </row>
    <row r="793" spans="1:8" x14ac:dyDescent="0.2">
      <c r="A793" s="42">
        <v>36</v>
      </c>
      <c r="B793" s="43">
        <v>204</v>
      </c>
      <c r="C793" s="98" t="s">
        <v>870</v>
      </c>
      <c r="D793" s="61">
        <v>237</v>
      </c>
      <c r="E793" s="2">
        <v>19</v>
      </c>
      <c r="F793" s="2">
        <f>296-(D793+E793)</f>
        <v>40</v>
      </c>
      <c r="G793" s="2">
        <f t="shared" si="128"/>
        <v>296</v>
      </c>
      <c r="H793" s="45">
        <f t="shared" si="129"/>
        <v>0.86486486486486491</v>
      </c>
    </row>
    <row r="794" spans="1:8" x14ac:dyDescent="0.2">
      <c r="A794" s="42">
        <v>36</v>
      </c>
      <c r="B794" s="43">
        <v>216</v>
      </c>
      <c r="C794" s="98" t="s">
        <v>871</v>
      </c>
      <c r="D794" s="61">
        <v>482</v>
      </c>
      <c r="E794" s="2">
        <v>45</v>
      </c>
      <c r="F794" s="2">
        <f>570-(D794+E794)</f>
        <v>43</v>
      </c>
      <c r="G794" s="2">
        <f t="shared" si="128"/>
        <v>570</v>
      </c>
      <c r="H794" s="45">
        <f t="shared" si="129"/>
        <v>0.92456140350877192</v>
      </c>
    </row>
    <row r="795" spans="1:8" x14ac:dyDescent="0.2">
      <c r="A795" s="42">
        <v>36</v>
      </c>
      <c r="B795" s="43">
        <v>220</v>
      </c>
      <c r="C795" s="98" t="s">
        <v>872</v>
      </c>
      <c r="D795" s="61">
        <v>311</v>
      </c>
      <c r="E795" s="2">
        <v>60</v>
      </c>
      <c r="F795" s="2">
        <f>508-(D795+E795)</f>
        <v>137</v>
      </c>
      <c r="G795" s="2">
        <f t="shared" si="128"/>
        <v>508</v>
      </c>
      <c r="H795" s="45">
        <f t="shared" si="129"/>
        <v>0.73031496062992129</v>
      </c>
    </row>
    <row r="796" spans="1:8" x14ac:dyDescent="0.2">
      <c r="A796" s="42">
        <v>36</v>
      </c>
      <c r="B796" s="43">
        <v>224</v>
      </c>
      <c r="C796" s="98" t="s">
        <v>873</v>
      </c>
      <c r="D796" s="61">
        <v>308</v>
      </c>
      <c r="E796" s="2">
        <v>42</v>
      </c>
      <c r="F796" s="2">
        <f>585-(D796+E796)</f>
        <v>235</v>
      </c>
      <c r="G796" s="2">
        <f t="shared" si="128"/>
        <v>585</v>
      </c>
      <c r="H796" s="45">
        <f t="shared" si="129"/>
        <v>0.59829059829059827</v>
      </c>
    </row>
    <row r="797" spans="1:8" x14ac:dyDescent="0.2">
      <c r="A797" s="42">
        <v>36</v>
      </c>
      <c r="B797" s="43">
        <v>242</v>
      </c>
      <c r="C797" s="98" t="s">
        <v>732</v>
      </c>
      <c r="D797" s="61">
        <v>388</v>
      </c>
      <c r="E797" s="2">
        <v>48</v>
      </c>
      <c r="F797" s="2">
        <f>500-(D797+E797)</f>
        <v>64</v>
      </c>
      <c r="G797" s="2">
        <f t="shared" si="128"/>
        <v>500</v>
      </c>
      <c r="H797" s="45">
        <f t="shared" si="129"/>
        <v>0.872</v>
      </c>
    </row>
    <row r="798" spans="1:8" x14ac:dyDescent="0.2">
      <c r="A798" s="42">
        <v>36</v>
      </c>
      <c r="B798" s="43">
        <v>244</v>
      </c>
      <c r="C798" s="98" t="s">
        <v>875</v>
      </c>
      <c r="D798" s="61">
        <v>341</v>
      </c>
      <c r="E798" s="2">
        <v>54</v>
      </c>
      <c r="F798" s="2">
        <f>434-(D798+E798)</f>
        <v>39</v>
      </c>
      <c r="G798" s="2">
        <f t="shared" si="128"/>
        <v>434</v>
      </c>
      <c r="H798" s="45">
        <f t="shared" si="129"/>
        <v>0.91013824884792627</v>
      </c>
    </row>
    <row r="799" spans="1:8" x14ac:dyDescent="0.2">
      <c r="A799" s="42">
        <v>36</v>
      </c>
      <c r="B799" s="43">
        <v>252</v>
      </c>
      <c r="C799" s="98" t="s">
        <v>876</v>
      </c>
      <c r="D799" s="61">
        <v>417</v>
      </c>
      <c r="E799" s="2">
        <v>36</v>
      </c>
      <c r="F799" s="2">
        <f>519-(D799+E799)</f>
        <v>66</v>
      </c>
      <c r="G799" s="2">
        <f t="shared" si="128"/>
        <v>519</v>
      </c>
      <c r="H799" s="45">
        <f t="shared" si="129"/>
        <v>0.87283236994219648</v>
      </c>
    </row>
    <row r="800" spans="1:8" x14ac:dyDescent="0.2">
      <c r="A800" s="42">
        <v>36</v>
      </c>
      <c r="B800" s="43">
        <v>262</v>
      </c>
      <c r="C800" s="98" t="s">
        <v>593</v>
      </c>
      <c r="D800" s="61">
        <v>433</v>
      </c>
      <c r="E800" s="2">
        <v>65</v>
      </c>
      <c r="F800" s="2">
        <f>619-(D800+E800)</f>
        <v>121</v>
      </c>
      <c r="G800" s="2">
        <f t="shared" si="128"/>
        <v>619</v>
      </c>
      <c r="H800" s="45">
        <f>+(D800+E800)/G800</f>
        <v>0.80452342487883688</v>
      </c>
    </row>
    <row r="801" spans="1:8" x14ac:dyDescent="0.2">
      <c r="A801" s="42">
        <v>36</v>
      </c>
      <c r="B801" s="43">
        <v>268</v>
      </c>
      <c r="C801" s="98" t="s">
        <v>844</v>
      </c>
      <c r="D801" s="61">
        <v>49</v>
      </c>
      <c r="E801" s="2">
        <v>12</v>
      </c>
      <c r="F801" s="2">
        <f>541-(D801+E801)</f>
        <v>480</v>
      </c>
      <c r="G801" s="2">
        <f t="shared" si="128"/>
        <v>541</v>
      </c>
      <c r="H801" s="45">
        <f t="shared" si="129"/>
        <v>0.11275415896487985</v>
      </c>
    </row>
    <row r="802" spans="1:8" x14ac:dyDescent="0.2">
      <c r="A802" s="42">
        <v>36</v>
      </c>
      <c r="B802" s="43">
        <v>272</v>
      </c>
      <c r="C802" s="98" t="s">
        <v>572</v>
      </c>
      <c r="D802" s="61">
        <v>97</v>
      </c>
      <c r="E802" s="2">
        <v>16</v>
      </c>
      <c r="F802" s="2">
        <f>470-(D802+E802)</f>
        <v>357</v>
      </c>
      <c r="G802" s="2">
        <f t="shared" si="128"/>
        <v>470</v>
      </c>
      <c r="H802" s="45">
        <f t="shared" si="129"/>
        <v>0.2404255319148936</v>
      </c>
    </row>
    <row r="803" spans="1:8" x14ac:dyDescent="0.2">
      <c r="A803" s="42">
        <v>36</v>
      </c>
      <c r="B803" s="43">
        <v>276</v>
      </c>
      <c r="C803" s="98" t="s">
        <v>571</v>
      </c>
      <c r="D803" s="61">
        <v>243</v>
      </c>
      <c r="E803" s="2">
        <v>29</v>
      </c>
      <c r="F803" s="2">
        <f>361-(D803+E803)</f>
        <v>89</v>
      </c>
      <c r="G803" s="2">
        <f t="shared" si="128"/>
        <v>361</v>
      </c>
      <c r="H803" s="45">
        <f t="shared" si="129"/>
        <v>0.75346260387811637</v>
      </c>
    </row>
    <row r="804" spans="1:8" x14ac:dyDescent="0.2">
      <c r="A804" s="42">
        <v>36</v>
      </c>
      <c r="B804" s="43">
        <v>288</v>
      </c>
      <c r="C804" s="98" t="s">
        <v>665</v>
      </c>
      <c r="D804" s="61">
        <v>408</v>
      </c>
      <c r="E804" s="2">
        <v>46</v>
      </c>
      <c r="F804" s="2">
        <f>705-(D804+E804)</f>
        <v>251</v>
      </c>
      <c r="G804" s="2">
        <f t="shared" si="128"/>
        <v>705</v>
      </c>
      <c r="H804" s="45">
        <f t="shared" si="129"/>
        <v>0.6439716312056738</v>
      </c>
    </row>
    <row r="805" spans="1:8" x14ac:dyDescent="0.2">
      <c r="A805" s="42">
        <v>36</v>
      </c>
      <c r="B805" s="43">
        <v>404</v>
      </c>
      <c r="C805" s="98" t="s">
        <v>858</v>
      </c>
      <c r="D805" s="61">
        <v>347</v>
      </c>
      <c r="E805" s="2">
        <v>41</v>
      </c>
      <c r="F805" s="2">
        <f>534-(D805+E805)</f>
        <v>146</v>
      </c>
      <c r="G805" s="2">
        <f t="shared" si="128"/>
        <v>534</v>
      </c>
      <c r="H805" s="45">
        <f t="shared" si="129"/>
        <v>0.72659176029962547</v>
      </c>
    </row>
    <row r="806" spans="1:8" x14ac:dyDescent="0.2">
      <c r="A806" s="42">
        <v>36</v>
      </c>
      <c r="B806" s="43">
        <v>408</v>
      </c>
      <c r="C806" s="98" t="s">
        <v>445</v>
      </c>
      <c r="D806" s="61">
        <v>192</v>
      </c>
      <c r="E806" s="2">
        <v>32</v>
      </c>
      <c r="F806" s="2">
        <f>610-(D806+E806)</f>
        <v>386</v>
      </c>
      <c r="G806" s="2">
        <f t="shared" si="128"/>
        <v>610</v>
      </c>
      <c r="H806" s="45">
        <f t="shared" si="129"/>
        <v>0.36721311475409835</v>
      </c>
    </row>
    <row r="807" spans="1:8" x14ac:dyDescent="0.2">
      <c r="A807" s="42">
        <v>36</v>
      </c>
      <c r="B807" s="43">
        <v>412</v>
      </c>
      <c r="C807" s="98" t="s">
        <v>447</v>
      </c>
      <c r="D807" s="61">
        <v>662</v>
      </c>
      <c r="E807" s="2">
        <v>70</v>
      </c>
      <c r="F807" s="2">
        <f>771-(D807+E807)</f>
        <v>39</v>
      </c>
      <c r="G807" s="2">
        <f t="shared" si="128"/>
        <v>771</v>
      </c>
      <c r="H807" s="45">
        <f t="shared" si="129"/>
        <v>0.94941634241245132</v>
      </c>
    </row>
    <row r="808" spans="1:8" x14ac:dyDescent="0.2">
      <c r="A808" s="42">
        <v>36</v>
      </c>
      <c r="B808" s="43">
        <v>416</v>
      </c>
      <c r="C808" s="98" t="s">
        <v>449</v>
      </c>
      <c r="D808" s="61">
        <v>183</v>
      </c>
      <c r="E808" s="2">
        <v>30</v>
      </c>
      <c r="F808" s="2">
        <f>513-(D808+E808)</f>
        <v>300</v>
      </c>
      <c r="G808" s="2">
        <f t="shared" si="128"/>
        <v>513</v>
      </c>
      <c r="H808" s="45">
        <f t="shared" si="129"/>
        <v>0.41520467836257308</v>
      </c>
    </row>
    <row r="809" spans="1:8" x14ac:dyDescent="0.2">
      <c r="A809" s="42">
        <v>36</v>
      </c>
      <c r="B809" s="43">
        <v>440</v>
      </c>
      <c r="C809" s="98" t="s">
        <v>450</v>
      </c>
      <c r="D809" s="61">
        <v>594</v>
      </c>
      <c r="E809" s="2">
        <v>98</v>
      </c>
      <c r="F809" s="2">
        <f>781-(D809+E809)</f>
        <v>89</v>
      </c>
      <c r="G809" s="2">
        <f t="shared" si="128"/>
        <v>781</v>
      </c>
      <c r="H809" s="45">
        <f t="shared" si="129"/>
        <v>0.88604353393085789</v>
      </c>
    </row>
    <row r="810" spans="1:8" x14ac:dyDescent="0.2">
      <c r="A810" s="42">
        <v>36</v>
      </c>
      <c r="B810" s="43">
        <v>704</v>
      </c>
      <c r="C810" s="121" t="s">
        <v>446</v>
      </c>
      <c r="D810" s="61">
        <v>1078</v>
      </c>
      <c r="E810" s="2">
        <v>138</v>
      </c>
      <c r="F810" s="2">
        <f>2078-(D810+E810)</f>
        <v>862</v>
      </c>
      <c r="G810" s="2">
        <f t="shared" si="128"/>
        <v>2078</v>
      </c>
      <c r="H810" s="45">
        <f t="shared" si="129"/>
        <v>0.58517805582290661</v>
      </c>
    </row>
    <row r="811" spans="1:8" x14ac:dyDescent="0.2">
      <c r="A811" s="42">
        <v>36</v>
      </c>
      <c r="B811" s="43">
        <v>708</v>
      </c>
      <c r="C811" s="98" t="s">
        <v>448</v>
      </c>
      <c r="D811" s="61">
        <v>608</v>
      </c>
      <c r="E811" s="2">
        <v>78</v>
      </c>
      <c r="F811" s="2">
        <f>1703-(D811+E811)</f>
        <v>1017</v>
      </c>
      <c r="G811" s="2">
        <f t="shared" si="128"/>
        <v>1703</v>
      </c>
      <c r="H811" s="45">
        <f t="shared" si="129"/>
        <v>0.4028185554903112</v>
      </c>
    </row>
    <row r="812" spans="1:8" x14ac:dyDescent="0.2">
      <c r="A812" s="42">
        <v>36</v>
      </c>
      <c r="B812" s="43">
        <v>716</v>
      </c>
      <c r="C812" s="44" t="s">
        <v>232</v>
      </c>
      <c r="D812" s="61">
        <v>1223</v>
      </c>
      <c r="E812" s="2">
        <v>182</v>
      </c>
      <c r="F812" s="2">
        <f>2540-(D812+E812)</f>
        <v>1135</v>
      </c>
      <c r="G812" s="2">
        <f>SUM(D812:F812)</f>
        <v>2540</v>
      </c>
      <c r="H812" s="45">
        <f>+(D812+E812)/G812</f>
        <v>0.55314960629921262</v>
      </c>
    </row>
    <row r="813" spans="1:8" x14ac:dyDescent="0.2">
      <c r="A813" s="42">
        <v>36</v>
      </c>
      <c r="B813" s="43">
        <v>750</v>
      </c>
      <c r="C813" s="44" t="s">
        <v>229</v>
      </c>
      <c r="D813" s="61">
        <v>885</v>
      </c>
      <c r="E813" s="2">
        <v>86</v>
      </c>
      <c r="F813" s="2">
        <f>1494-(D813+E813)</f>
        <v>523</v>
      </c>
      <c r="G813" s="2">
        <f t="shared" si="128"/>
        <v>1494</v>
      </c>
      <c r="H813" s="45">
        <f t="shared" si="129"/>
        <v>0.64993306559571618</v>
      </c>
    </row>
    <row r="814" spans="1:8" x14ac:dyDescent="0.2">
      <c r="A814" s="42">
        <v>36</v>
      </c>
      <c r="B814" s="43">
        <v>751</v>
      </c>
      <c r="C814" s="98" t="s">
        <v>866</v>
      </c>
      <c r="D814" s="61">
        <v>40</v>
      </c>
      <c r="E814" s="2">
        <v>6</v>
      </c>
      <c r="F814" s="2">
        <f>50-(D814+E814)</f>
        <v>4</v>
      </c>
      <c r="G814" s="2">
        <f t="shared" ref="G814" si="130">SUM(D814:F814)</f>
        <v>50</v>
      </c>
      <c r="H814" s="45">
        <f t="shared" ref="H814" si="131">+(D814+E814)/G814</f>
        <v>0.92</v>
      </c>
    </row>
    <row r="815" spans="1:8" x14ac:dyDescent="0.2">
      <c r="A815" s="42">
        <v>36</v>
      </c>
      <c r="B815" s="43">
        <v>752</v>
      </c>
      <c r="C815" s="98" t="s">
        <v>867</v>
      </c>
      <c r="D815" s="61">
        <v>8</v>
      </c>
      <c r="E815" s="2">
        <v>0</v>
      </c>
      <c r="F815" s="2">
        <f>8-(D815+E815)</f>
        <v>0</v>
      </c>
      <c r="G815" s="2">
        <f t="shared" ref="G815" si="132">SUM(D815:F815)</f>
        <v>8</v>
      </c>
      <c r="H815" s="45">
        <f>+(D815+E815)/G815</f>
        <v>1</v>
      </c>
    </row>
    <row r="816" spans="1:8" x14ac:dyDescent="0.2">
      <c r="A816" s="42">
        <v>36</v>
      </c>
      <c r="B816" s="43">
        <v>821</v>
      </c>
      <c r="C816" s="44" t="s">
        <v>220</v>
      </c>
      <c r="D816" s="61">
        <v>12</v>
      </c>
      <c r="E816" s="2">
        <v>1</v>
      </c>
      <c r="F816" s="2">
        <f>34-(D816+E816)</f>
        <v>21</v>
      </c>
      <c r="G816" s="2">
        <f t="shared" si="128"/>
        <v>34</v>
      </c>
      <c r="H816" s="45">
        <f>+(D816+E816)/G816</f>
        <v>0.38235294117647056</v>
      </c>
    </row>
    <row r="817" spans="1:8" x14ac:dyDescent="0.2">
      <c r="A817" s="42">
        <v>36</v>
      </c>
      <c r="B817" s="43">
        <v>987</v>
      </c>
      <c r="C817" s="44" t="s">
        <v>216</v>
      </c>
      <c r="D817" s="61">
        <v>25</v>
      </c>
      <c r="E817" s="2">
        <v>1</v>
      </c>
      <c r="F817" s="2">
        <f>34-(D817+E817)</f>
        <v>8</v>
      </c>
      <c r="G817" s="2">
        <f t="shared" si="128"/>
        <v>34</v>
      </c>
      <c r="H817" s="45">
        <f>+(D817+E817)/G817</f>
        <v>0.76470588235294112</v>
      </c>
    </row>
    <row r="818" spans="1:8" x14ac:dyDescent="0.2">
      <c r="A818" s="42">
        <v>36</v>
      </c>
      <c r="B818" s="43">
        <v>997</v>
      </c>
      <c r="C818" s="98" t="s">
        <v>452</v>
      </c>
      <c r="D818" s="61">
        <v>2</v>
      </c>
      <c r="E818" s="2">
        <v>3</v>
      </c>
      <c r="F818" s="2">
        <f>23-(D818+E818)</f>
        <v>18</v>
      </c>
      <c r="G818" s="2">
        <f t="shared" ref="G818" si="133">SUM(D818:F818)</f>
        <v>23</v>
      </c>
      <c r="H818" s="45">
        <f>+(D818+E818)/G818</f>
        <v>0.21739130434782608</v>
      </c>
    </row>
    <row r="819" spans="1:8" ht="13.5" thickBot="1" x14ac:dyDescent="0.25">
      <c r="A819" s="51">
        <v>36</v>
      </c>
      <c r="B819" s="52">
        <v>998</v>
      </c>
      <c r="C819" s="53" t="s">
        <v>230</v>
      </c>
      <c r="D819" s="61">
        <v>45</v>
      </c>
      <c r="E819" s="2">
        <v>5</v>
      </c>
      <c r="F819" s="2">
        <f>62-(D819+E819)</f>
        <v>12</v>
      </c>
      <c r="G819" s="2">
        <f t="shared" si="128"/>
        <v>62</v>
      </c>
      <c r="H819" s="56">
        <f t="shared" si="129"/>
        <v>0.80645161290322576</v>
      </c>
    </row>
    <row r="820" spans="1:8" ht="13.5" thickBot="1" x14ac:dyDescent="0.25">
      <c r="A820" s="46"/>
      <c r="B820" s="47">
        <f>COUNTA(B777:B819)</f>
        <v>43</v>
      </c>
      <c r="C820" s="48" t="s">
        <v>20</v>
      </c>
      <c r="D820" s="4">
        <f>SUM(D777:D819)</f>
        <v>13964</v>
      </c>
      <c r="E820" s="3">
        <f>SUM(E777:E819)</f>
        <v>1763</v>
      </c>
      <c r="F820" s="50">
        <f>SUM(F777:F819)</f>
        <v>10026</v>
      </c>
      <c r="G820" s="3">
        <f>SUM(D820:F820)</f>
        <v>25753</v>
      </c>
      <c r="H820" s="49">
        <f>+(D820+E820)/G820</f>
        <v>0.61068613365433155</v>
      </c>
    </row>
    <row r="821" spans="1:8" x14ac:dyDescent="0.2">
      <c r="A821" s="51"/>
      <c r="B821" s="52"/>
      <c r="C821" s="53"/>
      <c r="D821" s="5"/>
      <c r="E821" s="55"/>
      <c r="F821" s="54"/>
      <c r="G821" s="55"/>
      <c r="H821" s="56"/>
    </row>
    <row r="822" spans="1:8" x14ac:dyDescent="0.2">
      <c r="A822" s="51"/>
      <c r="B822" s="52"/>
      <c r="C822" s="58" t="s">
        <v>182</v>
      </c>
      <c r="D822" s="5"/>
      <c r="E822" s="55"/>
      <c r="F822" s="54"/>
      <c r="G822" s="55"/>
      <c r="H822" s="56"/>
    </row>
    <row r="823" spans="1:8" x14ac:dyDescent="0.2">
      <c r="A823" s="42">
        <v>37</v>
      </c>
      <c r="B823" s="43">
        <v>103</v>
      </c>
      <c r="C823" s="98" t="s">
        <v>394</v>
      </c>
      <c r="D823" s="61">
        <v>351</v>
      </c>
      <c r="E823" s="2">
        <v>31</v>
      </c>
      <c r="F823" s="2">
        <f>471-(D823+E823)</f>
        <v>89</v>
      </c>
      <c r="G823" s="2">
        <f t="shared" ref="G823:G831" si="134">SUM(D823:F823)</f>
        <v>471</v>
      </c>
      <c r="H823" s="45">
        <f t="shared" ref="H823:H831" si="135">+(D823+E823)/G823</f>
        <v>0.81104033970276013</v>
      </c>
    </row>
    <row r="824" spans="1:8" x14ac:dyDescent="0.2">
      <c r="A824" s="42">
        <v>37</v>
      </c>
      <c r="B824" s="43">
        <v>107</v>
      </c>
      <c r="C824" s="98" t="s">
        <v>877</v>
      </c>
      <c r="D824" s="61">
        <v>396</v>
      </c>
      <c r="E824" s="2">
        <v>32</v>
      </c>
      <c r="F824" s="2">
        <f>456-(D824+E824)</f>
        <v>28</v>
      </c>
      <c r="G824" s="2">
        <f t="shared" si="134"/>
        <v>456</v>
      </c>
      <c r="H824" s="45">
        <f t="shared" si="135"/>
        <v>0.93859649122807021</v>
      </c>
    </row>
    <row r="825" spans="1:8" x14ac:dyDescent="0.2">
      <c r="A825" s="42">
        <v>37</v>
      </c>
      <c r="B825" s="43">
        <v>111</v>
      </c>
      <c r="C825" s="98" t="s">
        <v>878</v>
      </c>
      <c r="D825" s="61">
        <v>436</v>
      </c>
      <c r="E825" s="2">
        <v>42</v>
      </c>
      <c r="F825" s="2">
        <f>557-(D825+E825)</f>
        <v>79</v>
      </c>
      <c r="G825" s="2">
        <f t="shared" si="134"/>
        <v>557</v>
      </c>
      <c r="H825" s="45">
        <f t="shared" si="135"/>
        <v>0.85816876122082586</v>
      </c>
    </row>
    <row r="826" spans="1:8" x14ac:dyDescent="0.2">
      <c r="A826" s="42">
        <v>37</v>
      </c>
      <c r="B826" s="43">
        <v>119</v>
      </c>
      <c r="C826" s="98" t="s">
        <v>879</v>
      </c>
      <c r="D826" s="61">
        <v>492</v>
      </c>
      <c r="E826" s="2">
        <v>67</v>
      </c>
      <c r="F826" s="2">
        <f>720-(D826+E826)</f>
        <v>161</v>
      </c>
      <c r="G826" s="2">
        <f t="shared" ref="G826" si="136">SUM(D826:F826)</f>
        <v>720</v>
      </c>
      <c r="H826" s="45">
        <f t="shared" ref="H826" si="137">+(D826+E826)/G826</f>
        <v>0.77638888888888891</v>
      </c>
    </row>
    <row r="827" spans="1:8" x14ac:dyDescent="0.2">
      <c r="A827" s="42">
        <v>37</v>
      </c>
      <c r="B827" s="43">
        <v>123</v>
      </c>
      <c r="C827" s="98" t="s">
        <v>374</v>
      </c>
      <c r="D827" s="61">
        <v>274</v>
      </c>
      <c r="E827" s="2">
        <v>57</v>
      </c>
      <c r="F827" s="2">
        <f>471-(D827+E827)</f>
        <v>140</v>
      </c>
      <c r="G827" s="2">
        <f t="shared" si="134"/>
        <v>471</v>
      </c>
      <c r="H827" s="45">
        <f t="shared" si="135"/>
        <v>0.70276008492568998</v>
      </c>
    </row>
    <row r="828" spans="1:8" x14ac:dyDescent="0.2">
      <c r="A828" s="42">
        <v>37</v>
      </c>
      <c r="B828" s="43">
        <v>131</v>
      </c>
      <c r="C828" s="98" t="s">
        <v>880</v>
      </c>
      <c r="D828" s="61">
        <v>250</v>
      </c>
      <c r="E828" s="2">
        <v>54</v>
      </c>
      <c r="F828" s="2">
        <f>467-(D828+E828)</f>
        <v>163</v>
      </c>
      <c r="G828" s="2">
        <f t="shared" si="134"/>
        <v>467</v>
      </c>
      <c r="H828" s="45">
        <f t="shared" si="135"/>
        <v>0.65096359743040688</v>
      </c>
    </row>
    <row r="829" spans="1:8" x14ac:dyDescent="0.2">
      <c r="A829" s="42">
        <v>37</v>
      </c>
      <c r="B829" s="43">
        <v>139</v>
      </c>
      <c r="C829" s="98" t="s">
        <v>482</v>
      </c>
      <c r="D829" s="61">
        <v>391</v>
      </c>
      <c r="E829" s="2">
        <v>51</v>
      </c>
      <c r="F829" s="2">
        <f>574-(D829+E829)</f>
        <v>132</v>
      </c>
      <c r="G829" s="2">
        <f t="shared" si="134"/>
        <v>574</v>
      </c>
      <c r="H829" s="45">
        <f t="shared" si="135"/>
        <v>0.77003484320557491</v>
      </c>
    </row>
    <row r="830" spans="1:8" x14ac:dyDescent="0.2">
      <c r="A830" s="42">
        <v>37</v>
      </c>
      <c r="B830" s="43">
        <v>151</v>
      </c>
      <c r="C830" s="98" t="s">
        <v>881</v>
      </c>
      <c r="D830" s="61">
        <v>630</v>
      </c>
      <c r="E830" s="2">
        <v>30</v>
      </c>
      <c r="F830" s="2">
        <f>678-(D830+E830)</f>
        <v>18</v>
      </c>
      <c r="G830" s="2">
        <f t="shared" si="134"/>
        <v>678</v>
      </c>
      <c r="H830" s="45">
        <f t="shared" si="135"/>
        <v>0.97345132743362828</v>
      </c>
    </row>
    <row r="831" spans="1:8" x14ac:dyDescent="0.2">
      <c r="A831" s="42">
        <v>37</v>
      </c>
      <c r="B831" s="43">
        <v>163</v>
      </c>
      <c r="C831" s="98" t="s">
        <v>884</v>
      </c>
      <c r="D831" s="61">
        <v>546</v>
      </c>
      <c r="E831" s="2">
        <v>43</v>
      </c>
      <c r="F831" s="2">
        <f>615-(D831+E831)</f>
        <v>26</v>
      </c>
      <c r="G831" s="2">
        <f t="shared" si="134"/>
        <v>615</v>
      </c>
      <c r="H831" s="45">
        <f t="shared" si="135"/>
        <v>0.95772357723577239</v>
      </c>
    </row>
    <row r="832" spans="1:8" x14ac:dyDescent="0.2">
      <c r="A832" s="42">
        <v>37</v>
      </c>
      <c r="B832" s="43">
        <v>167</v>
      </c>
      <c r="C832" s="98" t="s">
        <v>885</v>
      </c>
      <c r="D832" s="61">
        <v>236</v>
      </c>
      <c r="E832" s="2">
        <v>33</v>
      </c>
      <c r="F832" s="2">
        <f>488-(D832+E832)</f>
        <v>219</v>
      </c>
      <c r="G832" s="2">
        <f t="shared" ref="G832:G842" si="138">SUM(D832:F832)</f>
        <v>488</v>
      </c>
      <c r="H832" s="45">
        <f t="shared" ref="H832:H842" si="139">+(D832+E832)/G832</f>
        <v>0.55122950819672134</v>
      </c>
    </row>
    <row r="833" spans="1:8" x14ac:dyDescent="0.2">
      <c r="A833" s="42">
        <v>37</v>
      </c>
      <c r="B833" s="43">
        <v>174</v>
      </c>
      <c r="C833" s="98" t="s">
        <v>887</v>
      </c>
      <c r="D833" s="61">
        <v>137</v>
      </c>
      <c r="E833" s="2">
        <v>39</v>
      </c>
      <c r="F833" s="2">
        <f>603-(D833+E833)</f>
        <v>427</v>
      </c>
      <c r="G833" s="2">
        <f t="shared" ref="G833:G834" si="140">SUM(D833:F833)</f>
        <v>603</v>
      </c>
      <c r="H833" s="45">
        <f t="shared" ref="H833:H834" si="141">+(D833+E833)/G833</f>
        <v>0.29187396351575456</v>
      </c>
    </row>
    <row r="834" spans="1:8" x14ac:dyDescent="0.2">
      <c r="A834" s="42">
        <v>37</v>
      </c>
      <c r="B834" s="43">
        <v>176</v>
      </c>
      <c r="C834" s="98" t="s">
        <v>982</v>
      </c>
      <c r="D834" s="61">
        <v>194</v>
      </c>
      <c r="E834" s="2">
        <v>36</v>
      </c>
      <c r="F834" s="2">
        <f>416-(D834+E834)</f>
        <v>186</v>
      </c>
      <c r="G834" s="2">
        <f t="shared" si="140"/>
        <v>416</v>
      </c>
      <c r="H834" s="45">
        <f t="shared" si="141"/>
        <v>0.55288461538461542</v>
      </c>
    </row>
    <row r="835" spans="1:8" x14ac:dyDescent="0.2">
      <c r="A835" s="42">
        <v>37</v>
      </c>
      <c r="B835" s="43">
        <v>179</v>
      </c>
      <c r="C835" s="98" t="s">
        <v>886</v>
      </c>
      <c r="D835" s="61">
        <v>460</v>
      </c>
      <c r="E835" s="2">
        <v>38</v>
      </c>
      <c r="F835" s="2">
        <f>576-(D835+E835)</f>
        <v>78</v>
      </c>
      <c r="G835" s="2">
        <f t="shared" si="138"/>
        <v>576</v>
      </c>
      <c r="H835" s="45">
        <f t="shared" si="139"/>
        <v>0.86458333333333337</v>
      </c>
    </row>
    <row r="836" spans="1:8" x14ac:dyDescent="0.2">
      <c r="A836" s="42">
        <v>37</v>
      </c>
      <c r="B836" s="43">
        <v>183</v>
      </c>
      <c r="C836" s="98" t="s">
        <v>572</v>
      </c>
      <c r="D836" s="61">
        <v>176</v>
      </c>
      <c r="E836" s="2">
        <v>24</v>
      </c>
      <c r="F836" s="2">
        <f>399-(D836+E836)</f>
        <v>199</v>
      </c>
      <c r="G836" s="2">
        <f t="shared" si="138"/>
        <v>399</v>
      </c>
      <c r="H836" s="45">
        <f t="shared" si="139"/>
        <v>0.50125313283208017</v>
      </c>
    </row>
    <row r="837" spans="1:8" x14ac:dyDescent="0.2">
      <c r="A837" s="42">
        <v>37</v>
      </c>
      <c r="B837" s="43">
        <v>409</v>
      </c>
      <c r="C837" s="98" t="s">
        <v>441</v>
      </c>
      <c r="D837" s="61">
        <v>583</v>
      </c>
      <c r="E837" s="2">
        <v>98</v>
      </c>
      <c r="F837" s="2">
        <f>869-(D837+E837)</f>
        <v>188</v>
      </c>
      <c r="G837" s="2">
        <f t="shared" ref="G837" si="142">SUM(D837:F837)</f>
        <v>869</v>
      </c>
      <c r="H837" s="45">
        <f t="shared" ref="H837" si="143">+(D837+E837)/G837</f>
        <v>0.78365937859608747</v>
      </c>
    </row>
    <row r="838" spans="1:8" x14ac:dyDescent="0.2">
      <c r="A838" s="42">
        <v>37</v>
      </c>
      <c r="B838" s="43">
        <v>411</v>
      </c>
      <c r="C838" s="98" t="s">
        <v>882</v>
      </c>
      <c r="D838" s="61">
        <v>622</v>
      </c>
      <c r="E838" s="2">
        <v>56</v>
      </c>
      <c r="F838" s="2">
        <f>760-(D838+E838)</f>
        <v>82</v>
      </c>
      <c r="G838" s="2">
        <f t="shared" si="138"/>
        <v>760</v>
      </c>
      <c r="H838" s="45">
        <f t="shared" si="139"/>
        <v>0.89210526315789473</v>
      </c>
    </row>
    <row r="839" spans="1:8" x14ac:dyDescent="0.2">
      <c r="A839" s="42">
        <v>37</v>
      </c>
      <c r="B839" s="43">
        <v>415</v>
      </c>
      <c r="C839" s="98" t="s">
        <v>883</v>
      </c>
      <c r="D839" s="61">
        <v>488</v>
      </c>
      <c r="E839" s="2">
        <v>54</v>
      </c>
      <c r="F839" s="2">
        <f>935-(D839+E839)</f>
        <v>393</v>
      </c>
      <c r="G839" s="2">
        <f t="shared" si="138"/>
        <v>935</v>
      </c>
      <c r="H839" s="45">
        <f t="shared" si="139"/>
        <v>0.57967914438502677</v>
      </c>
    </row>
    <row r="840" spans="1:8" x14ac:dyDescent="0.2">
      <c r="A840" s="42">
        <v>37</v>
      </c>
      <c r="B840" s="43">
        <v>703</v>
      </c>
      <c r="C840" s="44" t="s">
        <v>183</v>
      </c>
      <c r="D840" s="61">
        <v>591</v>
      </c>
      <c r="E840" s="2">
        <v>91</v>
      </c>
      <c r="F840" s="2">
        <f>1037-(D840+E840)</f>
        <v>355</v>
      </c>
      <c r="G840" s="2">
        <f t="shared" si="138"/>
        <v>1037</v>
      </c>
      <c r="H840" s="45">
        <f t="shared" si="139"/>
        <v>0.65766634522661527</v>
      </c>
    </row>
    <row r="841" spans="1:8" x14ac:dyDescent="0.2">
      <c r="A841" s="42">
        <v>37</v>
      </c>
      <c r="B841" s="43">
        <v>707</v>
      </c>
      <c r="C841" s="44" t="s">
        <v>184</v>
      </c>
      <c r="D841" s="61">
        <v>622</v>
      </c>
      <c r="E841" s="2">
        <v>42</v>
      </c>
      <c r="F841" s="2">
        <f>1116-(D841+E841)</f>
        <v>452</v>
      </c>
      <c r="G841" s="2">
        <f t="shared" si="138"/>
        <v>1116</v>
      </c>
      <c r="H841" s="45">
        <f t="shared" si="139"/>
        <v>0.59498207885304655</v>
      </c>
    </row>
    <row r="842" spans="1:8" ht="13.5" thickBot="1" x14ac:dyDescent="0.25">
      <c r="A842" s="42">
        <v>37</v>
      </c>
      <c r="B842" s="43">
        <v>729</v>
      </c>
      <c r="C842" s="44" t="s">
        <v>185</v>
      </c>
      <c r="D842" s="61">
        <v>323</v>
      </c>
      <c r="E842" s="2">
        <v>12</v>
      </c>
      <c r="F842" s="2">
        <f>352-(D842+E842)</f>
        <v>17</v>
      </c>
      <c r="G842" s="2">
        <f t="shared" si="138"/>
        <v>352</v>
      </c>
      <c r="H842" s="45">
        <f t="shared" si="139"/>
        <v>0.95170454545454541</v>
      </c>
    </row>
    <row r="843" spans="1:8" ht="13.5" thickBot="1" x14ac:dyDescent="0.25">
      <c r="A843" s="46"/>
      <c r="B843" s="47">
        <f>COUNTA(B823:B842)</f>
        <v>20</v>
      </c>
      <c r="C843" s="48" t="s">
        <v>20</v>
      </c>
      <c r="D843" s="4">
        <f>SUM(D823:D842)</f>
        <v>8198</v>
      </c>
      <c r="E843" s="3">
        <f>SUM(E823:E842)</f>
        <v>930</v>
      </c>
      <c r="F843" s="50">
        <f>SUM(F823:F842)</f>
        <v>3432</v>
      </c>
      <c r="G843" s="3">
        <f>SUM(D843:F843)</f>
        <v>12560</v>
      </c>
      <c r="H843" s="49">
        <f>+(D843+E843)/G843</f>
        <v>0.72675159235668785</v>
      </c>
    </row>
    <row r="844" spans="1:8" x14ac:dyDescent="0.2">
      <c r="A844" s="51"/>
      <c r="B844" s="52"/>
      <c r="C844" s="53"/>
      <c r="D844" s="5"/>
      <c r="E844" s="55"/>
      <c r="F844" s="54"/>
      <c r="G844" s="55"/>
      <c r="H844" s="56"/>
    </row>
    <row r="845" spans="1:8" x14ac:dyDescent="0.2">
      <c r="A845" s="51"/>
      <c r="B845" s="52"/>
      <c r="C845" s="58" t="s">
        <v>186</v>
      </c>
      <c r="D845" s="5"/>
      <c r="E845" s="55"/>
      <c r="F845" s="54"/>
      <c r="G845" s="55"/>
      <c r="H845" s="56"/>
    </row>
    <row r="846" spans="1:8" x14ac:dyDescent="0.2">
      <c r="A846" s="42">
        <v>38</v>
      </c>
      <c r="B846" s="43">
        <v>100</v>
      </c>
      <c r="C846" s="98" t="s">
        <v>888</v>
      </c>
      <c r="D846" s="61">
        <v>255</v>
      </c>
      <c r="E846" s="2">
        <v>102</v>
      </c>
      <c r="F846" s="2">
        <f>572-(D846+E846)</f>
        <v>215</v>
      </c>
      <c r="G846" s="2">
        <f t="shared" ref="G846:G863" si="144">SUM(D846:F846)</f>
        <v>572</v>
      </c>
      <c r="H846" s="45">
        <f t="shared" ref="H846:H863" si="145">+(D846+E846)/G846</f>
        <v>0.62412587412587417</v>
      </c>
    </row>
    <row r="847" spans="1:8" x14ac:dyDescent="0.2">
      <c r="A847" s="42">
        <v>38</v>
      </c>
      <c r="B847" s="43">
        <v>101</v>
      </c>
      <c r="C847" s="98" t="s">
        <v>889</v>
      </c>
      <c r="D847" s="61">
        <v>81</v>
      </c>
      <c r="E847" s="2">
        <v>19</v>
      </c>
      <c r="F847" s="2">
        <f>496-(D847+E847)</f>
        <v>396</v>
      </c>
      <c r="G847" s="2">
        <f>SUM(D847:F847)</f>
        <v>496</v>
      </c>
      <c r="H847" s="45">
        <f>+(D847+E847)/G847</f>
        <v>0.20161290322580644</v>
      </c>
    </row>
    <row r="848" spans="1:8" x14ac:dyDescent="0.2">
      <c r="A848" s="42">
        <v>38</v>
      </c>
      <c r="B848" s="43">
        <v>102</v>
      </c>
      <c r="C848" s="98" t="s">
        <v>890</v>
      </c>
      <c r="D848" s="61">
        <v>149</v>
      </c>
      <c r="E848" s="2">
        <v>39</v>
      </c>
      <c r="F848" s="2">
        <f>518-(D848+E848)</f>
        <v>330</v>
      </c>
      <c r="G848" s="2">
        <f t="shared" si="144"/>
        <v>518</v>
      </c>
      <c r="H848" s="45">
        <f t="shared" si="145"/>
        <v>0.36293436293436293</v>
      </c>
    </row>
    <row r="849" spans="1:8" x14ac:dyDescent="0.2">
      <c r="A849" s="42">
        <v>38</v>
      </c>
      <c r="B849" s="43">
        <v>103</v>
      </c>
      <c r="C849" s="98" t="s">
        <v>891</v>
      </c>
      <c r="D849" s="61">
        <v>276</v>
      </c>
      <c r="E849" s="2">
        <v>28</v>
      </c>
      <c r="F849" s="2">
        <f>369-(D849+E849)</f>
        <v>65</v>
      </c>
      <c r="G849" s="2">
        <f>SUM(D849:F849)</f>
        <v>369</v>
      </c>
      <c r="H849" s="45">
        <f>+(D849+E849)/G849</f>
        <v>0.82384823848238486</v>
      </c>
    </row>
    <row r="850" spans="1:8" x14ac:dyDescent="0.2">
      <c r="A850" s="42">
        <v>38</v>
      </c>
      <c r="B850" s="43">
        <v>104</v>
      </c>
      <c r="C850" s="98" t="s">
        <v>863</v>
      </c>
      <c r="D850" s="61">
        <v>368</v>
      </c>
      <c r="E850" s="2">
        <v>56</v>
      </c>
      <c r="F850" s="2">
        <f>512-(D850+E850)</f>
        <v>88</v>
      </c>
      <c r="G850" s="2">
        <f t="shared" si="144"/>
        <v>512</v>
      </c>
      <c r="H850" s="45">
        <f t="shared" si="145"/>
        <v>0.828125</v>
      </c>
    </row>
    <row r="851" spans="1:8" x14ac:dyDescent="0.2">
      <c r="A851" s="42">
        <v>38</v>
      </c>
      <c r="B851" s="99">
        <v>118</v>
      </c>
      <c r="C851" s="98" t="s">
        <v>827</v>
      </c>
      <c r="D851" s="61">
        <v>224</v>
      </c>
      <c r="E851" s="2">
        <v>86</v>
      </c>
      <c r="F851" s="2">
        <f>679-(D851+E851)</f>
        <v>369</v>
      </c>
      <c r="G851" s="2">
        <f t="shared" ref="G851" si="146">SUM(D851:F851)</f>
        <v>679</v>
      </c>
      <c r="H851" s="45">
        <f t="shared" ref="H851" si="147">+(D851+E851)/G851</f>
        <v>0.45655375552282768</v>
      </c>
    </row>
    <row r="852" spans="1:8" x14ac:dyDescent="0.2">
      <c r="A852" s="42">
        <v>38</v>
      </c>
      <c r="B852" s="43">
        <v>120</v>
      </c>
      <c r="C852" s="98" t="s">
        <v>892</v>
      </c>
      <c r="D852" s="61">
        <v>235</v>
      </c>
      <c r="E852" s="2">
        <v>46</v>
      </c>
      <c r="F852" s="2">
        <f>444-(D852+E852)</f>
        <v>163</v>
      </c>
      <c r="G852" s="2">
        <f t="shared" si="144"/>
        <v>444</v>
      </c>
      <c r="H852" s="45">
        <f t="shared" si="145"/>
        <v>0.63288288288288286</v>
      </c>
    </row>
    <row r="853" spans="1:8" x14ac:dyDescent="0.2">
      <c r="A853" s="42">
        <v>38</v>
      </c>
      <c r="B853" s="43">
        <v>122</v>
      </c>
      <c r="C853" s="98" t="s">
        <v>893</v>
      </c>
      <c r="D853" s="61">
        <v>179</v>
      </c>
      <c r="E853" s="2">
        <v>32</v>
      </c>
      <c r="F853" s="2">
        <f>599-(D853+E853)</f>
        <v>388</v>
      </c>
      <c r="G853" s="2">
        <f t="shared" si="144"/>
        <v>599</v>
      </c>
      <c r="H853" s="45">
        <f t="shared" si="145"/>
        <v>0.35225375626043404</v>
      </c>
    </row>
    <row r="854" spans="1:8" x14ac:dyDescent="0.2">
      <c r="A854" s="42">
        <v>38</v>
      </c>
      <c r="B854" s="43">
        <v>123</v>
      </c>
      <c r="C854" s="98" t="s">
        <v>894</v>
      </c>
      <c r="D854" s="61">
        <v>352</v>
      </c>
      <c r="E854" s="2">
        <v>72</v>
      </c>
      <c r="F854" s="2">
        <f>560-(D854+E854)</f>
        <v>136</v>
      </c>
      <c r="G854" s="2">
        <f t="shared" si="144"/>
        <v>560</v>
      </c>
      <c r="H854" s="45">
        <f>+(D854+E854)/G854</f>
        <v>0.75714285714285712</v>
      </c>
    </row>
    <row r="855" spans="1:8" x14ac:dyDescent="0.2">
      <c r="A855" s="42">
        <v>38</v>
      </c>
      <c r="B855" s="43">
        <v>124</v>
      </c>
      <c r="C855" s="98" t="s">
        <v>895</v>
      </c>
      <c r="D855" s="61">
        <v>303</v>
      </c>
      <c r="E855" s="2">
        <v>51</v>
      </c>
      <c r="F855" s="2">
        <f>569-(D855+E855)</f>
        <v>215</v>
      </c>
      <c r="G855" s="2">
        <f t="shared" si="144"/>
        <v>569</v>
      </c>
      <c r="H855" s="45">
        <f t="shared" si="145"/>
        <v>0.62214411247803159</v>
      </c>
    </row>
    <row r="856" spans="1:8" x14ac:dyDescent="0.2">
      <c r="A856" s="42">
        <v>38</v>
      </c>
      <c r="B856" s="43">
        <v>128</v>
      </c>
      <c r="C856" s="98" t="s">
        <v>896</v>
      </c>
      <c r="D856" s="61">
        <v>418</v>
      </c>
      <c r="E856" s="2">
        <v>70</v>
      </c>
      <c r="F856" s="2">
        <f>629-(D856+E856)</f>
        <v>141</v>
      </c>
      <c r="G856" s="2">
        <f t="shared" si="144"/>
        <v>629</v>
      </c>
      <c r="H856" s="45">
        <f t="shared" si="145"/>
        <v>0.77583465818759934</v>
      </c>
    </row>
    <row r="857" spans="1:8" x14ac:dyDescent="0.2">
      <c r="A857" s="42">
        <v>38</v>
      </c>
      <c r="B857" s="43">
        <v>132</v>
      </c>
      <c r="C857" s="98" t="s">
        <v>572</v>
      </c>
      <c r="D857" s="61">
        <v>178</v>
      </c>
      <c r="E857" s="2">
        <v>60</v>
      </c>
      <c r="F857" s="2">
        <f>773-(D857+E857)</f>
        <v>535</v>
      </c>
      <c r="G857" s="2">
        <f t="shared" si="144"/>
        <v>773</v>
      </c>
      <c r="H857" s="45">
        <f t="shared" si="145"/>
        <v>0.30789133247089262</v>
      </c>
    </row>
    <row r="858" spans="1:8" x14ac:dyDescent="0.2">
      <c r="A858" s="42">
        <v>38</v>
      </c>
      <c r="B858" s="43">
        <v>134</v>
      </c>
      <c r="C858" s="98" t="s">
        <v>897</v>
      </c>
      <c r="D858" s="61">
        <v>239</v>
      </c>
      <c r="E858" s="2">
        <v>82</v>
      </c>
      <c r="F858" s="2">
        <f>860-(D858+E858)</f>
        <v>539</v>
      </c>
      <c r="G858" s="2">
        <f t="shared" si="144"/>
        <v>860</v>
      </c>
      <c r="H858" s="45">
        <f t="shared" si="145"/>
        <v>0.37325581395348839</v>
      </c>
    </row>
    <row r="859" spans="1:8" x14ac:dyDescent="0.2">
      <c r="A859" s="42">
        <v>38</v>
      </c>
      <c r="B859" s="43">
        <v>404</v>
      </c>
      <c r="C859" s="44" t="s">
        <v>187</v>
      </c>
      <c r="D859" s="61">
        <v>358</v>
      </c>
      <c r="E859" s="2">
        <v>64</v>
      </c>
      <c r="F859" s="2">
        <f>1000-(D859+E859)</f>
        <v>578</v>
      </c>
      <c r="G859" s="2">
        <f t="shared" si="144"/>
        <v>1000</v>
      </c>
      <c r="H859" s="45">
        <f t="shared" si="145"/>
        <v>0.42199999999999999</v>
      </c>
    </row>
    <row r="860" spans="1:8" x14ac:dyDescent="0.2">
      <c r="A860" s="42">
        <v>38</v>
      </c>
      <c r="B860" s="43">
        <v>408</v>
      </c>
      <c r="C860" s="44" t="s">
        <v>188</v>
      </c>
      <c r="D860" s="61">
        <v>390</v>
      </c>
      <c r="E860" s="2">
        <v>112</v>
      </c>
      <c r="F860" s="2">
        <f>871-(D860+E860)</f>
        <v>369</v>
      </c>
      <c r="G860" s="2">
        <f t="shared" si="144"/>
        <v>871</v>
      </c>
      <c r="H860" s="45">
        <f t="shared" si="145"/>
        <v>0.57634902411021816</v>
      </c>
    </row>
    <row r="861" spans="1:8" x14ac:dyDescent="0.2">
      <c r="A861" s="42">
        <v>38</v>
      </c>
      <c r="B861" s="43">
        <v>704</v>
      </c>
      <c r="C861" s="44" t="s">
        <v>189</v>
      </c>
      <c r="D861" s="61">
        <v>564</v>
      </c>
      <c r="E861" s="2">
        <v>155</v>
      </c>
      <c r="F861" s="2">
        <f>1713-(D861+E861)</f>
        <v>994</v>
      </c>
      <c r="G861" s="2">
        <f t="shared" si="144"/>
        <v>1713</v>
      </c>
      <c r="H861" s="45">
        <f t="shared" si="145"/>
        <v>0.41973146526561589</v>
      </c>
    </row>
    <row r="862" spans="1:8" x14ac:dyDescent="0.2">
      <c r="A862" s="42">
        <v>38</v>
      </c>
      <c r="B862" s="43">
        <v>712</v>
      </c>
      <c r="C862" s="44" t="s">
        <v>190</v>
      </c>
      <c r="D862" s="61">
        <v>485</v>
      </c>
      <c r="E862" s="2">
        <v>103</v>
      </c>
      <c r="F862" s="2">
        <f>1925-(D862+E862)</f>
        <v>1337</v>
      </c>
      <c r="G862" s="2">
        <f t="shared" si="144"/>
        <v>1925</v>
      </c>
      <c r="H862" s="45">
        <f t="shared" si="145"/>
        <v>0.30545454545454548</v>
      </c>
    </row>
    <row r="863" spans="1:8" ht="13.5" thickBot="1" x14ac:dyDescent="0.25">
      <c r="A863" s="42">
        <v>38</v>
      </c>
      <c r="B863" s="43">
        <v>730</v>
      </c>
      <c r="C863" s="44" t="s">
        <v>191</v>
      </c>
      <c r="D863" s="61">
        <v>205</v>
      </c>
      <c r="E863" s="2">
        <v>17</v>
      </c>
      <c r="F863" s="2">
        <f>276-(D863+E863)</f>
        <v>54</v>
      </c>
      <c r="G863" s="2">
        <f t="shared" si="144"/>
        <v>276</v>
      </c>
      <c r="H863" s="45">
        <f t="shared" si="145"/>
        <v>0.80434782608695654</v>
      </c>
    </row>
    <row r="864" spans="1:8" ht="13.5" thickBot="1" x14ac:dyDescent="0.25">
      <c r="A864" s="46"/>
      <c r="B864" s="47">
        <f>COUNTA(B846:B863)</f>
        <v>18</v>
      </c>
      <c r="C864" s="48" t="s">
        <v>20</v>
      </c>
      <c r="D864" s="4">
        <f>SUM(D846:D863)</f>
        <v>5259</v>
      </c>
      <c r="E864" s="3">
        <f>SUM(E846:E863)</f>
        <v>1194</v>
      </c>
      <c r="F864" s="50">
        <f>SUM(F846:F863)</f>
        <v>6912</v>
      </c>
      <c r="G864" s="3">
        <f>SUM(D864:F864)</f>
        <v>13365</v>
      </c>
      <c r="H864" s="49">
        <f>+(D864+E864)/G864</f>
        <v>0.48282828282828283</v>
      </c>
    </row>
    <row r="865" spans="1:8" x14ac:dyDescent="0.2">
      <c r="A865" s="51"/>
      <c r="B865" s="52"/>
      <c r="C865" s="53"/>
      <c r="D865" s="5"/>
      <c r="E865" s="55"/>
      <c r="F865" s="54"/>
      <c r="G865" s="55"/>
      <c r="H865" s="56"/>
    </row>
    <row r="866" spans="1:8" x14ac:dyDescent="0.2">
      <c r="A866" s="51"/>
      <c r="B866" s="52"/>
      <c r="C866" s="58" t="s">
        <v>192</v>
      </c>
      <c r="D866" s="5"/>
      <c r="E866" s="55"/>
      <c r="F866" s="54"/>
      <c r="G866" s="55"/>
      <c r="H866" s="56"/>
    </row>
    <row r="867" spans="1:8" x14ac:dyDescent="0.2">
      <c r="A867" s="42">
        <v>39</v>
      </c>
      <c r="B867" s="43">
        <v>104</v>
      </c>
      <c r="C867" s="98" t="s">
        <v>499</v>
      </c>
      <c r="D867" s="61">
        <v>262</v>
      </c>
      <c r="E867" s="2">
        <v>36</v>
      </c>
      <c r="F867" s="2">
        <f>410-(D867+E867)</f>
        <v>112</v>
      </c>
      <c r="G867" s="2">
        <f t="shared" ref="G867:G875" si="148">SUM(D867:F867)</f>
        <v>410</v>
      </c>
      <c r="H867" s="45">
        <f t="shared" ref="H867:H875" si="149">+(D867+E867)/G867</f>
        <v>0.72682926829268291</v>
      </c>
    </row>
    <row r="868" spans="1:8" x14ac:dyDescent="0.2">
      <c r="A868" s="42">
        <v>39</v>
      </c>
      <c r="B868" s="43">
        <v>110</v>
      </c>
      <c r="C868" s="98" t="s">
        <v>898</v>
      </c>
      <c r="D868" s="61">
        <v>335</v>
      </c>
      <c r="E868" s="2">
        <v>62</v>
      </c>
      <c r="F868" s="2">
        <f>554-(D868+E868)</f>
        <v>157</v>
      </c>
      <c r="G868" s="2">
        <f>SUM(D868:F868)</f>
        <v>554</v>
      </c>
      <c r="H868" s="45">
        <f>+(D868+E868)/G868</f>
        <v>0.71660649819494582</v>
      </c>
    </row>
    <row r="869" spans="1:8" x14ac:dyDescent="0.2">
      <c r="A869" s="42">
        <v>39</v>
      </c>
      <c r="B869" s="43">
        <v>112</v>
      </c>
      <c r="C869" s="98" t="s">
        <v>899</v>
      </c>
      <c r="D869" s="61">
        <v>234</v>
      </c>
      <c r="E869" s="2">
        <v>65</v>
      </c>
      <c r="F869" s="2">
        <f>394-(D869+E869)</f>
        <v>95</v>
      </c>
      <c r="G869" s="2">
        <f t="shared" si="148"/>
        <v>394</v>
      </c>
      <c r="H869" s="45">
        <f t="shared" si="149"/>
        <v>0.75888324873096447</v>
      </c>
    </row>
    <row r="870" spans="1:8" x14ac:dyDescent="0.2">
      <c r="A870" s="42">
        <v>39</v>
      </c>
      <c r="B870" s="43">
        <v>116</v>
      </c>
      <c r="C870" s="98" t="s">
        <v>744</v>
      </c>
      <c r="D870" s="61">
        <v>200</v>
      </c>
      <c r="E870" s="2">
        <v>40</v>
      </c>
      <c r="F870" s="2">
        <f>536-(D870+E870)</f>
        <v>296</v>
      </c>
      <c r="G870" s="2">
        <f t="shared" si="148"/>
        <v>536</v>
      </c>
      <c r="H870" s="45">
        <f t="shared" si="149"/>
        <v>0.44776119402985076</v>
      </c>
    </row>
    <row r="871" spans="1:8" x14ac:dyDescent="0.2">
      <c r="A871" s="42">
        <v>39</v>
      </c>
      <c r="B871" s="43">
        <v>120</v>
      </c>
      <c r="C871" s="98" t="s">
        <v>900</v>
      </c>
      <c r="D871" s="61">
        <v>354</v>
      </c>
      <c r="E871" s="2">
        <v>88</v>
      </c>
      <c r="F871" s="2">
        <f>702-(D871+E871)</f>
        <v>260</v>
      </c>
      <c r="G871" s="2">
        <f t="shared" si="148"/>
        <v>702</v>
      </c>
      <c r="H871" s="45">
        <f t="shared" si="149"/>
        <v>0.62962962962962965</v>
      </c>
    </row>
    <row r="872" spans="1:8" x14ac:dyDescent="0.2">
      <c r="A872" s="42">
        <v>39</v>
      </c>
      <c r="B872" s="43">
        <v>124</v>
      </c>
      <c r="C872" s="98" t="s">
        <v>374</v>
      </c>
      <c r="D872" s="61">
        <v>167</v>
      </c>
      <c r="E872" s="2">
        <v>37</v>
      </c>
      <c r="F872" s="2">
        <f>461-(D872+E872)</f>
        <v>257</v>
      </c>
      <c r="G872" s="2">
        <f t="shared" si="148"/>
        <v>461</v>
      </c>
      <c r="H872" s="45">
        <f t="shared" si="149"/>
        <v>0.44251626898047725</v>
      </c>
    </row>
    <row r="873" spans="1:8" x14ac:dyDescent="0.2">
      <c r="A873" s="42">
        <v>39</v>
      </c>
      <c r="B873" s="43">
        <v>404</v>
      </c>
      <c r="C873" s="44" t="s">
        <v>193</v>
      </c>
      <c r="D873" s="61">
        <v>604</v>
      </c>
      <c r="E873" s="2">
        <v>145</v>
      </c>
      <c r="F873" s="2">
        <f>1344-(D873+E873)</f>
        <v>595</v>
      </c>
      <c r="G873" s="2">
        <f t="shared" si="148"/>
        <v>1344</v>
      </c>
      <c r="H873" s="45">
        <f t="shared" si="149"/>
        <v>0.55729166666666663</v>
      </c>
    </row>
    <row r="874" spans="1:8" x14ac:dyDescent="0.2">
      <c r="A874" s="42">
        <v>39</v>
      </c>
      <c r="B874" s="43">
        <v>704</v>
      </c>
      <c r="C874" s="44" t="s">
        <v>194</v>
      </c>
      <c r="D874" s="61">
        <v>537</v>
      </c>
      <c r="E874" s="2">
        <v>123</v>
      </c>
      <c r="F874" s="2">
        <f>1620-(D874+E874)</f>
        <v>960</v>
      </c>
      <c r="G874" s="2">
        <f t="shared" si="148"/>
        <v>1620</v>
      </c>
      <c r="H874" s="45">
        <f>+(D874+E874)/G874</f>
        <v>0.40740740740740738</v>
      </c>
    </row>
    <row r="875" spans="1:8" ht="13.5" thickBot="1" x14ac:dyDescent="0.25">
      <c r="A875" s="51">
        <v>39</v>
      </c>
      <c r="B875" s="52">
        <v>710</v>
      </c>
      <c r="C875" s="53" t="s">
        <v>221</v>
      </c>
      <c r="D875" s="61">
        <v>58</v>
      </c>
      <c r="E875" s="2">
        <v>10</v>
      </c>
      <c r="F875" s="2">
        <f>120-(D875+E875)</f>
        <v>52</v>
      </c>
      <c r="G875" s="2">
        <f t="shared" si="148"/>
        <v>120</v>
      </c>
      <c r="H875" s="56">
        <f t="shared" si="149"/>
        <v>0.56666666666666665</v>
      </c>
    </row>
    <row r="876" spans="1:8" ht="13.5" thickBot="1" x14ac:dyDescent="0.25">
      <c r="A876" s="46"/>
      <c r="B876" s="47">
        <f>COUNTA(B867:B875)</f>
        <v>9</v>
      </c>
      <c r="C876" s="48" t="s">
        <v>20</v>
      </c>
      <c r="D876" s="4">
        <f>SUM(D867:D875)</f>
        <v>2751</v>
      </c>
      <c r="E876" s="3">
        <f>SUM(E867:E875)</f>
        <v>606</v>
      </c>
      <c r="F876" s="50">
        <f>SUM(F867:F875)</f>
        <v>2784</v>
      </c>
      <c r="G876" s="3">
        <f>SUM(D876:F876)</f>
        <v>6141</v>
      </c>
      <c r="H876" s="49">
        <f>+(D876+E876)/G876</f>
        <v>0.54665363947239864</v>
      </c>
    </row>
    <row r="877" spans="1:8" x14ac:dyDescent="0.2">
      <c r="A877" s="51"/>
      <c r="B877" s="52"/>
      <c r="C877" s="53"/>
      <c r="D877" s="5"/>
      <c r="E877" s="55"/>
      <c r="F877" s="54"/>
      <c r="G877" s="55"/>
      <c r="H877" s="56"/>
    </row>
    <row r="878" spans="1:8" x14ac:dyDescent="0.2">
      <c r="A878" s="51"/>
      <c r="B878" s="52"/>
      <c r="C878" s="58" t="s">
        <v>195</v>
      </c>
      <c r="D878" s="5"/>
      <c r="E878" s="55"/>
      <c r="F878" s="54"/>
      <c r="G878" s="55"/>
      <c r="H878" s="56"/>
    </row>
    <row r="879" spans="1:8" x14ac:dyDescent="0.2">
      <c r="A879" s="42">
        <v>40</v>
      </c>
      <c r="B879" s="43">
        <v>112</v>
      </c>
      <c r="C879" s="98" t="s">
        <v>849</v>
      </c>
      <c r="D879" s="61">
        <v>104</v>
      </c>
      <c r="E879" s="2">
        <v>20</v>
      </c>
      <c r="F879" s="2">
        <f>463-(D879+E879)</f>
        <v>339</v>
      </c>
      <c r="G879" s="2">
        <f t="shared" ref="G879:G890" si="150">SUM(D879:F879)</f>
        <v>463</v>
      </c>
      <c r="H879" s="45">
        <f t="shared" ref="H879:H890" si="151">+(D879+E879)/G879</f>
        <v>0.2678185745140389</v>
      </c>
    </row>
    <row r="880" spans="1:8" x14ac:dyDescent="0.2">
      <c r="A880" s="42">
        <v>40</v>
      </c>
      <c r="B880" s="43">
        <v>116</v>
      </c>
      <c r="C880" s="98" t="s">
        <v>806</v>
      </c>
      <c r="D880" s="61">
        <v>222</v>
      </c>
      <c r="E880" s="2">
        <v>60</v>
      </c>
      <c r="F880" s="2">
        <f>586-(D880+E880)</f>
        <v>304</v>
      </c>
      <c r="G880" s="2">
        <f t="shared" si="150"/>
        <v>586</v>
      </c>
      <c r="H880" s="45">
        <f t="shared" si="151"/>
        <v>0.48122866894197952</v>
      </c>
    </row>
    <row r="881" spans="1:8" x14ac:dyDescent="0.2">
      <c r="A881" s="42">
        <v>40</v>
      </c>
      <c r="B881" s="43">
        <v>120</v>
      </c>
      <c r="C881" s="98" t="s">
        <v>851</v>
      </c>
      <c r="D881" s="61">
        <v>120</v>
      </c>
      <c r="E881" s="2">
        <v>18</v>
      </c>
      <c r="F881" s="2">
        <f>378-(D881+E881)</f>
        <v>240</v>
      </c>
      <c r="G881" s="2">
        <f t="shared" si="150"/>
        <v>378</v>
      </c>
      <c r="H881" s="45">
        <f t="shared" si="151"/>
        <v>0.36507936507936506</v>
      </c>
    </row>
    <row r="882" spans="1:8" x14ac:dyDescent="0.2">
      <c r="A882" s="42">
        <v>40</v>
      </c>
      <c r="B882" s="43">
        <v>124</v>
      </c>
      <c r="C882" s="98" t="s">
        <v>853</v>
      </c>
      <c r="D882" s="61">
        <v>126</v>
      </c>
      <c r="E882" s="2">
        <v>21</v>
      </c>
      <c r="F882" s="2">
        <f>470-(D882+E882)</f>
        <v>323</v>
      </c>
      <c r="G882" s="2">
        <f t="shared" si="150"/>
        <v>470</v>
      </c>
      <c r="H882" s="45">
        <f t="shared" si="151"/>
        <v>0.31276595744680852</v>
      </c>
    </row>
    <row r="883" spans="1:8" x14ac:dyDescent="0.2">
      <c r="A883" s="42">
        <v>40</v>
      </c>
      <c r="B883" s="43">
        <v>128</v>
      </c>
      <c r="C883" s="98" t="s">
        <v>852</v>
      </c>
      <c r="D883" s="61">
        <v>68</v>
      </c>
      <c r="E883" s="2">
        <v>49</v>
      </c>
      <c r="F883" s="2">
        <f>422-(D883+E883)</f>
        <v>305</v>
      </c>
      <c r="G883" s="2">
        <f t="shared" si="150"/>
        <v>422</v>
      </c>
      <c r="H883" s="45">
        <f t="shared" si="151"/>
        <v>0.2772511848341232</v>
      </c>
    </row>
    <row r="884" spans="1:8" x14ac:dyDescent="0.2">
      <c r="A884" s="42">
        <v>40</v>
      </c>
      <c r="B884" s="43">
        <v>129</v>
      </c>
      <c r="C884" s="98" t="s">
        <v>550</v>
      </c>
      <c r="D884" s="61">
        <v>238</v>
      </c>
      <c r="E884" s="2">
        <v>37</v>
      </c>
      <c r="F884" s="2">
        <f>579-(D884+E884)</f>
        <v>304</v>
      </c>
      <c r="G884" s="2">
        <f t="shared" si="150"/>
        <v>579</v>
      </c>
      <c r="H884" s="45">
        <f t="shared" si="151"/>
        <v>0.47495682210708118</v>
      </c>
    </row>
    <row r="885" spans="1:8" x14ac:dyDescent="0.2">
      <c r="A885" s="42">
        <v>40</v>
      </c>
      <c r="B885" s="43">
        <v>130</v>
      </c>
      <c r="C885" s="98" t="s">
        <v>855</v>
      </c>
      <c r="D885" s="61">
        <v>106</v>
      </c>
      <c r="E885" s="2">
        <v>47</v>
      </c>
      <c r="F885" s="2">
        <f>533-(D885+E885)</f>
        <v>380</v>
      </c>
      <c r="G885" s="2">
        <f t="shared" si="150"/>
        <v>533</v>
      </c>
      <c r="H885" s="45">
        <f t="shared" si="151"/>
        <v>0.28705440900562851</v>
      </c>
    </row>
    <row r="886" spans="1:8" x14ac:dyDescent="0.2">
      <c r="A886" s="42">
        <v>40</v>
      </c>
      <c r="B886" s="43">
        <v>404</v>
      </c>
      <c r="C886" s="98" t="s">
        <v>850</v>
      </c>
      <c r="D886" s="61">
        <v>250</v>
      </c>
      <c r="E886" s="2">
        <v>48</v>
      </c>
      <c r="F886" s="2">
        <f>795-(D886+E886)</f>
        <v>497</v>
      </c>
      <c r="G886" s="2">
        <f t="shared" si="150"/>
        <v>795</v>
      </c>
      <c r="H886" s="45">
        <f t="shared" si="151"/>
        <v>0.37484276729559746</v>
      </c>
    </row>
    <row r="887" spans="1:8" x14ac:dyDescent="0.2">
      <c r="A887" s="42">
        <v>40</v>
      </c>
      <c r="B887" s="43">
        <v>412</v>
      </c>
      <c r="C887" s="98" t="s">
        <v>854</v>
      </c>
      <c r="D887" s="61">
        <v>142</v>
      </c>
      <c r="E887" s="2">
        <v>32</v>
      </c>
      <c r="F887" s="2">
        <f>726-(D887+E887)</f>
        <v>552</v>
      </c>
      <c r="G887" s="2">
        <f t="shared" si="150"/>
        <v>726</v>
      </c>
      <c r="H887" s="45">
        <f t="shared" si="151"/>
        <v>0.23966942148760331</v>
      </c>
    </row>
    <row r="888" spans="1:8" x14ac:dyDescent="0.2">
      <c r="A888" s="42">
        <v>40</v>
      </c>
      <c r="B888" s="43">
        <v>704</v>
      </c>
      <c r="C888" s="44" t="s">
        <v>196</v>
      </c>
      <c r="D888" s="61">
        <v>316</v>
      </c>
      <c r="E888" s="2">
        <v>59</v>
      </c>
      <c r="F888" s="2">
        <f>1551-(D888+E888)</f>
        <v>1176</v>
      </c>
      <c r="G888" s="2">
        <f t="shared" si="150"/>
        <v>1551</v>
      </c>
      <c r="H888" s="45">
        <f t="shared" si="151"/>
        <v>0.24177949709864605</v>
      </c>
    </row>
    <row r="889" spans="1:8" x14ac:dyDescent="0.2">
      <c r="A889" s="51">
        <v>40</v>
      </c>
      <c r="B889" s="123">
        <v>902</v>
      </c>
      <c r="C889" s="53" t="s">
        <v>197</v>
      </c>
      <c r="D889" s="124">
        <v>6</v>
      </c>
      <c r="E889" s="125">
        <v>1</v>
      </c>
      <c r="F889" s="125">
        <f>142-(D889+E889)</f>
        <v>135</v>
      </c>
      <c r="G889" s="125">
        <f t="shared" ref="G889" si="152">SUM(D889:F889)</f>
        <v>142</v>
      </c>
      <c r="H889" s="56">
        <f t="shared" ref="H889" si="153">+(D889+E889)/G889</f>
        <v>4.9295774647887321E-2</v>
      </c>
    </row>
    <row r="890" spans="1:8" ht="13.5" thickBot="1" x14ac:dyDescent="0.25">
      <c r="A890" s="120">
        <v>40</v>
      </c>
      <c r="B890" s="69">
        <v>903</v>
      </c>
      <c r="C890" s="102" t="s">
        <v>970</v>
      </c>
      <c r="D890" s="126">
        <v>5</v>
      </c>
      <c r="E890" s="127">
        <v>0</v>
      </c>
      <c r="F890" s="127">
        <f>5-(D890+E890)</f>
        <v>0</v>
      </c>
      <c r="G890" s="127">
        <f t="shared" si="150"/>
        <v>5</v>
      </c>
      <c r="H890" s="70">
        <f t="shared" si="151"/>
        <v>1</v>
      </c>
    </row>
    <row r="891" spans="1:8" ht="13.5" thickBot="1" x14ac:dyDescent="0.25">
      <c r="A891" s="46"/>
      <c r="B891" s="47">
        <f>COUNTA(B879:B890)</f>
        <v>12</v>
      </c>
      <c r="C891" s="48" t="s">
        <v>20</v>
      </c>
      <c r="D891" s="4">
        <f>SUM(D879:D890)</f>
        <v>1703</v>
      </c>
      <c r="E891" s="3">
        <f>SUM(E879:E890)</f>
        <v>392</v>
      </c>
      <c r="F891" s="50">
        <f>SUM(F879:F890)</f>
        <v>4555</v>
      </c>
      <c r="G891" s="3">
        <f>SUM(D891:F891)</f>
        <v>6650</v>
      </c>
      <c r="H891" s="49">
        <f>+(D891+E891)/G891</f>
        <v>0.31503759398496239</v>
      </c>
    </row>
    <row r="892" spans="1:8" x14ac:dyDescent="0.2">
      <c r="A892" s="51"/>
      <c r="B892" s="52"/>
      <c r="C892" s="53"/>
      <c r="D892" s="5"/>
      <c r="E892" s="55"/>
      <c r="F892" s="54"/>
      <c r="G892" s="55"/>
      <c r="H892" s="56"/>
    </row>
    <row r="893" spans="1:8" x14ac:dyDescent="0.2">
      <c r="A893" s="51"/>
      <c r="B893" s="52"/>
      <c r="C893" s="58" t="s">
        <v>466</v>
      </c>
      <c r="D893" s="5"/>
      <c r="E893" s="55"/>
      <c r="F893" s="54"/>
      <c r="G893" s="55"/>
      <c r="H893" s="56"/>
    </row>
    <row r="894" spans="1:8" x14ac:dyDescent="0.2">
      <c r="A894" s="42">
        <v>42</v>
      </c>
      <c r="B894" s="43">
        <v>103</v>
      </c>
      <c r="C894" s="98" t="s">
        <v>975</v>
      </c>
      <c r="D894" s="61">
        <v>86</v>
      </c>
      <c r="E894" s="2">
        <v>42</v>
      </c>
      <c r="F894" s="2">
        <f>716-(D894+E894)</f>
        <v>588</v>
      </c>
      <c r="G894" s="2">
        <f t="shared" ref="G894:G901" si="154">SUM(D894:F894)</f>
        <v>716</v>
      </c>
      <c r="H894" s="45">
        <f>+(D894+E894)/G894</f>
        <v>0.1787709497206704</v>
      </c>
    </row>
    <row r="895" spans="1:8" x14ac:dyDescent="0.2">
      <c r="A895" s="42">
        <v>42</v>
      </c>
      <c r="B895" s="43">
        <v>104</v>
      </c>
      <c r="C895" s="98" t="s">
        <v>901</v>
      </c>
      <c r="D895" s="61">
        <v>86</v>
      </c>
      <c r="E895" s="2">
        <v>34</v>
      </c>
      <c r="F895" s="2">
        <f>491-(D895+E895)</f>
        <v>371</v>
      </c>
      <c r="G895" s="2">
        <f t="shared" si="154"/>
        <v>491</v>
      </c>
      <c r="H895" s="45">
        <f t="shared" ref="H895:H901" si="155">+(D895+E895)/G895</f>
        <v>0.24439918533604887</v>
      </c>
    </row>
    <row r="896" spans="1:8" x14ac:dyDescent="0.2">
      <c r="A896" s="42">
        <v>42</v>
      </c>
      <c r="B896" s="43">
        <v>105</v>
      </c>
      <c r="C896" s="98" t="s">
        <v>902</v>
      </c>
      <c r="D896" s="61">
        <v>140</v>
      </c>
      <c r="E896" s="2">
        <v>35</v>
      </c>
      <c r="F896" s="2">
        <f>512-(D896+E896)</f>
        <v>337</v>
      </c>
      <c r="G896" s="2">
        <f t="shared" si="154"/>
        <v>512</v>
      </c>
      <c r="H896" s="45">
        <f t="shared" si="155"/>
        <v>0.341796875</v>
      </c>
    </row>
    <row r="897" spans="1:8" x14ac:dyDescent="0.2">
      <c r="A897" s="42">
        <v>42</v>
      </c>
      <c r="B897" s="43">
        <v>106</v>
      </c>
      <c r="C897" s="98" t="s">
        <v>903</v>
      </c>
      <c r="D897" s="61">
        <v>117</v>
      </c>
      <c r="E897" s="2">
        <v>34</v>
      </c>
      <c r="F897" s="2">
        <f>550-(D897+E897)</f>
        <v>399</v>
      </c>
      <c r="G897" s="2">
        <f t="shared" si="154"/>
        <v>550</v>
      </c>
      <c r="H897" s="45">
        <f t="shared" si="155"/>
        <v>0.27454545454545454</v>
      </c>
    </row>
    <row r="898" spans="1:8" x14ac:dyDescent="0.2">
      <c r="A898" s="42">
        <v>42</v>
      </c>
      <c r="B898" s="43">
        <v>107</v>
      </c>
      <c r="C898" s="98" t="s">
        <v>904</v>
      </c>
      <c r="D898" s="61">
        <v>33</v>
      </c>
      <c r="E898" s="2">
        <v>13</v>
      </c>
      <c r="F898" s="2">
        <f>575-(D898+E898)</f>
        <v>529</v>
      </c>
      <c r="G898" s="2">
        <f t="shared" si="154"/>
        <v>575</v>
      </c>
      <c r="H898" s="45">
        <f t="shared" si="155"/>
        <v>0.08</v>
      </c>
    </row>
    <row r="899" spans="1:8" x14ac:dyDescent="0.2">
      <c r="A899" s="42">
        <v>42</v>
      </c>
      <c r="B899" s="43">
        <v>108</v>
      </c>
      <c r="C899" s="98" t="s">
        <v>905</v>
      </c>
      <c r="D899" s="61">
        <v>61</v>
      </c>
      <c r="E899" s="2">
        <v>17</v>
      </c>
      <c r="F899" s="2">
        <f>496-(D899+E899)</f>
        <v>418</v>
      </c>
      <c r="G899" s="2">
        <f t="shared" si="154"/>
        <v>496</v>
      </c>
      <c r="H899" s="45">
        <f t="shared" si="155"/>
        <v>0.15725806451612903</v>
      </c>
    </row>
    <row r="900" spans="1:8" x14ac:dyDescent="0.2">
      <c r="A900" s="42">
        <v>42</v>
      </c>
      <c r="B900" s="43">
        <v>110</v>
      </c>
      <c r="C900" s="98" t="s">
        <v>906</v>
      </c>
      <c r="D900" s="61">
        <v>67</v>
      </c>
      <c r="E900" s="2">
        <v>15</v>
      </c>
      <c r="F900" s="2">
        <f>589-(D900+E900)</f>
        <v>507</v>
      </c>
      <c r="G900" s="2">
        <f t="shared" si="154"/>
        <v>589</v>
      </c>
      <c r="H900" s="45">
        <f t="shared" si="155"/>
        <v>0.13921901528013583</v>
      </c>
    </row>
    <row r="901" spans="1:8" x14ac:dyDescent="0.2">
      <c r="A901" s="42">
        <v>42</v>
      </c>
      <c r="B901" s="43">
        <v>112</v>
      </c>
      <c r="C901" s="98" t="s">
        <v>686</v>
      </c>
      <c r="D901" s="61">
        <v>410</v>
      </c>
      <c r="E901" s="2">
        <v>58</v>
      </c>
      <c r="F901" s="2">
        <f>589-(D901+E901)</f>
        <v>121</v>
      </c>
      <c r="G901" s="2">
        <f t="shared" si="154"/>
        <v>589</v>
      </c>
      <c r="H901" s="45">
        <f t="shared" si="155"/>
        <v>0.79456706281833611</v>
      </c>
    </row>
    <row r="902" spans="1:8" x14ac:dyDescent="0.2">
      <c r="A902" s="42">
        <v>42</v>
      </c>
      <c r="B902" s="43">
        <v>116</v>
      </c>
      <c r="C902" s="98" t="s">
        <v>687</v>
      </c>
      <c r="D902" s="61">
        <v>138</v>
      </c>
      <c r="E902" s="2">
        <v>31</v>
      </c>
      <c r="F902" s="2">
        <f>676-(D902+E902)</f>
        <v>507</v>
      </c>
      <c r="G902" s="2">
        <f t="shared" ref="G902" si="156">SUM(D902:F902)</f>
        <v>676</v>
      </c>
      <c r="H902" s="45">
        <f t="shared" ref="H902" si="157">+(D902+E902)/G902</f>
        <v>0.25</v>
      </c>
    </row>
    <row r="903" spans="1:8" x14ac:dyDescent="0.2">
      <c r="A903" s="42">
        <v>42</v>
      </c>
      <c r="B903" s="43">
        <v>120</v>
      </c>
      <c r="C903" s="98" t="s">
        <v>907</v>
      </c>
      <c r="D903" s="61">
        <v>51</v>
      </c>
      <c r="E903" s="2">
        <v>15</v>
      </c>
      <c r="F903" s="2">
        <f>691-(D903+E903)</f>
        <v>625</v>
      </c>
      <c r="G903" s="2">
        <f t="shared" ref="G903:G906" si="158">SUM(D903:F903)</f>
        <v>691</v>
      </c>
      <c r="H903" s="45">
        <f t="shared" ref="H903:H921" si="159">+(D903+E903)/G903</f>
        <v>9.5513748191027495E-2</v>
      </c>
    </row>
    <row r="904" spans="1:8" x14ac:dyDescent="0.2">
      <c r="A904" s="42">
        <v>42</v>
      </c>
      <c r="B904" s="43">
        <v>122</v>
      </c>
      <c r="C904" s="98" t="s">
        <v>908</v>
      </c>
      <c r="D904" s="61">
        <v>460</v>
      </c>
      <c r="E904" s="2">
        <v>61</v>
      </c>
      <c r="F904" s="2">
        <f>710-(D904+E904)</f>
        <v>189</v>
      </c>
      <c r="G904" s="2">
        <f t="shared" si="158"/>
        <v>710</v>
      </c>
      <c r="H904" s="45">
        <f t="shared" si="159"/>
        <v>0.73380281690140847</v>
      </c>
    </row>
    <row r="905" spans="1:8" x14ac:dyDescent="0.2">
      <c r="A905" s="42">
        <v>42</v>
      </c>
      <c r="B905" s="43">
        <v>123</v>
      </c>
      <c r="C905" s="98" t="s">
        <v>909</v>
      </c>
      <c r="D905" s="61">
        <v>132</v>
      </c>
      <c r="E905" s="2">
        <v>55</v>
      </c>
      <c r="F905" s="2">
        <f>682-(D905+E905)</f>
        <v>495</v>
      </c>
      <c r="G905" s="2">
        <f t="shared" si="158"/>
        <v>682</v>
      </c>
      <c r="H905" s="45">
        <f t="shared" si="159"/>
        <v>0.27419354838709675</v>
      </c>
    </row>
    <row r="906" spans="1:8" x14ac:dyDescent="0.2">
      <c r="A906" s="42">
        <v>42</v>
      </c>
      <c r="B906" s="43">
        <v>124</v>
      </c>
      <c r="C906" s="98" t="s">
        <v>890</v>
      </c>
      <c r="D906" s="61">
        <v>195</v>
      </c>
      <c r="E906" s="2">
        <v>45</v>
      </c>
      <c r="F906" s="2">
        <f>586-(D906+E906)</f>
        <v>346</v>
      </c>
      <c r="G906" s="2">
        <f t="shared" si="158"/>
        <v>586</v>
      </c>
      <c r="H906" s="45">
        <f t="shared" si="159"/>
        <v>0.40955631399317405</v>
      </c>
    </row>
    <row r="907" spans="1:8" x14ac:dyDescent="0.2">
      <c r="A907" s="42">
        <v>42</v>
      </c>
      <c r="B907" s="43">
        <v>130</v>
      </c>
      <c r="C907" s="98" t="s">
        <v>910</v>
      </c>
      <c r="D907" s="61">
        <v>34</v>
      </c>
      <c r="E907" s="2">
        <v>14</v>
      </c>
      <c r="F907" s="2">
        <f>514-(D907+E907)</f>
        <v>466</v>
      </c>
      <c r="G907" s="2">
        <f t="shared" ref="G907:G921" si="160">SUM(D907:F907)</f>
        <v>514</v>
      </c>
      <c r="H907" s="45">
        <f t="shared" si="159"/>
        <v>9.3385214007782102E-2</v>
      </c>
    </row>
    <row r="908" spans="1:8" x14ac:dyDescent="0.2">
      <c r="A908" s="42">
        <v>42</v>
      </c>
      <c r="B908" s="43">
        <v>135</v>
      </c>
      <c r="C908" s="98" t="s">
        <v>913</v>
      </c>
      <c r="D908" s="61">
        <v>46</v>
      </c>
      <c r="E908" s="2">
        <v>10</v>
      </c>
      <c r="F908" s="2">
        <f>840-(D908+E908)</f>
        <v>784</v>
      </c>
      <c r="G908" s="2">
        <f t="shared" si="160"/>
        <v>840</v>
      </c>
      <c r="H908" s="45">
        <f t="shared" si="159"/>
        <v>6.6666666666666666E-2</v>
      </c>
    </row>
    <row r="909" spans="1:8" x14ac:dyDescent="0.2">
      <c r="A909" s="42">
        <v>42</v>
      </c>
      <c r="B909" s="43">
        <v>140</v>
      </c>
      <c r="C909" s="98" t="s">
        <v>914</v>
      </c>
      <c r="D909" s="61">
        <v>641</v>
      </c>
      <c r="E909" s="2">
        <v>35</v>
      </c>
      <c r="F909" s="2">
        <f>746-(D909+E909)</f>
        <v>70</v>
      </c>
      <c r="G909" s="2">
        <f t="shared" si="160"/>
        <v>746</v>
      </c>
      <c r="H909" s="45">
        <f t="shared" si="159"/>
        <v>0.90616621983914214</v>
      </c>
    </row>
    <row r="910" spans="1:8" x14ac:dyDescent="0.2">
      <c r="A910" s="42">
        <v>42</v>
      </c>
      <c r="B910" s="43">
        <v>143</v>
      </c>
      <c r="C910" s="98" t="s">
        <v>916</v>
      </c>
      <c r="D910" s="61">
        <v>87</v>
      </c>
      <c r="E910" s="2">
        <v>17</v>
      </c>
      <c r="F910" s="2">
        <f>877-(D910+E910)</f>
        <v>773</v>
      </c>
      <c r="G910" s="2">
        <f t="shared" si="160"/>
        <v>877</v>
      </c>
      <c r="H910" s="45">
        <f t="shared" si="159"/>
        <v>0.11858608893956671</v>
      </c>
    </row>
    <row r="911" spans="1:8" x14ac:dyDescent="0.2">
      <c r="A911" s="42">
        <v>42</v>
      </c>
      <c r="B911" s="43">
        <v>144</v>
      </c>
      <c r="C911" s="98" t="s">
        <v>915</v>
      </c>
      <c r="D911" s="61">
        <v>159</v>
      </c>
      <c r="E911" s="2">
        <v>58</v>
      </c>
      <c r="F911" s="2">
        <f>564-(D911+E911)</f>
        <v>347</v>
      </c>
      <c r="G911" s="2">
        <f t="shared" si="160"/>
        <v>564</v>
      </c>
      <c r="H911" s="45">
        <f t="shared" si="159"/>
        <v>0.38475177304964536</v>
      </c>
    </row>
    <row r="912" spans="1:8" x14ac:dyDescent="0.2">
      <c r="A912" s="42">
        <v>42</v>
      </c>
      <c r="B912" s="43">
        <v>149</v>
      </c>
      <c r="C912" s="98" t="s">
        <v>917</v>
      </c>
      <c r="D912" s="61">
        <v>107</v>
      </c>
      <c r="E912" s="2">
        <v>41</v>
      </c>
      <c r="F912" s="2">
        <f>559-(D912+E912)</f>
        <v>411</v>
      </c>
      <c r="G912" s="2">
        <f t="shared" si="160"/>
        <v>559</v>
      </c>
      <c r="H912" s="45">
        <f t="shared" si="159"/>
        <v>0.26475849731663686</v>
      </c>
    </row>
    <row r="913" spans="1:8" x14ac:dyDescent="0.2">
      <c r="A913" s="42">
        <v>42</v>
      </c>
      <c r="B913" s="43">
        <v>150</v>
      </c>
      <c r="C913" s="98" t="s">
        <v>919</v>
      </c>
      <c r="D913" s="61">
        <v>85</v>
      </c>
      <c r="E913" s="2">
        <v>24</v>
      </c>
      <c r="F913" s="2">
        <f>510-(D913+E913)</f>
        <v>401</v>
      </c>
      <c r="G913" s="2">
        <f t="shared" si="160"/>
        <v>510</v>
      </c>
      <c r="H913" s="45">
        <f t="shared" si="159"/>
        <v>0.21372549019607842</v>
      </c>
    </row>
    <row r="914" spans="1:8" x14ac:dyDescent="0.2">
      <c r="A914" s="42">
        <v>42</v>
      </c>
      <c r="B914" s="43">
        <v>151</v>
      </c>
      <c r="C914" s="98" t="s">
        <v>921</v>
      </c>
      <c r="D914" s="61">
        <v>96</v>
      </c>
      <c r="E914" s="2">
        <v>22</v>
      </c>
      <c r="F914" s="2">
        <f>474-(D914+E914)</f>
        <v>356</v>
      </c>
      <c r="G914" s="2">
        <f t="shared" si="160"/>
        <v>474</v>
      </c>
      <c r="H914" s="45">
        <f t="shared" si="159"/>
        <v>0.24894514767932491</v>
      </c>
    </row>
    <row r="915" spans="1:8" x14ac:dyDescent="0.2">
      <c r="A915" s="42">
        <v>42</v>
      </c>
      <c r="B915" s="43">
        <v>154</v>
      </c>
      <c r="C915" s="98" t="s">
        <v>920</v>
      </c>
      <c r="D915" s="61">
        <v>40</v>
      </c>
      <c r="E915" s="2">
        <v>5</v>
      </c>
      <c r="F915" s="2">
        <f>529-(D915+E915)</f>
        <v>484</v>
      </c>
      <c r="G915" s="2">
        <f t="shared" si="160"/>
        <v>529</v>
      </c>
      <c r="H915" s="45">
        <f t="shared" si="159"/>
        <v>8.5066162570888462E-2</v>
      </c>
    </row>
    <row r="916" spans="1:8" x14ac:dyDescent="0.2">
      <c r="A916" s="42">
        <v>42</v>
      </c>
      <c r="B916" s="43">
        <v>155</v>
      </c>
      <c r="C916" s="98" t="s">
        <v>918</v>
      </c>
      <c r="D916" s="61">
        <v>68</v>
      </c>
      <c r="E916" s="2">
        <v>20</v>
      </c>
      <c r="F916" s="2">
        <f>549-(D916+E916)</f>
        <v>461</v>
      </c>
      <c r="G916" s="2">
        <f t="shared" si="160"/>
        <v>549</v>
      </c>
      <c r="H916" s="45">
        <f t="shared" si="159"/>
        <v>0.16029143897996356</v>
      </c>
    </row>
    <row r="917" spans="1:8" x14ac:dyDescent="0.2">
      <c r="A917" s="42">
        <v>42</v>
      </c>
      <c r="B917" s="43">
        <v>156</v>
      </c>
      <c r="C917" s="98" t="s">
        <v>922</v>
      </c>
      <c r="D917" s="61">
        <v>383</v>
      </c>
      <c r="E917" s="2">
        <v>53</v>
      </c>
      <c r="F917" s="2">
        <f>694-(D917+E917)</f>
        <v>258</v>
      </c>
      <c r="G917" s="2">
        <f t="shared" si="160"/>
        <v>694</v>
      </c>
      <c r="H917" s="45">
        <f t="shared" si="159"/>
        <v>0.62824207492795392</v>
      </c>
    </row>
    <row r="918" spans="1:8" x14ac:dyDescent="0.2">
      <c r="A918" s="42">
        <v>42</v>
      </c>
      <c r="B918" s="43">
        <v>158</v>
      </c>
      <c r="C918" s="98" t="s">
        <v>923</v>
      </c>
      <c r="D918" s="61">
        <v>104</v>
      </c>
      <c r="E918" s="2">
        <v>19</v>
      </c>
      <c r="F918" s="2">
        <f>514-(D918+E918)</f>
        <v>391</v>
      </c>
      <c r="G918" s="2">
        <f t="shared" si="160"/>
        <v>514</v>
      </c>
      <c r="H918" s="45">
        <f t="shared" si="159"/>
        <v>0.23929961089494164</v>
      </c>
    </row>
    <row r="919" spans="1:8" x14ac:dyDescent="0.2">
      <c r="A919" s="42">
        <v>42</v>
      </c>
      <c r="B919" s="43">
        <v>159</v>
      </c>
      <c r="C919" s="98" t="s">
        <v>490</v>
      </c>
      <c r="D919" s="61">
        <v>82</v>
      </c>
      <c r="E919" s="2">
        <v>36</v>
      </c>
      <c r="F919" s="2">
        <f>725-(D919+E919)</f>
        <v>607</v>
      </c>
      <c r="G919" s="2">
        <f t="shared" si="160"/>
        <v>725</v>
      </c>
      <c r="H919" s="45">
        <f t="shared" si="159"/>
        <v>0.16275862068965516</v>
      </c>
    </row>
    <row r="920" spans="1:8" x14ac:dyDescent="0.2">
      <c r="A920" s="42">
        <v>42</v>
      </c>
      <c r="B920" s="43">
        <v>164</v>
      </c>
      <c r="C920" s="98" t="s">
        <v>924</v>
      </c>
      <c r="D920" s="61">
        <v>106</v>
      </c>
      <c r="E920" s="2">
        <v>35</v>
      </c>
      <c r="F920" s="2">
        <f>880-(D920+E920)</f>
        <v>739</v>
      </c>
      <c r="G920" s="2">
        <f t="shared" si="160"/>
        <v>880</v>
      </c>
      <c r="H920" s="45">
        <f t="shared" si="159"/>
        <v>0.16022727272727272</v>
      </c>
    </row>
    <row r="921" spans="1:8" x14ac:dyDescent="0.2">
      <c r="A921" s="42">
        <v>42</v>
      </c>
      <c r="B921" s="43">
        <v>174</v>
      </c>
      <c r="C921" s="98" t="s">
        <v>925</v>
      </c>
      <c r="D921" s="61">
        <v>80</v>
      </c>
      <c r="E921" s="2">
        <v>20</v>
      </c>
      <c r="F921" s="2">
        <f>504-(D921+E921)</f>
        <v>404</v>
      </c>
      <c r="G921" s="2">
        <f t="shared" si="160"/>
        <v>504</v>
      </c>
      <c r="H921" s="45">
        <f t="shared" si="159"/>
        <v>0.1984126984126984</v>
      </c>
    </row>
    <row r="922" spans="1:8" x14ac:dyDescent="0.2">
      <c r="A922" s="42">
        <v>42</v>
      </c>
      <c r="B922" s="43">
        <v>178</v>
      </c>
      <c r="C922" s="98" t="s">
        <v>926</v>
      </c>
      <c r="D922" s="61">
        <v>75</v>
      </c>
      <c r="E922" s="2">
        <v>30</v>
      </c>
      <c r="F922" s="2">
        <f>836-(D922+E922)</f>
        <v>731</v>
      </c>
      <c r="G922" s="2">
        <f>SUM(D922:F922)</f>
        <v>836</v>
      </c>
      <c r="H922" s="45">
        <f>+(D922+E922)/G922</f>
        <v>0.1255980861244019</v>
      </c>
    </row>
    <row r="923" spans="1:8" x14ac:dyDescent="0.2">
      <c r="A923" s="42">
        <v>42</v>
      </c>
      <c r="B923" s="43">
        <v>401</v>
      </c>
      <c r="C923" s="44" t="s">
        <v>81</v>
      </c>
      <c r="D923" s="61">
        <v>116</v>
      </c>
      <c r="E923" s="2">
        <v>29</v>
      </c>
      <c r="F923" s="2">
        <f>959-(D923+E923)</f>
        <v>814</v>
      </c>
      <c r="G923" s="2">
        <f t="shared" ref="G923:G930" si="161">SUM(D923:F923)</f>
        <v>959</v>
      </c>
      <c r="H923" s="45">
        <f t="shared" ref="H923:H930" si="162">+(D923+E923)/G923</f>
        <v>0.15119916579770595</v>
      </c>
    </row>
    <row r="924" spans="1:8" x14ac:dyDescent="0.2">
      <c r="A924" s="42">
        <v>42</v>
      </c>
      <c r="B924" s="43">
        <v>402</v>
      </c>
      <c r="C924" s="44" t="s">
        <v>82</v>
      </c>
      <c r="D924" s="61">
        <v>140</v>
      </c>
      <c r="E924" s="2">
        <v>39</v>
      </c>
      <c r="F924" s="2">
        <f>924-(D924+E924)</f>
        <v>745</v>
      </c>
      <c r="G924" s="2">
        <f t="shared" si="161"/>
        <v>924</v>
      </c>
      <c r="H924" s="45">
        <f t="shared" si="162"/>
        <v>0.19372294372294371</v>
      </c>
    </row>
    <row r="925" spans="1:8" x14ac:dyDescent="0.2">
      <c r="A925" s="42">
        <v>42</v>
      </c>
      <c r="B925" s="43">
        <v>403</v>
      </c>
      <c r="C925" s="44" t="s">
        <v>83</v>
      </c>
      <c r="D925" s="61">
        <v>179</v>
      </c>
      <c r="E925" s="2">
        <v>63</v>
      </c>
      <c r="F925" s="2">
        <f>865-(D925+E925)</f>
        <v>623</v>
      </c>
      <c r="G925" s="2">
        <f t="shared" si="161"/>
        <v>865</v>
      </c>
      <c r="H925" s="45">
        <f t="shared" si="162"/>
        <v>0.27976878612716766</v>
      </c>
    </row>
    <row r="926" spans="1:8" x14ac:dyDescent="0.2">
      <c r="A926" s="42">
        <v>42</v>
      </c>
      <c r="B926" s="43">
        <v>404</v>
      </c>
      <c r="C926" s="44" t="s">
        <v>84</v>
      </c>
      <c r="D926" s="61">
        <v>332</v>
      </c>
      <c r="E926" s="2">
        <v>45</v>
      </c>
      <c r="F926" s="2">
        <f>742-(D926+E926)</f>
        <v>365</v>
      </c>
      <c r="G926" s="2">
        <f t="shared" si="161"/>
        <v>742</v>
      </c>
      <c r="H926" s="45">
        <f t="shared" si="162"/>
        <v>0.50808625336927227</v>
      </c>
    </row>
    <row r="927" spans="1:8" x14ac:dyDescent="0.2">
      <c r="A927" s="42">
        <v>42</v>
      </c>
      <c r="B927" s="43">
        <v>405</v>
      </c>
      <c r="C927" s="44" t="s">
        <v>85</v>
      </c>
      <c r="D927" s="61">
        <v>107</v>
      </c>
      <c r="E927" s="2">
        <v>26</v>
      </c>
      <c r="F927" s="2">
        <f>1094-(D927+E927)</f>
        <v>961</v>
      </c>
      <c r="G927" s="2">
        <f t="shared" si="161"/>
        <v>1094</v>
      </c>
      <c r="H927" s="45">
        <f t="shared" si="162"/>
        <v>0.12157221206581353</v>
      </c>
    </row>
    <row r="928" spans="1:8" x14ac:dyDescent="0.2">
      <c r="A928" s="42">
        <v>42</v>
      </c>
      <c r="B928" s="43">
        <v>407</v>
      </c>
      <c r="C928" s="44" t="s">
        <v>86</v>
      </c>
      <c r="D928" s="61">
        <v>157</v>
      </c>
      <c r="E928" s="2">
        <v>72</v>
      </c>
      <c r="F928" s="2">
        <f>1392-(D928+E928)</f>
        <v>1163</v>
      </c>
      <c r="G928" s="2">
        <f t="shared" si="161"/>
        <v>1392</v>
      </c>
      <c r="H928" s="45">
        <f t="shared" si="162"/>
        <v>0.16451149425287356</v>
      </c>
    </row>
    <row r="929" spans="1:8" x14ac:dyDescent="0.2">
      <c r="A929" s="42">
        <v>42</v>
      </c>
      <c r="B929" s="43">
        <v>408</v>
      </c>
      <c r="C929" s="44" t="s">
        <v>239</v>
      </c>
      <c r="D929" s="61">
        <v>229</v>
      </c>
      <c r="E929" s="2">
        <v>46</v>
      </c>
      <c r="F929" s="2">
        <f>572-(D929+E929)</f>
        <v>297</v>
      </c>
      <c r="G929" s="2">
        <f t="shared" si="161"/>
        <v>572</v>
      </c>
      <c r="H929" s="45">
        <f t="shared" si="162"/>
        <v>0.48076923076923078</v>
      </c>
    </row>
    <row r="930" spans="1:8" x14ac:dyDescent="0.2">
      <c r="A930" s="42">
        <v>42</v>
      </c>
      <c r="B930" s="43">
        <v>410</v>
      </c>
      <c r="C930" s="44" t="s">
        <v>88</v>
      </c>
      <c r="D930" s="61">
        <v>269</v>
      </c>
      <c r="E930" s="2">
        <v>76</v>
      </c>
      <c r="F930" s="2">
        <f>849-(D930+E930)</f>
        <v>504</v>
      </c>
      <c r="G930" s="2">
        <f t="shared" si="161"/>
        <v>849</v>
      </c>
      <c r="H930" s="45">
        <f t="shared" si="162"/>
        <v>0.40636042402826855</v>
      </c>
    </row>
    <row r="931" spans="1:8" x14ac:dyDescent="0.2">
      <c r="A931" s="42">
        <v>42</v>
      </c>
      <c r="B931" s="43">
        <v>702</v>
      </c>
      <c r="C931" s="44" t="s">
        <v>94</v>
      </c>
      <c r="D931" s="61">
        <v>200</v>
      </c>
      <c r="E931" s="2">
        <v>0</v>
      </c>
      <c r="F931" s="2">
        <f>2541-(D931+E931)</f>
        <v>2341</v>
      </c>
      <c r="G931" s="2">
        <f t="shared" ref="G931:G934" si="163">SUM(D931:F931)</f>
        <v>2541</v>
      </c>
      <c r="H931" s="45">
        <f t="shared" ref="H931:H934" si="164">+(D931+E931)/G931</f>
        <v>7.8709169618260522E-2</v>
      </c>
    </row>
    <row r="932" spans="1:8" x14ac:dyDescent="0.2">
      <c r="A932" s="42">
        <v>42</v>
      </c>
      <c r="B932" s="43">
        <v>705</v>
      </c>
      <c r="C932" s="44" t="s">
        <v>97</v>
      </c>
      <c r="D932" s="61">
        <v>189</v>
      </c>
      <c r="E932" s="2">
        <v>37</v>
      </c>
      <c r="F932" s="2">
        <f>1821-(D932+E932)</f>
        <v>1595</v>
      </c>
      <c r="G932" s="2">
        <f t="shared" si="163"/>
        <v>1821</v>
      </c>
      <c r="H932" s="45">
        <f t="shared" si="164"/>
        <v>0.12410763316858869</v>
      </c>
    </row>
    <row r="933" spans="1:8" x14ac:dyDescent="0.2">
      <c r="A933" s="42">
        <v>42</v>
      </c>
      <c r="B933" s="43">
        <v>706</v>
      </c>
      <c r="C933" s="44" t="s">
        <v>98</v>
      </c>
      <c r="D933" s="61">
        <v>410</v>
      </c>
      <c r="E933" s="2">
        <v>108</v>
      </c>
      <c r="F933" s="2">
        <f>1574-(D933+E933)</f>
        <v>1056</v>
      </c>
      <c r="G933" s="2">
        <f t="shared" si="163"/>
        <v>1574</v>
      </c>
      <c r="H933" s="45">
        <f t="shared" si="164"/>
        <v>0.32909783989834818</v>
      </c>
    </row>
    <row r="934" spans="1:8" x14ac:dyDescent="0.2">
      <c r="A934" s="42">
        <v>42</v>
      </c>
      <c r="B934" s="43">
        <v>708</v>
      </c>
      <c r="C934" s="44" t="s">
        <v>99</v>
      </c>
      <c r="D934" s="61">
        <v>359</v>
      </c>
      <c r="E934" s="2">
        <v>124</v>
      </c>
      <c r="F934" s="2">
        <f>1724-(D934+E934)</f>
        <v>1241</v>
      </c>
      <c r="G934" s="2">
        <f t="shared" si="163"/>
        <v>1724</v>
      </c>
      <c r="H934" s="45">
        <f t="shared" si="164"/>
        <v>0.28016241299303946</v>
      </c>
    </row>
    <row r="935" spans="1:8" x14ac:dyDescent="0.2">
      <c r="A935" s="42">
        <v>42</v>
      </c>
      <c r="B935" s="43">
        <v>740</v>
      </c>
      <c r="C935" s="98" t="s">
        <v>911</v>
      </c>
      <c r="D935" s="61">
        <v>1</v>
      </c>
      <c r="E935" s="2">
        <v>0</v>
      </c>
      <c r="F935" s="2">
        <f>284-(D935+E935)</f>
        <v>283</v>
      </c>
      <c r="G935" s="2">
        <f t="shared" ref="G935" si="165">SUM(D935:F935)</f>
        <v>284</v>
      </c>
      <c r="H935" s="45">
        <f t="shared" ref="H935" si="166">+(D935+E935)/G935</f>
        <v>3.5211267605633804E-3</v>
      </c>
    </row>
    <row r="936" spans="1:8" ht="13.5" thickBot="1" x14ac:dyDescent="0.25">
      <c r="A936" s="42">
        <v>42</v>
      </c>
      <c r="B936" s="43">
        <v>810</v>
      </c>
      <c r="C936" s="98" t="s">
        <v>912</v>
      </c>
      <c r="D936" s="61">
        <v>27</v>
      </c>
      <c r="E936" s="2">
        <v>6</v>
      </c>
      <c r="F936" s="2">
        <f>118-(D936+E936)</f>
        <v>85</v>
      </c>
      <c r="G936" s="2">
        <f t="shared" ref="G936" si="167">SUM(D936:F936)</f>
        <v>118</v>
      </c>
      <c r="H936" s="45">
        <f>+(D936+E936)/G936</f>
        <v>0.27966101694915252</v>
      </c>
    </row>
    <row r="937" spans="1:8" ht="13.5" thickBot="1" x14ac:dyDescent="0.25">
      <c r="A937" s="46"/>
      <c r="B937" s="47">
        <f>COUNTA(B894:B936)</f>
        <v>43</v>
      </c>
      <c r="C937" s="48" t="s">
        <v>20</v>
      </c>
      <c r="D937" s="4">
        <f>SUM(D894:D936)</f>
        <v>6884</v>
      </c>
      <c r="E937" s="3">
        <f>SUM(E894:E936)</f>
        <v>1565</v>
      </c>
      <c r="F937" s="50">
        <f>SUM(F894:F936)</f>
        <v>25188</v>
      </c>
      <c r="G937" s="3">
        <f>SUM(D937:F937)</f>
        <v>33637</v>
      </c>
      <c r="H937" s="49">
        <f>+(D937+E937)/G937</f>
        <v>0.25118173439961949</v>
      </c>
    </row>
    <row r="938" spans="1:8" x14ac:dyDescent="0.2">
      <c r="A938" s="51"/>
      <c r="B938" s="52"/>
      <c r="C938" s="53"/>
      <c r="D938" s="5"/>
      <c r="E938" s="55"/>
      <c r="F938" s="54"/>
      <c r="G938" s="55"/>
      <c r="H938" s="56"/>
    </row>
    <row r="939" spans="1:8" x14ac:dyDescent="0.2">
      <c r="A939" s="51"/>
      <c r="B939" s="52"/>
      <c r="C939" s="58" t="s">
        <v>236</v>
      </c>
      <c r="D939" s="5"/>
      <c r="E939" s="55"/>
      <c r="F939" s="54"/>
      <c r="G939" s="55"/>
      <c r="H939" s="56"/>
    </row>
    <row r="940" spans="1:8" x14ac:dyDescent="0.2">
      <c r="A940" s="85">
        <v>68</v>
      </c>
      <c r="B940" s="86">
        <v>700</v>
      </c>
      <c r="C940" s="112" t="s">
        <v>979</v>
      </c>
      <c r="D940" s="61">
        <v>225</v>
      </c>
      <c r="E940" s="2">
        <v>59</v>
      </c>
      <c r="F940" s="2">
        <f>515-(D940+E940)</f>
        <v>231</v>
      </c>
      <c r="G940" s="2">
        <f>SUM(D940:F940)</f>
        <v>515</v>
      </c>
      <c r="H940" s="88">
        <f>+(D940+E940)/G940</f>
        <v>0.55145631067961165</v>
      </c>
    </row>
    <row r="941" spans="1:8" x14ac:dyDescent="0.2">
      <c r="A941" s="85">
        <v>68</v>
      </c>
      <c r="B941" s="86">
        <v>701</v>
      </c>
      <c r="C941" s="112" t="s">
        <v>980</v>
      </c>
      <c r="D941" s="61">
        <v>76</v>
      </c>
      <c r="E941" s="2">
        <v>22</v>
      </c>
      <c r="F941" s="2">
        <f>208-(D941+E941)</f>
        <v>110</v>
      </c>
      <c r="G941" s="2">
        <f>SUM(D941:F941)</f>
        <v>208</v>
      </c>
      <c r="H941" s="88">
        <f>+(D941+E941)/G941</f>
        <v>0.47115384615384615</v>
      </c>
    </row>
    <row r="942" spans="1:8" ht="13.5" thickBot="1" x14ac:dyDescent="0.25">
      <c r="A942" s="120">
        <v>68</v>
      </c>
      <c r="B942" s="69">
        <v>702</v>
      </c>
      <c r="C942" s="102" t="s">
        <v>981</v>
      </c>
      <c r="D942" s="61">
        <v>134</v>
      </c>
      <c r="E942" s="2">
        <v>32</v>
      </c>
      <c r="F942" s="2">
        <f>329-(D942+E942)</f>
        <v>163</v>
      </c>
      <c r="G942" s="2">
        <f>SUM(D942:F942)</f>
        <v>329</v>
      </c>
      <c r="H942" s="70">
        <f>+(D942+E942)/G942</f>
        <v>0.50455927051671734</v>
      </c>
    </row>
    <row r="943" spans="1:8" ht="13.5" thickBot="1" x14ac:dyDescent="0.25">
      <c r="A943" s="46"/>
      <c r="B943" s="47">
        <f>COUNT(B940:B942)</f>
        <v>3</v>
      </c>
      <c r="C943" s="48" t="s">
        <v>20</v>
      </c>
      <c r="D943" s="3">
        <f>SUM(D940:D942)</f>
        <v>435</v>
      </c>
      <c r="E943" s="3">
        <f>SUM(E940:E942)</f>
        <v>113</v>
      </c>
      <c r="F943" s="3">
        <f>SUM(F940:F942)</f>
        <v>504</v>
      </c>
      <c r="G943" s="3">
        <f>SUM(D943:F943)</f>
        <v>1052</v>
      </c>
      <c r="H943" s="49">
        <f>+(D943+E943)/G943</f>
        <v>0.52091254752851712</v>
      </c>
    </row>
    <row r="944" spans="1:8" x14ac:dyDescent="0.2">
      <c r="A944" s="51"/>
      <c r="B944" s="52"/>
      <c r="C944" s="53"/>
      <c r="D944" s="5"/>
      <c r="E944" s="55"/>
      <c r="F944" s="54"/>
      <c r="G944" s="55"/>
      <c r="H944" s="56"/>
    </row>
    <row r="945" spans="1:8" x14ac:dyDescent="0.2">
      <c r="A945" s="51"/>
      <c r="B945" s="52"/>
      <c r="C945" s="58" t="s">
        <v>928</v>
      </c>
      <c r="D945" s="5"/>
      <c r="E945" s="55"/>
      <c r="F945" s="54"/>
      <c r="G945" s="55"/>
      <c r="H945" s="56"/>
    </row>
    <row r="946" spans="1:8" x14ac:dyDescent="0.2">
      <c r="A946" s="89">
        <v>74</v>
      </c>
      <c r="B946" s="86">
        <v>100</v>
      </c>
      <c r="C946" s="112" t="s">
        <v>928</v>
      </c>
      <c r="D946" s="61">
        <v>42</v>
      </c>
      <c r="E946" s="2">
        <v>47</v>
      </c>
      <c r="F946" s="2">
        <f>568-(D946+E946)</f>
        <v>479</v>
      </c>
      <c r="G946" s="2">
        <f>SUM(D946:F946)</f>
        <v>568</v>
      </c>
      <c r="H946" s="88">
        <f>+(D946+E946)/G946</f>
        <v>0.15669014084507044</v>
      </c>
    </row>
    <row r="947" spans="1:8" ht="13.5" thickBot="1" x14ac:dyDescent="0.25">
      <c r="A947" s="84">
        <v>74</v>
      </c>
      <c r="B947" s="69">
        <v>101</v>
      </c>
      <c r="C947" s="102" t="s">
        <v>929</v>
      </c>
      <c r="D947" s="61">
        <v>371</v>
      </c>
      <c r="E947" s="2">
        <v>53</v>
      </c>
      <c r="F947" s="2">
        <f>571-(D947+E947)</f>
        <v>147</v>
      </c>
      <c r="G947" s="2">
        <f>SUM(D947:F947)</f>
        <v>571</v>
      </c>
      <c r="H947" s="70">
        <f>+(D947+E947)/G947</f>
        <v>0.74255691768826615</v>
      </c>
    </row>
    <row r="948" spans="1:8" ht="13.5" thickBot="1" x14ac:dyDescent="0.25">
      <c r="A948" s="46"/>
      <c r="B948" s="47">
        <f>COUNTA(B946:B947)</f>
        <v>2</v>
      </c>
      <c r="C948" s="48" t="s">
        <v>20</v>
      </c>
      <c r="D948" s="3">
        <f>SUM(D946:D947)</f>
        <v>413</v>
      </c>
      <c r="E948" s="3">
        <f>SUM(E946:E947)</f>
        <v>100</v>
      </c>
      <c r="F948" s="3">
        <f>SUM(F946:F947)</f>
        <v>626</v>
      </c>
      <c r="G948" s="3">
        <f>SUM(D948:F948)</f>
        <v>1139</v>
      </c>
      <c r="H948" s="49">
        <f>+(D948+E948)/G948</f>
        <v>0.45039508340649692</v>
      </c>
    </row>
    <row r="949" spans="1:8" x14ac:dyDescent="0.2">
      <c r="A949" s="51"/>
      <c r="B949" s="52"/>
      <c r="C949" s="53"/>
      <c r="D949" s="5"/>
      <c r="E949" s="55"/>
      <c r="F949" s="54"/>
      <c r="G949" s="55"/>
      <c r="H949" s="56"/>
    </row>
    <row r="950" spans="1:8" x14ac:dyDescent="0.2">
      <c r="A950" s="51"/>
      <c r="B950" s="52"/>
      <c r="C950" s="58" t="s">
        <v>234</v>
      </c>
      <c r="D950" s="5"/>
      <c r="E950" s="55"/>
      <c r="F950" s="54"/>
      <c r="G950" s="55"/>
      <c r="H950" s="56"/>
    </row>
    <row r="951" spans="1:8" ht="13.5" thickBot="1" x14ac:dyDescent="0.25">
      <c r="A951" s="120">
        <v>82</v>
      </c>
      <c r="B951" s="69">
        <v>100</v>
      </c>
      <c r="C951" s="119" t="s">
        <v>234</v>
      </c>
      <c r="D951" s="61">
        <v>198</v>
      </c>
      <c r="E951" s="2">
        <v>103</v>
      </c>
      <c r="F951" s="2">
        <f>674-(D951+E951)</f>
        <v>373</v>
      </c>
      <c r="G951" s="2">
        <f>SUM(D951:F951)</f>
        <v>674</v>
      </c>
      <c r="H951" s="70">
        <f>+(D951+E951)/G951</f>
        <v>0.44658753709198812</v>
      </c>
    </row>
    <row r="952" spans="1:8" ht="13.5" thickBot="1" x14ac:dyDescent="0.25">
      <c r="A952" s="46"/>
      <c r="B952" s="47">
        <f>COUNTA(B951)</f>
        <v>1</v>
      </c>
      <c r="C952" s="48" t="s">
        <v>20</v>
      </c>
      <c r="D952" s="3">
        <f>SUM(D951)</f>
        <v>198</v>
      </c>
      <c r="E952" s="3">
        <f>SUM(E951)</f>
        <v>103</v>
      </c>
      <c r="F952" s="3">
        <f>SUM(F951)</f>
        <v>373</v>
      </c>
      <c r="G952" s="3">
        <f>SUM(D952:F952)</f>
        <v>674</v>
      </c>
      <c r="H952" s="49">
        <f>+(D952+E952)/G952</f>
        <v>0.44658753709198812</v>
      </c>
    </row>
    <row r="953" spans="1:8" x14ac:dyDescent="0.2">
      <c r="A953" s="51"/>
      <c r="B953" s="52"/>
      <c r="C953" s="53"/>
      <c r="D953" s="5"/>
      <c r="E953" s="55"/>
      <c r="F953" s="54"/>
      <c r="G953" s="55"/>
      <c r="H953" s="56"/>
    </row>
    <row r="954" spans="1:8" x14ac:dyDescent="0.2">
      <c r="A954" s="51"/>
      <c r="B954" s="52"/>
      <c r="C954" s="58" t="s">
        <v>231</v>
      </c>
      <c r="D954" s="5"/>
      <c r="E954" s="55"/>
      <c r="F954" s="54"/>
      <c r="G954" s="55"/>
      <c r="H954" s="56"/>
    </row>
    <row r="955" spans="1:8" ht="13.5" thickBot="1" x14ac:dyDescent="0.25">
      <c r="A955" s="120">
        <v>86</v>
      </c>
      <c r="B955" s="69">
        <v>100</v>
      </c>
      <c r="C955" s="119" t="s">
        <v>231</v>
      </c>
      <c r="D955" s="61">
        <v>227</v>
      </c>
      <c r="E955" s="2">
        <v>71</v>
      </c>
      <c r="F955" s="2">
        <f>494-(D955+E955)</f>
        <v>196</v>
      </c>
      <c r="G955" s="2">
        <f>SUM(D955:F955)</f>
        <v>494</v>
      </c>
      <c r="H955" s="70">
        <f>+(D955+E955)/G955</f>
        <v>0.60323886639676116</v>
      </c>
    </row>
    <row r="956" spans="1:8" ht="13.5" thickBot="1" x14ac:dyDescent="0.25">
      <c r="A956" s="46"/>
      <c r="B956" s="47">
        <f>COUNTA(B955)</f>
        <v>1</v>
      </c>
      <c r="C956" s="48" t="s">
        <v>20</v>
      </c>
      <c r="D956" s="3">
        <f>SUM(D955)</f>
        <v>227</v>
      </c>
      <c r="E956" s="3">
        <f>SUM(E955)</f>
        <v>71</v>
      </c>
      <c r="F956" s="3">
        <f>SUM(F955)</f>
        <v>196</v>
      </c>
      <c r="G956" s="3">
        <f>SUM(D956:F956)</f>
        <v>494</v>
      </c>
      <c r="H956" s="49">
        <f>+(D956+E956)/G956</f>
        <v>0.60323886639676116</v>
      </c>
    </row>
    <row r="957" spans="1:8" x14ac:dyDescent="0.2">
      <c r="A957" s="51"/>
      <c r="B957" s="52"/>
      <c r="C957" s="53"/>
      <c r="D957" s="5"/>
      <c r="E957" s="55"/>
      <c r="F957" s="54"/>
      <c r="G957" s="55"/>
      <c r="H957" s="56"/>
    </row>
    <row r="958" spans="1:8" x14ac:dyDescent="0.2">
      <c r="A958" s="51"/>
      <c r="B958" s="52"/>
      <c r="C958" s="58" t="s">
        <v>237</v>
      </c>
      <c r="D958" s="5"/>
      <c r="E958" s="55"/>
      <c r="F958" s="54"/>
      <c r="G958" s="55"/>
      <c r="H958" s="56"/>
    </row>
    <row r="959" spans="1:8" ht="13.5" thickBot="1" x14ac:dyDescent="0.25">
      <c r="A959" s="120">
        <v>87</v>
      </c>
      <c r="B959" s="69">
        <v>700</v>
      </c>
      <c r="C959" s="119" t="s">
        <v>237</v>
      </c>
      <c r="D959" s="61">
        <v>59</v>
      </c>
      <c r="E959" s="2">
        <v>11</v>
      </c>
      <c r="F959" s="2">
        <f>180-(D959+E959)</f>
        <v>110</v>
      </c>
      <c r="G959" s="2">
        <f>SUM(D959:F959)</f>
        <v>180</v>
      </c>
      <c r="H959" s="70">
        <f>+(D959+E959)/G959</f>
        <v>0.3888888888888889</v>
      </c>
    </row>
    <row r="960" spans="1:8" ht="13.5" thickBot="1" x14ac:dyDescent="0.25">
      <c r="A960" s="46"/>
      <c r="B960" s="47">
        <f>COUNTA(B959)</f>
        <v>1</v>
      </c>
      <c r="C960" s="48" t="s">
        <v>20</v>
      </c>
      <c r="D960" s="3">
        <f>SUM(D959)</f>
        <v>59</v>
      </c>
      <c r="E960" s="3">
        <f>SUM(E959)</f>
        <v>11</v>
      </c>
      <c r="F960" s="3">
        <f>SUM(F959)</f>
        <v>110</v>
      </c>
      <c r="G960" s="3">
        <f>SUM(D960:F960)</f>
        <v>180</v>
      </c>
      <c r="H960" s="49">
        <f>+(D960+E960)/G960</f>
        <v>0.3888888888888889</v>
      </c>
    </row>
    <row r="961" spans="1:8" x14ac:dyDescent="0.2">
      <c r="A961" s="51"/>
      <c r="B961" s="52"/>
      <c r="C961" s="53"/>
      <c r="D961" s="5"/>
      <c r="E961" s="55"/>
      <c r="F961" s="54"/>
      <c r="G961" s="55"/>
      <c r="H961" s="56"/>
    </row>
    <row r="962" spans="1:8" x14ac:dyDescent="0.2">
      <c r="A962" s="51"/>
      <c r="B962" s="52"/>
      <c r="C962" s="58" t="s">
        <v>971</v>
      </c>
      <c r="D962" s="5"/>
      <c r="E962" s="55"/>
      <c r="F962" s="54"/>
      <c r="G962" s="55"/>
      <c r="H962" s="56"/>
    </row>
    <row r="963" spans="1:8" ht="13.5" thickBot="1" x14ac:dyDescent="0.25">
      <c r="A963" s="120">
        <v>98</v>
      </c>
      <c r="B963" s="69">
        <v>700</v>
      </c>
      <c r="C963" s="102" t="s">
        <v>971</v>
      </c>
      <c r="D963" s="61">
        <v>96</v>
      </c>
      <c r="E963" s="2">
        <v>26</v>
      </c>
      <c r="F963" s="2">
        <f>211-(D963+E963)</f>
        <v>89</v>
      </c>
      <c r="G963" s="2">
        <f>SUM(D963:F963)</f>
        <v>211</v>
      </c>
      <c r="H963" s="70">
        <f>+(D963+E963)/G963</f>
        <v>0.5781990521327014</v>
      </c>
    </row>
    <row r="964" spans="1:8" ht="13.5" thickBot="1" x14ac:dyDescent="0.25">
      <c r="A964" s="46"/>
      <c r="B964" s="47">
        <f>COUNTA(B963)</f>
        <v>1</v>
      </c>
      <c r="C964" s="48" t="s">
        <v>20</v>
      </c>
      <c r="D964" s="3">
        <f>SUM(D963)</f>
        <v>96</v>
      </c>
      <c r="E964" s="3">
        <f>SUM(E963)</f>
        <v>26</v>
      </c>
      <c r="F964" s="3">
        <f>SUM(F963)</f>
        <v>89</v>
      </c>
      <c r="G964" s="3">
        <f>SUM(D964:F964)</f>
        <v>211</v>
      </c>
      <c r="H964" s="49">
        <f>+(D964+E964)/G964</f>
        <v>0.5781990521327014</v>
      </c>
    </row>
    <row r="965" spans="1:8" x14ac:dyDescent="0.2">
      <c r="A965" s="51"/>
      <c r="B965" s="52"/>
      <c r="C965" s="53"/>
      <c r="D965" s="5"/>
      <c r="E965" s="55"/>
      <c r="F965" s="54"/>
      <c r="G965" s="55"/>
      <c r="H965" s="56"/>
    </row>
    <row r="966" spans="1:8" x14ac:dyDescent="0.2">
      <c r="A966" s="51"/>
      <c r="B966" s="52"/>
      <c r="C966" s="58" t="s">
        <v>246</v>
      </c>
      <c r="D966" s="5"/>
      <c r="E966" s="55"/>
      <c r="F966" s="54"/>
      <c r="G966" s="55"/>
      <c r="H966" s="56"/>
    </row>
    <row r="967" spans="1:8" ht="13.5" thickBot="1" x14ac:dyDescent="0.25">
      <c r="A967" s="138" t="s">
        <v>245</v>
      </c>
      <c r="B967" s="69">
        <v>100</v>
      </c>
      <c r="C967" s="119" t="s">
        <v>246</v>
      </c>
      <c r="D967" s="61">
        <v>49</v>
      </c>
      <c r="E967" s="2">
        <v>28</v>
      </c>
      <c r="F967" s="2">
        <f>365-(D967+E967)</f>
        <v>288</v>
      </c>
      <c r="G967" s="2">
        <f>SUM(D967:F967)</f>
        <v>365</v>
      </c>
      <c r="H967" s="70">
        <f>+(D967+E967)/G967</f>
        <v>0.21095890410958903</v>
      </c>
    </row>
    <row r="968" spans="1:8" ht="13.5" thickBot="1" x14ac:dyDescent="0.25">
      <c r="A968" s="46"/>
      <c r="B968" s="47">
        <f>COUNTA(B967)</f>
        <v>1</v>
      </c>
      <c r="C968" s="48" t="s">
        <v>20</v>
      </c>
      <c r="D968" s="3">
        <f>SUM(D967)</f>
        <v>49</v>
      </c>
      <c r="E968" s="3">
        <f>SUM(E967)</f>
        <v>28</v>
      </c>
      <c r="F968" s="3">
        <f>SUM(F967)</f>
        <v>288</v>
      </c>
      <c r="G968" s="3">
        <f>SUM(D968:F968)</f>
        <v>365</v>
      </c>
      <c r="H968" s="49">
        <f>+(D968+E968)/G968</f>
        <v>0.21095890410958903</v>
      </c>
    </row>
    <row r="969" spans="1:8" x14ac:dyDescent="0.2">
      <c r="A969" s="51"/>
      <c r="B969" s="52"/>
      <c r="C969" s="53"/>
      <c r="D969" s="5"/>
      <c r="E969" s="55"/>
      <c r="F969" s="54"/>
      <c r="G969" s="55"/>
      <c r="H969" s="56"/>
    </row>
    <row r="970" spans="1:8" x14ac:dyDescent="0.2">
      <c r="A970" s="51"/>
      <c r="B970" s="52"/>
      <c r="C970" s="58" t="s">
        <v>949</v>
      </c>
      <c r="D970" s="5"/>
      <c r="E970" s="55"/>
      <c r="F970" s="54"/>
      <c r="G970" s="55"/>
      <c r="H970" s="56"/>
    </row>
    <row r="971" spans="1:8" ht="13.5" thickBot="1" x14ac:dyDescent="0.25">
      <c r="A971" s="101" t="s">
        <v>948</v>
      </c>
      <c r="B971" s="69">
        <v>100</v>
      </c>
      <c r="C971" s="102" t="s">
        <v>949</v>
      </c>
      <c r="D971" s="61">
        <v>73</v>
      </c>
      <c r="E971" s="2">
        <v>39</v>
      </c>
      <c r="F971" s="2">
        <f>491-(D971+E971)</f>
        <v>379</v>
      </c>
      <c r="G971" s="2">
        <f>SUM(D971:F971)</f>
        <v>491</v>
      </c>
      <c r="H971" s="70">
        <f>+(D971+E971)/G971</f>
        <v>0.22810590631364563</v>
      </c>
    </row>
    <row r="972" spans="1:8" ht="13.5" thickBot="1" x14ac:dyDescent="0.25">
      <c r="A972" s="46"/>
      <c r="B972" s="47">
        <f>COUNTA(B971)</f>
        <v>1</v>
      </c>
      <c r="C972" s="48" t="s">
        <v>20</v>
      </c>
      <c r="D972" s="3">
        <f>SUM(D971)</f>
        <v>73</v>
      </c>
      <c r="E972" s="3">
        <f>SUM(E971)</f>
        <v>39</v>
      </c>
      <c r="F972" s="3">
        <f>SUM(F971)</f>
        <v>379</v>
      </c>
      <c r="G972" s="3">
        <f>SUM(D972:F972)</f>
        <v>491</v>
      </c>
      <c r="H972" s="49">
        <f>+(D972+E972)/G972</f>
        <v>0.22810590631364563</v>
      </c>
    </row>
    <row r="973" spans="1:8" x14ac:dyDescent="0.2">
      <c r="A973" s="51"/>
      <c r="B973" s="52"/>
      <c r="C973" s="53"/>
      <c r="D973" s="5"/>
      <c r="E973" s="55"/>
      <c r="F973" s="54"/>
      <c r="G973" s="55"/>
      <c r="H973" s="56"/>
    </row>
    <row r="974" spans="1:8" x14ac:dyDescent="0.2">
      <c r="A974" s="51"/>
      <c r="B974" s="52"/>
      <c r="C974" s="58" t="s">
        <v>222</v>
      </c>
      <c r="D974" s="5"/>
      <c r="E974" s="55"/>
      <c r="F974" s="54"/>
      <c r="G974" s="55"/>
      <c r="H974" s="56"/>
    </row>
    <row r="975" spans="1:8" ht="13.5" thickBot="1" x14ac:dyDescent="0.25">
      <c r="A975" s="84" t="s">
        <v>269</v>
      </c>
      <c r="B975" s="139" t="s">
        <v>270</v>
      </c>
      <c r="C975" s="119" t="s">
        <v>222</v>
      </c>
      <c r="D975" s="61">
        <v>158</v>
      </c>
      <c r="E975" s="2">
        <v>9</v>
      </c>
      <c r="F975" s="2">
        <f>170-(D975+E975)</f>
        <v>3</v>
      </c>
      <c r="G975" s="2">
        <f>SUM(D975:F975)</f>
        <v>170</v>
      </c>
      <c r="H975" s="70">
        <f>+(D975+E975)/G975</f>
        <v>0.98235294117647054</v>
      </c>
    </row>
    <row r="976" spans="1:8" ht="13.5" thickBot="1" x14ac:dyDescent="0.25">
      <c r="A976" s="46"/>
      <c r="B976" s="47">
        <f>COUNTA(B975)</f>
        <v>1</v>
      </c>
      <c r="C976" s="48" t="s">
        <v>20</v>
      </c>
      <c r="D976" s="3">
        <f>SUM(D975)</f>
        <v>158</v>
      </c>
      <c r="E976" s="3">
        <f>SUM(E975)</f>
        <v>9</v>
      </c>
      <c r="F976" s="3">
        <f>SUM(F975)</f>
        <v>3</v>
      </c>
      <c r="G976" s="3">
        <f>SUM(D976:F976)</f>
        <v>170</v>
      </c>
      <c r="H976" s="49">
        <f>+(D976+E976)/G976</f>
        <v>0.98235294117647054</v>
      </c>
    </row>
    <row r="977" spans="1:8" x14ac:dyDescent="0.2">
      <c r="A977" s="51"/>
      <c r="B977" s="52"/>
      <c r="C977" s="53"/>
      <c r="D977" s="5"/>
      <c r="E977" s="55"/>
      <c r="F977" s="54"/>
      <c r="G977" s="55"/>
      <c r="H977" s="56"/>
    </row>
    <row r="978" spans="1:8" x14ac:dyDescent="0.2">
      <c r="A978" s="51"/>
      <c r="B978" s="52"/>
      <c r="C978" s="58" t="s">
        <v>942</v>
      </c>
      <c r="D978" s="5"/>
      <c r="E978" s="55"/>
      <c r="F978" s="54"/>
      <c r="G978" s="55"/>
      <c r="H978" s="56"/>
    </row>
    <row r="979" spans="1:8" ht="13.5" thickBot="1" x14ac:dyDescent="0.25">
      <c r="A979" s="101" t="s">
        <v>943</v>
      </c>
      <c r="B979" s="69">
        <v>100</v>
      </c>
      <c r="C979" s="102" t="s">
        <v>942</v>
      </c>
      <c r="D979" s="61">
        <v>105</v>
      </c>
      <c r="E979" s="2">
        <v>48</v>
      </c>
      <c r="F979" s="2">
        <f>258-(D979+E979)</f>
        <v>105</v>
      </c>
      <c r="G979" s="2">
        <f>SUM(D979:F979)</f>
        <v>258</v>
      </c>
      <c r="H979" s="70">
        <f>+(D979+E979)/G979</f>
        <v>0.59302325581395354</v>
      </c>
    </row>
    <row r="980" spans="1:8" ht="13.5" thickBot="1" x14ac:dyDescent="0.25">
      <c r="A980" s="46"/>
      <c r="B980" s="47">
        <f>COUNTA(B979)</f>
        <v>1</v>
      </c>
      <c r="C980" s="48" t="s">
        <v>20</v>
      </c>
      <c r="D980" s="3">
        <f>SUM(D979)</f>
        <v>105</v>
      </c>
      <c r="E980" s="3">
        <f>SUM(E979)</f>
        <v>48</v>
      </c>
      <c r="F980" s="3">
        <f>SUM(F979)</f>
        <v>105</v>
      </c>
      <c r="G980" s="3">
        <f>SUM(D980:F980)</f>
        <v>258</v>
      </c>
      <c r="H980" s="49">
        <f>+(D980+E980)/G980</f>
        <v>0.59302325581395354</v>
      </c>
    </row>
    <row r="981" spans="1:8" x14ac:dyDescent="0.2">
      <c r="A981" s="51"/>
      <c r="B981" s="52"/>
      <c r="C981" s="53"/>
      <c r="D981" s="5"/>
      <c r="E981" s="55"/>
      <c r="F981" s="54"/>
      <c r="G981" s="55"/>
      <c r="H981" s="56"/>
    </row>
    <row r="982" spans="1:8" x14ac:dyDescent="0.2">
      <c r="A982" s="51"/>
      <c r="B982" s="52"/>
      <c r="C982" s="58" t="s">
        <v>259</v>
      </c>
      <c r="D982" s="5"/>
      <c r="E982" s="55"/>
      <c r="F982" s="54"/>
      <c r="G982" s="55"/>
      <c r="H982" s="56"/>
    </row>
    <row r="983" spans="1:8" ht="13.5" thickBot="1" x14ac:dyDescent="0.25">
      <c r="A983" s="84" t="s">
        <v>258</v>
      </c>
      <c r="B983" s="69">
        <v>100</v>
      </c>
      <c r="C983" s="119" t="s">
        <v>259</v>
      </c>
      <c r="D983" s="61">
        <v>38</v>
      </c>
      <c r="E983" s="2">
        <v>11</v>
      </c>
      <c r="F983" s="2">
        <f>139-(D983+E983)</f>
        <v>90</v>
      </c>
      <c r="G983" s="2">
        <f>SUM(D983:F983)</f>
        <v>139</v>
      </c>
      <c r="H983" s="70">
        <f>+(D983+E983)/G983</f>
        <v>0.35251798561151076</v>
      </c>
    </row>
    <row r="984" spans="1:8" ht="13.5" thickBot="1" x14ac:dyDescent="0.25">
      <c r="A984" s="46"/>
      <c r="B984" s="47">
        <f>COUNTA(B983)</f>
        <v>1</v>
      </c>
      <c r="C984" s="48" t="s">
        <v>20</v>
      </c>
      <c r="D984" s="3">
        <f>SUM(D983)</f>
        <v>38</v>
      </c>
      <c r="E984" s="3">
        <f>SUM(E983)</f>
        <v>11</v>
      </c>
      <c r="F984" s="3">
        <f>SUM(F983)</f>
        <v>90</v>
      </c>
      <c r="G984" s="3">
        <f>SUM(D984:F984)</f>
        <v>139</v>
      </c>
      <c r="H984" s="49">
        <f>+(D984+E984)/G984</f>
        <v>0.35251798561151076</v>
      </c>
    </row>
    <row r="985" spans="1:8" x14ac:dyDescent="0.2">
      <c r="A985" s="51"/>
      <c r="B985" s="52"/>
      <c r="C985" s="53"/>
      <c r="D985" s="5"/>
      <c r="E985" s="55"/>
      <c r="F985" s="54"/>
      <c r="G985" s="55"/>
      <c r="H985" s="56"/>
    </row>
    <row r="986" spans="1:8" x14ac:dyDescent="0.2">
      <c r="A986" s="51"/>
      <c r="B986" s="52"/>
      <c r="C986" s="58" t="s">
        <v>278</v>
      </c>
      <c r="D986" s="5"/>
      <c r="E986" s="55"/>
      <c r="F986" s="54"/>
      <c r="G986" s="55"/>
      <c r="H986" s="56"/>
    </row>
    <row r="987" spans="1:8" ht="13.5" thickBot="1" x14ac:dyDescent="0.25">
      <c r="A987" s="84" t="s">
        <v>277</v>
      </c>
      <c r="B987" s="69">
        <v>100</v>
      </c>
      <c r="C987" s="119" t="s">
        <v>278</v>
      </c>
      <c r="D987" s="61">
        <v>68</v>
      </c>
      <c r="E987" s="2">
        <v>39</v>
      </c>
      <c r="F987" s="2">
        <f>669-(D987+E987)</f>
        <v>562</v>
      </c>
      <c r="G987" s="2">
        <f>SUM(D987:F987)</f>
        <v>669</v>
      </c>
      <c r="H987" s="70">
        <f>+(D987+E987)/G987</f>
        <v>0.15994020926756353</v>
      </c>
    </row>
    <row r="988" spans="1:8" ht="13.5" thickBot="1" x14ac:dyDescent="0.25">
      <c r="A988" s="46"/>
      <c r="B988" s="47">
        <f>COUNTA(B987)</f>
        <v>1</v>
      </c>
      <c r="C988" s="48" t="s">
        <v>20</v>
      </c>
      <c r="D988" s="3">
        <f>SUM(D987)</f>
        <v>68</v>
      </c>
      <c r="E988" s="3">
        <f>SUM(E987)</f>
        <v>39</v>
      </c>
      <c r="F988" s="3">
        <f>SUM(F987)</f>
        <v>562</v>
      </c>
      <c r="G988" s="3">
        <f>SUM(D988:F988)</f>
        <v>669</v>
      </c>
      <c r="H988" s="49">
        <f>+(D988+E988)/G988</f>
        <v>0.15994020926756353</v>
      </c>
    </row>
    <row r="989" spans="1:8" x14ac:dyDescent="0.2">
      <c r="A989" s="51"/>
      <c r="B989" s="52"/>
      <c r="C989" s="53"/>
      <c r="D989" s="5"/>
      <c r="E989" s="55"/>
      <c r="F989" s="54"/>
      <c r="G989" s="55"/>
      <c r="H989" s="56"/>
    </row>
    <row r="990" spans="1:8" x14ac:dyDescent="0.2">
      <c r="A990" s="51"/>
      <c r="B990" s="52"/>
      <c r="C990" s="58" t="s">
        <v>264</v>
      </c>
      <c r="D990" s="5"/>
      <c r="E990" s="55"/>
      <c r="F990" s="54"/>
      <c r="G990" s="55"/>
      <c r="H990" s="56"/>
    </row>
    <row r="991" spans="1:8" ht="13.5" thickBot="1" x14ac:dyDescent="0.25">
      <c r="A991" s="84" t="s">
        <v>263</v>
      </c>
      <c r="B991" s="69">
        <v>100</v>
      </c>
      <c r="C991" s="119" t="s">
        <v>264</v>
      </c>
      <c r="D991" s="61">
        <v>151</v>
      </c>
      <c r="E991" s="2">
        <v>63</v>
      </c>
      <c r="F991" s="2">
        <f>511-(D991+E991)</f>
        <v>297</v>
      </c>
      <c r="G991" s="2">
        <f>SUM(D991:F991)</f>
        <v>511</v>
      </c>
      <c r="H991" s="70">
        <f>+(D991+E991)/G991</f>
        <v>0.41878669275929548</v>
      </c>
    </row>
    <row r="992" spans="1:8" ht="13.5" thickBot="1" x14ac:dyDescent="0.25">
      <c r="A992" s="46"/>
      <c r="B992" s="47">
        <f>COUNTA(B991)</f>
        <v>1</v>
      </c>
      <c r="C992" s="48" t="s">
        <v>20</v>
      </c>
      <c r="D992" s="3">
        <f>SUM(D991)</f>
        <v>151</v>
      </c>
      <c r="E992" s="3">
        <f>SUM(E991)</f>
        <v>63</v>
      </c>
      <c r="F992" s="3">
        <f>SUM(F991)</f>
        <v>297</v>
      </c>
      <c r="G992" s="3">
        <f>SUM(D992:F992)</f>
        <v>511</v>
      </c>
      <c r="H992" s="49">
        <f>+(D992+E992)/G992</f>
        <v>0.41878669275929548</v>
      </c>
    </row>
    <row r="993" spans="1:8" x14ac:dyDescent="0.2">
      <c r="A993" s="51"/>
      <c r="B993" s="52"/>
      <c r="C993" s="53"/>
      <c r="D993" s="5"/>
      <c r="E993" s="55"/>
      <c r="F993" s="54"/>
      <c r="G993" s="55"/>
      <c r="H993" s="56"/>
    </row>
    <row r="994" spans="1:8" x14ac:dyDescent="0.2">
      <c r="A994" s="51"/>
      <c r="B994" s="52"/>
      <c r="C994" s="58" t="s">
        <v>989</v>
      </c>
      <c r="D994" s="5"/>
      <c r="E994" s="55"/>
      <c r="F994" s="54"/>
      <c r="G994" s="55"/>
      <c r="H994" s="56"/>
    </row>
    <row r="995" spans="1:8" x14ac:dyDescent="0.2">
      <c r="A995" s="111" t="s">
        <v>986</v>
      </c>
      <c r="B995" s="86">
        <v>100</v>
      </c>
      <c r="C995" s="112" t="s">
        <v>987</v>
      </c>
      <c r="D995" s="61">
        <v>19</v>
      </c>
      <c r="E995" s="2">
        <v>16</v>
      </c>
      <c r="F995" s="2">
        <f>173-(D995+E995)</f>
        <v>138</v>
      </c>
      <c r="G995" s="2">
        <f>SUM(D995:F995)</f>
        <v>173</v>
      </c>
      <c r="H995" s="88">
        <f>+(D995+E995)/G995</f>
        <v>0.20231213872832371</v>
      </c>
    </row>
    <row r="996" spans="1:8" ht="13.5" thickBot="1" x14ac:dyDescent="0.25">
      <c r="A996" s="101" t="s">
        <v>986</v>
      </c>
      <c r="B996" s="69">
        <v>700</v>
      </c>
      <c r="C996" s="102" t="s">
        <v>988</v>
      </c>
      <c r="D996" s="61">
        <v>24</v>
      </c>
      <c r="E996" s="2">
        <v>6</v>
      </c>
      <c r="F996" s="2">
        <f>159-(D996+E996)</f>
        <v>129</v>
      </c>
      <c r="G996" s="2">
        <f>SUM(D996:F996)</f>
        <v>159</v>
      </c>
      <c r="H996" s="70">
        <f>+(D996+E996)/G996</f>
        <v>0.18867924528301888</v>
      </c>
    </row>
    <row r="997" spans="1:8" ht="13.5" thickBot="1" x14ac:dyDescent="0.25">
      <c r="A997" s="46"/>
      <c r="B997" s="47">
        <f>COUNTA(B995:B996)</f>
        <v>2</v>
      </c>
      <c r="C997" s="48" t="s">
        <v>20</v>
      </c>
      <c r="D997" s="3">
        <f>SUM(D995:D996)</f>
        <v>43</v>
      </c>
      <c r="E997" s="3">
        <f>SUM(E995:E996)</f>
        <v>22</v>
      </c>
      <c r="F997" s="3">
        <f>SUM(F995:F996)</f>
        <v>267</v>
      </c>
      <c r="G997" s="3">
        <f>SUM(D997:F997)</f>
        <v>332</v>
      </c>
      <c r="H997" s="49">
        <f>+(D997+E997)/G997</f>
        <v>0.19578313253012047</v>
      </c>
    </row>
    <row r="998" spans="1:8" x14ac:dyDescent="0.2">
      <c r="A998" s="51"/>
      <c r="B998" s="52"/>
      <c r="C998" s="53"/>
      <c r="D998" s="5"/>
      <c r="E998" s="55"/>
      <c r="F998" s="54"/>
      <c r="G998" s="55"/>
      <c r="H998" s="56"/>
    </row>
    <row r="999" spans="1:8" x14ac:dyDescent="0.2">
      <c r="A999" s="51"/>
      <c r="B999" s="52"/>
      <c r="C999" s="58" t="s">
        <v>966</v>
      </c>
      <c r="D999" s="5"/>
      <c r="E999" s="55"/>
      <c r="F999" s="54"/>
      <c r="G999" s="55"/>
      <c r="H999" s="56"/>
    </row>
    <row r="1000" spans="1:8" ht="13.5" thickBot="1" x14ac:dyDescent="0.25">
      <c r="A1000" s="101" t="s">
        <v>965</v>
      </c>
      <c r="B1000" s="69">
        <v>100</v>
      </c>
      <c r="C1000" s="102" t="s">
        <v>966</v>
      </c>
      <c r="D1000" s="61">
        <v>114</v>
      </c>
      <c r="E1000" s="2">
        <v>24</v>
      </c>
      <c r="F1000" s="2">
        <f>288-(D1000+E1000)</f>
        <v>150</v>
      </c>
      <c r="G1000" s="2">
        <f>SUM(D1000:F1000)</f>
        <v>288</v>
      </c>
      <c r="H1000" s="70">
        <f>+(D1000+E1000)/G1000</f>
        <v>0.47916666666666669</v>
      </c>
    </row>
    <row r="1001" spans="1:8" ht="13.5" thickBot="1" x14ac:dyDescent="0.25">
      <c r="A1001" s="46"/>
      <c r="B1001" s="47">
        <f>COUNTA(B1000)</f>
        <v>1</v>
      </c>
      <c r="C1001" s="48" t="s">
        <v>20</v>
      </c>
      <c r="D1001" s="3">
        <f>SUM(D1000)</f>
        <v>114</v>
      </c>
      <c r="E1001" s="3">
        <f>SUM(E1000)</f>
        <v>24</v>
      </c>
      <c r="F1001" s="3">
        <f>SUM(F1000)</f>
        <v>150</v>
      </c>
      <c r="G1001" s="3">
        <f>SUM(D1001:F1001)</f>
        <v>288</v>
      </c>
      <c r="H1001" s="49">
        <f>+(D1001+E1001)/G1001</f>
        <v>0.47916666666666669</v>
      </c>
    </row>
    <row r="1002" spans="1:8" x14ac:dyDescent="0.2">
      <c r="A1002" s="51"/>
      <c r="B1002" s="52"/>
      <c r="C1002" s="53"/>
      <c r="D1002" s="5"/>
      <c r="E1002" s="55"/>
      <c r="F1002" s="54"/>
      <c r="G1002" s="55"/>
      <c r="H1002" s="56"/>
    </row>
    <row r="1003" spans="1:8" x14ac:dyDescent="0.2">
      <c r="A1003" s="51"/>
      <c r="B1003" s="52"/>
      <c r="C1003" s="58" t="s">
        <v>939</v>
      </c>
      <c r="D1003" s="5"/>
      <c r="E1003" s="55"/>
      <c r="F1003" s="54"/>
      <c r="G1003" s="55"/>
      <c r="H1003" s="56"/>
    </row>
    <row r="1004" spans="1:8" ht="13.5" thickBot="1" x14ac:dyDescent="0.25">
      <c r="A1004" s="101" t="s">
        <v>938</v>
      </c>
      <c r="B1004" s="69">
        <v>100</v>
      </c>
      <c r="C1004" s="102" t="s">
        <v>939</v>
      </c>
      <c r="D1004" s="61">
        <v>85</v>
      </c>
      <c r="E1004" s="2">
        <v>54</v>
      </c>
      <c r="F1004" s="2">
        <f>468-(D1004+E1004)</f>
        <v>329</v>
      </c>
      <c r="G1004" s="2">
        <f>SUM(D1004:F1004)</f>
        <v>468</v>
      </c>
      <c r="H1004" s="70">
        <f>+(D1004+E1004)/G1004</f>
        <v>0.29700854700854701</v>
      </c>
    </row>
    <row r="1005" spans="1:8" ht="13.5" thickBot="1" x14ac:dyDescent="0.25">
      <c r="A1005" s="46"/>
      <c r="B1005" s="47">
        <f>COUNTA(B1004)</f>
        <v>1</v>
      </c>
      <c r="C1005" s="48" t="s">
        <v>20</v>
      </c>
      <c r="D1005" s="3">
        <f>SUM(D1004)</f>
        <v>85</v>
      </c>
      <c r="E1005" s="3">
        <f>SUM(E1004)</f>
        <v>54</v>
      </c>
      <c r="F1005" s="3">
        <f>SUM(F1004)</f>
        <v>329</v>
      </c>
      <c r="G1005" s="3">
        <f>SUM(D1005:F1005)</f>
        <v>468</v>
      </c>
      <c r="H1005" s="49">
        <f>+(D1005+E1005)/G1005</f>
        <v>0.29700854700854701</v>
      </c>
    </row>
    <row r="1006" spans="1:8" x14ac:dyDescent="0.2">
      <c r="A1006" s="51"/>
      <c r="B1006" s="52"/>
      <c r="C1006" s="53"/>
      <c r="D1006" s="5"/>
      <c r="E1006" s="55"/>
      <c r="F1006" s="54"/>
      <c r="G1006" s="55"/>
      <c r="H1006" s="56"/>
    </row>
    <row r="1007" spans="1:8" x14ac:dyDescent="0.2">
      <c r="A1007" s="51"/>
      <c r="B1007" s="52"/>
      <c r="C1007" s="58" t="s">
        <v>247</v>
      </c>
      <c r="D1007" s="5"/>
      <c r="E1007" s="55"/>
      <c r="F1007" s="54"/>
      <c r="G1007" s="55"/>
      <c r="H1007" s="56"/>
    </row>
    <row r="1008" spans="1:8" ht="13.5" thickBot="1" x14ac:dyDescent="0.25">
      <c r="A1008" s="84" t="s">
        <v>248</v>
      </c>
      <c r="B1008" s="137" t="s">
        <v>937</v>
      </c>
      <c r="C1008" s="119" t="s">
        <v>247</v>
      </c>
      <c r="D1008" s="61">
        <v>61</v>
      </c>
      <c r="E1008" s="2">
        <v>19</v>
      </c>
      <c r="F1008" s="2">
        <f>376-(D1008+E1008)</f>
        <v>296</v>
      </c>
      <c r="G1008" s="2">
        <f>SUM(D1008:F1008)</f>
        <v>376</v>
      </c>
      <c r="H1008" s="70">
        <f>+(D1008+E1008)/G1008</f>
        <v>0.21276595744680851</v>
      </c>
    </row>
    <row r="1009" spans="1:8" ht="13.5" thickBot="1" x14ac:dyDescent="0.25">
      <c r="A1009" s="46"/>
      <c r="B1009" s="47">
        <f>COUNTA(B1008)</f>
        <v>1</v>
      </c>
      <c r="C1009" s="48" t="s">
        <v>20</v>
      </c>
      <c r="D1009" s="3">
        <f>SUM(D1008)</f>
        <v>61</v>
      </c>
      <c r="E1009" s="3">
        <f>SUM(E1008)</f>
        <v>19</v>
      </c>
      <c r="F1009" s="3">
        <f>SUM(F1008)</f>
        <v>296</v>
      </c>
      <c r="G1009" s="3">
        <f>SUM(D1009:F1009)</f>
        <v>376</v>
      </c>
      <c r="H1009" s="49">
        <f>+(D1009+E1009)/G1009</f>
        <v>0.21276595744680851</v>
      </c>
    </row>
    <row r="1010" spans="1:8" x14ac:dyDescent="0.2">
      <c r="A1010" s="51"/>
      <c r="B1010" s="52"/>
      <c r="C1010" s="53"/>
      <c r="D1010" s="5"/>
      <c r="E1010" s="55"/>
      <c r="F1010" s="54"/>
      <c r="G1010" s="55"/>
      <c r="H1010" s="56"/>
    </row>
    <row r="1011" spans="1:8" x14ac:dyDescent="0.2">
      <c r="A1011" s="51"/>
      <c r="B1011" s="52"/>
      <c r="C1011" s="58" t="s">
        <v>274</v>
      </c>
      <c r="D1011" s="5"/>
      <c r="E1011" s="55"/>
      <c r="F1011" s="54"/>
      <c r="G1011" s="55"/>
      <c r="H1011" s="56"/>
    </row>
    <row r="1012" spans="1:8" ht="13.5" thickBot="1" x14ac:dyDescent="0.25">
      <c r="A1012" s="84" t="s">
        <v>273</v>
      </c>
      <c r="B1012" s="69">
        <v>100</v>
      </c>
      <c r="C1012" s="122" t="s">
        <v>274</v>
      </c>
      <c r="D1012" s="61">
        <v>90</v>
      </c>
      <c r="E1012" s="2">
        <v>85</v>
      </c>
      <c r="F1012" s="2">
        <f>710-(D1012+E1012)</f>
        <v>535</v>
      </c>
      <c r="G1012" s="2">
        <f>SUM(D1012:F1012)</f>
        <v>710</v>
      </c>
      <c r="H1012" s="70">
        <f>+(D1012+E1012)/G1012</f>
        <v>0.24647887323943662</v>
      </c>
    </row>
    <row r="1013" spans="1:8" ht="13.5" thickBot="1" x14ac:dyDescent="0.25">
      <c r="A1013" s="46"/>
      <c r="B1013" s="47">
        <f>COUNTA(B1012)</f>
        <v>1</v>
      </c>
      <c r="C1013" s="48" t="s">
        <v>20</v>
      </c>
      <c r="D1013" s="3">
        <f>SUM(D1012)</f>
        <v>90</v>
      </c>
      <c r="E1013" s="3">
        <f>SUM(E1012)</f>
        <v>85</v>
      </c>
      <c r="F1013" s="3">
        <f>SUM(F1012)</f>
        <v>535</v>
      </c>
      <c r="G1013" s="3">
        <f>SUM(D1013:F1013)</f>
        <v>710</v>
      </c>
      <c r="H1013" s="49">
        <f>+(D1013+E1013)/G1013</f>
        <v>0.24647887323943662</v>
      </c>
    </row>
    <row r="1014" spans="1:8" x14ac:dyDescent="0.2">
      <c r="A1014" s="51"/>
      <c r="B1014" s="52"/>
      <c r="C1014" s="53"/>
      <c r="D1014" s="5"/>
      <c r="E1014" s="55"/>
      <c r="F1014" s="54"/>
      <c r="G1014" s="55"/>
      <c r="H1014" s="56"/>
    </row>
    <row r="1015" spans="1:8" x14ac:dyDescent="0.2">
      <c r="A1015" s="51"/>
      <c r="B1015" s="52"/>
      <c r="C1015" s="58" t="s">
        <v>940</v>
      </c>
      <c r="D1015" s="5"/>
      <c r="E1015" s="55"/>
      <c r="F1015" s="54"/>
      <c r="G1015" s="55"/>
      <c r="H1015" s="56"/>
    </row>
    <row r="1016" spans="1:8" ht="13.5" thickBot="1" x14ac:dyDescent="0.25">
      <c r="A1016" s="84" t="s">
        <v>265</v>
      </c>
      <c r="B1016" s="115" t="s">
        <v>941</v>
      </c>
      <c r="C1016" s="102" t="s">
        <v>940</v>
      </c>
      <c r="D1016" s="61">
        <v>154</v>
      </c>
      <c r="E1016" s="2">
        <v>92</v>
      </c>
      <c r="F1016" s="2">
        <f>1016-(D1016+E1016)</f>
        <v>770</v>
      </c>
      <c r="G1016" s="2">
        <f>SUM(D1016:F1016)</f>
        <v>1016</v>
      </c>
      <c r="H1016" s="70">
        <f>+(D1016+E1016)/G1016</f>
        <v>0.24212598425196849</v>
      </c>
    </row>
    <row r="1017" spans="1:8" ht="13.5" thickBot="1" x14ac:dyDescent="0.25">
      <c r="A1017" s="46"/>
      <c r="B1017" s="47">
        <f>COUNTA(B1016)</f>
        <v>1</v>
      </c>
      <c r="C1017" s="48" t="s">
        <v>20</v>
      </c>
      <c r="D1017" s="3">
        <f>SUM(D1016)</f>
        <v>154</v>
      </c>
      <c r="E1017" s="3">
        <f>SUM(E1016)</f>
        <v>92</v>
      </c>
      <c r="F1017" s="3">
        <f>SUM(F1016)</f>
        <v>770</v>
      </c>
      <c r="G1017" s="3">
        <f>SUM(D1017:F1017)</f>
        <v>1016</v>
      </c>
      <c r="H1017" s="49">
        <f>+(D1017+E1017)/G1017</f>
        <v>0.24212598425196849</v>
      </c>
    </row>
    <row r="1018" spans="1:8" x14ac:dyDescent="0.2">
      <c r="A1018" s="51"/>
      <c r="B1018" s="52"/>
      <c r="C1018" s="53"/>
      <c r="D1018" s="5"/>
      <c r="E1018" s="55"/>
      <c r="F1018" s="54"/>
      <c r="G1018" s="55"/>
      <c r="H1018" s="56"/>
    </row>
    <row r="1019" spans="1:8" x14ac:dyDescent="0.2">
      <c r="A1019" s="51"/>
      <c r="B1019" s="52"/>
      <c r="C1019" s="58" t="s">
        <v>280</v>
      </c>
      <c r="D1019" s="5"/>
      <c r="E1019" s="55"/>
      <c r="F1019" s="54"/>
      <c r="G1019" s="55"/>
      <c r="H1019" s="56"/>
    </row>
    <row r="1020" spans="1:8" ht="13.5" thickBot="1" x14ac:dyDescent="0.25">
      <c r="A1020" s="84" t="s">
        <v>279</v>
      </c>
      <c r="B1020" s="69">
        <v>100</v>
      </c>
      <c r="C1020" s="119" t="s">
        <v>280</v>
      </c>
      <c r="D1020" s="61">
        <v>254</v>
      </c>
      <c r="E1020" s="2">
        <v>28</v>
      </c>
      <c r="F1020" s="2">
        <f>444-(D1020+E1020)</f>
        <v>162</v>
      </c>
      <c r="G1020" s="2">
        <f>SUM(D1020:F1020)</f>
        <v>444</v>
      </c>
      <c r="H1020" s="70">
        <f>+(D1020+E1020)/G1020</f>
        <v>0.63513513513513509</v>
      </c>
    </row>
    <row r="1021" spans="1:8" ht="13.5" thickBot="1" x14ac:dyDescent="0.25">
      <c r="A1021" s="46"/>
      <c r="B1021" s="47">
        <f>COUNTA(B1020)</f>
        <v>1</v>
      </c>
      <c r="C1021" s="48" t="s">
        <v>20</v>
      </c>
      <c r="D1021" s="3">
        <f>SUM(D1020)</f>
        <v>254</v>
      </c>
      <c r="E1021" s="3">
        <f>SUM(E1020)</f>
        <v>28</v>
      </c>
      <c r="F1021" s="3">
        <f>SUM(F1020)</f>
        <v>162</v>
      </c>
      <c r="G1021" s="3">
        <f>SUM(D1021:F1021)</f>
        <v>444</v>
      </c>
      <c r="H1021" s="49">
        <f>+(D1021+E1021)/G1021</f>
        <v>0.63513513513513509</v>
      </c>
    </row>
    <row r="1022" spans="1:8" x14ac:dyDescent="0.2">
      <c r="A1022" s="51"/>
      <c r="B1022" s="52"/>
      <c r="C1022" s="53"/>
      <c r="D1022" s="5"/>
      <c r="E1022" s="55"/>
      <c r="F1022" s="54"/>
      <c r="G1022" s="55"/>
      <c r="H1022" s="56"/>
    </row>
    <row r="1023" spans="1:8" x14ac:dyDescent="0.2">
      <c r="A1023" s="51"/>
      <c r="B1023" s="52"/>
      <c r="C1023" s="58" t="s">
        <v>444</v>
      </c>
      <c r="D1023" s="5"/>
      <c r="E1023" s="55"/>
      <c r="F1023" s="54"/>
      <c r="G1023" s="55"/>
      <c r="H1023" s="56"/>
    </row>
    <row r="1024" spans="1:8" ht="13.5" thickBot="1" x14ac:dyDescent="0.25">
      <c r="A1024" s="101" t="s">
        <v>442</v>
      </c>
      <c r="B1024" s="69">
        <v>100</v>
      </c>
      <c r="C1024" s="102" t="s">
        <v>443</v>
      </c>
      <c r="D1024" s="61">
        <v>104</v>
      </c>
      <c r="E1024" s="2">
        <v>30</v>
      </c>
      <c r="F1024" s="2">
        <f>288-(D1024+E1024)</f>
        <v>154</v>
      </c>
      <c r="G1024" s="2">
        <f>SUM(D1024:F1024)</f>
        <v>288</v>
      </c>
      <c r="H1024" s="70">
        <f>+(D1024+E1024)/G1024</f>
        <v>0.46527777777777779</v>
      </c>
    </row>
    <row r="1025" spans="1:8" ht="13.5" thickBot="1" x14ac:dyDescent="0.25">
      <c r="A1025" s="46"/>
      <c r="B1025" s="47">
        <f>COUNTA(B1024)</f>
        <v>1</v>
      </c>
      <c r="C1025" s="48" t="s">
        <v>20</v>
      </c>
      <c r="D1025" s="3">
        <f>SUM(D1024)</f>
        <v>104</v>
      </c>
      <c r="E1025" s="3">
        <f>SUM(E1024)</f>
        <v>30</v>
      </c>
      <c r="F1025" s="3">
        <f>SUM(F1024)</f>
        <v>154</v>
      </c>
      <c r="G1025" s="3">
        <f>SUM(D1025:F1025)</f>
        <v>288</v>
      </c>
      <c r="H1025" s="49">
        <f>+(D1025+E1025)/G1025</f>
        <v>0.46527777777777779</v>
      </c>
    </row>
    <row r="1026" spans="1:8" x14ac:dyDescent="0.2">
      <c r="A1026" s="51"/>
      <c r="B1026" s="52"/>
      <c r="C1026" s="53"/>
      <c r="D1026" s="5"/>
      <c r="E1026" s="55"/>
      <c r="F1026" s="54"/>
      <c r="G1026" s="55"/>
      <c r="H1026" s="56"/>
    </row>
    <row r="1027" spans="1:8" x14ac:dyDescent="0.2">
      <c r="A1027" s="51"/>
      <c r="B1027" s="52"/>
      <c r="C1027" s="58" t="s">
        <v>261</v>
      </c>
      <c r="D1027" s="5"/>
      <c r="E1027" s="55"/>
      <c r="F1027" s="54"/>
      <c r="G1027" s="55"/>
      <c r="H1027" s="56"/>
    </row>
    <row r="1028" spans="1:8" ht="13.5" thickBot="1" x14ac:dyDescent="0.25">
      <c r="A1028" s="84" t="s">
        <v>260</v>
      </c>
      <c r="B1028" s="69">
        <v>100</v>
      </c>
      <c r="C1028" s="119" t="s">
        <v>261</v>
      </c>
      <c r="D1028" s="61">
        <v>50</v>
      </c>
      <c r="E1028" s="2">
        <v>10</v>
      </c>
      <c r="F1028" s="2">
        <f>508-(D1028+E1028)</f>
        <v>448</v>
      </c>
      <c r="G1028" s="2">
        <f>SUM(D1028:F1028)</f>
        <v>508</v>
      </c>
      <c r="H1028" s="70">
        <f>+(D1028+E1028)/G1028</f>
        <v>0.11811023622047244</v>
      </c>
    </row>
    <row r="1029" spans="1:8" ht="13.5" thickBot="1" x14ac:dyDescent="0.25">
      <c r="A1029" s="46"/>
      <c r="B1029" s="47">
        <f>COUNTA(B1028)</f>
        <v>1</v>
      </c>
      <c r="C1029" s="48" t="s">
        <v>20</v>
      </c>
      <c r="D1029" s="3">
        <f>SUM(D1028)</f>
        <v>50</v>
      </c>
      <c r="E1029" s="3">
        <f>SUM(E1028)</f>
        <v>10</v>
      </c>
      <c r="F1029" s="3">
        <f>SUM(F1028)</f>
        <v>448</v>
      </c>
      <c r="G1029" s="3">
        <f>SUM(D1029:F1029)</f>
        <v>508</v>
      </c>
      <c r="H1029" s="49">
        <f>+(D1029+E1029)/G1029</f>
        <v>0.11811023622047244</v>
      </c>
    </row>
    <row r="1030" spans="1:8" x14ac:dyDescent="0.2">
      <c r="A1030" s="51"/>
      <c r="B1030" s="52"/>
      <c r="C1030" s="53"/>
      <c r="D1030" s="5"/>
      <c r="E1030" s="55"/>
      <c r="F1030" s="54"/>
      <c r="G1030" s="55"/>
      <c r="H1030" s="56"/>
    </row>
    <row r="1031" spans="1:8" x14ac:dyDescent="0.2">
      <c r="A1031" s="51"/>
      <c r="B1031" s="52"/>
      <c r="C1031" s="58" t="s">
        <v>198</v>
      </c>
      <c r="D1031" s="5"/>
      <c r="E1031" s="55"/>
      <c r="F1031" s="54"/>
      <c r="G1031" s="55"/>
      <c r="H1031" s="56"/>
    </row>
    <row r="1032" spans="1:8" ht="13.5" thickBot="1" x14ac:dyDescent="0.25">
      <c r="A1032" s="101" t="s">
        <v>927</v>
      </c>
      <c r="B1032" s="69">
        <v>108</v>
      </c>
      <c r="C1032" s="119" t="s">
        <v>198</v>
      </c>
      <c r="D1032" s="61">
        <v>45</v>
      </c>
      <c r="E1032" s="2">
        <v>34</v>
      </c>
      <c r="F1032" s="2">
        <f>301-(D1032+E1032)</f>
        <v>222</v>
      </c>
      <c r="G1032" s="2">
        <f>SUM(D1032:F1032)</f>
        <v>301</v>
      </c>
      <c r="H1032" s="70">
        <f>+(D1032+E1032)/G1032</f>
        <v>0.26245847176079734</v>
      </c>
    </row>
    <row r="1033" spans="1:8" ht="13.5" thickBot="1" x14ac:dyDescent="0.25">
      <c r="A1033" s="46"/>
      <c r="B1033" s="47">
        <f>COUNTA(B1032)</f>
        <v>1</v>
      </c>
      <c r="C1033" s="48" t="s">
        <v>20</v>
      </c>
      <c r="D1033" s="3">
        <f>SUM(D1032)</f>
        <v>45</v>
      </c>
      <c r="E1033" s="3">
        <f>SUM(E1032)</f>
        <v>34</v>
      </c>
      <c r="F1033" s="3">
        <f>SUM(F1032)</f>
        <v>222</v>
      </c>
      <c r="G1033" s="3">
        <f>SUM(D1033:F1033)</f>
        <v>301</v>
      </c>
      <c r="H1033" s="49">
        <f>+(D1033+E1033)/G1033</f>
        <v>0.26245847176079734</v>
      </c>
    </row>
    <row r="1034" spans="1:8" x14ac:dyDescent="0.2">
      <c r="A1034" s="51"/>
      <c r="B1034" s="52"/>
      <c r="C1034" s="53"/>
      <c r="D1034" s="5"/>
      <c r="E1034" s="55"/>
      <c r="F1034" s="54"/>
      <c r="G1034" s="55"/>
      <c r="H1034" s="56"/>
    </row>
    <row r="1035" spans="1:8" x14ac:dyDescent="0.2">
      <c r="A1035" s="51"/>
      <c r="B1035" s="52"/>
      <c r="C1035" s="58" t="s">
        <v>984</v>
      </c>
      <c r="D1035" s="5"/>
      <c r="E1035" s="55"/>
      <c r="F1035" s="54"/>
      <c r="G1035" s="55"/>
      <c r="H1035" s="56"/>
    </row>
    <row r="1036" spans="1:8" ht="13.5" thickBot="1" x14ac:dyDescent="0.25">
      <c r="A1036" s="101" t="s">
        <v>983</v>
      </c>
      <c r="B1036" s="69">
        <v>100</v>
      </c>
      <c r="C1036" s="102" t="s">
        <v>984</v>
      </c>
      <c r="D1036" s="61">
        <v>91</v>
      </c>
      <c r="E1036" s="2">
        <v>25</v>
      </c>
      <c r="F1036" s="2">
        <f>447-(D1036+E1036)</f>
        <v>331</v>
      </c>
      <c r="G1036" s="2">
        <f>SUM(D1036:F1036)</f>
        <v>447</v>
      </c>
      <c r="H1036" s="70">
        <f>+(D1036+E1036)/G1036</f>
        <v>0.25950782997762861</v>
      </c>
    </row>
    <row r="1037" spans="1:8" ht="13.5" thickBot="1" x14ac:dyDescent="0.25">
      <c r="A1037" s="46"/>
      <c r="B1037" s="47">
        <f>COUNTA(B1036)</f>
        <v>1</v>
      </c>
      <c r="C1037" s="48" t="s">
        <v>20</v>
      </c>
      <c r="D1037" s="3">
        <f>SUM(D1036)</f>
        <v>91</v>
      </c>
      <c r="E1037" s="3">
        <f>SUM(E1036)</f>
        <v>25</v>
      </c>
      <c r="F1037" s="3">
        <f>SUM(F1036)</f>
        <v>331</v>
      </c>
      <c r="G1037" s="3">
        <f>SUM(D1037:F1037)</f>
        <v>447</v>
      </c>
      <c r="H1037" s="49">
        <f>+(D1037+E1037)/G1037</f>
        <v>0.25950782997762861</v>
      </c>
    </row>
    <row r="1038" spans="1:8" x14ac:dyDescent="0.2">
      <c r="A1038" s="51"/>
      <c r="B1038" s="52"/>
      <c r="C1038" s="53"/>
      <c r="D1038" s="5"/>
      <c r="E1038" s="55"/>
      <c r="F1038" s="54"/>
      <c r="G1038" s="55"/>
      <c r="H1038" s="56"/>
    </row>
    <row r="1039" spans="1:8" x14ac:dyDescent="0.2">
      <c r="A1039" s="51"/>
      <c r="B1039" s="52"/>
      <c r="C1039" s="58" t="s">
        <v>947</v>
      </c>
      <c r="D1039" s="5"/>
      <c r="E1039" s="55"/>
      <c r="F1039" s="54"/>
      <c r="G1039" s="55"/>
      <c r="H1039" s="56"/>
    </row>
    <row r="1040" spans="1:8" ht="13.5" thickBot="1" x14ac:dyDescent="0.25">
      <c r="A1040" s="101" t="s">
        <v>946</v>
      </c>
      <c r="B1040" s="69">
        <v>100</v>
      </c>
      <c r="C1040" s="102" t="s">
        <v>947</v>
      </c>
      <c r="D1040" s="61">
        <v>114</v>
      </c>
      <c r="E1040" s="2">
        <v>27</v>
      </c>
      <c r="F1040" s="2">
        <f>552-(D1040+E1040)</f>
        <v>411</v>
      </c>
      <c r="G1040" s="2">
        <f>SUM(D1040:F1040)</f>
        <v>552</v>
      </c>
      <c r="H1040" s="70">
        <f>+(D1040+E1040)/G1040</f>
        <v>0.25543478260869568</v>
      </c>
    </row>
    <row r="1041" spans="1:8" ht="13.5" thickBot="1" x14ac:dyDescent="0.25">
      <c r="A1041" s="46"/>
      <c r="B1041" s="47">
        <f>COUNTA(B1040)</f>
        <v>1</v>
      </c>
      <c r="C1041" s="48" t="s">
        <v>20</v>
      </c>
      <c r="D1041" s="3">
        <f>SUM(D1040)</f>
        <v>114</v>
      </c>
      <c r="E1041" s="3">
        <f>SUM(E1040)</f>
        <v>27</v>
      </c>
      <c r="F1041" s="3">
        <f>SUM(F1040)</f>
        <v>411</v>
      </c>
      <c r="G1041" s="3">
        <f>SUM(D1041:F1041)</f>
        <v>552</v>
      </c>
      <c r="H1041" s="49">
        <f>+(D1041+E1041)/G1041</f>
        <v>0.25543478260869568</v>
      </c>
    </row>
    <row r="1042" spans="1:8" x14ac:dyDescent="0.2">
      <c r="A1042" s="51"/>
      <c r="B1042" s="52"/>
      <c r="C1042" s="53"/>
      <c r="D1042" s="5"/>
      <c r="E1042" s="55"/>
      <c r="F1042" s="54"/>
      <c r="G1042" s="55"/>
      <c r="H1042" s="56"/>
    </row>
    <row r="1043" spans="1:8" x14ac:dyDescent="0.2">
      <c r="A1043" s="51"/>
      <c r="B1043" s="52"/>
      <c r="C1043" s="58" t="s">
        <v>249</v>
      </c>
      <c r="D1043" s="5"/>
      <c r="E1043" s="55"/>
      <c r="F1043" s="54"/>
      <c r="G1043" s="55"/>
      <c r="H1043" s="56"/>
    </row>
    <row r="1044" spans="1:8" ht="13.5" thickBot="1" x14ac:dyDescent="0.25">
      <c r="A1044" s="84" t="s">
        <v>250</v>
      </c>
      <c r="B1044" s="69">
        <v>100</v>
      </c>
      <c r="C1044" s="119" t="s">
        <v>249</v>
      </c>
      <c r="D1044" s="61">
        <v>183</v>
      </c>
      <c r="E1044" s="2">
        <v>94</v>
      </c>
      <c r="F1044" s="2">
        <f>673-(D1044+E1044)</f>
        <v>396</v>
      </c>
      <c r="G1044" s="2">
        <f>SUM(D1044:F1044)</f>
        <v>673</v>
      </c>
      <c r="H1044" s="70">
        <f>+(D1044+E1044)/G1044</f>
        <v>0.41158989598811291</v>
      </c>
    </row>
    <row r="1045" spans="1:8" ht="13.5" thickBot="1" x14ac:dyDescent="0.25">
      <c r="A1045" s="46"/>
      <c r="B1045" s="47">
        <f>COUNTA(B1044)</f>
        <v>1</v>
      </c>
      <c r="C1045" s="48" t="s">
        <v>20</v>
      </c>
      <c r="D1045" s="3">
        <f>SUM(D1044)</f>
        <v>183</v>
      </c>
      <c r="E1045" s="3">
        <f>SUM(E1044)</f>
        <v>94</v>
      </c>
      <c r="F1045" s="3">
        <f>SUM(F1044)</f>
        <v>396</v>
      </c>
      <c r="G1045" s="3">
        <f>SUM(D1045:F1045)</f>
        <v>673</v>
      </c>
      <c r="H1045" s="49">
        <f>+(D1045+E1045)/G1045</f>
        <v>0.41158989598811291</v>
      </c>
    </row>
    <row r="1046" spans="1:8" x14ac:dyDescent="0.2">
      <c r="A1046" s="51"/>
      <c r="B1046" s="52"/>
      <c r="C1046" s="53"/>
      <c r="D1046" s="5"/>
      <c r="E1046" s="55"/>
      <c r="F1046" s="54"/>
      <c r="G1046" s="55"/>
      <c r="H1046" s="56"/>
    </row>
    <row r="1047" spans="1:8" x14ac:dyDescent="0.2">
      <c r="A1047" s="51"/>
      <c r="B1047" s="52"/>
      <c r="C1047" s="58" t="s">
        <v>437</v>
      </c>
      <c r="D1047" s="5"/>
      <c r="E1047" s="55"/>
      <c r="F1047" s="54"/>
      <c r="G1047" s="55"/>
      <c r="H1047" s="56"/>
    </row>
    <row r="1048" spans="1:8" ht="13.5" thickBot="1" x14ac:dyDescent="0.25">
      <c r="A1048" s="101" t="s">
        <v>436</v>
      </c>
      <c r="B1048" s="69">
        <v>100</v>
      </c>
      <c r="C1048" s="102" t="s">
        <v>437</v>
      </c>
      <c r="D1048" s="61">
        <v>153</v>
      </c>
      <c r="E1048" s="2">
        <v>81</v>
      </c>
      <c r="F1048" s="2">
        <f>755-(D1048+E1048)</f>
        <v>521</v>
      </c>
      <c r="G1048" s="2">
        <f>SUM(D1048:F1048)</f>
        <v>755</v>
      </c>
      <c r="H1048" s="70">
        <f>+(D1048+E1048)/G1048</f>
        <v>0.30993377483443707</v>
      </c>
    </row>
    <row r="1049" spans="1:8" ht="13.5" thickBot="1" x14ac:dyDescent="0.25">
      <c r="A1049" s="46"/>
      <c r="B1049" s="47">
        <f>COUNTA(B1048)</f>
        <v>1</v>
      </c>
      <c r="C1049" s="48" t="s">
        <v>20</v>
      </c>
      <c r="D1049" s="3">
        <f>SUM(D1048)</f>
        <v>153</v>
      </c>
      <c r="E1049" s="3">
        <f>SUM(E1048)</f>
        <v>81</v>
      </c>
      <c r="F1049" s="3">
        <f>SUM(F1048)</f>
        <v>521</v>
      </c>
      <c r="G1049" s="3">
        <f>SUM(D1049:F1049)</f>
        <v>755</v>
      </c>
      <c r="H1049" s="49">
        <f>+(D1049+E1049)/G1049</f>
        <v>0.30993377483443707</v>
      </c>
    </row>
    <row r="1050" spans="1:8" x14ac:dyDescent="0.2">
      <c r="A1050" s="51"/>
      <c r="B1050" s="52"/>
      <c r="C1050" s="53"/>
      <c r="D1050" s="5"/>
      <c r="E1050" s="55"/>
      <c r="F1050" s="54"/>
      <c r="G1050" s="55"/>
      <c r="H1050" s="56"/>
    </row>
    <row r="1051" spans="1:8" x14ac:dyDescent="0.2">
      <c r="A1051" s="51"/>
      <c r="B1051" s="52"/>
      <c r="C1051" s="58" t="s">
        <v>934</v>
      </c>
      <c r="D1051" s="5"/>
      <c r="E1051" s="55"/>
      <c r="F1051" s="54"/>
      <c r="G1051" s="55"/>
      <c r="H1051" s="56"/>
    </row>
    <row r="1052" spans="1:8" ht="13.5" thickBot="1" x14ac:dyDescent="0.25">
      <c r="A1052" s="101" t="s">
        <v>933</v>
      </c>
      <c r="B1052" s="69">
        <v>100</v>
      </c>
      <c r="C1052" s="102" t="s">
        <v>934</v>
      </c>
      <c r="D1052" s="61">
        <v>225</v>
      </c>
      <c r="E1052" s="2">
        <v>60</v>
      </c>
      <c r="F1052" s="2">
        <f>495-(D1052+E1052)</f>
        <v>210</v>
      </c>
      <c r="G1052" s="2">
        <f>SUM(D1052:F1052)</f>
        <v>495</v>
      </c>
      <c r="H1052" s="70">
        <f>+(D1052+E1052)/G1052</f>
        <v>0.5757575757575758</v>
      </c>
    </row>
    <row r="1053" spans="1:8" ht="13.5" thickBot="1" x14ac:dyDescent="0.25">
      <c r="A1053" s="46"/>
      <c r="B1053" s="47">
        <f>COUNTA(B1052)</f>
        <v>1</v>
      </c>
      <c r="C1053" s="48" t="s">
        <v>20</v>
      </c>
      <c r="D1053" s="3">
        <f>SUM(D1052)</f>
        <v>225</v>
      </c>
      <c r="E1053" s="3">
        <f>SUM(E1052)</f>
        <v>60</v>
      </c>
      <c r="F1053" s="3">
        <f>SUM(F1052)</f>
        <v>210</v>
      </c>
      <c r="G1053" s="3">
        <f>SUM(D1053:F1053)</f>
        <v>495</v>
      </c>
      <c r="H1053" s="49">
        <f>+(D1053+E1053)/G1053</f>
        <v>0.5757575757575758</v>
      </c>
    </row>
    <row r="1054" spans="1:8" x14ac:dyDescent="0.2">
      <c r="A1054" s="51"/>
      <c r="B1054" s="52"/>
      <c r="C1054" s="53"/>
      <c r="D1054" s="5"/>
      <c r="E1054" s="55"/>
      <c r="F1054" s="54"/>
      <c r="G1054" s="55"/>
      <c r="H1054" s="56"/>
    </row>
    <row r="1055" spans="1:8" x14ac:dyDescent="0.2">
      <c r="A1055" s="51"/>
      <c r="B1055" s="52"/>
      <c r="C1055" s="58" t="s">
        <v>932</v>
      </c>
      <c r="D1055" s="5"/>
      <c r="E1055" s="55"/>
      <c r="F1055" s="54"/>
      <c r="G1055" s="55"/>
      <c r="H1055" s="56"/>
    </row>
    <row r="1056" spans="1:8" ht="13.5" thickBot="1" x14ac:dyDescent="0.25">
      <c r="A1056" s="101" t="s">
        <v>931</v>
      </c>
      <c r="B1056" s="69">
        <v>100</v>
      </c>
      <c r="C1056" s="102" t="s">
        <v>932</v>
      </c>
      <c r="D1056" s="61">
        <v>107</v>
      </c>
      <c r="E1056" s="2">
        <v>103</v>
      </c>
      <c r="F1056" s="2">
        <f>651-(D1056+E1056)</f>
        <v>441</v>
      </c>
      <c r="G1056" s="2">
        <f>SUM(D1056:F1056)</f>
        <v>651</v>
      </c>
      <c r="H1056" s="70">
        <f>+(D1056+E1056)/G1056</f>
        <v>0.32258064516129031</v>
      </c>
    </row>
    <row r="1057" spans="1:8" ht="13.5" thickBot="1" x14ac:dyDescent="0.25">
      <c r="A1057" s="46"/>
      <c r="B1057" s="47">
        <f>COUNTA(B1056)</f>
        <v>1</v>
      </c>
      <c r="C1057" s="48" t="s">
        <v>20</v>
      </c>
      <c r="D1057" s="3">
        <f>SUM(D1056)</f>
        <v>107</v>
      </c>
      <c r="E1057" s="3">
        <f>SUM(E1056)</f>
        <v>103</v>
      </c>
      <c r="F1057" s="3">
        <f>SUM(F1056)</f>
        <v>441</v>
      </c>
      <c r="G1057" s="3">
        <f>SUM(D1057:F1057)</f>
        <v>651</v>
      </c>
      <c r="H1057" s="49">
        <f>+(D1057+E1057)/G1057</f>
        <v>0.32258064516129031</v>
      </c>
    </row>
    <row r="1058" spans="1:8" x14ac:dyDescent="0.2">
      <c r="A1058" s="51"/>
      <c r="B1058" s="52"/>
      <c r="C1058" s="53"/>
      <c r="D1058" s="5"/>
      <c r="E1058" s="55"/>
      <c r="F1058" s="54"/>
      <c r="G1058" s="55"/>
      <c r="H1058" s="56"/>
    </row>
    <row r="1059" spans="1:8" x14ac:dyDescent="0.2">
      <c r="A1059" s="51"/>
      <c r="B1059" s="52"/>
      <c r="C1059" s="58" t="s">
        <v>991</v>
      </c>
      <c r="D1059" s="5"/>
      <c r="E1059" s="55"/>
      <c r="F1059" s="54"/>
      <c r="G1059" s="55"/>
      <c r="H1059" s="56"/>
    </row>
    <row r="1060" spans="1:8" ht="13.5" thickBot="1" x14ac:dyDescent="0.25">
      <c r="A1060" s="101" t="s">
        <v>990</v>
      </c>
      <c r="B1060" s="69">
        <v>700</v>
      </c>
      <c r="C1060" s="102" t="s">
        <v>991</v>
      </c>
      <c r="D1060" s="61">
        <v>17</v>
      </c>
      <c r="E1060" s="2">
        <v>2</v>
      </c>
      <c r="F1060" s="2">
        <f>171-(D1060+E1060)</f>
        <v>152</v>
      </c>
      <c r="G1060" s="2">
        <f>SUM(D1060:F1060)</f>
        <v>171</v>
      </c>
      <c r="H1060" s="70">
        <f>+(D1060+E1060)/G1060</f>
        <v>0.1111111111111111</v>
      </c>
    </row>
    <row r="1061" spans="1:8" ht="13.5" thickBot="1" x14ac:dyDescent="0.25">
      <c r="A1061" s="46"/>
      <c r="B1061" s="47">
        <f>COUNTA(B1060)</f>
        <v>1</v>
      </c>
      <c r="C1061" s="48" t="s">
        <v>20</v>
      </c>
      <c r="D1061" s="3">
        <f>SUM(D1060)</f>
        <v>17</v>
      </c>
      <c r="E1061" s="3">
        <f>SUM(E1060)</f>
        <v>2</v>
      </c>
      <c r="F1061" s="3">
        <f>SUM(F1060)</f>
        <v>152</v>
      </c>
      <c r="G1061" s="3">
        <f>SUM(D1061:F1061)</f>
        <v>171</v>
      </c>
      <c r="H1061" s="49">
        <f>+(D1061+E1061)/G1061</f>
        <v>0.1111111111111111</v>
      </c>
    </row>
    <row r="1062" spans="1:8" x14ac:dyDescent="0.2">
      <c r="A1062" s="51"/>
      <c r="B1062" s="52"/>
      <c r="C1062" s="53"/>
      <c r="D1062" s="5"/>
      <c r="E1062" s="55"/>
      <c r="F1062" s="54"/>
      <c r="G1062" s="55"/>
      <c r="H1062" s="56"/>
    </row>
    <row r="1063" spans="1:8" x14ac:dyDescent="0.2">
      <c r="A1063" s="51"/>
      <c r="B1063" s="52"/>
      <c r="C1063" s="58" t="s">
        <v>951</v>
      </c>
      <c r="D1063" s="5"/>
      <c r="E1063" s="55"/>
      <c r="F1063" s="54"/>
      <c r="G1063" s="55"/>
      <c r="H1063" s="56"/>
    </row>
    <row r="1064" spans="1:8" ht="13.5" thickBot="1" x14ac:dyDescent="0.25">
      <c r="A1064" s="101" t="s">
        <v>262</v>
      </c>
      <c r="B1064" s="115">
        <v>100</v>
      </c>
      <c r="C1064" s="102" t="s">
        <v>951</v>
      </c>
      <c r="D1064" s="61">
        <v>335</v>
      </c>
      <c r="E1064" s="2">
        <v>113</v>
      </c>
      <c r="F1064" s="2">
        <f>1501-(D1064+E1064)</f>
        <v>1053</v>
      </c>
      <c r="G1064" s="2">
        <f>SUM(D1064:F1064)</f>
        <v>1501</v>
      </c>
      <c r="H1064" s="70">
        <f>+(D1064+E1064)/G1064</f>
        <v>0.2984676882078614</v>
      </c>
    </row>
    <row r="1065" spans="1:8" ht="13.5" thickBot="1" x14ac:dyDescent="0.25">
      <c r="A1065" s="46"/>
      <c r="B1065" s="47">
        <f>COUNTA(B1064)</f>
        <v>1</v>
      </c>
      <c r="C1065" s="48" t="s">
        <v>20</v>
      </c>
      <c r="D1065" s="3">
        <f>SUM(D1064)</f>
        <v>335</v>
      </c>
      <c r="E1065" s="3">
        <f>SUM(E1064)</f>
        <v>113</v>
      </c>
      <c r="F1065" s="3">
        <f>SUM(F1064)</f>
        <v>1053</v>
      </c>
      <c r="G1065" s="3">
        <f>SUM(D1065:F1065)</f>
        <v>1501</v>
      </c>
      <c r="H1065" s="49">
        <f>+(D1065+E1065)/G1065</f>
        <v>0.2984676882078614</v>
      </c>
    </row>
    <row r="1066" spans="1:8" x14ac:dyDescent="0.2">
      <c r="A1066" s="51"/>
      <c r="B1066" s="52"/>
      <c r="C1066" s="53"/>
      <c r="D1066" s="5"/>
      <c r="E1066" s="55"/>
      <c r="F1066" s="54"/>
      <c r="G1066" s="55"/>
      <c r="H1066" s="56"/>
    </row>
    <row r="1067" spans="1:8" x14ac:dyDescent="0.2">
      <c r="A1067" s="51"/>
      <c r="B1067" s="52"/>
      <c r="C1067" s="58" t="s">
        <v>945</v>
      </c>
      <c r="D1067" s="5"/>
      <c r="E1067" s="55"/>
      <c r="F1067" s="54"/>
      <c r="G1067" s="55"/>
      <c r="H1067" s="56"/>
    </row>
    <row r="1068" spans="1:8" ht="13.5" thickBot="1" x14ac:dyDescent="0.25">
      <c r="A1068" s="101" t="s">
        <v>944</v>
      </c>
      <c r="B1068" s="69">
        <v>240</v>
      </c>
      <c r="C1068" s="102" t="s">
        <v>945</v>
      </c>
      <c r="D1068" s="61">
        <v>70</v>
      </c>
      <c r="E1068" s="2">
        <v>50</v>
      </c>
      <c r="F1068" s="2">
        <f>392-(D1068+E1068)</f>
        <v>272</v>
      </c>
      <c r="G1068" s="2">
        <f>SUM(D1068:F1068)</f>
        <v>392</v>
      </c>
      <c r="H1068" s="70">
        <f>+(D1068+E1068)/G1068</f>
        <v>0.30612244897959184</v>
      </c>
    </row>
    <row r="1069" spans="1:8" ht="13.5" thickBot="1" x14ac:dyDescent="0.25">
      <c r="A1069" s="46"/>
      <c r="B1069" s="47">
        <f>COUNTA(B1068)</f>
        <v>1</v>
      </c>
      <c r="C1069" s="48" t="s">
        <v>20</v>
      </c>
      <c r="D1069" s="3">
        <f>SUM(D1068)</f>
        <v>70</v>
      </c>
      <c r="E1069" s="3">
        <f>SUM(E1068)</f>
        <v>50</v>
      </c>
      <c r="F1069" s="3">
        <f>SUM(F1068)</f>
        <v>272</v>
      </c>
      <c r="G1069" s="3">
        <f>SUM(D1069:F1069)</f>
        <v>392</v>
      </c>
      <c r="H1069" s="49">
        <f>+(D1069+E1069)/G1069</f>
        <v>0.30612244897959184</v>
      </c>
    </row>
    <row r="1070" spans="1:8" x14ac:dyDescent="0.2">
      <c r="A1070" s="51"/>
      <c r="B1070" s="52"/>
      <c r="C1070" s="53"/>
      <c r="D1070" s="5"/>
      <c r="E1070" s="55"/>
      <c r="F1070" s="54"/>
      <c r="G1070" s="55"/>
      <c r="H1070" s="56"/>
    </row>
    <row r="1071" spans="1:8" x14ac:dyDescent="0.2">
      <c r="A1071" s="51"/>
      <c r="B1071" s="52"/>
      <c r="C1071" s="58" t="s">
        <v>936</v>
      </c>
      <c r="D1071" s="5"/>
      <c r="E1071" s="55"/>
      <c r="F1071" s="54"/>
      <c r="G1071" s="55"/>
      <c r="H1071" s="56"/>
    </row>
    <row r="1072" spans="1:8" ht="13.5" thickBot="1" x14ac:dyDescent="0.25">
      <c r="A1072" s="101" t="s">
        <v>935</v>
      </c>
      <c r="B1072" s="69">
        <v>700</v>
      </c>
      <c r="C1072" s="102" t="s">
        <v>936</v>
      </c>
      <c r="D1072" s="61">
        <v>92</v>
      </c>
      <c r="E1072" s="2">
        <v>36</v>
      </c>
      <c r="F1072" s="2">
        <f>393-(D1072+E1072)</f>
        <v>265</v>
      </c>
      <c r="G1072" s="2">
        <f>SUM(D1072:F1072)</f>
        <v>393</v>
      </c>
      <c r="H1072" s="70">
        <f>+(D1072+E1072)/G1072</f>
        <v>0.32569974554707382</v>
      </c>
    </row>
    <row r="1073" spans="1:8" ht="13.5" thickBot="1" x14ac:dyDescent="0.25">
      <c r="A1073" s="46"/>
      <c r="B1073" s="47">
        <f>COUNTA(B1072)</f>
        <v>1</v>
      </c>
      <c r="C1073" s="48" t="s">
        <v>20</v>
      </c>
      <c r="D1073" s="3">
        <f>SUM(D1072)</f>
        <v>92</v>
      </c>
      <c r="E1073" s="3">
        <f>SUM(E1072)</f>
        <v>36</v>
      </c>
      <c r="F1073" s="3">
        <f>SUM(F1072)</f>
        <v>265</v>
      </c>
      <c r="G1073" s="3">
        <f>SUM(D1073:F1073)</f>
        <v>393</v>
      </c>
      <c r="H1073" s="49">
        <f>+(D1073+E1073)/G1073</f>
        <v>0.32569974554707382</v>
      </c>
    </row>
    <row r="1074" spans="1:8" x14ac:dyDescent="0.2">
      <c r="A1074" s="51"/>
      <c r="B1074" s="52"/>
      <c r="C1074" s="53"/>
      <c r="D1074" s="5"/>
      <c r="E1074" s="55"/>
      <c r="F1074" s="54"/>
      <c r="G1074" s="55"/>
      <c r="H1074" s="56"/>
    </row>
    <row r="1075" spans="1:8" x14ac:dyDescent="0.2">
      <c r="A1075" s="51"/>
      <c r="B1075" s="52"/>
      <c r="C1075" s="58" t="s">
        <v>973</v>
      </c>
      <c r="D1075" s="5"/>
      <c r="E1075" s="55"/>
      <c r="F1075" s="54"/>
      <c r="G1075" s="55"/>
      <c r="H1075" s="56"/>
    </row>
    <row r="1076" spans="1:8" ht="13.5" thickBot="1" x14ac:dyDescent="0.25">
      <c r="A1076" s="101" t="s">
        <v>972</v>
      </c>
      <c r="B1076" s="69">
        <v>700</v>
      </c>
      <c r="C1076" s="102" t="s">
        <v>973</v>
      </c>
      <c r="D1076" s="61">
        <v>20</v>
      </c>
      <c r="E1076" s="2">
        <v>13</v>
      </c>
      <c r="F1076" s="2">
        <f>306-(D1076+E1076)</f>
        <v>273</v>
      </c>
      <c r="G1076" s="2">
        <f>SUM(D1076:F1076)</f>
        <v>306</v>
      </c>
      <c r="H1076" s="70">
        <f>+(D1076+E1076)/G1076</f>
        <v>0.10784313725490197</v>
      </c>
    </row>
    <row r="1077" spans="1:8" ht="13.5" thickBot="1" x14ac:dyDescent="0.25">
      <c r="A1077" s="46"/>
      <c r="B1077" s="47">
        <f>COUNTA(B1076)</f>
        <v>1</v>
      </c>
      <c r="C1077" s="48" t="s">
        <v>20</v>
      </c>
      <c r="D1077" s="3">
        <f>SUM(D1076)</f>
        <v>20</v>
      </c>
      <c r="E1077" s="3">
        <f>SUM(E1076)</f>
        <v>13</v>
      </c>
      <c r="F1077" s="3">
        <f>SUM(F1076)</f>
        <v>273</v>
      </c>
      <c r="G1077" s="3">
        <f>SUM(D1077:F1077)</f>
        <v>306</v>
      </c>
      <c r="H1077" s="49">
        <f>+(D1077+E1077)/G1077</f>
        <v>0.10784313725490197</v>
      </c>
    </row>
    <row r="1078" spans="1:8" x14ac:dyDescent="0.2">
      <c r="A1078" s="51"/>
      <c r="B1078" s="52"/>
      <c r="C1078" s="53"/>
      <c r="D1078" s="5"/>
      <c r="E1078" s="55"/>
      <c r="F1078" s="54"/>
      <c r="G1078" s="55"/>
      <c r="H1078" s="56"/>
    </row>
    <row r="1079" spans="1:8" x14ac:dyDescent="0.2">
      <c r="A1079" s="51"/>
      <c r="B1079" s="52"/>
      <c r="C1079" s="58" t="s">
        <v>283</v>
      </c>
      <c r="D1079" s="5"/>
      <c r="E1079" s="55"/>
      <c r="F1079" s="54"/>
      <c r="G1079" s="55"/>
      <c r="H1079" s="56"/>
    </row>
    <row r="1080" spans="1:8" ht="13.5" thickBot="1" x14ac:dyDescent="0.25">
      <c r="A1080" s="84" t="s">
        <v>282</v>
      </c>
      <c r="B1080" s="118" t="s">
        <v>930</v>
      </c>
      <c r="C1080" s="119" t="s">
        <v>283</v>
      </c>
      <c r="D1080" s="61">
        <v>60</v>
      </c>
      <c r="E1080" s="2">
        <v>44</v>
      </c>
      <c r="F1080" s="2">
        <f>530-(D1080+E1080)</f>
        <v>426</v>
      </c>
      <c r="G1080" s="2">
        <f>SUM(D1080:F1080)</f>
        <v>530</v>
      </c>
      <c r="H1080" s="70">
        <f>+(D1080+E1080)/G1080</f>
        <v>0.19622641509433963</v>
      </c>
    </row>
    <row r="1081" spans="1:8" ht="13.5" thickBot="1" x14ac:dyDescent="0.25">
      <c r="A1081" s="46"/>
      <c r="B1081" s="47">
        <f>COUNTA(B1080)</f>
        <v>1</v>
      </c>
      <c r="C1081" s="48" t="s">
        <v>20</v>
      </c>
      <c r="D1081" s="3">
        <f>SUM(D1080)</f>
        <v>60</v>
      </c>
      <c r="E1081" s="3">
        <f>SUM(E1080)</f>
        <v>44</v>
      </c>
      <c r="F1081" s="3">
        <f>SUM(F1080)</f>
        <v>426</v>
      </c>
      <c r="G1081" s="3">
        <f>SUM(D1081:F1081)</f>
        <v>530</v>
      </c>
      <c r="H1081" s="49">
        <f>+(D1081+E1081)/G1081</f>
        <v>0.19622641509433963</v>
      </c>
    </row>
    <row r="1082" spans="1:8" x14ac:dyDescent="0.2">
      <c r="A1082" s="51"/>
      <c r="B1082" s="52"/>
      <c r="C1082" s="53"/>
      <c r="D1082" s="5"/>
      <c r="E1082" s="55"/>
      <c r="F1082" s="54"/>
      <c r="G1082" s="55"/>
      <c r="H1082" s="56"/>
    </row>
    <row r="1083" spans="1:8" x14ac:dyDescent="0.2">
      <c r="A1083" s="51"/>
      <c r="B1083" s="52"/>
      <c r="C1083" s="58" t="s">
        <v>993</v>
      </c>
      <c r="D1083" s="5"/>
      <c r="E1083" s="55"/>
      <c r="F1083" s="54"/>
      <c r="G1083" s="55"/>
      <c r="H1083" s="56"/>
    </row>
    <row r="1084" spans="1:8" ht="13.5" thickBot="1" x14ac:dyDescent="0.25">
      <c r="A1084" s="101" t="s">
        <v>992</v>
      </c>
      <c r="B1084" s="118">
        <v>100</v>
      </c>
      <c r="C1084" s="102" t="s">
        <v>993</v>
      </c>
      <c r="D1084" s="61">
        <v>35</v>
      </c>
      <c r="E1084" s="2">
        <v>19</v>
      </c>
      <c r="F1084" s="2">
        <f>354-(D1084+E1084)</f>
        <v>300</v>
      </c>
      <c r="G1084" s="2">
        <f>SUM(D1084:F1084)</f>
        <v>354</v>
      </c>
      <c r="H1084" s="70">
        <f>+(D1084+E1084)/G1084</f>
        <v>0.15254237288135594</v>
      </c>
    </row>
    <row r="1085" spans="1:8" ht="13.5" thickBot="1" x14ac:dyDescent="0.25">
      <c r="A1085" s="46"/>
      <c r="B1085" s="47">
        <f>COUNTA(B1084)</f>
        <v>1</v>
      </c>
      <c r="C1085" s="48" t="s">
        <v>20</v>
      </c>
      <c r="D1085" s="3">
        <f>SUM(D1084)</f>
        <v>35</v>
      </c>
      <c r="E1085" s="3">
        <f>SUM(E1084)</f>
        <v>19</v>
      </c>
      <c r="F1085" s="3">
        <f>SUM(F1084)</f>
        <v>300</v>
      </c>
      <c r="G1085" s="3">
        <f>SUM(D1085:F1085)</f>
        <v>354</v>
      </c>
      <c r="H1085" s="49">
        <f>+(D1085+E1085)/G1085</f>
        <v>0.15254237288135594</v>
      </c>
    </row>
    <row r="1086" spans="1:8" x14ac:dyDescent="0.2">
      <c r="A1086" s="51"/>
      <c r="B1086" s="52"/>
      <c r="C1086" s="53"/>
      <c r="D1086" s="5"/>
      <c r="E1086" s="55"/>
      <c r="F1086" s="54"/>
      <c r="G1086" s="55"/>
      <c r="H1086" s="56"/>
    </row>
    <row r="1087" spans="1:8" x14ac:dyDescent="0.2">
      <c r="A1087" s="51"/>
      <c r="B1087" s="52"/>
      <c r="C1087" s="58" t="s">
        <v>235</v>
      </c>
      <c r="D1087" s="5"/>
      <c r="E1087" s="55"/>
      <c r="F1087" s="54"/>
      <c r="G1087" s="55"/>
      <c r="H1087" s="56"/>
    </row>
    <row r="1088" spans="1:8" ht="13.5" thickBot="1" x14ac:dyDescent="0.25">
      <c r="A1088" s="84" t="s">
        <v>223</v>
      </c>
      <c r="B1088" s="69">
        <v>700</v>
      </c>
      <c r="C1088" s="119" t="s">
        <v>235</v>
      </c>
      <c r="D1088" s="61">
        <v>126</v>
      </c>
      <c r="E1088" s="2">
        <v>47</v>
      </c>
      <c r="F1088" s="2">
        <f>373-(D1088+E1088)</f>
        <v>200</v>
      </c>
      <c r="G1088" s="2">
        <f>SUM(D1088:F1088)</f>
        <v>373</v>
      </c>
      <c r="H1088" s="70">
        <f>+(D1088+E1088)/G1088</f>
        <v>0.46380697050938335</v>
      </c>
    </row>
    <row r="1089" spans="1:8" ht="13.5" thickBot="1" x14ac:dyDescent="0.25">
      <c r="A1089" s="46"/>
      <c r="B1089" s="47">
        <f>COUNTA(B1088)</f>
        <v>1</v>
      </c>
      <c r="C1089" s="48" t="s">
        <v>20</v>
      </c>
      <c r="D1089" s="3">
        <f>SUM(D1088)</f>
        <v>126</v>
      </c>
      <c r="E1089" s="3">
        <f>SUM(E1088)</f>
        <v>47</v>
      </c>
      <c r="F1089" s="3">
        <f>SUM(F1088)</f>
        <v>200</v>
      </c>
      <c r="G1089" s="3">
        <f>SUM(D1089:F1089)</f>
        <v>373</v>
      </c>
      <c r="H1089" s="49">
        <f>+(D1089+E1089)/G1089</f>
        <v>0.46380697050938335</v>
      </c>
    </row>
    <row r="1090" spans="1:8" x14ac:dyDescent="0.2">
      <c r="A1090" s="51"/>
      <c r="B1090" s="52"/>
      <c r="C1090" s="53"/>
      <c r="D1090" s="5"/>
      <c r="E1090" s="55"/>
      <c r="F1090" s="54"/>
      <c r="G1090" s="55"/>
      <c r="H1090" s="56"/>
    </row>
    <row r="1091" spans="1:8" x14ac:dyDescent="0.2">
      <c r="A1091" s="51"/>
      <c r="B1091" s="52"/>
      <c r="C1091" s="58" t="s">
        <v>455</v>
      </c>
      <c r="D1091" s="5"/>
      <c r="E1091" s="55"/>
      <c r="F1091" s="54"/>
      <c r="G1091" s="55"/>
      <c r="H1091" s="56"/>
    </row>
    <row r="1092" spans="1:8" ht="13.5" thickBot="1" x14ac:dyDescent="0.25">
      <c r="A1092" s="101" t="s">
        <v>454</v>
      </c>
      <c r="B1092" s="69">
        <v>100</v>
      </c>
      <c r="C1092" s="102" t="s">
        <v>455</v>
      </c>
      <c r="D1092" s="61">
        <v>39</v>
      </c>
      <c r="E1092" s="2">
        <v>41</v>
      </c>
      <c r="F1092" s="2">
        <f>1000-(D1092+E1092)</f>
        <v>920</v>
      </c>
      <c r="G1092" s="2">
        <f>SUM(D1092:F1092)</f>
        <v>1000</v>
      </c>
      <c r="H1092" s="70">
        <f>+(D1092+E1092)/G1092</f>
        <v>0.08</v>
      </c>
    </row>
    <row r="1093" spans="1:8" ht="13.5" thickBot="1" x14ac:dyDescent="0.25">
      <c r="A1093" s="46"/>
      <c r="B1093" s="47">
        <f>COUNTA(B1092)</f>
        <v>1</v>
      </c>
      <c r="C1093" s="48" t="s">
        <v>20</v>
      </c>
      <c r="D1093" s="3">
        <f>SUM(D1092)</f>
        <v>39</v>
      </c>
      <c r="E1093" s="3">
        <f>SUM(E1092)</f>
        <v>41</v>
      </c>
      <c r="F1093" s="3">
        <f>SUM(F1092)</f>
        <v>920</v>
      </c>
      <c r="G1093" s="3">
        <f>SUM(D1093:F1093)</f>
        <v>1000</v>
      </c>
      <c r="H1093" s="49">
        <f>+(D1093+E1093)/G1093</f>
        <v>0.08</v>
      </c>
    </row>
    <row r="1094" spans="1:8" x14ac:dyDescent="0.2">
      <c r="A1094" s="51"/>
      <c r="B1094" s="52"/>
      <c r="C1094" s="53"/>
      <c r="D1094" s="5"/>
      <c r="E1094" s="55"/>
      <c r="F1094" s="54"/>
      <c r="G1094" s="55"/>
      <c r="H1094" s="56"/>
    </row>
    <row r="1095" spans="1:8" x14ac:dyDescent="0.2">
      <c r="A1095" s="51"/>
      <c r="B1095" s="52"/>
      <c r="C1095" s="58" t="s">
        <v>435</v>
      </c>
      <c r="D1095" s="5"/>
      <c r="E1095" s="55"/>
      <c r="F1095" s="54"/>
      <c r="G1095" s="55"/>
      <c r="H1095" s="56"/>
    </row>
    <row r="1096" spans="1:8" ht="13.5" thickBot="1" x14ac:dyDescent="0.25">
      <c r="A1096" s="101" t="s">
        <v>434</v>
      </c>
      <c r="B1096" s="69">
        <v>100</v>
      </c>
      <c r="C1096" s="102" t="s">
        <v>435</v>
      </c>
      <c r="D1096" s="61">
        <v>18</v>
      </c>
      <c r="E1096" s="2">
        <v>9</v>
      </c>
      <c r="F1096" s="2">
        <f>68-(D1096+E1096)</f>
        <v>41</v>
      </c>
      <c r="G1096" s="2">
        <f>SUM(D1096:F1096)</f>
        <v>68</v>
      </c>
      <c r="H1096" s="70">
        <f>+(D1096+E1096)/G1096</f>
        <v>0.39705882352941174</v>
      </c>
    </row>
    <row r="1097" spans="1:8" ht="13.5" thickBot="1" x14ac:dyDescent="0.25">
      <c r="A1097" s="46"/>
      <c r="B1097" s="47">
        <f>COUNTA(B1096)</f>
        <v>1</v>
      </c>
      <c r="C1097" s="48" t="s">
        <v>20</v>
      </c>
      <c r="D1097" s="3">
        <f>SUM(D1096)</f>
        <v>18</v>
      </c>
      <c r="E1097" s="3">
        <f>SUM(E1096)</f>
        <v>9</v>
      </c>
      <c r="F1097" s="3">
        <f>SUM(F1096)</f>
        <v>41</v>
      </c>
      <c r="G1097" s="3">
        <f>SUM(D1097:F1097)</f>
        <v>68</v>
      </c>
      <c r="H1097" s="49">
        <f>+(D1097+E1097)/G1097</f>
        <v>0.39705882352941174</v>
      </c>
    </row>
    <row r="1098" spans="1:8" x14ac:dyDescent="0.2">
      <c r="A1098" s="51"/>
      <c r="B1098" s="52"/>
      <c r="C1098" s="53"/>
      <c r="D1098" s="5"/>
      <c r="E1098" s="55"/>
      <c r="F1098" s="54"/>
      <c r="G1098" s="55"/>
      <c r="H1098" s="56"/>
    </row>
    <row r="1099" spans="1:8" x14ac:dyDescent="0.2">
      <c r="A1099" s="51"/>
      <c r="B1099" s="52"/>
      <c r="C1099" s="58" t="s">
        <v>224</v>
      </c>
      <c r="D1099" s="5"/>
      <c r="E1099" s="55"/>
      <c r="F1099" s="54"/>
      <c r="G1099" s="55"/>
      <c r="H1099" s="56"/>
    </row>
    <row r="1100" spans="1:8" ht="13.5" thickBot="1" x14ac:dyDescent="0.25">
      <c r="A1100" s="120" t="s">
        <v>225</v>
      </c>
      <c r="B1100" s="129" t="s">
        <v>226</v>
      </c>
      <c r="C1100" s="119" t="s">
        <v>224</v>
      </c>
      <c r="D1100" s="61">
        <v>84</v>
      </c>
      <c r="E1100" s="2">
        <v>26</v>
      </c>
      <c r="F1100" s="2">
        <f>253-(D1100+E1100)</f>
        <v>143</v>
      </c>
      <c r="G1100" s="2">
        <f>SUM(D1100:F1100)</f>
        <v>253</v>
      </c>
      <c r="H1100" s="70">
        <f>+(D1100+E1100)/G1100</f>
        <v>0.43478260869565216</v>
      </c>
    </row>
    <row r="1101" spans="1:8" ht="13.5" thickBot="1" x14ac:dyDescent="0.25">
      <c r="A1101" s="46"/>
      <c r="B1101" s="47">
        <f>COUNTA(B1100)</f>
        <v>1</v>
      </c>
      <c r="C1101" s="48" t="s">
        <v>20</v>
      </c>
      <c r="D1101" s="3">
        <f>SUM(D1100)</f>
        <v>84</v>
      </c>
      <c r="E1101" s="3">
        <f>SUM(E1100)</f>
        <v>26</v>
      </c>
      <c r="F1101" s="3">
        <f>SUM(F1100)</f>
        <v>143</v>
      </c>
      <c r="G1101" s="3">
        <f>SUM(D1101:F1101)</f>
        <v>253</v>
      </c>
      <c r="H1101" s="49">
        <f>+(D1101+E1101)/G1101</f>
        <v>0.43478260869565216</v>
      </c>
    </row>
    <row r="1102" spans="1:8" x14ac:dyDescent="0.2">
      <c r="A1102" s="51"/>
      <c r="B1102" s="52"/>
      <c r="C1102" s="53"/>
      <c r="D1102" s="5"/>
      <c r="E1102" s="55"/>
      <c r="F1102" s="54"/>
      <c r="G1102" s="55"/>
      <c r="H1102" s="56"/>
    </row>
    <row r="1103" spans="1:8" x14ac:dyDescent="0.2">
      <c r="A1103" s="51"/>
      <c r="B1103" s="52"/>
      <c r="C1103" s="58" t="s">
        <v>953</v>
      </c>
      <c r="D1103" s="5"/>
      <c r="E1103" s="55"/>
      <c r="F1103" s="54"/>
      <c r="G1103" s="55"/>
      <c r="H1103" s="56"/>
    </row>
    <row r="1104" spans="1:8" x14ac:dyDescent="0.2">
      <c r="A1104" s="42" t="s">
        <v>285</v>
      </c>
      <c r="B1104" s="43" t="s">
        <v>286</v>
      </c>
      <c r="C1104" s="98" t="s">
        <v>997</v>
      </c>
      <c r="D1104" s="61">
        <v>13</v>
      </c>
      <c r="E1104" s="2">
        <v>0</v>
      </c>
      <c r="F1104" s="125">
        <f>13-(D1104+E1104)</f>
        <v>0</v>
      </c>
      <c r="G1104" s="2">
        <f>SUM(D1104:F1104)</f>
        <v>13</v>
      </c>
      <c r="H1104" s="45">
        <f>+(D1104+E1104)/G1104</f>
        <v>1</v>
      </c>
    </row>
    <row r="1105" spans="1:8" x14ac:dyDescent="0.2">
      <c r="A1105" s="42" t="s">
        <v>285</v>
      </c>
      <c r="B1105" s="43" t="s">
        <v>287</v>
      </c>
      <c r="C1105" s="44" t="s">
        <v>288</v>
      </c>
      <c r="D1105" s="61">
        <v>21</v>
      </c>
      <c r="E1105" s="2">
        <v>0</v>
      </c>
      <c r="F1105" s="125">
        <f>27-(D1105+E1105)</f>
        <v>6</v>
      </c>
      <c r="G1105" s="2">
        <f>SUM(D1105:F1105)</f>
        <v>27</v>
      </c>
      <c r="H1105" s="45">
        <f>+(D1105+E1105)/G1105</f>
        <v>0.77777777777777779</v>
      </c>
    </row>
    <row r="1106" spans="1:8" x14ac:dyDescent="0.2">
      <c r="A1106" s="51" t="s">
        <v>285</v>
      </c>
      <c r="B1106" s="132" t="s">
        <v>359</v>
      </c>
      <c r="C1106" s="53" t="s">
        <v>289</v>
      </c>
      <c r="D1106" s="124">
        <v>13</v>
      </c>
      <c r="E1106" s="125">
        <v>1</v>
      </c>
      <c r="F1106" s="125">
        <f>20-(D1106+E1106)</f>
        <v>6</v>
      </c>
      <c r="G1106" s="125">
        <f>SUM(D1106:F1106)</f>
        <v>20</v>
      </c>
      <c r="H1106" s="56">
        <f>+(D1106+E1106)/G1106</f>
        <v>0.7</v>
      </c>
    </row>
    <row r="1107" spans="1:8" ht="13.5" thickBot="1" x14ac:dyDescent="0.25">
      <c r="A1107" s="120" t="s">
        <v>285</v>
      </c>
      <c r="B1107" s="118" t="s">
        <v>995</v>
      </c>
      <c r="C1107" s="102" t="s">
        <v>996</v>
      </c>
      <c r="D1107" s="126">
        <v>45</v>
      </c>
      <c r="E1107" s="127">
        <v>13</v>
      </c>
      <c r="F1107" s="127">
        <f>161-(D1107+E1107)</f>
        <v>103</v>
      </c>
      <c r="G1107" s="127">
        <f>SUM(D1107:F1107)</f>
        <v>161</v>
      </c>
      <c r="H1107" s="70">
        <f>+(D1107+E1107)/G1107</f>
        <v>0.36024844720496896</v>
      </c>
    </row>
    <row r="1108" spans="1:8" ht="13.5" thickBot="1" x14ac:dyDescent="0.25">
      <c r="A1108" s="46"/>
      <c r="B1108" s="47">
        <f>COUNTA(B1104:B1107)</f>
        <v>4</v>
      </c>
      <c r="C1108" s="48" t="s">
        <v>20</v>
      </c>
      <c r="D1108" s="3">
        <f>SUM(D1104:D1107)</f>
        <v>92</v>
      </c>
      <c r="E1108" s="3">
        <f>SUM(E1104:E1107)</f>
        <v>14</v>
      </c>
      <c r="F1108" s="3">
        <f>SUM(F1104:F1107)</f>
        <v>115</v>
      </c>
      <c r="G1108" s="3">
        <f>SUM(G1104:G1107)</f>
        <v>221</v>
      </c>
      <c r="H1108" s="49">
        <f>+(D1108+E1108)/G1108</f>
        <v>0.47963800904977377</v>
      </c>
    </row>
    <row r="1109" spans="1:8" x14ac:dyDescent="0.2">
      <c r="A1109" s="51"/>
      <c r="B1109" s="52"/>
      <c r="C1109" s="53"/>
      <c r="D1109" s="5"/>
      <c r="E1109" s="55"/>
      <c r="F1109" s="54"/>
      <c r="G1109" s="55"/>
      <c r="H1109" s="56"/>
    </row>
    <row r="1110" spans="1:8" x14ac:dyDescent="0.2">
      <c r="A1110" s="51"/>
      <c r="B1110" s="52"/>
      <c r="C1110" s="58" t="s">
        <v>290</v>
      </c>
      <c r="D1110" s="5"/>
      <c r="E1110" s="55"/>
      <c r="F1110" s="54"/>
      <c r="G1110" s="55"/>
      <c r="H1110" s="56"/>
    </row>
    <row r="1111" spans="1:8" ht="13.5" thickBot="1" x14ac:dyDescent="0.25">
      <c r="A1111" s="120" t="s">
        <v>291</v>
      </c>
      <c r="B1111" s="69" t="s">
        <v>292</v>
      </c>
      <c r="C1111" s="119" t="s">
        <v>290</v>
      </c>
      <c r="D1111" s="61">
        <v>53</v>
      </c>
      <c r="E1111" s="2">
        <v>0</v>
      </c>
      <c r="F1111" s="2">
        <f>53-(D1111+E1111)</f>
        <v>0</v>
      </c>
      <c r="G1111" s="2">
        <f>SUM(D1111:F1111)</f>
        <v>53</v>
      </c>
      <c r="H1111" s="70">
        <f>+(D1111+E1111)/G1111</f>
        <v>1</v>
      </c>
    </row>
    <row r="1112" spans="1:8" ht="13.5" thickBot="1" x14ac:dyDescent="0.25">
      <c r="A1112" s="46"/>
      <c r="B1112" s="47">
        <f>COUNTA(B1111)</f>
        <v>1</v>
      </c>
      <c r="C1112" s="48" t="s">
        <v>20</v>
      </c>
      <c r="D1112" s="3">
        <f>SUM(D1111)</f>
        <v>53</v>
      </c>
      <c r="E1112" s="3">
        <f>SUM(E1111)</f>
        <v>0</v>
      </c>
      <c r="F1112" s="3">
        <f>SUM(F1111)</f>
        <v>0</v>
      </c>
      <c r="G1112" s="3">
        <f>SUM(D1112:F1112)</f>
        <v>53</v>
      </c>
      <c r="H1112" s="49">
        <f>+(D1112+E1112)/G1112</f>
        <v>1</v>
      </c>
    </row>
    <row r="1113" spans="1:8" x14ac:dyDescent="0.2">
      <c r="A1113" s="51"/>
      <c r="B1113" s="52"/>
      <c r="C1113" s="53"/>
      <c r="D1113" s="5"/>
      <c r="E1113" s="55"/>
      <c r="F1113" s="54"/>
      <c r="G1113" s="55"/>
      <c r="H1113" s="56"/>
    </row>
    <row r="1114" spans="1:8" x14ac:dyDescent="0.2">
      <c r="A1114" s="51"/>
      <c r="B1114" s="52"/>
      <c r="C1114" s="58" t="s">
        <v>354</v>
      </c>
      <c r="D1114" s="5"/>
      <c r="E1114" s="55"/>
      <c r="F1114" s="54"/>
      <c r="G1114" s="55"/>
      <c r="H1114" s="56"/>
    </row>
    <row r="1115" spans="1:8" x14ac:dyDescent="0.2">
      <c r="A1115" s="42" t="s">
        <v>293</v>
      </c>
      <c r="B1115" s="43" t="s">
        <v>294</v>
      </c>
      <c r="C1115" s="44" t="s">
        <v>295</v>
      </c>
      <c r="D1115" s="61">
        <v>20</v>
      </c>
      <c r="E1115" s="2">
        <v>0</v>
      </c>
      <c r="F1115" s="2">
        <f>20-(D1115+E1115)</f>
        <v>0</v>
      </c>
      <c r="G1115" s="2">
        <f>SUM(D1115:F1115)</f>
        <v>20</v>
      </c>
      <c r="H1115" s="45">
        <f>+(D1115+E1115)/G1115</f>
        <v>1</v>
      </c>
    </row>
    <row r="1116" spans="1:8" ht="13.5" thickBot="1" x14ac:dyDescent="0.25">
      <c r="A1116" s="133" t="s">
        <v>293</v>
      </c>
      <c r="B1116" s="134" t="s">
        <v>296</v>
      </c>
      <c r="C1116" s="135" t="s">
        <v>297</v>
      </c>
      <c r="D1116" s="61">
        <v>23</v>
      </c>
      <c r="E1116" s="2">
        <v>0</v>
      </c>
      <c r="F1116" s="2">
        <f>23-(D1116+E1116)</f>
        <v>0</v>
      </c>
      <c r="G1116" s="2">
        <f>SUM(D1116:F1116)</f>
        <v>23</v>
      </c>
      <c r="H1116" s="95">
        <f>+(D1116+E1116)/G1116</f>
        <v>1</v>
      </c>
    </row>
    <row r="1117" spans="1:8" ht="13.5" thickBot="1" x14ac:dyDescent="0.25">
      <c r="A1117" s="46"/>
      <c r="B1117" s="47">
        <f>COUNTA(B1115:B1116)</f>
        <v>2</v>
      </c>
      <c r="C1117" s="48" t="s">
        <v>20</v>
      </c>
      <c r="D1117" s="3">
        <f>SUM(D1115:D1116)</f>
        <v>43</v>
      </c>
      <c r="E1117" s="3">
        <f>SUM(E1115:E1116)</f>
        <v>0</v>
      </c>
      <c r="F1117" s="3">
        <f>SUM(F1115:F1116)</f>
        <v>0</v>
      </c>
      <c r="G1117" s="3">
        <f>SUM(D1117:F1117)</f>
        <v>43</v>
      </c>
      <c r="H1117" s="49">
        <f>+(D1117+E1117)/G1117</f>
        <v>1</v>
      </c>
    </row>
    <row r="1118" spans="1:8" x14ac:dyDescent="0.2">
      <c r="A1118" s="51"/>
      <c r="B1118" s="52"/>
      <c r="C1118" s="53"/>
      <c r="D1118" s="5"/>
      <c r="E1118" s="55"/>
      <c r="F1118" s="54"/>
      <c r="G1118" s="55"/>
      <c r="H1118" s="56"/>
    </row>
    <row r="1119" spans="1:8" x14ac:dyDescent="0.2">
      <c r="A1119" s="51"/>
      <c r="B1119" s="52"/>
      <c r="C1119" s="58" t="s">
        <v>306</v>
      </c>
      <c r="D1119" s="5"/>
      <c r="E1119" s="55"/>
      <c r="F1119" s="54"/>
      <c r="G1119" s="55"/>
      <c r="H1119" s="56"/>
    </row>
    <row r="1120" spans="1:8" ht="13.5" thickBot="1" x14ac:dyDescent="0.25">
      <c r="A1120" s="120" t="s">
        <v>307</v>
      </c>
      <c r="B1120" s="69" t="s">
        <v>308</v>
      </c>
      <c r="C1120" s="119" t="s">
        <v>306</v>
      </c>
      <c r="D1120" s="61">
        <v>140</v>
      </c>
      <c r="E1120" s="2">
        <v>0</v>
      </c>
      <c r="F1120" s="2">
        <f>140-(D1120+E1120)</f>
        <v>0</v>
      </c>
      <c r="G1120" s="2">
        <f>SUM(D1120:F1120)</f>
        <v>140</v>
      </c>
      <c r="H1120" s="70">
        <f>+(D1120+E1120)/G1120</f>
        <v>1</v>
      </c>
    </row>
    <row r="1121" spans="1:8" ht="13.5" thickBot="1" x14ac:dyDescent="0.25">
      <c r="A1121" s="46"/>
      <c r="B1121" s="47">
        <f>COUNTA(B1120)</f>
        <v>1</v>
      </c>
      <c r="C1121" s="48" t="s">
        <v>20</v>
      </c>
      <c r="D1121" s="3">
        <f>SUM(D1120)</f>
        <v>140</v>
      </c>
      <c r="E1121" s="3">
        <f>SUM(E1120)</f>
        <v>0</v>
      </c>
      <c r="F1121" s="3">
        <f>SUM(F1120)</f>
        <v>0</v>
      </c>
      <c r="G1121" s="3">
        <f>SUM(D1121:F1121)</f>
        <v>140</v>
      </c>
      <c r="H1121" s="49">
        <f>+(D1121+E1121)/G1121</f>
        <v>1</v>
      </c>
    </row>
    <row r="1122" spans="1:8" x14ac:dyDescent="0.2">
      <c r="A1122" s="51"/>
      <c r="B1122" s="52"/>
      <c r="C1122" s="53"/>
      <c r="D1122" s="5"/>
      <c r="E1122" s="55"/>
      <c r="F1122" s="54"/>
      <c r="G1122" s="55"/>
      <c r="H1122" s="56"/>
    </row>
    <row r="1123" spans="1:8" x14ac:dyDescent="0.2">
      <c r="A1123" s="51"/>
      <c r="B1123" s="52"/>
      <c r="C1123" s="58" t="s">
        <v>309</v>
      </c>
      <c r="D1123" s="5"/>
      <c r="E1123" s="55"/>
      <c r="F1123" s="54"/>
      <c r="G1123" s="55"/>
      <c r="H1123" s="56"/>
    </row>
    <row r="1124" spans="1:8" ht="13.5" thickBot="1" x14ac:dyDescent="0.25">
      <c r="A1124" s="120" t="s">
        <v>310</v>
      </c>
      <c r="B1124" s="69" t="s">
        <v>311</v>
      </c>
      <c r="C1124" s="119" t="s">
        <v>309</v>
      </c>
      <c r="D1124" s="61">
        <v>100</v>
      </c>
      <c r="E1124" s="2">
        <v>0</v>
      </c>
      <c r="F1124" s="2">
        <f>100-(D1124+E1124)</f>
        <v>0</v>
      </c>
      <c r="G1124" s="2">
        <f>SUM(D1124:F1124)</f>
        <v>100</v>
      </c>
      <c r="H1124" s="70">
        <f>+(D1124+E1124)/G1124</f>
        <v>1</v>
      </c>
    </row>
    <row r="1125" spans="1:8" ht="13.5" thickBot="1" x14ac:dyDescent="0.25">
      <c r="A1125" s="46"/>
      <c r="B1125" s="47">
        <f>COUNTA(B1124)</f>
        <v>1</v>
      </c>
      <c r="C1125" s="48" t="s">
        <v>20</v>
      </c>
      <c r="D1125" s="3">
        <f>SUM(D1124)</f>
        <v>100</v>
      </c>
      <c r="E1125" s="3">
        <f>SUM(E1124)</f>
        <v>0</v>
      </c>
      <c r="F1125" s="3">
        <f>SUM(F1124)</f>
        <v>0</v>
      </c>
      <c r="G1125" s="3">
        <f>SUM(D1125:F1125)</f>
        <v>100</v>
      </c>
      <c r="H1125" s="49">
        <f>+(D1125+E1125)/G1125</f>
        <v>1</v>
      </c>
    </row>
    <row r="1126" spans="1:8" x14ac:dyDescent="0.2">
      <c r="A1126" s="51"/>
      <c r="B1126" s="52"/>
      <c r="C1126" s="53"/>
      <c r="D1126" s="5"/>
      <c r="E1126" s="55"/>
      <c r="F1126" s="54"/>
      <c r="G1126" s="55"/>
      <c r="H1126" s="56"/>
    </row>
    <row r="1127" spans="1:8" x14ac:dyDescent="0.2">
      <c r="A1127" s="51"/>
      <c r="B1127" s="52"/>
      <c r="C1127" s="58" t="s">
        <v>312</v>
      </c>
      <c r="D1127" s="5"/>
      <c r="E1127" s="55"/>
      <c r="F1127" s="54"/>
      <c r="G1127" s="55"/>
      <c r="H1127" s="56"/>
    </row>
    <row r="1128" spans="1:8" x14ac:dyDescent="0.2">
      <c r="A1128" s="42" t="s">
        <v>313</v>
      </c>
      <c r="B1128" s="43" t="s">
        <v>314</v>
      </c>
      <c r="C1128" s="44" t="s">
        <v>312</v>
      </c>
      <c r="D1128" s="61">
        <v>12</v>
      </c>
      <c r="E1128" s="2">
        <v>0</v>
      </c>
      <c r="F1128" s="2">
        <f>12-(D1128+E1128)</f>
        <v>0</v>
      </c>
      <c r="G1128" s="2">
        <f>SUM(D1128:F1128)</f>
        <v>12</v>
      </c>
      <c r="H1128" s="45">
        <f>+(D1128+E1128)/G1128</f>
        <v>1</v>
      </c>
    </row>
    <row r="1129" spans="1:8" ht="13.5" thickBot="1" x14ac:dyDescent="0.25">
      <c r="A1129" s="120" t="s">
        <v>313</v>
      </c>
      <c r="B1129" s="69" t="s">
        <v>315</v>
      </c>
      <c r="C1129" s="119" t="s">
        <v>316</v>
      </c>
      <c r="D1129" s="61">
        <v>16</v>
      </c>
      <c r="E1129" s="2">
        <v>0</v>
      </c>
      <c r="F1129" s="2">
        <f>16-(D1129+E1129)</f>
        <v>0</v>
      </c>
      <c r="G1129" s="2">
        <f>SUM(D1129:F1129)</f>
        <v>16</v>
      </c>
      <c r="H1129" s="70">
        <f>+(D1129+E1129)/G1129</f>
        <v>1</v>
      </c>
    </row>
    <row r="1130" spans="1:8" ht="13.5" thickBot="1" x14ac:dyDescent="0.25">
      <c r="A1130" s="46"/>
      <c r="B1130" s="47">
        <f>COUNTA(B1128:B1129)</f>
        <v>2</v>
      </c>
      <c r="C1130" s="48" t="s">
        <v>20</v>
      </c>
      <c r="D1130" s="3">
        <f>SUM(D1128:D1129)</f>
        <v>28</v>
      </c>
      <c r="E1130" s="3">
        <f>SUM(E1128:E1129)</f>
        <v>0</v>
      </c>
      <c r="F1130" s="3">
        <f>SUM(F1128:F1129)</f>
        <v>0</v>
      </c>
      <c r="G1130" s="3">
        <f>SUM(D1130:F1130)</f>
        <v>28</v>
      </c>
      <c r="H1130" s="49">
        <f>+(D1130+E1130)/G1130</f>
        <v>1</v>
      </c>
    </row>
    <row r="1131" spans="1:8" x14ac:dyDescent="0.2">
      <c r="A1131" s="51"/>
      <c r="B1131" s="123"/>
      <c r="C1131" s="130"/>
      <c r="D1131" s="54"/>
      <c r="E1131" s="55"/>
      <c r="F1131" s="54"/>
      <c r="G1131" s="55"/>
      <c r="H1131" s="56"/>
    </row>
    <row r="1132" spans="1:8" x14ac:dyDescent="0.2">
      <c r="A1132" s="51"/>
      <c r="B1132" s="52"/>
      <c r="C1132" s="58" t="s">
        <v>428</v>
      </c>
      <c r="D1132" s="5"/>
      <c r="E1132" s="55"/>
      <c r="F1132" s="54"/>
      <c r="G1132" s="55"/>
      <c r="H1132" s="56"/>
    </row>
    <row r="1133" spans="1:8" x14ac:dyDescent="0.2">
      <c r="A1133" s="100" t="s">
        <v>429</v>
      </c>
      <c r="B1133" s="43" t="s">
        <v>317</v>
      </c>
      <c r="C1133" s="44" t="s">
        <v>318</v>
      </c>
      <c r="D1133" s="61">
        <v>26</v>
      </c>
      <c r="E1133" s="2">
        <v>0</v>
      </c>
      <c r="F1133" s="2">
        <f>26-(D1133+E1133)</f>
        <v>0</v>
      </c>
      <c r="G1133" s="2">
        <f>SUM(D1133:F1133)</f>
        <v>26</v>
      </c>
      <c r="H1133" s="45">
        <f t="shared" ref="H1133:H1152" si="168">+(D1133+E1133)/G1133</f>
        <v>1</v>
      </c>
    </row>
    <row r="1134" spans="1:8" x14ac:dyDescent="0.2">
      <c r="A1134" s="100" t="s">
        <v>429</v>
      </c>
      <c r="B1134" s="99" t="s">
        <v>320</v>
      </c>
      <c r="C1134" s="44" t="s">
        <v>319</v>
      </c>
      <c r="D1134" s="61">
        <v>43</v>
      </c>
      <c r="E1134" s="2">
        <v>0</v>
      </c>
      <c r="F1134" s="2">
        <f>43-(D1134+E1134)</f>
        <v>0</v>
      </c>
      <c r="G1134" s="2">
        <f>SUM(D1134:F1134)</f>
        <v>43</v>
      </c>
      <c r="H1134" s="45">
        <f t="shared" si="168"/>
        <v>1</v>
      </c>
    </row>
    <row r="1135" spans="1:8" x14ac:dyDescent="0.2">
      <c r="A1135" s="100" t="s">
        <v>429</v>
      </c>
      <c r="B1135" s="43" t="s">
        <v>322</v>
      </c>
      <c r="C1135" s="44" t="s">
        <v>321</v>
      </c>
      <c r="D1135" s="61">
        <v>20</v>
      </c>
      <c r="E1135" s="2">
        <v>0</v>
      </c>
      <c r="F1135" s="2">
        <f>20-(D1135+E1135)</f>
        <v>0</v>
      </c>
      <c r="G1135" s="2">
        <f>SUM(D1135:F1135)</f>
        <v>20</v>
      </c>
      <c r="H1135" s="45">
        <f>+(D1135+E1135)/G1135</f>
        <v>1</v>
      </c>
    </row>
    <row r="1136" spans="1:8" x14ac:dyDescent="0.2">
      <c r="A1136" s="100" t="s">
        <v>429</v>
      </c>
      <c r="B1136" s="99" t="s">
        <v>323</v>
      </c>
      <c r="C1136" s="98" t="s">
        <v>433</v>
      </c>
      <c r="D1136" s="61">
        <v>28</v>
      </c>
      <c r="E1136" s="2">
        <v>0</v>
      </c>
      <c r="F1136" s="2">
        <f>28-(D1136+E1136)</f>
        <v>0</v>
      </c>
      <c r="G1136" s="2">
        <f>SUM(D1136:F1136)</f>
        <v>28</v>
      </c>
      <c r="H1136" s="45">
        <f t="shared" si="168"/>
        <v>1</v>
      </c>
    </row>
    <row r="1137" spans="1:8" x14ac:dyDescent="0.2">
      <c r="A1137" s="100" t="s">
        <v>429</v>
      </c>
      <c r="B1137" s="132" t="s">
        <v>432</v>
      </c>
      <c r="C1137" s="53" t="s">
        <v>324</v>
      </c>
      <c r="D1137" s="61">
        <v>81</v>
      </c>
      <c r="E1137" s="2">
        <v>0</v>
      </c>
      <c r="F1137" s="2">
        <f>81-(D1137+E1137)</f>
        <v>0</v>
      </c>
      <c r="G1137" s="2">
        <f>SUM(D1137:F1137)</f>
        <v>81</v>
      </c>
      <c r="H1137" s="56">
        <f t="shared" si="168"/>
        <v>1</v>
      </c>
    </row>
    <row r="1138" spans="1:8" x14ac:dyDescent="0.2">
      <c r="A1138" s="100" t="s">
        <v>429</v>
      </c>
      <c r="B1138" s="43" t="s">
        <v>298</v>
      </c>
      <c r="C1138" s="44" t="s">
        <v>299</v>
      </c>
      <c r="D1138" s="61">
        <v>18</v>
      </c>
      <c r="E1138" s="2">
        <v>0</v>
      </c>
      <c r="F1138" s="2">
        <f>18-(D1138+E1138)</f>
        <v>0</v>
      </c>
      <c r="G1138" s="2">
        <f t="shared" ref="G1138:G1142" si="169">SUM(D1138:F1138)</f>
        <v>18</v>
      </c>
      <c r="H1138" s="45">
        <f t="shared" ref="H1138:H1151" si="170">+(D1138+E1138)/G1138</f>
        <v>1</v>
      </c>
    </row>
    <row r="1139" spans="1:8" x14ac:dyDescent="0.2">
      <c r="A1139" s="100" t="s">
        <v>429</v>
      </c>
      <c r="B1139" s="43" t="s">
        <v>300</v>
      </c>
      <c r="C1139" s="44" t="s">
        <v>301</v>
      </c>
      <c r="D1139" s="61">
        <v>49</v>
      </c>
      <c r="E1139" s="2">
        <v>0</v>
      </c>
      <c r="F1139" s="2">
        <f>49-(D1139+E1139)</f>
        <v>0</v>
      </c>
      <c r="G1139" s="2">
        <f t="shared" si="169"/>
        <v>49</v>
      </c>
      <c r="H1139" s="45">
        <f t="shared" si="170"/>
        <v>1</v>
      </c>
    </row>
    <row r="1140" spans="1:8" x14ac:dyDescent="0.2">
      <c r="A1140" s="100" t="s">
        <v>429</v>
      </c>
      <c r="B1140" s="43" t="s">
        <v>302</v>
      </c>
      <c r="C1140" s="44" t="s">
        <v>303</v>
      </c>
      <c r="D1140" s="61">
        <v>22</v>
      </c>
      <c r="E1140" s="2">
        <v>0</v>
      </c>
      <c r="F1140" s="2">
        <f>22-(D1140+E1140)</f>
        <v>0</v>
      </c>
      <c r="G1140" s="2">
        <f t="shared" si="169"/>
        <v>22</v>
      </c>
      <c r="H1140" s="45">
        <f t="shared" si="170"/>
        <v>1</v>
      </c>
    </row>
    <row r="1141" spans="1:8" x14ac:dyDescent="0.2">
      <c r="A1141" s="100" t="s">
        <v>429</v>
      </c>
      <c r="B1141" s="43" t="s">
        <v>304</v>
      </c>
      <c r="C1141" s="98" t="s">
        <v>977</v>
      </c>
      <c r="D1141" s="61">
        <v>15</v>
      </c>
      <c r="E1141" s="2">
        <v>0</v>
      </c>
      <c r="F1141" s="2">
        <f>15-(D1141+E1141)</f>
        <v>0</v>
      </c>
      <c r="G1141" s="2">
        <f t="shared" si="169"/>
        <v>15</v>
      </c>
      <c r="H1141" s="45">
        <f t="shared" si="170"/>
        <v>1</v>
      </c>
    </row>
    <row r="1142" spans="1:8" x14ac:dyDescent="0.2">
      <c r="A1142" s="100" t="s">
        <v>429</v>
      </c>
      <c r="B1142" s="43" t="s">
        <v>305</v>
      </c>
      <c r="C1142" s="98" t="s">
        <v>956</v>
      </c>
      <c r="D1142" s="61">
        <v>36</v>
      </c>
      <c r="E1142" s="2">
        <v>0</v>
      </c>
      <c r="F1142" s="2">
        <f>36-(D1142+E1142)</f>
        <v>0</v>
      </c>
      <c r="G1142" s="2">
        <f t="shared" si="169"/>
        <v>36</v>
      </c>
      <c r="H1142" s="45">
        <f t="shared" si="170"/>
        <v>1</v>
      </c>
    </row>
    <row r="1143" spans="1:8" x14ac:dyDescent="0.2">
      <c r="A1143" s="100" t="s">
        <v>429</v>
      </c>
      <c r="B1143" s="131" t="s">
        <v>430</v>
      </c>
      <c r="C1143" s="98" t="s">
        <v>431</v>
      </c>
      <c r="D1143" s="61">
        <v>14</v>
      </c>
      <c r="E1143" s="2">
        <v>0</v>
      </c>
      <c r="F1143" s="2">
        <f>14-(D1143+E1143)</f>
        <v>0</v>
      </c>
      <c r="G1143" s="2">
        <f t="shared" ref="G1143" si="171">SUM(D1143:F1143)</f>
        <v>14</v>
      </c>
      <c r="H1143" s="45">
        <f t="shared" si="170"/>
        <v>1</v>
      </c>
    </row>
    <row r="1144" spans="1:8" x14ac:dyDescent="0.2">
      <c r="A1144" s="100" t="s">
        <v>429</v>
      </c>
      <c r="B1144" s="43" t="s">
        <v>337</v>
      </c>
      <c r="C1144" s="44" t="s">
        <v>338</v>
      </c>
      <c r="D1144" s="61">
        <v>11</v>
      </c>
      <c r="E1144" s="2">
        <v>0</v>
      </c>
      <c r="F1144" s="2">
        <f>11-(D1144+E1144)</f>
        <v>0</v>
      </c>
      <c r="G1144" s="2">
        <f t="shared" ref="G1144:G1151" si="172">SUM(D1144:F1144)</f>
        <v>11</v>
      </c>
      <c r="H1144" s="45">
        <f t="shared" si="170"/>
        <v>1</v>
      </c>
    </row>
    <row r="1145" spans="1:8" x14ac:dyDescent="0.2">
      <c r="A1145" s="100" t="s">
        <v>429</v>
      </c>
      <c r="B1145" s="43" t="s">
        <v>339</v>
      </c>
      <c r="C1145" s="98" t="s">
        <v>955</v>
      </c>
      <c r="D1145" s="61">
        <v>9</v>
      </c>
      <c r="E1145" s="2">
        <v>0</v>
      </c>
      <c r="F1145" s="2">
        <f>9-(D1145+E1145)</f>
        <v>0</v>
      </c>
      <c r="G1145" s="2">
        <f t="shared" si="172"/>
        <v>9</v>
      </c>
      <c r="H1145" s="45">
        <f t="shared" si="170"/>
        <v>1</v>
      </c>
    </row>
    <row r="1146" spans="1:8" x14ac:dyDescent="0.2">
      <c r="A1146" s="100" t="s">
        <v>429</v>
      </c>
      <c r="B1146" s="43" t="s">
        <v>340</v>
      </c>
      <c r="C1146" s="44" t="s">
        <v>341</v>
      </c>
      <c r="D1146" s="61">
        <v>12</v>
      </c>
      <c r="E1146" s="2">
        <v>0</v>
      </c>
      <c r="F1146" s="2">
        <f>12-(D1146+E1146)</f>
        <v>0</v>
      </c>
      <c r="G1146" s="2">
        <f t="shared" si="172"/>
        <v>12</v>
      </c>
      <c r="H1146" s="45">
        <f t="shared" si="170"/>
        <v>1</v>
      </c>
    </row>
    <row r="1147" spans="1:8" x14ac:dyDescent="0.2">
      <c r="A1147" s="100" t="s">
        <v>429</v>
      </c>
      <c r="B1147" s="43" t="s">
        <v>342</v>
      </c>
      <c r="C1147" s="44" t="s">
        <v>343</v>
      </c>
      <c r="D1147" s="61">
        <v>60</v>
      </c>
      <c r="E1147" s="2">
        <v>0</v>
      </c>
      <c r="F1147" s="2">
        <f>60-(D1147+E1147)</f>
        <v>0</v>
      </c>
      <c r="G1147" s="2">
        <f t="shared" si="172"/>
        <v>60</v>
      </c>
      <c r="H1147" s="45">
        <f t="shared" si="170"/>
        <v>1</v>
      </c>
    </row>
    <row r="1148" spans="1:8" x14ac:dyDescent="0.2">
      <c r="A1148" s="100" t="s">
        <v>429</v>
      </c>
      <c r="B1148" s="43" t="s">
        <v>344</v>
      </c>
      <c r="C1148" s="44" t="s">
        <v>345</v>
      </c>
      <c r="D1148" s="61">
        <v>15</v>
      </c>
      <c r="E1148" s="2">
        <v>0</v>
      </c>
      <c r="F1148" s="2">
        <f>15-(D1148+E1148)</f>
        <v>0</v>
      </c>
      <c r="G1148" s="2">
        <f t="shared" si="172"/>
        <v>15</v>
      </c>
      <c r="H1148" s="45">
        <f t="shared" si="170"/>
        <v>1</v>
      </c>
    </row>
    <row r="1149" spans="1:8" x14ac:dyDescent="0.2">
      <c r="A1149" s="100" t="s">
        <v>429</v>
      </c>
      <c r="B1149" s="43" t="s">
        <v>346</v>
      </c>
      <c r="C1149" s="44" t="s">
        <v>347</v>
      </c>
      <c r="D1149" s="61">
        <v>15</v>
      </c>
      <c r="E1149" s="2">
        <v>0</v>
      </c>
      <c r="F1149" s="2">
        <f>15-(D1149+E1149)</f>
        <v>0</v>
      </c>
      <c r="G1149" s="2">
        <f t="shared" si="172"/>
        <v>15</v>
      </c>
      <c r="H1149" s="45">
        <f t="shared" si="170"/>
        <v>1</v>
      </c>
    </row>
    <row r="1150" spans="1:8" x14ac:dyDescent="0.2">
      <c r="A1150" s="100" t="s">
        <v>429</v>
      </c>
      <c r="B1150" s="43" t="s">
        <v>348</v>
      </c>
      <c r="C1150" s="98" t="s">
        <v>978</v>
      </c>
      <c r="D1150" s="61">
        <v>13</v>
      </c>
      <c r="E1150" s="2">
        <v>0</v>
      </c>
      <c r="F1150" s="2">
        <f>13-(D1150+E1150)</f>
        <v>0</v>
      </c>
      <c r="G1150" s="2">
        <f t="shared" si="172"/>
        <v>13</v>
      </c>
      <c r="H1150" s="45">
        <f t="shared" si="170"/>
        <v>1</v>
      </c>
    </row>
    <row r="1151" spans="1:8" ht="13.5" thickBot="1" x14ac:dyDescent="0.25">
      <c r="A1151" s="100" t="s">
        <v>429</v>
      </c>
      <c r="B1151" s="123" t="s">
        <v>349</v>
      </c>
      <c r="C1151" s="53" t="s">
        <v>350</v>
      </c>
      <c r="D1151" s="61">
        <v>10</v>
      </c>
      <c r="E1151" s="2">
        <v>0</v>
      </c>
      <c r="F1151" s="2">
        <f>10-(D1151+E1151)</f>
        <v>0</v>
      </c>
      <c r="G1151" s="2">
        <f t="shared" si="172"/>
        <v>10</v>
      </c>
      <c r="H1151" s="56">
        <f t="shared" si="170"/>
        <v>1</v>
      </c>
    </row>
    <row r="1152" spans="1:8" ht="13.5" thickBot="1" x14ac:dyDescent="0.25">
      <c r="A1152" s="46"/>
      <c r="B1152" s="47">
        <f>COUNTA(B1133:B1151)</f>
        <v>19</v>
      </c>
      <c r="C1152" s="48" t="s">
        <v>20</v>
      </c>
      <c r="D1152" s="3">
        <f>SUM(D1133:D1151)</f>
        <v>497</v>
      </c>
      <c r="E1152" s="3">
        <f>SUM(E1133:E1151)</f>
        <v>0</v>
      </c>
      <c r="F1152" s="3">
        <f>SUM(F1133:F1151)</f>
        <v>0</v>
      </c>
      <c r="G1152" s="3">
        <f>SUM(G1133:G1151)</f>
        <v>497</v>
      </c>
      <c r="H1152" s="49">
        <f t="shared" si="168"/>
        <v>1</v>
      </c>
    </row>
    <row r="1153" spans="1:22" x14ac:dyDescent="0.2">
      <c r="A1153" s="51"/>
      <c r="B1153" s="52"/>
      <c r="C1153" s="53"/>
      <c r="D1153" s="5"/>
      <c r="E1153" s="55"/>
      <c r="F1153" s="54"/>
      <c r="G1153" s="55"/>
      <c r="H1153" s="56"/>
    </row>
    <row r="1154" spans="1:22" x14ac:dyDescent="0.2">
      <c r="A1154" s="51"/>
      <c r="B1154" s="52"/>
      <c r="C1154" s="58" t="s">
        <v>325</v>
      </c>
      <c r="D1154" s="5"/>
      <c r="E1154" s="55"/>
      <c r="F1154" s="54"/>
      <c r="G1154" s="55"/>
      <c r="H1154" s="56"/>
    </row>
    <row r="1155" spans="1:22" ht="13.5" thickBot="1" x14ac:dyDescent="0.25">
      <c r="A1155" s="120" t="s">
        <v>326</v>
      </c>
      <c r="B1155" s="118" t="s">
        <v>954</v>
      </c>
      <c r="C1155" s="119" t="s">
        <v>325</v>
      </c>
      <c r="D1155" s="61">
        <v>87</v>
      </c>
      <c r="E1155" s="2">
        <v>0</v>
      </c>
      <c r="F1155" s="2">
        <f>87-(D1155+E1155)</f>
        <v>0</v>
      </c>
      <c r="G1155" s="2">
        <f>SUM(D1155:F1155)</f>
        <v>87</v>
      </c>
      <c r="H1155" s="70">
        <f>+(D1155+E1155)/G1155</f>
        <v>1</v>
      </c>
    </row>
    <row r="1156" spans="1:22" ht="13.5" thickBot="1" x14ac:dyDescent="0.25">
      <c r="A1156" s="46"/>
      <c r="B1156" s="47">
        <f>COUNTA(B1155)</f>
        <v>1</v>
      </c>
      <c r="C1156" s="48" t="s">
        <v>20</v>
      </c>
      <c r="D1156" s="3">
        <f>SUM(D1155)</f>
        <v>87</v>
      </c>
      <c r="E1156" s="3">
        <f>SUM(E1155)</f>
        <v>0</v>
      </c>
      <c r="F1156" s="3">
        <f>SUM(F1155)</f>
        <v>0</v>
      </c>
      <c r="G1156" s="3">
        <f>SUM(D1156:F1156)</f>
        <v>87</v>
      </c>
      <c r="H1156" s="49">
        <f>+(D1156+E1156)/G1156</f>
        <v>1</v>
      </c>
    </row>
    <row r="1157" spans="1:22" x14ac:dyDescent="0.2">
      <c r="A1157" s="51"/>
      <c r="B1157" s="52"/>
      <c r="C1157" s="53"/>
      <c r="D1157" s="5"/>
      <c r="E1157" s="55"/>
      <c r="F1157" s="54"/>
      <c r="G1157" s="55"/>
      <c r="H1157" s="56"/>
    </row>
    <row r="1158" spans="1:22" x14ac:dyDescent="0.2">
      <c r="A1158" s="51"/>
      <c r="B1158" s="52"/>
      <c r="C1158" s="58" t="s">
        <v>327</v>
      </c>
      <c r="D1158" s="5"/>
      <c r="E1158" s="55"/>
      <c r="F1158" s="54"/>
      <c r="G1158" s="55"/>
      <c r="H1158" s="56"/>
    </row>
    <row r="1159" spans="1:22" x14ac:dyDescent="0.2">
      <c r="A1159" s="42" t="s">
        <v>328</v>
      </c>
      <c r="B1159" s="43" t="s">
        <v>329</v>
      </c>
      <c r="C1159" s="44" t="s">
        <v>330</v>
      </c>
      <c r="D1159" s="61">
        <v>13</v>
      </c>
      <c r="E1159" s="2">
        <v>0</v>
      </c>
      <c r="F1159" s="2">
        <f>13-(D1159+E1159)</f>
        <v>0</v>
      </c>
      <c r="G1159" s="2">
        <f>SUM(D1159:F1159)</f>
        <v>13</v>
      </c>
      <c r="H1159" s="45">
        <f>+(D1159+E1159)/G1159</f>
        <v>1</v>
      </c>
    </row>
    <row r="1160" spans="1:22" x14ac:dyDescent="0.2">
      <c r="A1160" s="42" t="s">
        <v>328</v>
      </c>
      <c r="B1160" s="43" t="s">
        <v>331</v>
      </c>
      <c r="C1160" s="44" t="s">
        <v>332</v>
      </c>
      <c r="D1160" s="61">
        <v>2</v>
      </c>
      <c r="E1160" s="2">
        <v>0</v>
      </c>
      <c r="F1160" s="2">
        <f>2-(D1160+E1160)</f>
        <v>0</v>
      </c>
      <c r="G1160" s="2">
        <f>SUM(D1160:F1160)</f>
        <v>2</v>
      </c>
      <c r="H1160" s="45">
        <f>+(D1160+E1160)/G1160</f>
        <v>1</v>
      </c>
    </row>
    <row r="1161" spans="1:22" x14ac:dyDescent="0.2">
      <c r="A1161" s="42" t="s">
        <v>328</v>
      </c>
      <c r="B1161" s="43" t="s">
        <v>333</v>
      </c>
      <c r="C1161" s="44" t="s">
        <v>334</v>
      </c>
      <c r="D1161" s="61">
        <v>8</v>
      </c>
      <c r="E1161" s="2">
        <v>0</v>
      </c>
      <c r="F1161" s="2">
        <f>8-(D1161+E1161)</f>
        <v>0</v>
      </c>
      <c r="G1161" s="2">
        <f>SUM(D1161:F1161)</f>
        <v>8</v>
      </c>
      <c r="H1161" s="45">
        <f>+(D1161+E1161)/G1161</f>
        <v>1</v>
      </c>
    </row>
    <row r="1162" spans="1:22" ht="13.5" thickBot="1" x14ac:dyDescent="0.25">
      <c r="A1162" s="51" t="s">
        <v>328</v>
      </c>
      <c r="B1162" s="123" t="s">
        <v>335</v>
      </c>
      <c r="C1162" s="53" t="s">
        <v>336</v>
      </c>
      <c r="D1162" s="61">
        <v>16</v>
      </c>
      <c r="E1162" s="2">
        <v>0</v>
      </c>
      <c r="F1162" s="2">
        <f>16-(D1162+E1162)</f>
        <v>0</v>
      </c>
      <c r="G1162" s="2">
        <f>SUM(D1162:F1162)</f>
        <v>16</v>
      </c>
      <c r="H1162" s="56">
        <f>+(D1162+E1162)/G1162</f>
        <v>1</v>
      </c>
    </row>
    <row r="1163" spans="1:22" ht="13.5" thickBot="1" x14ac:dyDescent="0.25">
      <c r="A1163" s="46"/>
      <c r="B1163" s="47">
        <f>COUNTA(B1159:B1162)</f>
        <v>4</v>
      </c>
      <c r="C1163" s="48" t="s">
        <v>20</v>
      </c>
      <c r="D1163" s="3">
        <f>SUM(D1159:D1162)</f>
        <v>39</v>
      </c>
      <c r="E1163" s="3">
        <f>SUM(E1159:E1162)</f>
        <v>0</v>
      </c>
      <c r="F1163" s="3">
        <f>SUM(F1159:F1162)</f>
        <v>0</v>
      </c>
      <c r="G1163" s="3">
        <f>SUM(G1159:G1162)</f>
        <v>39</v>
      </c>
      <c r="H1163" s="49">
        <f>+(D1163+E1163)/G1163</f>
        <v>1</v>
      </c>
    </row>
    <row r="1164" spans="1:22" x14ac:dyDescent="0.2">
      <c r="D1164" s="96"/>
      <c r="E1164" s="96"/>
      <c r="F1164" s="96"/>
      <c r="G1164" s="96"/>
      <c r="H1164" s="97"/>
      <c r="I1164" s="57"/>
      <c r="J1164" s="57"/>
      <c r="K1164" s="57"/>
      <c r="L1164" s="57"/>
      <c r="M1164" s="57"/>
      <c r="N1164" s="57"/>
      <c r="O1164" s="57"/>
      <c r="P1164" s="57"/>
      <c r="Q1164" s="57"/>
      <c r="R1164" s="57"/>
      <c r="S1164" s="57"/>
      <c r="T1164" s="57"/>
      <c r="U1164" s="57"/>
      <c r="V1164" s="57"/>
    </row>
    <row r="1165" spans="1:22" ht="13.5" thickBot="1" x14ac:dyDescent="0.25">
      <c r="D1165" s="72"/>
      <c r="E1165" s="6"/>
      <c r="F1165" s="6"/>
      <c r="G1165" s="6"/>
      <c r="H1165" s="7"/>
      <c r="I1165" s="57"/>
      <c r="J1165" s="57"/>
      <c r="K1165" s="57"/>
      <c r="L1165" s="57"/>
      <c r="M1165" s="57"/>
      <c r="N1165" s="57"/>
      <c r="O1165" s="57"/>
      <c r="P1165" s="57"/>
      <c r="Q1165" s="57"/>
      <c r="R1165" s="57"/>
      <c r="S1165" s="57"/>
      <c r="T1165" s="57"/>
      <c r="U1165" s="57"/>
      <c r="V1165" s="57"/>
    </row>
    <row r="1166" spans="1:22" s="74" customFormat="1" ht="13.5" thickBot="1" x14ac:dyDescent="0.25">
      <c r="A1166" s="16" t="s">
        <v>268</v>
      </c>
      <c r="B1166" s="17" t="s">
        <v>4</v>
      </c>
      <c r="C1166" s="18"/>
      <c r="D1166" s="19" t="s">
        <v>1</v>
      </c>
      <c r="E1166" s="20"/>
      <c r="F1166" s="21"/>
      <c r="G1166" s="22" t="s">
        <v>2</v>
      </c>
      <c r="H1166" s="73" t="s">
        <v>2</v>
      </c>
    </row>
    <row r="1167" spans="1:22" s="74" customFormat="1" ht="13.5" thickBot="1" x14ac:dyDescent="0.25">
      <c r="A1167" s="24" t="s">
        <v>4</v>
      </c>
      <c r="B1167" s="25" t="s">
        <v>227</v>
      </c>
      <c r="C1167" s="24" t="s">
        <v>199</v>
      </c>
      <c r="D1167" s="26" t="s">
        <v>7</v>
      </c>
      <c r="E1167" s="27" t="s">
        <v>8</v>
      </c>
      <c r="F1167" s="26" t="s">
        <v>9</v>
      </c>
      <c r="G1167" s="27" t="s">
        <v>10</v>
      </c>
      <c r="H1167" s="75" t="s">
        <v>10</v>
      </c>
    </row>
    <row r="1168" spans="1:22" ht="12.6" customHeight="1" x14ac:dyDescent="0.2">
      <c r="A1168" s="76">
        <v>1</v>
      </c>
      <c r="B1168" s="77">
        <f>+B81</f>
        <v>72</v>
      </c>
      <c r="C1168" s="78" t="s">
        <v>200</v>
      </c>
      <c r="D1168" s="79">
        <f>+D81</f>
        <v>13232</v>
      </c>
      <c r="E1168" s="79">
        <f>+E81</f>
        <v>4339</v>
      </c>
      <c r="F1168" s="79">
        <f>+F81</f>
        <v>49111</v>
      </c>
      <c r="G1168" s="79">
        <f>+G81</f>
        <v>66682</v>
      </c>
      <c r="H1168" s="80">
        <f>+(D1168+E1168)/G1168</f>
        <v>0.26350439398938247</v>
      </c>
    </row>
    <row r="1169" spans="1:8" ht="12.6" customHeight="1" x14ac:dyDescent="0.2">
      <c r="A1169" s="42">
        <v>2</v>
      </c>
      <c r="B1169" s="43">
        <f>+B88</f>
        <v>4</v>
      </c>
      <c r="C1169" s="44" t="s">
        <v>201</v>
      </c>
      <c r="D1169" s="2">
        <f>+D88</f>
        <v>461</v>
      </c>
      <c r="E1169" s="2">
        <f>+E88</f>
        <v>282</v>
      </c>
      <c r="F1169" s="2">
        <f>+F88</f>
        <v>824</v>
      </c>
      <c r="G1169" s="2">
        <f>+G88</f>
        <v>1567</v>
      </c>
      <c r="H1169" s="45">
        <f t="shared" ref="H1169:H1247" si="173">+(D1169+E1169)/G1169</f>
        <v>0.47415443522654754</v>
      </c>
    </row>
    <row r="1170" spans="1:8" ht="12.6" customHeight="1" x14ac:dyDescent="0.2">
      <c r="A1170" s="42">
        <v>3</v>
      </c>
      <c r="B1170" s="43">
        <f>+B113</f>
        <v>22</v>
      </c>
      <c r="C1170" s="44" t="s">
        <v>202</v>
      </c>
      <c r="D1170" s="2">
        <f>+D113</f>
        <v>3182</v>
      </c>
      <c r="E1170" s="2">
        <f>+E113</f>
        <v>1195</v>
      </c>
      <c r="F1170" s="2">
        <f>+F113</f>
        <v>6754</v>
      </c>
      <c r="G1170" s="2">
        <f>+G113</f>
        <v>11131</v>
      </c>
      <c r="H1170" s="45">
        <f t="shared" si="173"/>
        <v>0.39322612523582789</v>
      </c>
    </row>
    <row r="1171" spans="1:8" ht="12.6" customHeight="1" x14ac:dyDescent="0.2">
      <c r="A1171" s="42">
        <v>4</v>
      </c>
      <c r="B1171" s="43">
        <f>+B141</f>
        <v>25</v>
      </c>
      <c r="C1171" s="44" t="s">
        <v>203</v>
      </c>
      <c r="D1171" s="2">
        <f>+D141</f>
        <v>3020</v>
      </c>
      <c r="E1171" s="2">
        <f>+E141</f>
        <v>1754</v>
      </c>
      <c r="F1171" s="2">
        <f>+F141</f>
        <v>10482</v>
      </c>
      <c r="G1171" s="2">
        <f>+G141</f>
        <v>15256</v>
      </c>
      <c r="H1171" s="45">
        <f t="shared" si="173"/>
        <v>0.31292606187729416</v>
      </c>
    </row>
    <row r="1172" spans="1:8" ht="12.6" customHeight="1" x14ac:dyDescent="0.2">
      <c r="A1172" s="42">
        <v>5</v>
      </c>
      <c r="B1172" s="43">
        <f>+B154</f>
        <v>10</v>
      </c>
      <c r="C1172" s="44" t="s">
        <v>204</v>
      </c>
      <c r="D1172" s="2">
        <f>+D154</f>
        <v>1191</v>
      </c>
      <c r="E1172" s="2">
        <f>+E154</f>
        <v>345</v>
      </c>
      <c r="F1172" s="2">
        <f>+F154</f>
        <v>2094</v>
      </c>
      <c r="G1172" s="2">
        <f>+G154</f>
        <v>3630</v>
      </c>
      <c r="H1172" s="45">
        <f t="shared" si="173"/>
        <v>0.42314049586776858</v>
      </c>
    </row>
    <row r="1173" spans="1:8" ht="12.6" customHeight="1" x14ac:dyDescent="0.2">
      <c r="A1173" s="42">
        <v>6</v>
      </c>
      <c r="B1173" s="43">
        <f>+B159</f>
        <v>2</v>
      </c>
      <c r="C1173" s="44" t="s">
        <v>205</v>
      </c>
      <c r="D1173" s="2">
        <f>+D159</f>
        <v>24</v>
      </c>
      <c r="E1173" s="2">
        <f>+E159</f>
        <v>27</v>
      </c>
      <c r="F1173" s="2">
        <f>+F159</f>
        <v>99</v>
      </c>
      <c r="G1173" s="2">
        <f>+G159</f>
        <v>150</v>
      </c>
      <c r="H1173" s="45">
        <f t="shared" si="173"/>
        <v>0.34</v>
      </c>
    </row>
    <row r="1174" spans="1:8" ht="12.6" customHeight="1" x14ac:dyDescent="0.2">
      <c r="A1174" s="42">
        <v>7</v>
      </c>
      <c r="B1174" s="43">
        <f>+B250</f>
        <v>88</v>
      </c>
      <c r="C1174" s="44" t="s">
        <v>45</v>
      </c>
      <c r="D1174" s="2">
        <f>+D250</f>
        <v>12841</v>
      </c>
      <c r="E1174" s="2">
        <f>+E250</f>
        <v>4835</v>
      </c>
      <c r="F1174" s="2">
        <f>+F250</f>
        <v>50603</v>
      </c>
      <c r="G1174" s="2">
        <f>+G250</f>
        <v>68279</v>
      </c>
      <c r="H1174" s="45">
        <f t="shared" si="173"/>
        <v>0.2588790111161558</v>
      </c>
    </row>
    <row r="1175" spans="1:8" ht="12.6" customHeight="1" x14ac:dyDescent="0.2">
      <c r="A1175" s="42">
        <v>8</v>
      </c>
      <c r="B1175" s="43">
        <f>+B267</f>
        <v>14</v>
      </c>
      <c r="C1175" s="44" t="s">
        <v>48</v>
      </c>
      <c r="D1175" s="2">
        <f>+D267</f>
        <v>1117</v>
      </c>
      <c r="E1175" s="2">
        <f>+E267</f>
        <v>469</v>
      </c>
      <c r="F1175" s="2">
        <f>+F267</f>
        <v>2932</v>
      </c>
      <c r="G1175" s="2">
        <f>+G267</f>
        <v>4518</v>
      </c>
      <c r="H1175" s="45">
        <f t="shared" si="173"/>
        <v>0.35104028331119963</v>
      </c>
    </row>
    <row r="1176" spans="1:8" ht="12.6" customHeight="1" x14ac:dyDescent="0.2">
      <c r="A1176" s="42">
        <v>9</v>
      </c>
      <c r="B1176" s="43">
        <f>+B280</f>
        <v>10</v>
      </c>
      <c r="C1176" s="44" t="s">
        <v>56</v>
      </c>
      <c r="D1176" s="2">
        <f>+D280</f>
        <v>724</v>
      </c>
      <c r="E1176" s="2">
        <f>+E280</f>
        <v>336</v>
      </c>
      <c r="F1176" s="2">
        <f>+F280</f>
        <v>1373</v>
      </c>
      <c r="G1176" s="2">
        <f>+G280</f>
        <v>2433</v>
      </c>
      <c r="H1176" s="45">
        <f t="shared" si="173"/>
        <v>0.43567612001644063</v>
      </c>
    </row>
    <row r="1177" spans="1:8" ht="12.6" customHeight="1" x14ac:dyDescent="0.2">
      <c r="A1177" s="42">
        <v>10</v>
      </c>
      <c r="B1177" s="43">
        <f>+B292</f>
        <v>9</v>
      </c>
      <c r="C1177" s="44" t="s">
        <v>59</v>
      </c>
      <c r="D1177" s="2">
        <f>+D292</f>
        <v>318</v>
      </c>
      <c r="E1177" s="2">
        <f>+E292</f>
        <v>128</v>
      </c>
      <c r="F1177" s="2">
        <f>+F292</f>
        <v>535</v>
      </c>
      <c r="G1177" s="2">
        <f>+G292</f>
        <v>981</v>
      </c>
      <c r="H1177" s="45">
        <f t="shared" si="173"/>
        <v>0.45463812436289502</v>
      </c>
    </row>
    <row r="1178" spans="1:8" ht="12.6" customHeight="1" x14ac:dyDescent="0.2">
      <c r="A1178" s="42">
        <v>11</v>
      </c>
      <c r="B1178" s="43">
        <f>+B298</f>
        <v>3</v>
      </c>
      <c r="C1178" s="44" t="s">
        <v>61</v>
      </c>
      <c r="D1178" s="2">
        <f>+D298</f>
        <v>543</v>
      </c>
      <c r="E1178" s="2">
        <f>+E298</f>
        <v>144</v>
      </c>
      <c r="F1178" s="2">
        <f>+F298</f>
        <v>835</v>
      </c>
      <c r="G1178" s="2">
        <f>+G298</f>
        <v>1522</v>
      </c>
      <c r="H1178" s="45">
        <f t="shared" si="173"/>
        <v>0.45137976346911957</v>
      </c>
    </row>
    <row r="1179" spans="1:8" ht="12.6" customHeight="1" x14ac:dyDescent="0.2">
      <c r="A1179" s="42">
        <v>12</v>
      </c>
      <c r="B1179" s="43">
        <f>+B390</f>
        <v>89</v>
      </c>
      <c r="C1179" s="44" t="s">
        <v>63</v>
      </c>
      <c r="D1179" s="2">
        <f>+D390</f>
        <v>29722</v>
      </c>
      <c r="E1179" s="2">
        <f>+E390</f>
        <v>4534</v>
      </c>
      <c r="F1179" s="2">
        <f>+F390</f>
        <v>34374</v>
      </c>
      <c r="G1179" s="2">
        <f>+G390</f>
        <v>68630</v>
      </c>
      <c r="H1179" s="45">
        <f t="shared" si="173"/>
        <v>0.49914031764534461</v>
      </c>
    </row>
    <row r="1180" spans="1:8" ht="12.6" customHeight="1" x14ac:dyDescent="0.2">
      <c r="A1180" s="42">
        <v>13</v>
      </c>
      <c r="B1180" s="43">
        <f>+B407</f>
        <v>14</v>
      </c>
      <c r="C1180" s="44" t="s">
        <v>72</v>
      </c>
      <c r="D1180" s="2">
        <f>+D407</f>
        <v>3067</v>
      </c>
      <c r="E1180" s="2">
        <f>+E407</f>
        <v>880</v>
      </c>
      <c r="F1180" s="2">
        <f>+F407</f>
        <v>4744</v>
      </c>
      <c r="G1180" s="2">
        <f>+G407</f>
        <v>8691</v>
      </c>
      <c r="H1180" s="45">
        <f t="shared" si="173"/>
        <v>0.45414796916350247</v>
      </c>
    </row>
    <row r="1181" spans="1:8" ht="12.6" customHeight="1" x14ac:dyDescent="0.2">
      <c r="A1181" s="42">
        <v>14</v>
      </c>
      <c r="B1181" s="43">
        <f>+B460</f>
        <v>50</v>
      </c>
      <c r="C1181" s="44" t="s">
        <v>80</v>
      </c>
      <c r="D1181" s="2">
        <f>+D460</f>
        <v>8492</v>
      </c>
      <c r="E1181" s="2">
        <f>+E460</f>
        <v>3047</v>
      </c>
      <c r="F1181" s="2">
        <f>+F460</f>
        <v>34971</v>
      </c>
      <c r="G1181" s="2">
        <f>+G460</f>
        <v>46510</v>
      </c>
      <c r="H1181" s="45">
        <f t="shared" si="173"/>
        <v>0.24809718340141904</v>
      </c>
    </row>
    <row r="1182" spans="1:8" ht="12.6" customHeight="1" x14ac:dyDescent="0.2">
      <c r="A1182" s="42">
        <v>15</v>
      </c>
      <c r="B1182" s="43">
        <f>+B468</f>
        <v>5</v>
      </c>
      <c r="C1182" s="44" t="s">
        <v>103</v>
      </c>
      <c r="D1182" s="2">
        <f>+D468</f>
        <v>621</v>
      </c>
      <c r="E1182" s="2">
        <f>+E468</f>
        <v>235</v>
      </c>
      <c r="F1182" s="2">
        <f>+F468</f>
        <v>1372</v>
      </c>
      <c r="G1182" s="2">
        <f>+G468</f>
        <v>2228</v>
      </c>
      <c r="H1182" s="45">
        <f t="shared" si="173"/>
        <v>0.38420107719928187</v>
      </c>
    </row>
    <row r="1183" spans="1:8" ht="12.6" customHeight="1" x14ac:dyDescent="0.2">
      <c r="A1183" s="42">
        <v>16</v>
      </c>
      <c r="B1183" s="43">
        <f>+B479</f>
        <v>8</v>
      </c>
      <c r="C1183" s="44" t="s">
        <v>105</v>
      </c>
      <c r="D1183" s="2">
        <f>+D479</f>
        <v>361</v>
      </c>
      <c r="E1183" s="2">
        <f>+E479</f>
        <v>219</v>
      </c>
      <c r="F1183" s="2">
        <f>+F479</f>
        <v>596</v>
      </c>
      <c r="G1183" s="2">
        <f>+G479</f>
        <v>1176</v>
      </c>
      <c r="H1183" s="45">
        <f t="shared" si="173"/>
        <v>0.49319727891156462</v>
      </c>
    </row>
    <row r="1184" spans="1:8" ht="12.6" customHeight="1" x14ac:dyDescent="0.2">
      <c r="A1184" s="42">
        <v>17</v>
      </c>
      <c r="B1184" s="43">
        <f>+B489</f>
        <v>7</v>
      </c>
      <c r="C1184" s="44" t="s">
        <v>111</v>
      </c>
      <c r="D1184" s="2">
        <f>+D489</f>
        <v>1151</v>
      </c>
      <c r="E1184" s="2">
        <f>+E489</f>
        <v>390</v>
      </c>
      <c r="F1184" s="2">
        <f>+F489</f>
        <v>1422</v>
      </c>
      <c r="G1184" s="2">
        <f>+G489</f>
        <v>2963</v>
      </c>
      <c r="H1184" s="45">
        <f t="shared" si="173"/>
        <v>0.5200809989875127</v>
      </c>
    </row>
    <row r="1185" spans="1:8" ht="12.6" customHeight="1" x14ac:dyDescent="0.2">
      <c r="A1185" s="42">
        <v>18</v>
      </c>
      <c r="B1185" s="43">
        <f>+B496</f>
        <v>4</v>
      </c>
      <c r="C1185" s="44" t="s">
        <v>42</v>
      </c>
      <c r="D1185" s="2">
        <f>+D496</f>
        <v>284</v>
      </c>
      <c r="E1185" s="2">
        <f>+E496</f>
        <v>167</v>
      </c>
      <c r="F1185" s="2">
        <f>+F496</f>
        <v>2152</v>
      </c>
      <c r="G1185" s="2">
        <f>+G496</f>
        <v>2603</v>
      </c>
      <c r="H1185" s="45">
        <f t="shared" si="173"/>
        <v>0.17326162120630043</v>
      </c>
    </row>
    <row r="1186" spans="1:8" ht="12.6" customHeight="1" x14ac:dyDescent="0.2">
      <c r="A1186" s="42">
        <v>19</v>
      </c>
      <c r="B1186" s="43">
        <f>+B539</f>
        <v>40</v>
      </c>
      <c r="C1186" s="44" t="s">
        <v>118</v>
      </c>
      <c r="D1186" s="2">
        <f>+D539</f>
        <v>7938</v>
      </c>
      <c r="E1186" s="2">
        <f>+E539</f>
        <v>3087</v>
      </c>
      <c r="F1186" s="2">
        <f>+F539</f>
        <v>18951</v>
      </c>
      <c r="G1186" s="2">
        <f>+G539</f>
        <v>29976</v>
      </c>
      <c r="H1186" s="45">
        <f t="shared" si="173"/>
        <v>0.36779423538831063</v>
      </c>
    </row>
    <row r="1187" spans="1:8" ht="12.6" customHeight="1" x14ac:dyDescent="0.2">
      <c r="A1187" s="42">
        <v>20</v>
      </c>
      <c r="B1187" s="43">
        <f>+B549</f>
        <v>7</v>
      </c>
      <c r="C1187" s="44" t="s">
        <v>121</v>
      </c>
      <c r="D1187" s="2">
        <f>+D549</f>
        <v>902</v>
      </c>
      <c r="E1187" s="2">
        <f>+E549</f>
        <v>329</v>
      </c>
      <c r="F1187" s="2">
        <f>+F549</f>
        <v>1042</v>
      </c>
      <c r="G1187" s="2">
        <f>+G549</f>
        <v>2273</v>
      </c>
      <c r="H1187" s="45">
        <f t="shared" si="173"/>
        <v>0.54157501099868011</v>
      </c>
    </row>
    <row r="1188" spans="1:8" ht="12.6" customHeight="1" x14ac:dyDescent="0.2">
      <c r="A1188" s="42">
        <v>21</v>
      </c>
      <c r="B1188" s="43">
        <f>+B555</f>
        <v>3</v>
      </c>
      <c r="C1188" s="44" t="s">
        <v>123</v>
      </c>
      <c r="D1188" s="2">
        <f>+D555</f>
        <v>240</v>
      </c>
      <c r="E1188" s="2">
        <f>+E555</f>
        <v>59</v>
      </c>
      <c r="F1188" s="2">
        <f>+F555</f>
        <v>613</v>
      </c>
      <c r="G1188" s="2">
        <f>+G555</f>
        <v>912</v>
      </c>
      <c r="H1188" s="45">
        <f t="shared" si="173"/>
        <v>0.32785087719298245</v>
      </c>
    </row>
    <row r="1189" spans="1:8" ht="12.6" customHeight="1" x14ac:dyDescent="0.2">
      <c r="A1189" s="42">
        <v>22</v>
      </c>
      <c r="B1189" s="43">
        <f>+B565</f>
        <v>7</v>
      </c>
      <c r="C1189" s="44" t="s">
        <v>127</v>
      </c>
      <c r="D1189" s="2">
        <f>+D565</f>
        <v>806</v>
      </c>
      <c r="E1189" s="2">
        <f>+E565</f>
        <v>103</v>
      </c>
      <c r="F1189" s="2">
        <f>+F565</f>
        <v>3508</v>
      </c>
      <c r="G1189" s="2">
        <f>+G565</f>
        <v>4417</v>
      </c>
      <c r="H1189" s="45">
        <f t="shared" si="173"/>
        <v>0.20579578899705683</v>
      </c>
    </row>
    <row r="1190" spans="1:8" ht="12.6" customHeight="1" x14ac:dyDescent="0.2">
      <c r="A1190" s="42">
        <v>23</v>
      </c>
      <c r="B1190" s="43">
        <f>+B571</f>
        <v>3</v>
      </c>
      <c r="C1190" s="44" t="s">
        <v>130</v>
      </c>
      <c r="D1190" s="2">
        <f>+D571</f>
        <v>181</v>
      </c>
      <c r="E1190" s="2">
        <f>+E571</f>
        <v>49</v>
      </c>
      <c r="F1190" s="2">
        <f>+F571</f>
        <v>116</v>
      </c>
      <c r="G1190" s="2">
        <f>+G571</f>
        <v>346</v>
      </c>
      <c r="H1190" s="45">
        <f t="shared" si="173"/>
        <v>0.66473988439306353</v>
      </c>
    </row>
    <row r="1191" spans="1:8" ht="12.6" customHeight="1" x14ac:dyDescent="0.2">
      <c r="A1191" s="42">
        <v>24</v>
      </c>
      <c r="B1191" s="43">
        <f>+B578</f>
        <v>4</v>
      </c>
      <c r="C1191" s="44" t="s">
        <v>132</v>
      </c>
      <c r="D1191" s="2">
        <f>+D578</f>
        <v>257</v>
      </c>
      <c r="E1191" s="2">
        <f>+E578</f>
        <v>20</v>
      </c>
      <c r="F1191" s="2">
        <f>+F578</f>
        <v>200</v>
      </c>
      <c r="G1191" s="2">
        <f>+G578</f>
        <v>477</v>
      </c>
      <c r="H1191" s="45">
        <f t="shared" si="173"/>
        <v>0.58071278825995809</v>
      </c>
    </row>
    <row r="1192" spans="1:8" ht="12.6" customHeight="1" x14ac:dyDescent="0.2">
      <c r="A1192" s="42">
        <v>25</v>
      </c>
      <c r="B1192" s="43">
        <f>+B593</f>
        <v>12</v>
      </c>
      <c r="C1192" s="44" t="s">
        <v>133</v>
      </c>
      <c r="D1192" s="2">
        <f>+D593</f>
        <v>1752</v>
      </c>
      <c r="E1192" s="2">
        <f>+E593</f>
        <v>255</v>
      </c>
      <c r="F1192" s="2">
        <f>+F593</f>
        <v>1002</v>
      </c>
      <c r="G1192" s="2">
        <f>+G593</f>
        <v>3009</v>
      </c>
      <c r="H1192" s="45">
        <f t="shared" si="173"/>
        <v>0.66699900299102688</v>
      </c>
    </row>
    <row r="1193" spans="1:8" ht="12.6" customHeight="1" x14ac:dyDescent="0.2">
      <c r="A1193" s="42">
        <v>26</v>
      </c>
      <c r="B1193" s="43">
        <f>+B608</f>
        <v>12</v>
      </c>
      <c r="C1193" s="44" t="s">
        <v>140</v>
      </c>
      <c r="D1193" s="2">
        <f>+D608</f>
        <v>1555</v>
      </c>
      <c r="E1193" s="2">
        <f>+E608</f>
        <v>655</v>
      </c>
      <c r="F1193" s="2">
        <f>+F608</f>
        <v>2413</v>
      </c>
      <c r="G1193" s="2">
        <f>+G608</f>
        <v>4623</v>
      </c>
      <c r="H1193" s="45">
        <f t="shared" si="173"/>
        <v>0.47804455980964744</v>
      </c>
    </row>
    <row r="1194" spans="1:8" ht="12.6" customHeight="1" x14ac:dyDescent="0.2">
      <c r="A1194" s="42">
        <v>27</v>
      </c>
      <c r="B1194" s="43">
        <f>+B618</f>
        <v>7</v>
      </c>
      <c r="C1194" s="44" t="s">
        <v>147</v>
      </c>
      <c r="D1194" s="2">
        <f>+D618</f>
        <v>1099</v>
      </c>
      <c r="E1194" s="2">
        <f>+E618</f>
        <v>475</v>
      </c>
      <c r="F1194" s="2">
        <f>+F618</f>
        <v>1342</v>
      </c>
      <c r="G1194" s="2">
        <f>+G618</f>
        <v>2916</v>
      </c>
      <c r="H1194" s="45">
        <f t="shared" si="173"/>
        <v>0.53978052126200271</v>
      </c>
    </row>
    <row r="1195" spans="1:8" ht="12.6" customHeight="1" x14ac:dyDescent="0.2">
      <c r="A1195" s="42">
        <v>28</v>
      </c>
      <c r="B1195" s="43">
        <f>+B624</f>
        <v>3</v>
      </c>
      <c r="C1195" s="44" t="s">
        <v>152</v>
      </c>
      <c r="D1195" s="2">
        <f>+D624</f>
        <v>219</v>
      </c>
      <c r="E1195" s="2">
        <f>+E624</f>
        <v>80</v>
      </c>
      <c r="F1195" s="2">
        <f>+F624</f>
        <v>1153</v>
      </c>
      <c r="G1195" s="2">
        <f>+G624</f>
        <v>1452</v>
      </c>
      <c r="H1195" s="45">
        <f t="shared" si="173"/>
        <v>0.2059228650137741</v>
      </c>
    </row>
    <row r="1196" spans="1:8" ht="12.6" customHeight="1" x14ac:dyDescent="0.2">
      <c r="A1196" s="42">
        <v>29</v>
      </c>
      <c r="B1196" s="43">
        <f>+B628</f>
        <v>1</v>
      </c>
      <c r="C1196" s="44" t="s">
        <v>156</v>
      </c>
      <c r="D1196" s="2">
        <f>+D628</f>
        <v>85</v>
      </c>
      <c r="E1196" s="2">
        <f>+E628</f>
        <v>26</v>
      </c>
      <c r="F1196" s="2">
        <f>+F628</f>
        <v>106</v>
      </c>
      <c r="G1196" s="2">
        <f>+G628</f>
        <v>217</v>
      </c>
      <c r="H1196" s="45">
        <f t="shared" si="173"/>
        <v>0.51152073732718895</v>
      </c>
    </row>
    <row r="1197" spans="1:8" ht="12.6" customHeight="1" x14ac:dyDescent="0.2">
      <c r="A1197" s="42">
        <v>30</v>
      </c>
      <c r="B1197" s="43">
        <f>+B654</f>
        <v>23</v>
      </c>
      <c r="C1197" s="44" t="s">
        <v>157</v>
      </c>
      <c r="D1197" s="2">
        <f>+D654</f>
        <v>3960</v>
      </c>
      <c r="E1197" s="2">
        <f>+E654</f>
        <v>1181</v>
      </c>
      <c r="F1197" s="2">
        <f>+F654</f>
        <v>8450</v>
      </c>
      <c r="G1197" s="2">
        <f>+G654</f>
        <v>13591</v>
      </c>
      <c r="H1197" s="45">
        <f t="shared" si="173"/>
        <v>0.3782650283275697</v>
      </c>
    </row>
    <row r="1198" spans="1:8" ht="12.6" customHeight="1" x14ac:dyDescent="0.2">
      <c r="A1198" s="42">
        <v>31</v>
      </c>
      <c r="B1198" s="43">
        <f>+B669</f>
        <v>12</v>
      </c>
      <c r="C1198" s="44" t="s">
        <v>161</v>
      </c>
      <c r="D1198" s="2">
        <f>+D669</f>
        <v>1753</v>
      </c>
      <c r="E1198" s="2">
        <f>+E669</f>
        <v>656</v>
      </c>
      <c r="F1198" s="2">
        <f>+F669</f>
        <v>3628</v>
      </c>
      <c r="G1198" s="2">
        <f>+G669</f>
        <v>6037</v>
      </c>
      <c r="H1198" s="45">
        <f t="shared" si="173"/>
        <v>0.39903925790955774</v>
      </c>
    </row>
    <row r="1199" spans="1:8" ht="12.6" customHeight="1" x14ac:dyDescent="0.2">
      <c r="A1199" s="42">
        <v>32</v>
      </c>
      <c r="B1199" s="43">
        <f>+B679</f>
        <v>7</v>
      </c>
      <c r="C1199" s="44" t="s">
        <v>43</v>
      </c>
      <c r="D1199" s="2">
        <f>+D679</f>
        <v>1361</v>
      </c>
      <c r="E1199" s="2">
        <f>+E679</f>
        <v>382</v>
      </c>
      <c r="F1199" s="2">
        <f>+F679</f>
        <v>3050</v>
      </c>
      <c r="G1199" s="2">
        <f>+G679</f>
        <v>4793</v>
      </c>
      <c r="H1199" s="45">
        <f t="shared" si="173"/>
        <v>0.36365533069059042</v>
      </c>
    </row>
    <row r="1200" spans="1:8" ht="12.6" customHeight="1" x14ac:dyDescent="0.2">
      <c r="A1200" s="42">
        <v>33</v>
      </c>
      <c r="B1200" s="43">
        <f>+B721</f>
        <v>39</v>
      </c>
      <c r="C1200" s="44" t="s">
        <v>44</v>
      </c>
      <c r="D1200" s="2">
        <f>+D721</f>
        <v>8650</v>
      </c>
      <c r="E1200" s="2">
        <f>+E721</f>
        <v>2475</v>
      </c>
      <c r="F1200" s="2">
        <f>+F721</f>
        <v>12457</v>
      </c>
      <c r="G1200" s="2">
        <f>+G721</f>
        <v>23582</v>
      </c>
      <c r="H1200" s="45">
        <f t="shared" si="173"/>
        <v>0.47175812060045796</v>
      </c>
    </row>
    <row r="1201" spans="1:8" ht="12.6" customHeight="1" x14ac:dyDescent="0.2">
      <c r="A1201" s="42">
        <v>34</v>
      </c>
      <c r="B1201" s="43">
        <f>+B728</f>
        <v>4</v>
      </c>
      <c r="C1201" s="44" t="s">
        <v>172</v>
      </c>
      <c r="D1201" s="2">
        <f>+D728</f>
        <v>183</v>
      </c>
      <c r="E1201" s="2">
        <f>+E728</f>
        <v>83</v>
      </c>
      <c r="F1201" s="2">
        <f>+F728</f>
        <v>301</v>
      </c>
      <c r="G1201" s="2">
        <f>+G728</f>
        <v>567</v>
      </c>
      <c r="H1201" s="45">
        <f t="shared" si="173"/>
        <v>0.46913580246913578</v>
      </c>
    </row>
    <row r="1202" spans="1:8" ht="12.6" customHeight="1" x14ac:dyDescent="0.2">
      <c r="A1202" s="42">
        <v>35</v>
      </c>
      <c r="B1202" s="43">
        <f>+B774</f>
        <v>43</v>
      </c>
      <c r="C1202" s="44" t="s">
        <v>175</v>
      </c>
      <c r="D1202" s="2">
        <f>+D774</f>
        <v>7153</v>
      </c>
      <c r="E1202" s="2">
        <f>+E774</f>
        <v>2869</v>
      </c>
      <c r="F1202" s="2">
        <f>+F774</f>
        <v>18491</v>
      </c>
      <c r="G1202" s="2">
        <f>+G774</f>
        <v>28513</v>
      </c>
      <c r="H1202" s="45">
        <f t="shared" si="173"/>
        <v>0.35148879458492616</v>
      </c>
    </row>
    <row r="1203" spans="1:8" ht="12.6" customHeight="1" x14ac:dyDescent="0.2">
      <c r="A1203" s="42">
        <v>36</v>
      </c>
      <c r="B1203" s="43">
        <f>+B820</f>
        <v>43</v>
      </c>
      <c r="C1203" s="44" t="s">
        <v>181</v>
      </c>
      <c r="D1203" s="2">
        <f>+D820</f>
        <v>13964</v>
      </c>
      <c r="E1203" s="2">
        <f>+E820</f>
        <v>1763</v>
      </c>
      <c r="F1203" s="2">
        <f>+F820</f>
        <v>10026</v>
      </c>
      <c r="G1203" s="2">
        <f>+G820</f>
        <v>25753</v>
      </c>
      <c r="H1203" s="45">
        <f t="shared" si="173"/>
        <v>0.61068613365433155</v>
      </c>
    </row>
    <row r="1204" spans="1:8" ht="12.6" customHeight="1" x14ac:dyDescent="0.2">
      <c r="A1204" s="42">
        <v>37</v>
      </c>
      <c r="B1204" s="43">
        <f>+B843</f>
        <v>20</v>
      </c>
      <c r="C1204" s="44" t="s">
        <v>182</v>
      </c>
      <c r="D1204" s="2">
        <f>+D843</f>
        <v>8198</v>
      </c>
      <c r="E1204" s="2">
        <f>+E843</f>
        <v>930</v>
      </c>
      <c r="F1204" s="2">
        <f>+F843</f>
        <v>3432</v>
      </c>
      <c r="G1204" s="2">
        <f>+G843</f>
        <v>12560</v>
      </c>
      <c r="H1204" s="45">
        <f t="shared" si="173"/>
        <v>0.72675159235668785</v>
      </c>
    </row>
    <row r="1205" spans="1:8" ht="12.6" customHeight="1" x14ac:dyDescent="0.2">
      <c r="A1205" s="42">
        <v>38</v>
      </c>
      <c r="B1205" s="43">
        <f>+B864</f>
        <v>18</v>
      </c>
      <c r="C1205" s="44" t="s">
        <v>186</v>
      </c>
      <c r="D1205" s="2">
        <f>+D864</f>
        <v>5259</v>
      </c>
      <c r="E1205" s="2">
        <f>+E864</f>
        <v>1194</v>
      </c>
      <c r="F1205" s="2">
        <f>+F864</f>
        <v>6912</v>
      </c>
      <c r="G1205" s="2">
        <f>+G864</f>
        <v>13365</v>
      </c>
      <c r="H1205" s="45">
        <f t="shared" si="173"/>
        <v>0.48282828282828283</v>
      </c>
    </row>
    <row r="1206" spans="1:8" ht="12.6" customHeight="1" x14ac:dyDescent="0.2">
      <c r="A1206" s="42">
        <v>39</v>
      </c>
      <c r="B1206" s="43">
        <f>+B876</f>
        <v>9</v>
      </c>
      <c r="C1206" s="44" t="s">
        <v>192</v>
      </c>
      <c r="D1206" s="2">
        <f>+D876</f>
        <v>2751</v>
      </c>
      <c r="E1206" s="2">
        <f>+E876</f>
        <v>606</v>
      </c>
      <c r="F1206" s="2">
        <f>+F876</f>
        <v>2784</v>
      </c>
      <c r="G1206" s="2">
        <f>+G876</f>
        <v>6141</v>
      </c>
      <c r="H1206" s="45">
        <f t="shared" si="173"/>
        <v>0.54665363947239864</v>
      </c>
    </row>
    <row r="1207" spans="1:8" ht="12.6" customHeight="1" x14ac:dyDescent="0.2">
      <c r="A1207" s="42">
        <v>40</v>
      </c>
      <c r="B1207" s="43">
        <f>+B891</f>
        <v>12</v>
      </c>
      <c r="C1207" s="44" t="s">
        <v>195</v>
      </c>
      <c r="D1207" s="2">
        <f>+D891</f>
        <v>1703</v>
      </c>
      <c r="E1207" s="2">
        <f>+E891</f>
        <v>392</v>
      </c>
      <c r="F1207" s="2">
        <f>+F891</f>
        <v>4555</v>
      </c>
      <c r="G1207" s="2">
        <f>+G891</f>
        <v>6650</v>
      </c>
      <c r="H1207" s="45">
        <f t="shared" si="173"/>
        <v>0.31503759398496239</v>
      </c>
    </row>
    <row r="1208" spans="1:8" ht="12.6" customHeight="1" x14ac:dyDescent="0.2">
      <c r="A1208" s="42">
        <v>42</v>
      </c>
      <c r="B1208" s="43">
        <f>B937</f>
        <v>43</v>
      </c>
      <c r="C1208" s="98" t="s">
        <v>466</v>
      </c>
      <c r="D1208" s="42">
        <f>D937</f>
        <v>6884</v>
      </c>
      <c r="E1208" s="42">
        <f>E937</f>
        <v>1565</v>
      </c>
      <c r="F1208" s="140">
        <f>F937</f>
        <v>25188</v>
      </c>
      <c r="G1208" s="140">
        <f>G937</f>
        <v>33637</v>
      </c>
      <c r="H1208" s="45">
        <f t="shared" ref="H1208" si="174">+(D1208+E1208)/G1208</f>
        <v>0.25118173439961949</v>
      </c>
    </row>
    <row r="1209" spans="1:8" ht="12.6" customHeight="1" x14ac:dyDescent="0.2">
      <c r="A1209" s="42">
        <v>68</v>
      </c>
      <c r="B1209" s="43">
        <f>+B943</f>
        <v>3</v>
      </c>
      <c r="C1209" s="44" t="s">
        <v>236</v>
      </c>
      <c r="D1209" s="42">
        <f>+D943</f>
        <v>435</v>
      </c>
      <c r="E1209" s="42">
        <f>+E943</f>
        <v>113</v>
      </c>
      <c r="F1209" s="42">
        <f>+F943</f>
        <v>504</v>
      </c>
      <c r="G1209" s="42">
        <f>+G943</f>
        <v>1052</v>
      </c>
      <c r="H1209" s="45">
        <f t="shared" ref="H1209:H1214" si="175">+(D1209+E1209)/G1209</f>
        <v>0.52091254752851712</v>
      </c>
    </row>
    <row r="1210" spans="1:8" ht="12.6" customHeight="1" x14ac:dyDescent="0.2">
      <c r="A1210" s="42">
        <v>74</v>
      </c>
      <c r="B1210" s="42">
        <f>B948</f>
        <v>2</v>
      </c>
      <c r="C1210" s="99" t="s">
        <v>950</v>
      </c>
      <c r="D1210" s="83">
        <f>+D948</f>
        <v>413</v>
      </c>
      <c r="E1210" s="83">
        <f>+E948</f>
        <v>100</v>
      </c>
      <c r="F1210" s="83">
        <f>+F948</f>
        <v>626</v>
      </c>
      <c r="G1210" s="83">
        <f>+G948</f>
        <v>1139</v>
      </c>
      <c r="H1210" s="45">
        <f t="shared" si="175"/>
        <v>0.45039508340649692</v>
      </c>
    </row>
    <row r="1211" spans="1:8" ht="12.6" customHeight="1" x14ac:dyDescent="0.2">
      <c r="A1211" s="42">
        <v>82</v>
      </c>
      <c r="B1211" s="42">
        <f>+B952</f>
        <v>1</v>
      </c>
      <c r="C1211" s="43" t="s">
        <v>234</v>
      </c>
      <c r="D1211" s="42">
        <f>+D952</f>
        <v>198</v>
      </c>
      <c r="E1211" s="42">
        <f>+E952</f>
        <v>103</v>
      </c>
      <c r="F1211" s="42">
        <f>+F952</f>
        <v>373</v>
      </c>
      <c r="G1211" s="42">
        <f>+G952</f>
        <v>674</v>
      </c>
      <c r="H1211" s="45">
        <f t="shared" si="175"/>
        <v>0.44658753709198812</v>
      </c>
    </row>
    <row r="1212" spans="1:8" ht="12.6" customHeight="1" x14ac:dyDescent="0.2">
      <c r="A1212" s="42">
        <v>86</v>
      </c>
      <c r="B1212" s="42">
        <f>+B956</f>
        <v>1</v>
      </c>
      <c r="C1212" s="43" t="s">
        <v>231</v>
      </c>
      <c r="D1212" s="42">
        <f>+D956</f>
        <v>227</v>
      </c>
      <c r="E1212" s="42">
        <f>+E956</f>
        <v>71</v>
      </c>
      <c r="F1212" s="42">
        <f>+F956</f>
        <v>196</v>
      </c>
      <c r="G1212" s="42">
        <f>+G956</f>
        <v>494</v>
      </c>
      <c r="H1212" s="45">
        <f t="shared" si="175"/>
        <v>0.60323886639676116</v>
      </c>
    </row>
    <row r="1213" spans="1:8" ht="12.6" customHeight="1" x14ac:dyDescent="0.2">
      <c r="A1213" s="42">
        <v>87</v>
      </c>
      <c r="B1213" s="42">
        <f>+B960</f>
        <v>1</v>
      </c>
      <c r="C1213" s="43" t="s">
        <v>237</v>
      </c>
      <c r="D1213" s="42">
        <f>+D960</f>
        <v>59</v>
      </c>
      <c r="E1213" s="42">
        <f>+E960</f>
        <v>11</v>
      </c>
      <c r="F1213" s="42">
        <f>+F960</f>
        <v>110</v>
      </c>
      <c r="G1213" s="42">
        <f>+G960</f>
        <v>180</v>
      </c>
      <c r="H1213" s="45">
        <f t="shared" si="175"/>
        <v>0.3888888888888889</v>
      </c>
    </row>
    <row r="1214" spans="1:8" ht="12.6" customHeight="1" x14ac:dyDescent="0.2">
      <c r="A1214" s="81">
        <v>98</v>
      </c>
      <c r="B1214" s="42">
        <f>+B964</f>
        <v>1</v>
      </c>
      <c r="C1214" s="99" t="s">
        <v>971</v>
      </c>
      <c r="D1214" s="42">
        <f>+D964</f>
        <v>96</v>
      </c>
      <c r="E1214" s="42">
        <f>+E964</f>
        <v>26</v>
      </c>
      <c r="F1214" s="42">
        <f>+F964</f>
        <v>89</v>
      </c>
      <c r="G1214" s="42">
        <f>+G964</f>
        <v>211</v>
      </c>
      <c r="H1214" s="45">
        <f t="shared" si="175"/>
        <v>0.5781990521327014</v>
      </c>
    </row>
    <row r="1215" spans="1:8" ht="12.6" customHeight="1" x14ac:dyDescent="0.2">
      <c r="A1215" s="89" t="s">
        <v>245</v>
      </c>
      <c r="B1215" s="86">
        <f>+B968</f>
        <v>1</v>
      </c>
      <c r="C1215" s="87" t="s">
        <v>246</v>
      </c>
      <c r="D1215" s="85">
        <f>+D968</f>
        <v>49</v>
      </c>
      <c r="E1215" s="85">
        <f>+E968</f>
        <v>28</v>
      </c>
      <c r="F1215" s="85">
        <f>+F968</f>
        <v>288</v>
      </c>
      <c r="G1215" s="85">
        <f>+G968</f>
        <v>365</v>
      </c>
      <c r="H1215" s="88">
        <f t="shared" si="173"/>
        <v>0.21095890410958903</v>
      </c>
    </row>
    <row r="1216" spans="1:8" ht="12.6" customHeight="1" x14ac:dyDescent="0.2">
      <c r="A1216" s="111" t="s">
        <v>948</v>
      </c>
      <c r="B1216" s="86">
        <f>B972</f>
        <v>1</v>
      </c>
      <c r="C1216" s="112" t="s">
        <v>949</v>
      </c>
      <c r="D1216" s="113">
        <f>+D972</f>
        <v>73</v>
      </c>
      <c r="E1216" s="113">
        <f>+E972</f>
        <v>39</v>
      </c>
      <c r="F1216" s="113">
        <f>+F972</f>
        <v>379</v>
      </c>
      <c r="G1216" s="113">
        <f>+G972</f>
        <v>491</v>
      </c>
      <c r="H1216" s="88">
        <f t="shared" ref="H1216" si="176">+(D1216+E1216)/G1216</f>
        <v>0.22810590631364563</v>
      </c>
    </row>
    <row r="1217" spans="1:93" s="92" customFormat="1" ht="12.6" customHeight="1" x14ac:dyDescent="0.2">
      <c r="A1217" s="81" t="s">
        <v>269</v>
      </c>
      <c r="B1217" s="81">
        <f>+B976</f>
        <v>1</v>
      </c>
      <c r="C1217" s="42" t="s">
        <v>222</v>
      </c>
      <c r="D1217" s="91">
        <f>+D976</f>
        <v>158</v>
      </c>
      <c r="E1217" s="91">
        <f>+E976</f>
        <v>9</v>
      </c>
      <c r="F1217" s="91">
        <f>+F976</f>
        <v>3</v>
      </c>
      <c r="G1217" s="91">
        <f>+G976</f>
        <v>170</v>
      </c>
      <c r="H1217" s="45">
        <f t="shared" ref="H1217:H1224" si="177">+(D1217+E1217)/G1217</f>
        <v>0.98235294117647054</v>
      </c>
      <c r="I1217" s="57"/>
      <c r="J1217" s="57"/>
      <c r="K1217" s="57"/>
      <c r="L1217" s="57"/>
      <c r="M1217" s="57"/>
      <c r="N1217" s="57"/>
      <c r="O1217" s="57"/>
      <c r="P1217" s="57"/>
      <c r="Q1217" s="57"/>
      <c r="R1217" s="57"/>
      <c r="S1217" s="57"/>
      <c r="T1217" s="57"/>
      <c r="U1217" s="57"/>
      <c r="V1217" s="57"/>
      <c r="W1217" s="57"/>
      <c r="X1217" s="57"/>
      <c r="Y1217" s="57"/>
      <c r="Z1217" s="57"/>
      <c r="AA1217" s="57"/>
      <c r="AB1217" s="57"/>
      <c r="AC1217" s="57"/>
      <c r="AD1217" s="57"/>
      <c r="AE1217" s="57"/>
      <c r="AF1217" s="57"/>
      <c r="AG1217" s="57"/>
      <c r="AH1217" s="57"/>
      <c r="AI1217" s="57"/>
      <c r="AJ1217" s="57"/>
      <c r="AK1217" s="57"/>
      <c r="AL1217" s="57"/>
      <c r="AM1217" s="57"/>
      <c r="AN1217" s="57"/>
      <c r="AO1217" s="57"/>
      <c r="AP1217" s="57"/>
      <c r="AQ1217" s="57"/>
      <c r="AR1217" s="57"/>
      <c r="AS1217" s="57"/>
      <c r="AT1217" s="57"/>
      <c r="AU1217" s="57"/>
      <c r="AV1217" s="57"/>
      <c r="AW1217" s="57"/>
      <c r="AX1217" s="57"/>
      <c r="AY1217" s="57"/>
      <c r="AZ1217" s="57"/>
      <c r="BA1217" s="57"/>
      <c r="BB1217" s="57"/>
      <c r="BC1217" s="57"/>
      <c r="BD1217" s="57"/>
      <c r="BE1217" s="57"/>
      <c r="BF1217" s="57"/>
      <c r="BG1217" s="57"/>
      <c r="BH1217" s="57"/>
      <c r="BI1217" s="57"/>
      <c r="BJ1217" s="57"/>
      <c r="BK1217" s="57"/>
      <c r="BL1217" s="57"/>
      <c r="BM1217" s="57"/>
      <c r="BN1217" s="57"/>
      <c r="BO1217" s="57"/>
      <c r="BP1217" s="57"/>
      <c r="BQ1217" s="57"/>
      <c r="BR1217" s="57"/>
      <c r="BS1217" s="57"/>
      <c r="BT1217" s="57"/>
      <c r="BU1217" s="57"/>
      <c r="BV1217" s="57"/>
      <c r="BW1217" s="57"/>
      <c r="BX1217" s="57"/>
      <c r="BY1217" s="57"/>
      <c r="BZ1217" s="57"/>
      <c r="CA1217" s="57"/>
      <c r="CB1217" s="57"/>
      <c r="CC1217" s="57"/>
      <c r="CD1217" s="57"/>
      <c r="CE1217" s="57"/>
      <c r="CF1217" s="57"/>
      <c r="CG1217" s="57"/>
      <c r="CH1217" s="57"/>
      <c r="CI1217" s="57"/>
      <c r="CJ1217" s="57"/>
      <c r="CK1217" s="57"/>
      <c r="CL1217" s="57"/>
      <c r="CM1217" s="57"/>
      <c r="CN1217" s="57"/>
      <c r="CO1217" s="57"/>
    </row>
    <row r="1218" spans="1:93" s="92" customFormat="1" ht="12.6" customHeight="1" x14ac:dyDescent="0.2">
      <c r="A1218" s="104" t="s">
        <v>943</v>
      </c>
      <c r="B1218" s="81">
        <f>B980</f>
        <v>1</v>
      </c>
      <c r="C1218" s="100" t="s">
        <v>942</v>
      </c>
      <c r="D1218" s="91">
        <f>D980</f>
        <v>105</v>
      </c>
      <c r="E1218" s="91">
        <f>E980</f>
        <v>48</v>
      </c>
      <c r="F1218" s="91">
        <f>F980</f>
        <v>105</v>
      </c>
      <c r="G1218" s="91">
        <f>G980</f>
        <v>258</v>
      </c>
      <c r="H1218" s="45">
        <f t="shared" si="177"/>
        <v>0.59302325581395354</v>
      </c>
      <c r="I1218" s="57"/>
      <c r="J1218" s="57"/>
      <c r="K1218" s="57"/>
      <c r="L1218" s="57"/>
      <c r="M1218" s="57"/>
      <c r="N1218" s="57"/>
      <c r="O1218" s="57"/>
      <c r="P1218" s="57"/>
      <c r="Q1218" s="57"/>
      <c r="R1218" s="57"/>
      <c r="S1218" s="57"/>
      <c r="T1218" s="57"/>
      <c r="U1218" s="57"/>
      <c r="V1218" s="57"/>
      <c r="W1218" s="57"/>
      <c r="X1218" s="57"/>
      <c r="Y1218" s="57"/>
      <c r="Z1218" s="57"/>
      <c r="AA1218" s="57"/>
      <c r="AB1218" s="57"/>
      <c r="AC1218" s="57"/>
      <c r="AD1218" s="57"/>
      <c r="AE1218" s="57"/>
      <c r="AF1218" s="57"/>
      <c r="AG1218" s="57"/>
      <c r="AH1218" s="57"/>
      <c r="AI1218" s="57"/>
      <c r="AJ1218" s="57"/>
      <c r="AK1218" s="57"/>
      <c r="AL1218" s="57"/>
      <c r="AM1218" s="57"/>
      <c r="AN1218" s="57"/>
      <c r="AO1218" s="57"/>
      <c r="AP1218" s="57"/>
      <c r="AQ1218" s="57"/>
      <c r="AR1218" s="57"/>
      <c r="AS1218" s="57"/>
      <c r="AT1218" s="57"/>
      <c r="AU1218" s="57"/>
      <c r="AV1218" s="57"/>
      <c r="AW1218" s="57"/>
      <c r="AX1218" s="57"/>
      <c r="AY1218" s="57"/>
      <c r="AZ1218" s="57"/>
      <c r="BA1218" s="57"/>
      <c r="BB1218" s="57"/>
      <c r="BC1218" s="57"/>
      <c r="BD1218" s="57"/>
      <c r="BE1218" s="57"/>
      <c r="BF1218" s="57"/>
      <c r="BG1218" s="57"/>
      <c r="BH1218" s="57"/>
      <c r="BI1218" s="57"/>
      <c r="BJ1218" s="57"/>
      <c r="BK1218" s="57"/>
      <c r="BL1218" s="57"/>
      <c r="BM1218" s="57"/>
      <c r="BN1218" s="57"/>
      <c r="BO1218" s="57"/>
      <c r="BP1218" s="57"/>
      <c r="BQ1218" s="57"/>
      <c r="BR1218" s="57"/>
      <c r="BS1218" s="57"/>
      <c r="BT1218" s="57"/>
      <c r="BU1218" s="57"/>
      <c r="BV1218" s="57"/>
      <c r="BW1218" s="57"/>
      <c r="BX1218" s="57"/>
      <c r="BY1218" s="57"/>
      <c r="BZ1218" s="57"/>
      <c r="CA1218" s="57"/>
      <c r="CB1218" s="57"/>
      <c r="CC1218" s="57"/>
      <c r="CD1218" s="57"/>
      <c r="CE1218" s="57"/>
      <c r="CF1218" s="57"/>
      <c r="CG1218" s="57"/>
      <c r="CH1218" s="57"/>
      <c r="CI1218" s="57"/>
      <c r="CJ1218" s="57"/>
      <c r="CK1218" s="57"/>
      <c r="CL1218" s="57"/>
      <c r="CM1218" s="57"/>
      <c r="CN1218" s="57"/>
      <c r="CO1218" s="57"/>
    </row>
    <row r="1219" spans="1:93" s="92" customFormat="1" ht="12.6" customHeight="1" x14ac:dyDescent="0.2">
      <c r="A1219" s="81" t="s">
        <v>258</v>
      </c>
      <c r="B1219" s="81">
        <f>B984</f>
        <v>1</v>
      </c>
      <c r="C1219" s="42" t="s">
        <v>259</v>
      </c>
      <c r="D1219" s="91">
        <f>D984</f>
        <v>38</v>
      </c>
      <c r="E1219" s="91">
        <f>E984</f>
        <v>11</v>
      </c>
      <c r="F1219" s="91">
        <f>F984</f>
        <v>90</v>
      </c>
      <c r="G1219" s="91">
        <f>G984</f>
        <v>139</v>
      </c>
      <c r="H1219" s="45">
        <f t="shared" si="177"/>
        <v>0.35251798561151076</v>
      </c>
      <c r="I1219" s="57"/>
      <c r="J1219" s="57"/>
      <c r="K1219" s="57"/>
      <c r="L1219" s="57"/>
      <c r="M1219" s="57"/>
      <c r="N1219" s="57"/>
      <c r="O1219" s="57"/>
      <c r="P1219" s="57"/>
      <c r="Q1219" s="57"/>
      <c r="R1219" s="57"/>
      <c r="S1219" s="57"/>
      <c r="T1219" s="57"/>
      <c r="U1219" s="57"/>
      <c r="V1219" s="57"/>
      <c r="W1219" s="57"/>
      <c r="X1219" s="57"/>
      <c r="Y1219" s="57"/>
      <c r="Z1219" s="57"/>
      <c r="AA1219" s="57"/>
      <c r="AB1219" s="57"/>
      <c r="AC1219" s="57"/>
      <c r="AD1219" s="57"/>
      <c r="AE1219" s="57"/>
      <c r="AF1219" s="57"/>
      <c r="AG1219" s="57"/>
      <c r="AH1219" s="57"/>
      <c r="AI1219" s="57"/>
      <c r="AJ1219" s="57"/>
      <c r="AK1219" s="57"/>
      <c r="AL1219" s="57"/>
      <c r="AM1219" s="57"/>
      <c r="AN1219" s="57"/>
      <c r="AO1219" s="57"/>
      <c r="AP1219" s="57"/>
      <c r="AQ1219" s="57"/>
      <c r="AR1219" s="57"/>
      <c r="AS1219" s="57"/>
      <c r="AT1219" s="57"/>
      <c r="AU1219" s="57"/>
      <c r="AV1219" s="57"/>
      <c r="AW1219" s="57"/>
      <c r="AX1219" s="57"/>
      <c r="AY1219" s="57"/>
      <c r="AZ1219" s="57"/>
      <c r="BA1219" s="57"/>
      <c r="BB1219" s="57"/>
      <c r="BC1219" s="57"/>
      <c r="BD1219" s="57"/>
      <c r="BE1219" s="57"/>
      <c r="BF1219" s="57"/>
      <c r="BG1219" s="57"/>
      <c r="BH1219" s="57"/>
      <c r="BI1219" s="57"/>
      <c r="BJ1219" s="57"/>
      <c r="BK1219" s="57"/>
      <c r="BL1219" s="57"/>
      <c r="BM1219" s="57"/>
      <c r="BN1219" s="57"/>
      <c r="BO1219" s="57"/>
      <c r="BP1219" s="57"/>
      <c r="BQ1219" s="57"/>
      <c r="BR1219" s="57"/>
      <c r="BS1219" s="57"/>
      <c r="BT1219" s="57"/>
      <c r="BU1219" s="57"/>
      <c r="BV1219" s="57"/>
      <c r="BW1219" s="57"/>
      <c r="BX1219" s="57"/>
      <c r="BY1219" s="57"/>
      <c r="BZ1219" s="57"/>
      <c r="CA1219" s="57"/>
      <c r="CB1219" s="57"/>
      <c r="CC1219" s="57"/>
      <c r="CD1219" s="57"/>
      <c r="CE1219" s="57"/>
      <c r="CF1219" s="57"/>
      <c r="CG1219" s="57"/>
      <c r="CH1219" s="57"/>
      <c r="CI1219" s="57"/>
      <c r="CJ1219" s="57"/>
      <c r="CK1219" s="57"/>
      <c r="CL1219" s="57"/>
      <c r="CM1219" s="57"/>
      <c r="CN1219" s="57"/>
      <c r="CO1219" s="57"/>
    </row>
    <row r="1220" spans="1:93" s="92" customFormat="1" ht="12.6" customHeight="1" x14ac:dyDescent="0.2">
      <c r="A1220" s="81" t="s">
        <v>277</v>
      </c>
      <c r="B1220" s="81">
        <f>B988</f>
        <v>1</v>
      </c>
      <c r="C1220" s="42" t="s">
        <v>278</v>
      </c>
      <c r="D1220" s="81">
        <f>D988</f>
        <v>68</v>
      </c>
      <c r="E1220" s="81">
        <f>E988</f>
        <v>39</v>
      </c>
      <c r="F1220" s="81">
        <f>F988</f>
        <v>562</v>
      </c>
      <c r="G1220" s="81">
        <f>G988</f>
        <v>669</v>
      </c>
      <c r="H1220" s="45">
        <f t="shared" si="177"/>
        <v>0.15994020926756353</v>
      </c>
      <c r="I1220" s="57"/>
      <c r="J1220" s="57"/>
      <c r="K1220" s="57"/>
      <c r="L1220" s="57"/>
      <c r="M1220" s="57"/>
      <c r="N1220" s="57"/>
      <c r="O1220" s="57"/>
      <c r="P1220" s="57"/>
      <c r="Q1220" s="57"/>
      <c r="R1220" s="57"/>
      <c r="S1220" s="57"/>
      <c r="T1220" s="57"/>
      <c r="U1220" s="57"/>
      <c r="V1220" s="57"/>
      <c r="W1220" s="57"/>
      <c r="X1220" s="57"/>
      <c r="Y1220" s="57"/>
      <c r="Z1220" s="57"/>
      <c r="AA1220" s="57"/>
      <c r="AB1220" s="57"/>
      <c r="AC1220" s="57"/>
      <c r="AD1220" s="57"/>
      <c r="AE1220" s="57"/>
      <c r="AF1220" s="57"/>
      <c r="AG1220" s="57"/>
      <c r="AH1220" s="57"/>
      <c r="AI1220" s="57"/>
      <c r="AJ1220" s="57"/>
      <c r="AK1220" s="57"/>
      <c r="AL1220" s="57"/>
      <c r="AM1220" s="57"/>
      <c r="AN1220" s="57"/>
      <c r="AO1220" s="57"/>
      <c r="AP1220" s="57"/>
      <c r="AQ1220" s="57"/>
      <c r="AR1220" s="57"/>
      <c r="AS1220" s="57"/>
      <c r="AT1220" s="57"/>
      <c r="AU1220" s="57"/>
      <c r="AV1220" s="57"/>
      <c r="AW1220" s="57"/>
      <c r="AX1220" s="57"/>
      <c r="AY1220" s="57"/>
      <c r="AZ1220" s="57"/>
      <c r="BA1220" s="57"/>
      <c r="BB1220" s="57"/>
      <c r="BC1220" s="57"/>
      <c r="BD1220" s="57"/>
      <c r="BE1220" s="57"/>
      <c r="BF1220" s="57"/>
      <c r="BG1220" s="57"/>
      <c r="BH1220" s="57"/>
      <c r="BI1220" s="57"/>
      <c r="BJ1220" s="57"/>
      <c r="BK1220" s="57"/>
      <c r="BL1220" s="57"/>
      <c r="BM1220" s="57"/>
      <c r="BN1220" s="57"/>
      <c r="BO1220" s="57"/>
      <c r="BP1220" s="57"/>
      <c r="BQ1220" s="57"/>
      <c r="BR1220" s="57"/>
      <c r="BS1220" s="57"/>
      <c r="BT1220" s="57"/>
      <c r="BU1220" s="57"/>
      <c r="BV1220" s="57"/>
      <c r="BW1220" s="57"/>
      <c r="BX1220" s="57"/>
      <c r="BY1220" s="57"/>
      <c r="BZ1220" s="57"/>
      <c r="CA1220" s="57"/>
      <c r="CB1220" s="57"/>
      <c r="CC1220" s="57"/>
      <c r="CD1220" s="57"/>
      <c r="CE1220" s="57"/>
      <c r="CF1220" s="57"/>
      <c r="CG1220" s="57"/>
      <c r="CH1220" s="57"/>
      <c r="CI1220" s="57"/>
      <c r="CJ1220" s="57"/>
      <c r="CK1220" s="57"/>
      <c r="CL1220" s="57"/>
      <c r="CM1220" s="57"/>
      <c r="CN1220" s="57"/>
      <c r="CO1220" s="57"/>
    </row>
    <row r="1221" spans="1:93" s="92" customFormat="1" ht="12.6" customHeight="1" x14ac:dyDescent="0.2">
      <c r="A1221" s="81" t="s">
        <v>263</v>
      </c>
      <c r="B1221" s="81">
        <f>B992</f>
        <v>1</v>
      </c>
      <c r="C1221" s="42" t="s">
        <v>264</v>
      </c>
      <c r="D1221" s="91">
        <f>D992</f>
        <v>151</v>
      </c>
      <c r="E1221" s="91">
        <f>E992</f>
        <v>63</v>
      </c>
      <c r="F1221" s="91">
        <f>F992</f>
        <v>297</v>
      </c>
      <c r="G1221" s="91">
        <f>G992</f>
        <v>511</v>
      </c>
      <c r="H1221" s="45">
        <f t="shared" si="177"/>
        <v>0.41878669275929548</v>
      </c>
      <c r="I1221" s="57"/>
      <c r="J1221" s="57"/>
      <c r="K1221" s="57"/>
      <c r="L1221" s="57"/>
      <c r="M1221" s="57"/>
      <c r="N1221" s="57"/>
      <c r="O1221" s="57"/>
      <c r="P1221" s="57"/>
      <c r="Q1221" s="57"/>
      <c r="R1221" s="57"/>
      <c r="S1221" s="57"/>
      <c r="T1221" s="57"/>
      <c r="U1221" s="57"/>
      <c r="V1221" s="57"/>
      <c r="W1221" s="57"/>
      <c r="X1221" s="57"/>
      <c r="Y1221" s="57"/>
      <c r="Z1221" s="57"/>
      <c r="AA1221" s="57"/>
      <c r="AB1221" s="57"/>
      <c r="AC1221" s="57"/>
      <c r="AD1221" s="57"/>
      <c r="AE1221" s="57"/>
      <c r="AF1221" s="57"/>
      <c r="AG1221" s="57"/>
      <c r="AH1221" s="57"/>
      <c r="AI1221" s="57"/>
      <c r="AJ1221" s="57"/>
      <c r="AK1221" s="57"/>
      <c r="AL1221" s="57"/>
      <c r="AM1221" s="57"/>
      <c r="AN1221" s="57"/>
      <c r="AO1221" s="57"/>
      <c r="AP1221" s="57"/>
      <c r="AQ1221" s="57"/>
      <c r="AR1221" s="57"/>
      <c r="AS1221" s="57"/>
      <c r="AT1221" s="57"/>
      <c r="AU1221" s="57"/>
      <c r="AV1221" s="57"/>
      <c r="AW1221" s="57"/>
      <c r="AX1221" s="57"/>
      <c r="AY1221" s="57"/>
      <c r="AZ1221" s="57"/>
      <c r="BA1221" s="57"/>
      <c r="BB1221" s="57"/>
      <c r="BC1221" s="57"/>
      <c r="BD1221" s="57"/>
      <c r="BE1221" s="57"/>
      <c r="BF1221" s="57"/>
      <c r="BG1221" s="57"/>
      <c r="BH1221" s="57"/>
      <c r="BI1221" s="57"/>
      <c r="BJ1221" s="57"/>
      <c r="BK1221" s="57"/>
      <c r="BL1221" s="57"/>
      <c r="BM1221" s="57"/>
      <c r="BN1221" s="57"/>
      <c r="BO1221" s="57"/>
      <c r="BP1221" s="57"/>
      <c r="BQ1221" s="57"/>
      <c r="BR1221" s="57"/>
      <c r="BS1221" s="57"/>
      <c r="BT1221" s="57"/>
      <c r="BU1221" s="57"/>
      <c r="BV1221" s="57"/>
      <c r="BW1221" s="57"/>
      <c r="BX1221" s="57"/>
      <c r="BY1221" s="57"/>
      <c r="BZ1221" s="57"/>
      <c r="CA1221" s="57"/>
      <c r="CB1221" s="57"/>
      <c r="CC1221" s="57"/>
      <c r="CD1221" s="57"/>
      <c r="CE1221" s="57"/>
      <c r="CF1221" s="57"/>
      <c r="CG1221" s="57"/>
      <c r="CH1221" s="57"/>
      <c r="CI1221" s="57"/>
      <c r="CJ1221" s="57"/>
      <c r="CK1221" s="57"/>
      <c r="CL1221" s="57"/>
      <c r="CM1221" s="57"/>
      <c r="CN1221" s="57"/>
      <c r="CO1221" s="57"/>
    </row>
    <row r="1222" spans="1:93" s="92" customFormat="1" ht="12.6" customHeight="1" x14ac:dyDescent="0.2">
      <c r="A1222" s="104" t="s">
        <v>986</v>
      </c>
      <c r="B1222" s="81">
        <f>B997</f>
        <v>2</v>
      </c>
      <c r="C1222" s="100" t="s">
        <v>989</v>
      </c>
      <c r="D1222" s="81">
        <f>D997</f>
        <v>43</v>
      </c>
      <c r="E1222" s="81">
        <f>E997</f>
        <v>22</v>
      </c>
      <c r="F1222" s="81">
        <f>F997</f>
        <v>267</v>
      </c>
      <c r="G1222" s="81">
        <f>G997</f>
        <v>332</v>
      </c>
      <c r="H1222" s="45">
        <f t="shared" ref="H1222" si="178">+(D1222+E1222)/G1222</f>
        <v>0.19578313253012047</v>
      </c>
      <c r="I1222" s="57"/>
      <c r="J1222" s="57"/>
      <c r="K1222" s="57"/>
      <c r="L1222" s="57"/>
      <c r="M1222" s="57"/>
      <c r="N1222" s="57"/>
      <c r="O1222" s="57"/>
      <c r="P1222" s="57"/>
      <c r="Q1222" s="57"/>
      <c r="R1222" s="57"/>
      <c r="S1222" s="57"/>
      <c r="T1222" s="57"/>
      <c r="U1222" s="57"/>
      <c r="V1222" s="57"/>
      <c r="W1222" s="57"/>
      <c r="X1222" s="57"/>
      <c r="Y1222" s="57"/>
      <c r="Z1222" s="57"/>
      <c r="AA1222" s="57"/>
      <c r="AB1222" s="57"/>
      <c r="AC1222" s="57"/>
      <c r="AD1222" s="57"/>
      <c r="AE1222" s="57"/>
      <c r="AF1222" s="57"/>
      <c r="AG1222" s="57"/>
      <c r="AH1222" s="57"/>
      <c r="AI1222" s="57"/>
      <c r="AJ1222" s="57"/>
      <c r="AK1222" s="57"/>
      <c r="AL1222" s="57"/>
      <c r="AM1222" s="57"/>
      <c r="AN1222" s="57"/>
      <c r="AO1222" s="57"/>
      <c r="AP1222" s="57"/>
      <c r="AQ1222" s="57"/>
      <c r="AR1222" s="57"/>
      <c r="AS1222" s="57"/>
      <c r="AT1222" s="57"/>
      <c r="AU1222" s="57"/>
      <c r="AV1222" s="57"/>
      <c r="AW1222" s="57"/>
      <c r="AX1222" s="57"/>
      <c r="AY1222" s="57"/>
      <c r="AZ1222" s="57"/>
      <c r="BA1222" s="57"/>
      <c r="BB1222" s="57"/>
      <c r="BC1222" s="57"/>
      <c r="BD1222" s="57"/>
      <c r="BE1222" s="57"/>
      <c r="BF1222" s="57"/>
      <c r="BG1222" s="57"/>
      <c r="BH1222" s="57"/>
      <c r="BI1222" s="57"/>
      <c r="BJ1222" s="57"/>
      <c r="BK1222" s="57"/>
      <c r="BL1222" s="57"/>
      <c r="BM1222" s="57"/>
      <c r="BN1222" s="57"/>
      <c r="BO1222" s="57"/>
      <c r="BP1222" s="57"/>
      <c r="BQ1222" s="57"/>
      <c r="BR1222" s="57"/>
      <c r="BS1222" s="57"/>
      <c r="BT1222" s="57"/>
      <c r="BU1222" s="57"/>
      <c r="BV1222" s="57"/>
      <c r="BW1222" s="57"/>
      <c r="BX1222" s="57"/>
      <c r="BY1222" s="57"/>
      <c r="BZ1222" s="57"/>
      <c r="CA1222" s="57"/>
      <c r="CB1222" s="57"/>
      <c r="CC1222" s="57"/>
      <c r="CD1222" s="57"/>
      <c r="CE1222" s="57"/>
      <c r="CF1222" s="57"/>
      <c r="CG1222" s="57"/>
      <c r="CH1222" s="57"/>
      <c r="CI1222" s="57"/>
      <c r="CJ1222" s="57"/>
      <c r="CK1222" s="57"/>
      <c r="CL1222" s="57"/>
      <c r="CM1222" s="57"/>
      <c r="CN1222" s="57"/>
      <c r="CO1222" s="57"/>
    </row>
    <row r="1223" spans="1:93" s="92" customFormat="1" ht="12.6" customHeight="1" x14ac:dyDescent="0.2">
      <c r="A1223" s="104" t="s">
        <v>965</v>
      </c>
      <c r="B1223" s="81">
        <f>B1001</f>
        <v>1</v>
      </c>
      <c r="C1223" s="100" t="s">
        <v>966</v>
      </c>
      <c r="D1223" s="81">
        <f>D1001</f>
        <v>114</v>
      </c>
      <c r="E1223" s="81">
        <f>E1001</f>
        <v>24</v>
      </c>
      <c r="F1223" s="81">
        <f>F1001</f>
        <v>150</v>
      </c>
      <c r="G1223" s="81">
        <f>G1001</f>
        <v>288</v>
      </c>
      <c r="H1223" s="45">
        <f t="shared" si="177"/>
        <v>0.47916666666666669</v>
      </c>
      <c r="I1223" s="57"/>
      <c r="J1223" s="57"/>
      <c r="K1223" s="57"/>
      <c r="L1223" s="57"/>
      <c r="M1223" s="57"/>
      <c r="N1223" s="57"/>
      <c r="O1223" s="57"/>
      <c r="P1223" s="57"/>
      <c r="Q1223" s="57"/>
      <c r="R1223" s="57"/>
      <c r="S1223" s="57"/>
      <c r="T1223" s="57"/>
      <c r="U1223" s="57"/>
      <c r="V1223" s="57"/>
      <c r="W1223" s="57"/>
      <c r="X1223" s="57"/>
      <c r="Y1223" s="57"/>
      <c r="Z1223" s="57"/>
      <c r="AA1223" s="57"/>
      <c r="AB1223" s="57"/>
      <c r="AC1223" s="57"/>
      <c r="AD1223" s="57"/>
      <c r="AE1223" s="57"/>
      <c r="AF1223" s="57"/>
      <c r="AG1223" s="57"/>
      <c r="AH1223" s="57"/>
      <c r="AI1223" s="57"/>
      <c r="AJ1223" s="57"/>
      <c r="AK1223" s="57"/>
      <c r="AL1223" s="57"/>
      <c r="AM1223" s="57"/>
      <c r="AN1223" s="57"/>
      <c r="AO1223" s="57"/>
      <c r="AP1223" s="57"/>
      <c r="AQ1223" s="57"/>
      <c r="AR1223" s="57"/>
      <c r="AS1223" s="57"/>
      <c r="AT1223" s="57"/>
      <c r="AU1223" s="57"/>
      <c r="AV1223" s="57"/>
      <c r="AW1223" s="57"/>
      <c r="AX1223" s="57"/>
      <c r="AY1223" s="57"/>
      <c r="AZ1223" s="57"/>
      <c r="BA1223" s="57"/>
      <c r="BB1223" s="57"/>
      <c r="BC1223" s="57"/>
      <c r="BD1223" s="57"/>
      <c r="BE1223" s="57"/>
      <c r="BF1223" s="57"/>
      <c r="BG1223" s="57"/>
      <c r="BH1223" s="57"/>
      <c r="BI1223" s="57"/>
      <c r="BJ1223" s="57"/>
      <c r="BK1223" s="57"/>
      <c r="BL1223" s="57"/>
      <c r="BM1223" s="57"/>
      <c r="BN1223" s="57"/>
      <c r="BO1223" s="57"/>
      <c r="BP1223" s="57"/>
      <c r="BQ1223" s="57"/>
      <c r="BR1223" s="57"/>
      <c r="BS1223" s="57"/>
      <c r="BT1223" s="57"/>
      <c r="BU1223" s="57"/>
      <c r="BV1223" s="57"/>
      <c r="BW1223" s="57"/>
      <c r="BX1223" s="57"/>
      <c r="BY1223" s="57"/>
      <c r="BZ1223" s="57"/>
      <c r="CA1223" s="57"/>
      <c r="CB1223" s="57"/>
      <c r="CC1223" s="57"/>
      <c r="CD1223" s="57"/>
      <c r="CE1223" s="57"/>
      <c r="CF1223" s="57"/>
      <c r="CG1223" s="57"/>
      <c r="CH1223" s="57"/>
      <c r="CI1223" s="57"/>
      <c r="CJ1223" s="57"/>
      <c r="CK1223" s="57"/>
      <c r="CL1223" s="57"/>
      <c r="CM1223" s="57"/>
      <c r="CN1223" s="57"/>
      <c r="CO1223" s="57"/>
    </row>
    <row r="1224" spans="1:93" s="92" customFormat="1" ht="12.6" customHeight="1" x14ac:dyDescent="0.2">
      <c r="A1224" s="104" t="s">
        <v>938</v>
      </c>
      <c r="B1224" s="81">
        <f>B1005</f>
        <v>1</v>
      </c>
      <c r="C1224" s="100" t="s">
        <v>939</v>
      </c>
      <c r="D1224" s="91">
        <f>D1005</f>
        <v>85</v>
      </c>
      <c r="E1224" s="91">
        <f>E1005</f>
        <v>54</v>
      </c>
      <c r="F1224" s="91">
        <f>F1005</f>
        <v>329</v>
      </c>
      <c r="G1224" s="91">
        <f>G1005</f>
        <v>468</v>
      </c>
      <c r="H1224" s="45">
        <f t="shared" si="177"/>
        <v>0.29700854700854701</v>
      </c>
      <c r="I1224" s="57"/>
      <c r="J1224" s="57"/>
      <c r="K1224" s="57"/>
      <c r="L1224" s="57"/>
      <c r="M1224" s="57"/>
      <c r="N1224" s="57"/>
      <c r="O1224" s="57"/>
      <c r="P1224" s="57"/>
      <c r="Q1224" s="57"/>
      <c r="R1224" s="57"/>
      <c r="S1224" s="57"/>
      <c r="T1224" s="57"/>
      <c r="U1224" s="57"/>
      <c r="V1224" s="57"/>
      <c r="W1224" s="57"/>
      <c r="X1224" s="57"/>
      <c r="Y1224" s="57"/>
      <c r="Z1224" s="57"/>
      <c r="AA1224" s="57"/>
      <c r="AB1224" s="57"/>
      <c r="AC1224" s="57"/>
      <c r="AD1224" s="57"/>
      <c r="AE1224" s="57"/>
      <c r="AF1224" s="57"/>
      <c r="AG1224" s="57"/>
      <c r="AH1224" s="57"/>
      <c r="AI1224" s="57"/>
      <c r="AJ1224" s="57"/>
      <c r="AK1224" s="57"/>
      <c r="AL1224" s="57"/>
      <c r="AM1224" s="57"/>
      <c r="AN1224" s="57"/>
      <c r="AO1224" s="57"/>
      <c r="AP1224" s="57"/>
      <c r="AQ1224" s="57"/>
      <c r="AR1224" s="57"/>
      <c r="AS1224" s="57"/>
      <c r="AT1224" s="57"/>
      <c r="AU1224" s="57"/>
      <c r="AV1224" s="57"/>
      <c r="AW1224" s="57"/>
      <c r="AX1224" s="57"/>
      <c r="AY1224" s="57"/>
      <c r="AZ1224" s="57"/>
      <c r="BA1224" s="57"/>
      <c r="BB1224" s="57"/>
      <c r="BC1224" s="57"/>
      <c r="BD1224" s="57"/>
      <c r="BE1224" s="57"/>
      <c r="BF1224" s="57"/>
      <c r="BG1224" s="57"/>
      <c r="BH1224" s="57"/>
      <c r="BI1224" s="57"/>
      <c r="BJ1224" s="57"/>
      <c r="BK1224" s="57"/>
      <c r="BL1224" s="57"/>
      <c r="BM1224" s="57"/>
      <c r="BN1224" s="57"/>
      <c r="BO1224" s="57"/>
      <c r="BP1224" s="57"/>
      <c r="BQ1224" s="57"/>
      <c r="BR1224" s="57"/>
      <c r="BS1224" s="57"/>
      <c r="BT1224" s="57"/>
      <c r="BU1224" s="57"/>
      <c r="BV1224" s="57"/>
      <c r="BW1224" s="57"/>
      <c r="BX1224" s="57"/>
      <c r="BY1224" s="57"/>
      <c r="BZ1224" s="57"/>
      <c r="CA1224" s="57"/>
      <c r="CB1224" s="57"/>
      <c r="CC1224" s="57"/>
      <c r="CD1224" s="57"/>
      <c r="CE1224" s="57"/>
      <c r="CF1224" s="57"/>
      <c r="CG1224" s="57"/>
      <c r="CH1224" s="57"/>
      <c r="CI1224" s="57"/>
      <c r="CJ1224" s="57"/>
      <c r="CK1224" s="57"/>
      <c r="CL1224" s="57"/>
      <c r="CM1224" s="57"/>
      <c r="CN1224" s="57"/>
      <c r="CO1224" s="57"/>
    </row>
    <row r="1225" spans="1:93" ht="12.6" customHeight="1" x14ac:dyDescent="0.2">
      <c r="A1225" s="90" t="s">
        <v>248</v>
      </c>
      <c r="B1225" s="40">
        <f>+B1009</f>
        <v>1</v>
      </c>
      <c r="C1225" s="38" t="s">
        <v>251</v>
      </c>
      <c r="D1225" s="40">
        <f>+D1009</f>
        <v>61</v>
      </c>
      <c r="E1225" s="40">
        <f>+E1009</f>
        <v>19</v>
      </c>
      <c r="F1225" s="40">
        <f>+F1009</f>
        <v>296</v>
      </c>
      <c r="G1225" s="40">
        <f>+G1009</f>
        <v>376</v>
      </c>
      <c r="H1225" s="41">
        <f t="shared" si="173"/>
        <v>0.21276595744680851</v>
      </c>
    </row>
    <row r="1226" spans="1:93" ht="12.6" customHeight="1" x14ac:dyDescent="0.2">
      <c r="A1226" s="90" t="s">
        <v>273</v>
      </c>
      <c r="B1226" s="40">
        <f>B1013</f>
        <v>1</v>
      </c>
      <c r="C1226" s="38" t="s">
        <v>274</v>
      </c>
      <c r="D1226" s="40">
        <f>D1013</f>
        <v>90</v>
      </c>
      <c r="E1226" s="40">
        <f>E1013</f>
        <v>85</v>
      </c>
      <c r="F1226" s="40">
        <f>F1013</f>
        <v>535</v>
      </c>
      <c r="G1226" s="40">
        <f>G1013</f>
        <v>710</v>
      </c>
      <c r="H1226" s="41">
        <f>+(D1226+E1226)/G1226</f>
        <v>0.24647887323943662</v>
      </c>
    </row>
    <row r="1227" spans="1:93" ht="12.6" customHeight="1" x14ac:dyDescent="0.2">
      <c r="A1227" s="90" t="s">
        <v>265</v>
      </c>
      <c r="B1227" s="39">
        <f>B1017</f>
        <v>1</v>
      </c>
      <c r="C1227" s="38" t="s">
        <v>266</v>
      </c>
      <c r="D1227" s="40">
        <f>D1017</f>
        <v>154</v>
      </c>
      <c r="E1227" s="40">
        <f>E1017</f>
        <v>92</v>
      </c>
      <c r="F1227" s="40">
        <f>F1017</f>
        <v>770</v>
      </c>
      <c r="G1227" s="40">
        <f>G1017</f>
        <v>1016</v>
      </c>
      <c r="H1227" s="41">
        <f t="shared" si="173"/>
        <v>0.24212598425196849</v>
      </c>
    </row>
    <row r="1228" spans="1:93" ht="12.6" customHeight="1" x14ac:dyDescent="0.2">
      <c r="A1228" s="90" t="s">
        <v>279</v>
      </c>
      <c r="B1228" s="39">
        <f>B1021</f>
        <v>1</v>
      </c>
      <c r="C1228" s="38" t="s">
        <v>281</v>
      </c>
      <c r="D1228" s="2">
        <f>D1021</f>
        <v>254</v>
      </c>
      <c r="E1228" s="2">
        <f>E1021</f>
        <v>28</v>
      </c>
      <c r="F1228" s="2">
        <f>F1021</f>
        <v>162</v>
      </c>
      <c r="G1228" s="2">
        <f>G1021</f>
        <v>444</v>
      </c>
      <c r="H1228" s="41">
        <f t="shared" si="173"/>
        <v>0.63513513513513509</v>
      </c>
    </row>
    <row r="1229" spans="1:93" ht="12.6" customHeight="1" x14ac:dyDescent="0.2">
      <c r="A1229" s="114" t="s">
        <v>442</v>
      </c>
      <c r="B1229" s="39">
        <f>B1025</f>
        <v>1</v>
      </c>
      <c r="C1229" s="110" t="s">
        <v>444</v>
      </c>
      <c r="D1229" s="2">
        <f>D1025</f>
        <v>104</v>
      </c>
      <c r="E1229" s="2">
        <f>E1025</f>
        <v>30</v>
      </c>
      <c r="F1229" s="2">
        <f>F1025</f>
        <v>154</v>
      </c>
      <c r="G1229" s="2">
        <f>G1025</f>
        <v>288</v>
      </c>
      <c r="H1229" s="41">
        <f t="shared" ref="H1229" si="179">+(D1229+E1229)/G1229</f>
        <v>0.46527777777777779</v>
      </c>
    </row>
    <row r="1230" spans="1:93" ht="12.6" customHeight="1" x14ac:dyDescent="0.2">
      <c r="A1230" s="90" t="s">
        <v>260</v>
      </c>
      <c r="B1230" s="39">
        <f>B1029</f>
        <v>1</v>
      </c>
      <c r="C1230" s="38" t="s">
        <v>261</v>
      </c>
      <c r="D1230" s="40">
        <f>D1029</f>
        <v>50</v>
      </c>
      <c r="E1230" s="40">
        <f>E1029</f>
        <v>10</v>
      </c>
      <c r="F1230" s="40">
        <f>F1029</f>
        <v>448</v>
      </c>
      <c r="G1230" s="40">
        <f>G1029</f>
        <v>508</v>
      </c>
      <c r="H1230" s="41">
        <f>+(D1230+E1230)/G1230</f>
        <v>0.11811023622047244</v>
      </c>
    </row>
    <row r="1231" spans="1:93" ht="12.6" customHeight="1" x14ac:dyDescent="0.2">
      <c r="A1231" s="104" t="s">
        <v>927</v>
      </c>
      <c r="B1231" s="43">
        <f>+B1033</f>
        <v>1</v>
      </c>
      <c r="C1231" s="44" t="s">
        <v>198</v>
      </c>
      <c r="D1231" s="2">
        <f>+D1033</f>
        <v>45</v>
      </c>
      <c r="E1231" s="2">
        <f>+E1033</f>
        <v>34</v>
      </c>
      <c r="F1231" s="2">
        <f>+F1033</f>
        <v>222</v>
      </c>
      <c r="G1231" s="2">
        <f>+G1033</f>
        <v>301</v>
      </c>
      <c r="H1231" s="45">
        <f>+(D1231+E1231)/G1231</f>
        <v>0.26245847176079734</v>
      </c>
    </row>
    <row r="1232" spans="1:93" ht="12.6" customHeight="1" x14ac:dyDescent="0.2">
      <c r="A1232" s="104" t="s">
        <v>983</v>
      </c>
      <c r="B1232" s="43">
        <f>B1037</f>
        <v>1</v>
      </c>
      <c r="C1232" s="98" t="s">
        <v>985</v>
      </c>
      <c r="D1232" s="2">
        <f>+D1037</f>
        <v>91</v>
      </c>
      <c r="E1232" s="2">
        <f>+E1037</f>
        <v>25</v>
      </c>
      <c r="F1232" s="2">
        <f>+F1037</f>
        <v>331</v>
      </c>
      <c r="G1232" s="2">
        <f>+G1037</f>
        <v>447</v>
      </c>
      <c r="H1232" s="45">
        <f>+(D1232+E1232)/G1232</f>
        <v>0.25950782997762861</v>
      </c>
    </row>
    <row r="1233" spans="1:8" ht="12.6" customHeight="1" x14ac:dyDescent="0.2">
      <c r="A1233" s="104" t="s">
        <v>946</v>
      </c>
      <c r="B1233" s="43">
        <f>B1041</f>
        <v>1</v>
      </c>
      <c r="C1233" s="98" t="s">
        <v>947</v>
      </c>
      <c r="D1233" s="2">
        <f>+D1041</f>
        <v>114</v>
      </c>
      <c r="E1233" s="2">
        <f>+E1041</f>
        <v>27</v>
      </c>
      <c r="F1233" s="2">
        <f>+F1041</f>
        <v>411</v>
      </c>
      <c r="G1233" s="2">
        <f>+G1041</f>
        <v>552</v>
      </c>
      <c r="H1233" s="45">
        <f>+(D1233+E1233)/G1233</f>
        <v>0.25543478260869568</v>
      </c>
    </row>
    <row r="1234" spans="1:8" ht="12.6" customHeight="1" x14ac:dyDescent="0.2">
      <c r="A1234" s="81" t="s">
        <v>250</v>
      </c>
      <c r="B1234" s="43">
        <f>+B1045</f>
        <v>1</v>
      </c>
      <c r="C1234" s="98" t="s">
        <v>249</v>
      </c>
      <c r="D1234" s="42">
        <f>+D1045</f>
        <v>183</v>
      </c>
      <c r="E1234" s="42">
        <f>+E1045</f>
        <v>94</v>
      </c>
      <c r="F1234" s="42">
        <f>+F1045</f>
        <v>396</v>
      </c>
      <c r="G1234" s="42">
        <f>+G1045</f>
        <v>673</v>
      </c>
      <c r="H1234" s="45">
        <f t="shared" si="173"/>
        <v>0.41158989598811291</v>
      </c>
    </row>
    <row r="1235" spans="1:8" ht="12.6" customHeight="1" x14ac:dyDescent="0.2">
      <c r="A1235" s="104" t="s">
        <v>436</v>
      </c>
      <c r="B1235" s="43">
        <f>B1049</f>
        <v>1</v>
      </c>
      <c r="C1235" s="98" t="s">
        <v>437</v>
      </c>
      <c r="D1235" s="42">
        <f>D1049</f>
        <v>153</v>
      </c>
      <c r="E1235" s="42">
        <f>E1049</f>
        <v>81</v>
      </c>
      <c r="F1235" s="42">
        <f>F1049</f>
        <v>521</v>
      </c>
      <c r="G1235" s="42">
        <f>G1049</f>
        <v>755</v>
      </c>
      <c r="H1235" s="45">
        <f t="shared" ref="H1235" si="180">+(D1235+E1235)/G1235</f>
        <v>0.30993377483443707</v>
      </c>
    </row>
    <row r="1236" spans="1:8" ht="12.6" customHeight="1" x14ac:dyDescent="0.2">
      <c r="A1236" s="104" t="s">
        <v>933</v>
      </c>
      <c r="B1236" s="43">
        <f>B1053</f>
        <v>1</v>
      </c>
      <c r="C1236" s="98" t="s">
        <v>934</v>
      </c>
      <c r="D1236" s="42">
        <f>D1053</f>
        <v>225</v>
      </c>
      <c r="E1236" s="42">
        <f>E1053</f>
        <v>60</v>
      </c>
      <c r="F1236" s="42">
        <f>F1053</f>
        <v>210</v>
      </c>
      <c r="G1236" s="42">
        <f>G1053</f>
        <v>495</v>
      </c>
      <c r="H1236" s="45">
        <f t="shared" ref="H1236" si="181">+(D1236+E1236)/G1236</f>
        <v>0.5757575757575758</v>
      </c>
    </row>
    <row r="1237" spans="1:8" ht="12.6" customHeight="1" x14ac:dyDescent="0.2">
      <c r="A1237" s="104" t="s">
        <v>931</v>
      </c>
      <c r="B1237" s="43">
        <f>B1057</f>
        <v>1</v>
      </c>
      <c r="C1237" s="98" t="s">
        <v>932</v>
      </c>
      <c r="D1237" s="83">
        <f>D1057</f>
        <v>107</v>
      </c>
      <c r="E1237" s="83">
        <f>E1057</f>
        <v>103</v>
      </c>
      <c r="F1237" s="83">
        <f>F1057</f>
        <v>441</v>
      </c>
      <c r="G1237" s="83">
        <f>G1057</f>
        <v>651</v>
      </c>
      <c r="H1237" s="45">
        <f t="shared" ref="H1237" si="182">+(D1237+E1237)/G1237</f>
        <v>0.32258064516129031</v>
      </c>
    </row>
    <row r="1238" spans="1:8" ht="12.6" customHeight="1" x14ac:dyDescent="0.2">
      <c r="A1238" s="104" t="s">
        <v>990</v>
      </c>
      <c r="B1238" s="43">
        <f>B1061</f>
        <v>1</v>
      </c>
      <c r="C1238" s="98" t="s">
        <v>991</v>
      </c>
      <c r="D1238" s="42">
        <f>D1061</f>
        <v>17</v>
      </c>
      <c r="E1238" s="42">
        <f>E1061</f>
        <v>2</v>
      </c>
      <c r="F1238" s="42">
        <f>F1061</f>
        <v>152</v>
      </c>
      <c r="G1238" s="42">
        <f>G1061</f>
        <v>171</v>
      </c>
      <c r="H1238" s="45">
        <f t="shared" ref="H1238" si="183">+(D1238+E1238)/G1238</f>
        <v>0.1111111111111111</v>
      </c>
    </row>
    <row r="1239" spans="1:8" ht="12.6" customHeight="1" x14ac:dyDescent="0.2">
      <c r="A1239" s="81" t="s">
        <v>262</v>
      </c>
      <c r="B1239" s="43">
        <f>B1065</f>
        <v>1</v>
      </c>
      <c r="C1239" s="44" t="s">
        <v>271</v>
      </c>
      <c r="D1239" s="83">
        <f>D1065</f>
        <v>335</v>
      </c>
      <c r="E1239" s="83">
        <f>E1065</f>
        <v>113</v>
      </c>
      <c r="F1239" s="83">
        <f>F1065</f>
        <v>1053</v>
      </c>
      <c r="G1239" s="83">
        <f>G1065</f>
        <v>1501</v>
      </c>
      <c r="H1239" s="45">
        <f>+(D1239+E1239)/G1239</f>
        <v>0.2984676882078614</v>
      </c>
    </row>
    <row r="1240" spans="1:8" ht="12.6" customHeight="1" x14ac:dyDescent="0.2">
      <c r="A1240" s="104" t="s">
        <v>944</v>
      </c>
      <c r="B1240" s="43">
        <f>B1069</f>
        <v>1</v>
      </c>
      <c r="C1240" s="98" t="s">
        <v>945</v>
      </c>
      <c r="D1240" s="83">
        <f>D1069</f>
        <v>70</v>
      </c>
      <c r="E1240" s="83">
        <f>E1069</f>
        <v>50</v>
      </c>
      <c r="F1240" s="83">
        <f>F1069</f>
        <v>272</v>
      </c>
      <c r="G1240" s="83">
        <f>G1069</f>
        <v>392</v>
      </c>
      <c r="H1240" s="45">
        <f t="shared" ref="H1240:H1241" si="184">+(D1240+E1240)/G1240</f>
        <v>0.30612244897959184</v>
      </c>
    </row>
    <row r="1241" spans="1:8" ht="12.6" customHeight="1" x14ac:dyDescent="0.2">
      <c r="A1241" s="104" t="s">
        <v>935</v>
      </c>
      <c r="B1241" s="43">
        <f>B1073</f>
        <v>1</v>
      </c>
      <c r="C1241" s="98" t="s">
        <v>952</v>
      </c>
      <c r="D1241" s="83">
        <f>D1073</f>
        <v>92</v>
      </c>
      <c r="E1241" s="83">
        <f>E1073</f>
        <v>36</v>
      </c>
      <c r="F1241" s="83">
        <f>F1073</f>
        <v>265</v>
      </c>
      <c r="G1241" s="83">
        <f>G1073</f>
        <v>393</v>
      </c>
      <c r="H1241" s="45">
        <f t="shared" si="184"/>
        <v>0.32569974554707382</v>
      </c>
    </row>
    <row r="1242" spans="1:8" ht="12.6" customHeight="1" x14ac:dyDescent="0.2">
      <c r="A1242" s="104" t="s">
        <v>972</v>
      </c>
      <c r="B1242" s="43">
        <f>B1077</f>
        <v>1</v>
      </c>
      <c r="C1242" s="98" t="s">
        <v>973</v>
      </c>
      <c r="D1242" s="42">
        <f>D1077</f>
        <v>20</v>
      </c>
      <c r="E1242" s="42">
        <f>E1077</f>
        <v>13</v>
      </c>
      <c r="F1242" s="42">
        <f>F1077</f>
        <v>273</v>
      </c>
      <c r="G1242" s="42">
        <f>G1077</f>
        <v>306</v>
      </c>
      <c r="H1242" s="45">
        <f t="shared" ref="H1242" si="185">+(D1242+E1242)/G1242</f>
        <v>0.10784313725490197</v>
      </c>
    </row>
    <row r="1243" spans="1:8" ht="12.6" customHeight="1" x14ac:dyDescent="0.2">
      <c r="A1243" s="81" t="s">
        <v>282</v>
      </c>
      <c r="B1243" s="43">
        <f>B1081</f>
        <v>1</v>
      </c>
      <c r="C1243" s="44" t="s">
        <v>283</v>
      </c>
      <c r="D1243" s="83">
        <f>D1081</f>
        <v>60</v>
      </c>
      <c r="E1243" s="83">
        <f>E1081</f>
        <v>44</v>
      </c>
      <c r="F1243" s="83">
        <f>F1081</f>
        <v>426</v>
      </c>
      <c r="G1243" s="83">
        <f>G1081</f>
        <v>530</v>
      </c>
      <c r="H1243" s="45">
        <f>+(D1243+E1243)/G1243</f>
        <v>0.19622641509433963</v>
      </c>
    </row>
    <row r="1244" spans="1:8" ht="12.6" customHeight="1" x14ac:dyDescent="0.2">
      <c r="A1244" s="104" t="s">
        <v>992</v>
      </c>
      <c r="B1244" s="43">
        <f>B1085</f>
        <v>1</v>
      </c>
      <c r="C1244" s="98" t="s">
        <v>993</v>
      </c>
      <c r="D1244" s="42">
        <f>D1085</f>
        <v>35</v>
      </c>
      <c r="E1244" s="42">
        <f>E1085</f>
        <v>19</v>
      </c>
      <c r="F1244" s="42">
        <f>F1085</f>
        <v>300</v>
      </c>
      <c r="G1244" s="42">
        <f>G1085</f>
        <v>354</v>
      </c>
      <c r="H1244" s="45">
        <f>+(D1244+E1244)/G1244</f>
        <v>0.15254237288135594</v>
      </c>
    </row>
    <row r="1245" spans="1:8" ht="12.6" customHeight="1" x14ac:dyDescent="0.2">
      <c r="A1245" s="82" t="s">
        <v>223</v>
      </c>
      <c r="B1245" s="52">
        <f>B1089</f>
        <v>1</v>
      </c>
      <c r="C1245" s="53" t="s">
        <v>235</v>
      </c>
      <c r="D1245" s="103">
        <f>D1089</f>
        <v>126</v>
      </c>
      <c r="E1245" s="103">
        <f>E1089</f>
        <v>47</v>
      </c>
      <c r="F1245" s="103">
        <f>F1089</f>
        <v>200</v>
      </c>
      <c r="G1245" s="103">
        <f>G1089</f>
        <v>373</v>
      </c>
      <c r="H1245" s="56">
        <f t="shared" ref="H1245" si="186">+(D1245+E1245)/G1245</f>
        <v>0.46380697050938335</v>
      </c>
    </row>
    <row r="1246" spans="1:8" ht="12.6" customHeight="1" x14ac:dyDescent="0.2">
      <c r="A1246" s="104" t="s">
        <v>454</v>
      </c>
      <c r="B1246" s="42">
        <f>B1093</f>
        <v>1</v>
      </c>
      <c r="C1246" s="98" t="s">
        <v>455</v>
      </c>
      <c r="D1246" s="83">
        <f>D1093</f>
        <v>39</v>
      </c>
      <c r="E1246" s="83">
        <f>E1093</f>
        <v>41</v>
      </c>
      <c r="F1246" s="83">
        <f>F1093</f>
        <v>920</v>
      </c>
      <c r="G1246" s="83">
        <f>G1093</f>
        <v>1000</v>
      </c>
      <c r="H1246" s="45">
        <f t="shared" ref="H1246" si="187">+(D1246+E1246)/G1246</f>
        <v>0.08</v>
      </c>
    </row>
    <row r="1247" spans="1:8" ht="12.6" customHeight="1" thickBot="1" x14ac:dyDescent="0.25">
      <c r="A1247" s="105" t="s">
        <v>434</v>
      </c>
      <c r="B1247" s="106">
        <f>B1097</f>
        <v>1</v>
      </c>
      <c r="C1247" s="107" t="s">
        <v>435</v>
      </c>
      <c r="D1247" s="108">
        <f>D1097</f>
        <v>18</v>
      </c>
      <c r="E1247" s="108">
        <f>E1097</f>
        <v>9</v>
      </c>
      <c r="F1247" s="108">
        <f>F1097</f>
        <v>41</v>
      </c>
      <c r="G1247" s="108">
        <f>G1097</f>
        <v>68</v>
      </c>
      <c r="H1247" s="95">
        <f t="shared" si="173"/>
        <v>0.39705882352941174</v>
      </c>
    </row>
    <row r="1248" spans="1:8" ht="13.5" customHeight="1" thickBot="1" x14ac:dyDescent="0.25">
      <c r="A1248" s="46"/>
      <c r="B1248" s="47">
        <f>SUM(B1168:B1247)</f>
        <v>851</v>
      </c>
      <c r="C1248" s="48" t="s">
        <v>20</v>
      </c>
      <c r="D1248" s="4">
        <f>SUM(D1168:D1247)</f>
        <v>161959</v>
      </c>
      <c r="E1248" s="3">
        <f>SUM(E1168:E1247)</f>
        <v>44383</v>
      </c>
      <c r="F1248" s="3">
        <f>SUM(F1168:F1247)</f>
        <v>348160</v>
      </c>
      <c r="G1248" s="3">
        <f>SUM(G1168:G1247)</f>
        <v>554502</v>
      </c>
      <c r="H1248" s="49">
        <f>+(D1248+E1248)/G1248</f>
        <v>0.37212129081590328</v>
      </c>
    </row>
    <row r="1249" spans="1:8" ht="13.5" thickBot="1" x14ac:dyDescent="0.25">
      <c r="D1249" s="96"/>
      <c r="E1249" s="96"/>
      <c r="F1249" s="96"/>
      <c r="G1249" s="96"/>
      <c r="H1249" s="97"/>
    </row>
    <row r="1250" spans="1:8" s="74" customFormat="1" ht="13.5" thickBot="1" x14ac:dyDescent="0.25">
      <c r="A1250" s="16" t="s">
        <v>351</v>
      </c>
      <c r="B1250" s="17" t="s">
        <v>4</v>
      </c>
      <c r="C1250" s="18"/>
      <c r="D1250" s="19" t="s">
        <v>1</v>
      </c>
      <c r="E1250" s="20"/>
      <c r="F1250" s="21"/>
      <c r="G1250" s="22" t="s">
        <v>2</v>
      </c>
      <c r="H1250" s="73" t="s">
        <v>2</v>
      </c>
    </row>
    <row r="1251" spans="1:8" s="74" customFormat="1" ht="13.5" thickBot="1" x14ac:dyDescent="0.25">
      <c r="A1251" s="24" t="s">
        <v>4</v>
      </c>
      <c r="B1251" s="25" t="s">
        <v>227</v>
      </c>
      <c r="C1251" s="24" t="s">
        <v>352</v>
      </c>
      <c r="D1251" s="26" t="s">
        <v>7</v>
      </c>
      <c r="E1251" s="27" t="s">
        <v>8</v>
      </c>
      <c r="F1251" s="26" t="s">
        <v>9</v>
      </c>
      <c r="G1251" s="27" t="s">
        <v>10</v>
      </c>
      <c r="H1251" s="75" t="s">
        <v>10</v>
      </c>
    </row>
    <row r="1252" spans="1:8" x14ac:dyDescent="0.2">
      <c r="A1252" s="42" t="s">
        <v>225</v>
      </c>
      <c r="B1252" s="43">
        <f>+B1101</f>
        <v>1</v>
      </c>
      <c r="C1252" s="44" t="s">
        <v>224</v>
      </c>
      <c r="D1252" s="2">
        <f>+D1101</f>
        <v>84</v>
      </c>
      <c r="E1252" s="2">
        <f>+E1101</f>
        <v>26</v>
      </c>
      <c r="F1252" s="2">
        <f>+F1101</f>
        <v>143</v>
      </c>
      <c r="G1252" s="2">
        <f>+G1101</f>
        <v>253</v>
      </c>
      <c r="H1252" s="45">
        <f t="shared" ref="H1252:H1261" si="188">+(D1252+E1252)/G1252</f>
        <v>0.43478260869565216</v>
      </c>
    </row>
    <row r="1253" spans="1:8" x14ac:dyDescent="0.2">
      <c r="A1253" s="42" t="s">
        <v>285</v>
      </c>
      <c r="B1253" s="43">
        <f>+B1108</f>
        <v>4</v>
      </c>
      <c r="C1253" s="98" t="s">
        <v>953</v>
      </c>
      <c r="D1253" s="2">
        <f>+D1108</f>
        <v>92</v>
      </c>
      <c r="E1253" s="2">
        <f>+E1108</f>
        <v>14</v>
      </c>
      <c r="F1253" s="2">
        <f>+F1108</f>
        <v>115</v>
      </c>
      <c r="G1253" s="2">
        <f>+G1108</f>
        <v>221</v>
      </c>
      <c r="H1253" s="45">
        <f t="shared" si="188"/>
        <v>0.47963800904977377</v>
      </c>
    </row>
    <row r="1254" spans="1:8" x14ac:dyDescent="0.2">
      <c r="A1254" s="42" t="s">
        <v>291</v>
      </c>
      <c r="B1254" s="43">
        <f>+B1112</f>
        <v>1</v>
      </c>
      <c r="C1254" s="44" t="s">
        <v>290</v>
      </c>
      <c r="D1254" s="2">
        <f>+D1112</f>
        <v>53</v>
      </c>
      <c r="E1254" s="2">
        <f>+E1112</f>
        <v>0</v>
      </c>
      <c r="F1254" s="2">
        <f>+F1112</f>
        <v>0</v>
      </c>
      <c r="G1254" s="2">
        <f>+G1112</f>
        <v>53</v>
      </c>
      <c r="H1254" s="45">
        <f t="shared" si="188"/>
        <v>1</v>
      </c>
    </row>
    <row r="1255" spans="1:8" x14ac:dyDescent="0.2">
      <c r="A1255" s="42" t="s">
        <v>307</v>
      </c>
      <c r="B1255" s="43">
        <f>+B1121</f>
        <v>1</v>
      </c>
      <c r="C1255" s="44" t="s">
        <v>306</v>
      </c>
      <c r="D1255" s="2">
        <f>+D1121</f>
        <v>140</v>
      </c>
      <c r="E1255" s="2">
        <f>+E1121</f>
        <v>0</v>
      </c>
      <c r="F1255" s="2">
        <f>+F1121</f>
        <v>0</v>
      </c>
      <c r="G1255" s="2">
        <f>+G1121</f>
        <v>140</v>
      </c>
      <c r="H1255" s="45">
        <f t="shared" si="188"/>
        <v>1</v>
      </c>
    </row>
    <row r="1256" spans="1:8" x14ac:dyDescent="0.2">
      <c r="A1256" s="42" t="s">
        <v>310</v>
      </c>
      <c r="B1256" s="43">
        <f>+B1125</f>
        <v>1</v>
      </c>
      <c r="C1256" s="44" t="s">
        <v>309</v>
      </c>
      <c r="D1256" s="2">
        <f>+D1125</f>
        <v>100</v>
      </c>
      <c r="E1256" s="2">
        <f>+E1125</f>
        <v>0</v>
      </c>
      <c r="F1256" s="2">
        <f>+F1125</f>
        <v>0</v>
      </c>
      <c r="G1256" s="2">
        <f>+G1125</f>
        <v>100</v>
      </c>
      <c r="H1256" s="45">
        <f t="shared" si="188"/>
        <v>1</v>
      </c>
    </row>
    <row r="1257" spans="1:8" x14ac:dyDescent="0.2">
      <c r="A1257" s="42" t="s">
        <v>313</v>
      </c>
      <c r="B1257" s="43">
        <f>+B1130</f>
        <v>2</v>
      </c>
      <c r="C1257" s="44" t="s">
        <v>312</v>
      </c>
      <c r="D1257" s="2">
        <f>+D1130</f>
        <v>28</v>
      </c>
      <c r="E1257" s="2">
        <f>+E1130</f>
        <v>0</v>
      </c>
      <c r="F1257" s="2">
        <f>+F1130</f>
        <v>0</v>
      </c>
      <c r="G1257" s="2">
        <f>+G1130</f>
        <v>28</v>
      </c>
      <c r="H1257" s="45">
        <f t="shared" si="188"/>
        <v>1</v>
      </c>
    </row>
    <row r="1258" spans="1:8" x14ac:dyDescent="0.2">
      <c r="A1258" s="100" t="s">
        <v>429</v>
      </c>
      <c r="B1258" s="43">
        <f>+B1152</f>
        <v>19</v>
      </c>
      <c r="C1258" s="98" t="s">
        <v>428</v>
      </c>
      <c r="D1258" s="2">
        <f>+D1152</f>
        <v>497</v>
      </c>
      <c r="E1258" s="2">
        <f>+E1152</f>
        <v>0</v>
      </c>
      <c r="F1258" s="2">
        <f>+F1152</f>
        <v>0</v>
      </c>
      <c r="G1258" s="2">
        <f>+G1152</f>
        <v>497</v>
      </c>
      <c r="H1258" s="45">
        <f t="shared" si="188"/>
        <v>1</v>
      </c>
    </row>
    <row r="1259" spans="1:8" x14ac:dyDescent="0.2">
      <c r="A1259" s="42" t="s">
        <v>326</v>
      </c>
      <c r="B1259" s="43">
        <f>+B1156</f>
        <v>1</v>
      </c>
      <c r="C1259" s="44" t="s">
        <v>325</v>
      </c>
      <c r="D1259" s="83">
        <f>+D1156</f>
        <v>87</v>
      </c>
      <c r="E1259" s="83">
        <f>+E1156</f>
        <v>0</v>
      </c>
      <c r="F1259" s="83">
        <f>+F1156</f>
        <v>0</v>
      </c>
      <c r="G1259" s="83">
        <f>+G1156</f>
        <v>87</v>
      </c>
      <c r="H1259" s="45">
        <f>+(D1259+E1259)/G1259</f>
        <v>1</v>
      </c>
    </row>
    <row r="1260" spans="1:8" ht="13.5" thickBot="1" x14ac:dyDescent="0.25">
      <c r="A1260" s="42" t="s">
        <v>328</v>
      </c>
      <c r="B1260" s="43">
        <f>+B1163</f>
        <v>4</v>
      </c>
      <c r="C1260" s="44" t="s">
        <v>327</v>
      </c>
      <c r="D1260" s="2">
        <f>+D1163</f>
        <v>39</v>
      </c>
      <c r="E1260" s="2">
        <f>+E1163</f>
        <v>0</v>
      </c>
      <c r="F1260" s="2">
        <f>+F1163</f>
        <v>0</v>
      </c>
      <c r="G1260" s="2">
        <f>+G1163</f>
        <v>39</v>
      </c>
      <c r="H1260" s="45">
        <f t="shared" si="188"/>
        <v>1</v>
      </c>
    </row>
    <row r="1261" spans="1:8" ht="13.5" thickBot="1" x14ac:dyDescent="0.25">
      <c r="A1261" s="46"/>
      <c r="B1261" s="47">
        <f>SUM(B1252:B1260)</f>
        <v>34</v>
      </c>
      <c r="C1261" s="48" t="s">
        <v>20</v>
      </c>
      <c r="D1261" s="116">
        <f>SUM(D1252:D1260)</f>
        <v>1120</v>
      </c>
      <c r="E1261" s="116">
        <f>SUM(E1252:E1260)</f>
        <v>40</v>
      </c>
      <c r="F1261" s="116">
        <f>SUM(F1252:F1260)</f>
        <v>258</v>
      </c>
      <c r="G1261" s="46">
        <f>SUM(G1252:G1260)</f>
        <v>1418</v>
      </c>
      <c r="H1261" s="49">
        <f t="shared" si="188"/>
        <v>0.81805359661495058</v>
      </c>
    </row>
    <row r="1262" spans="1:8" s="6" customFormat="1" ht="12" x14ac:dyDescent="0.2">
      <c r="H1262" s="7"/>
    </row>
    <row r="1263" spans="1:8" x14ac:dyDescent="0.2">
      <c r="D1263" s="71"/>
      <c r="E1263" s="71"/>
      <c r="F1263" s="71"/>
      <c r="G1263" s="71"/>
      <c r="H1263" s="8"/>
    </row>
    <row r="1264" spans="1:8" x14ac:dyDescent="0.2">
      <c r="D1264" s="71"/>
      <c r="E1264" s="71"/>
      <c r="F1264" s="71"/>
      <c r="G1264" s="71"/>
      <c r="H1264" s="8"/>
    </row>
    <row r="1265" spans="4:8" x14ac:dyDescent="0.2">
      <c r="D1265" s="71"/>
      <c r="E1265" s="71"/>
      <c r="F1265" s="71"/>
      <c r="G1265" s="71"/>
      <c r="H1265" s="8"/>
    </row>
    <row r="1266" spans="4:8" x14ac:dyDescent="0.2">
      <c r="D1266" s="71"/>
      <c r="E1266" s="71"/>
      <c r="F1266" s="71"/>
      <c r="G1266" s="71"/>
      <c r="H1266" s="8"/>
    </row>
    <row r="1267" spans="4:8" x14ac:dyDescent="0.2">
      <c r="D1267" s="71"/>
      <c r="E1267" s="71"/>
      <c r="F1267" s="71"/>
      <c r="G1267" s="71"/>
      <c r="H1267" s="8"/>
    </row>
    <row r="1268" spans="4:8" x14ac:dyDescent="0.2">
      <c r="D1268" s="71"/>
      <c r="E1268" s="71"/>
      <c r="F1268" s="71"/>
      <c r="G1268" s="71"/>
      <c r="H1268" s="8"/>
    </row>
    <row r="1269" spans="4:8" x14ac:dyDescent="0.2">
      <c r="D1269" s="71"/>
      <c r="E1269" s="71"/>
      <c r="F1269" s="71"/>
      <c r="G1269" s="71"/>
      <c r="H1269" s="8"/>
    </row>
    <row r="1270" spans="4:8" x14ac:dyDescent="0.2">
      <c r="D1270" s="71"/>
      <c r="E1270" s="71"/>
      <c r="F1270" s="71"/>
      <c r="G1270" s="71"/>
      <c r="H1270" s="8"/>
    </row>
    <row r="1271" spans="4:8" x14ac:dyDescent="0.2">
      <c r="D1271" s="71"/>
      <c r="E1271" s="71"/>
      <c r="F1271" s="71"/>
      <c r="G1271" s="71"/>
      <c r="H1271" s="8"/>
    </row>
    <row r="1272" spans="4:8" x14ac:dyDescent="0.2">
      <c r="D1272" s="71"/>
      <c r="E1272" s="71"/>
      <c r="F1272" s="71"/>
      <c r="G1272" s="71"/>
      <c r="H1272" s="8"/>
    </row>
    <row r="1273" spans="4:8" x14ac:dyDescent="0.2">
      <c r="D1273" s="71"/>
      <c r="E1273" s="71"/>
      <c r="F1273" s="71"/>
      <c r="G1273" s="71"/>
      <c r="H1273" s="8"/>
    </row>
    <row r="1274" spans="4:8" x14ac:dyDescent="0.2">
      <c r="D1274" s="71"/>
      <c r="E1274" s="71"/>
      <c r="F1274" s="71"/>
      <c r="G1274" s="71"/>
      <c r="H1274" s="8"/>
    </row>
    <row r="1275" spans="4:8" x14ac:dyDescent="0.2">
      <c r="D1275" s="71"/>
      <c r="E1275" s="71"/>
      <c r="F1275" s="71"/>
      <c r="G1275" s="71"/>
      <c r="H1275" s="8"/>
    </row>
    <row r="1276" spans="4:8" x14ac:dyDescent="0.2">
      <c r="D1276" s="71"/>
      <c r="E1276" s="71"/>
      <c r="F1276" s="71"/>
      <c r="G1276" s="71"/>
      <c r="H1276" s="8"/>
    </row>
    <row r="1277" spans="4:8" x14ac:dyDescent="0.2">
      <c r="D1277" s="71"/>
      <c r="E1277" s="71"/>
      <c r="F1277" s="71"/>
      <c r="G1277" s="71"/>
      <c r="H1277" s="8"/>
    </row>
    <row r="1278" spans="4:8" x14ac:dyDescent="0.2">
      <c r="D1278" s="71"/>
      <c r="E1278" s="71"/>
      <c r="F1278" s="71"/>
      <c r="G1278" s="71"/>
      <c r="H1278" s="8"/>
    </row>
    <row r="1279" spans="4:8" x14ac:dyDescent="0.2">
      <c r="D1279" s="71"/>
      <c r="E1279" s="71"/>
      <c r="F1279" s="71"/>
      <c r="G1279" s="71"/>
      <c r="H1279" s="8"/>
    </row>
    <row r="1280" spans="4:8" x14ac:dyDescent="0.2">
      <c r="D1280" s="71"/>
      <c r="E1280" s="71"/>
      <c r="F1280" s="71"/>
      <c r="G1280" s="71"/>
      <c r="H1280" s="8"/>
    </row>
    <row r="1281" spans="4:8" x14ac:dyDescent="0.2">
      <c r="D1281" s="71"/>
      <c r="E1281" s="71"/>
      <c r="F1281" s="71"/>
      <c r="G1281" s="71"/>
      <c r="H1281" s="8"/>
    </row>
    <row r="1282" spans="4:8" x14ac:dyDescent="0.2">
      <c r="D1282" s="71"/>
      <c r="E1282" s="71"/>
      <c r="F1282" s="71"/>
      <c r="G1282" s="71"/>
      <c r="H1282" s="8"/>
    </row>
    <row r="1283" spans="4:8" x14ac:dyDescent="0.2">
      <c r="D1283" s="71"/>
      <c r="E1283" s="71"/>
      <c r="F1283" s="71"/>
      <c r="G1283" s="71"/>
      <c r="H1283" s="8"/>
    </row>
    <row r="1284" spans="4:8" x14ac:dyDescent="0.2">
      <c r="D1284" s="71"/>
      <c r="E1284" s="71"/>
      <c r="F1284" s="71"/>
      <c r="G1284" s="71"/>
      <c r="H1284" s="8"/>
    </row>
    <row r="1285" spans="4:8" x14ac:dyDescent="0.2">
      <c r="D1285" s="71"/>
      <c r="E1285" s="71"/>
      <c r="F1285" s="71"/>
      <c r="G1285" s="71"/>
      <c r="H1285" s="8"/>
    </row>
    <row r="1286" spans="4:8" x14ac:dyDescent="0.2">
      <c r="D1286" s="71"/>
      <c r="E1286" s="71"/>
      <c r="F1286" s="71"/>
      <c r="G1286" s="71"/>
      <c r="H1286" s="8"/>
    </row>
    <row r="1287" spans="4:8" x14ac:dyDescent="0.2">
      <c r="D1287" s="71"/>
      <c r="E1287" s="71"/>
      <c r="F1287" s="71"/>
      <c r="G1287" s="71"/>
      <c r="H1287" s="8"/>
    </row>
    <row r="1288" spans="4:8" x14ac:dyDescent="0.2">
      <c r="D1288" s="71"/>
      <c r="E1288" s="71"/>
      <c r="F1288" s="71"/>
      <c r="G1288" s="71"/>
      <c r="H1288" s="8"/>
    </row>
    <row r="1289" spans="4:8" x14ac:dyDescent="0.2">
      <c r="D1289" s="71"/>
      <c r="E1289" s="71"/>
      <c r="F1289" s="71"/>
      <c r="G1289" s="71"/>
      <c r="H1289" s="8"/>
    </row>
    <row r="1290" spans="4:8" x14ac:dyDescent="0.2">
      <c r="D1290" s="71"/>
      <c r="E1290" s="71"/>
      <c r="F1290" s="71"/>
      <c r="G1290" s="71"/>
      <c r="H1290" s="8"/>
    </row>
    <row r="1291" spans="4:8" x14ac:dyDescent="0.2">
      <c r="D1291" s="71"/>
      <c r="E1291" s="71"/>
      <c r="F1291" s="71"/>
      <c r="G1291" s="71"/>
      <c r="H1291" s="8"/>
    </row>
    <row r="1292" spans="4:8" x14ac:dyDescent="0.2">
      <c r="D1292" s="71"/>
      <c r="E1292" s="71"/>
      <c r="F1292" s="71"/>
      <c r="G1292" s="71"/>
      <c r="H1292" s="8"/>
    </row>
    <row r="1293" spans="4:8" x14ac:dyDescent="0.2">
      <c r="D1293" s="71"/>
      <c r="E1293" s="71"/>
      <c r="F1293" s="71"/>
      <c r="G1293" s="71"/>
      <c r="H1293" s="8"/>
    </row>
    <row r="1294" spans="4:8" x14ac:dyDescent="0.2">
      <c r="D1294" s="71"/>
      <c r="E1294" s="71"/>
      <c r="F1294" s="71"/>
      <c r="G1294" s="71"/>
      <c r="H1294" s="8"/>
    </row>
    <row r="1295" spans="4:8" x14ac:dyDescent="0.2">
      <c r="D1295" s="71"/>
      <c r="E1295" s="71"/>
      <c r="F1295" s="71"/>
      <c r="G1295" s="71"/>
      <c r="H1295" s="8"/>
    </row>
    <row r="1296" spans="4:8" x14ac:dyDescent="0.2">
      <c r="D1296" s="71"/>
      <c r="E1296" s="71"/>
      <c r="F1296" s="71"/>
      <c r="G1296" s="71"/>
      <c r="H1296" s="8"/>
    </row>
    <row r="1297" spans="4:8" x14ac:dyDescent="0.2">
      <c r="D1297" s="71"/>
      <c r="E1297" s="71"/>
      <c r="F1297" s="71"/>
      <c r="G1297" s="71"/>
      <c r="H1297" s="8"/>
    </row>
    <row r="1298" spans="4:8" x14ac:dyDescent="0.2">
      <c r="D1298" s="71"/>
      <c r="E1298" s="71"/>
      <c r="F1298" s="71"/>
      <c r="G1298" s="71"/>
      <c r="H1298" s="8"/>
    </row>
    <row r="1299" spans="4:8" x14ac:dyDescent="0.2">
      <c r="D1299" s="71"/>
      <c r="E1299" s="71"/>
      <c r="F1299" s="71"/>
      <c r="G1299" s="71"/>
      <c r="H1299" s="8"/>
    </row>
    <row r="1300" spans="4:8" x14ac:dyDescent="0.2">
      <c r="D1300" s="71"/>
      <c r="E1300" s="71"/>
      <c r="F1300" s="71"/>
      <c r="G1300" s="71"/>
      <c r="H1300" s="8"/>
    </row>
    <row r="1301" spans="4:8" x14ac:dyDescent="0.2">
      <c r="D1301" s="71"/>
      <c r="E1301" s="71"/>
      <c r="F1301" s="71"/>
      <c r="G1301" s="71"/>
      <c r="H1301" s="8"/>
    </row>
    <row r="1302" spans="4:8" x14ac:dyDescent="0.2">
      <c r="D1302" s="71"/>
      <c r="E1302" s="71"/>
      <c r="F1302" s="71"/>
      <c r="G1302" s="71"/>
      <c r="H1302" s="8"/>
    </row>
    <row r="1303" spans="4:8" x14ac:dyDescent="0.2">
      <c r="D1303" s="71"/>
      <c r="E1303" s="71"/>
      <c r="F1303" s="71"/>
      <c r="G1303" s="71"/>
      <c r="H1303" s="8"/>
    </row>
    <row r="1304" spans="4:8" x14ac:dyDescent="0.2">
      <c r="D1304" s="71"/>
      <c r="E1304" s="71"/>
      <c r="F1304" s="71"/>
      <c r="G1304" s="71"/>
      <c r="H1304" s="8"/>
    </row>
    <row r="1305" spans="4:8" x14ac:dyDescent="0.2">
      <c r="D1305" s="71"/>
      <c r="E1305" s="71"/>
      <c r="F1305" s="71"/>
      <c r="G1305" s="71"/>
      <c r="H1305" s="8"/>
    </row>
    <row r="1306" spans="4:8" x14ac:dyDescent="0.2">
      <c r="D1306" s="71"/>
      <c r="E1306" s="71"/>
      <c r="F1306" s="71"/>
      <c r="G1306" s="71"/>
      <c r="H1306" s="8"/>
    </row>
    <row r="1307" spans="4:8" x14ac:dyDescent="0.2">
      <c r="D1307" s="71"/>
      <c r="E1307" s="71"/>
      <c r="F1307" s="71"/>
      <c r="G1307" s="71"/>
      <c r="H1307" s="8"/>
    </row>
    <row r="1308" spans="4:8" x14ac:dyDescent="0.2">
      <c r="D1308" s="71"/>
      <c r="E1308" s="71"/>
      <c r="F1308" s="71"/>
      <c r="G1308" s="71"/>
      <c r="H1308" s="8"/>
    </row>
    <row r="1309" spans="4:8" x14ac:dyDescent="0.2">
      <c r="D1309" s="71"/>
      <c r="E1309" s="71"/>
      <c r="F1309" s="71"/>
      <c r="G1309" s="71"/>
      <c r="H1309" s="8"/>
    </row>
    <row r="1310" spans="4:8" x14ac:dyDescent="0.2">
      <c r="D1310" s="71"/>
      <c r="E1310" s="71"/>
      <c r="F1310" s="71"/>
      <c r="G1310" s="71"/>
      <c r="H1310" s="8"/>
    </row>
    <row r="1311" spans="4:8" x14ac:dyDescent="0.2">
      <c r="D1311" s="71"/>
      <c r="E1311" s="71"/>
      <c r="F1311" s="71"/>
      <c r="G1311" s="71"/>
      <c r="H1311" s="8"/>
    </row>
    <row r="1312" spans="4:8" x14ac:dyDescent="0.2">
      <c r="D1312" s="71"/>
      <c r="E1312" s="71"/>
      <c r="F1312" s="71"/>
      <c r="G1312" s="71"/>
      <c r="H1312" s="8"/>
    </row>
    <row r="1313" spans="4:8" x14ac:dyDescent="0.2">
      <c r="D1313" s="71"/>
      <c r="E1313" s="71"/>
      <c r="F1313" s="71"/>
      <c r="G1313" s="71"/>
      <c r="H1313" s="8"/>
    </row>
    <row r="1314" spans="4:8" x14ac:dyDescent="0.2">
      <c r="D1314" s="71"/>
      <c r="E1314" s="71"/>
      <c r="F1314" s="71"/>
      <c r="G1314" s="71"/>
      <c r="H1314" s="8"/>
    </row>
    <row r="1315" spans="4:8" x14ac:dyDescent="0.2">
      <c r="D1315" s="71"/>
      <c r="E1315" s="71"/>
      <c r="F1315" s="71"/>
      <c r="G1315" s="71"/>
      <c r="H1315" s="8"/>
    </row>
    <row r="1316" spans="4:8" x14ac:dyDescent="0.2">
      <c r="D1316" s="71"/>
      <c r="E1316" s="71"/>
      <c r="F1316" s="71"/>
      <c r="G1316" s="71"/>
      <c r="H1316" s="8"/>
    </row>
    <row r="1317" spans="4:8" x14ac:dyDescent="0.2">
      <c r="D1317" s="71"/>
      <c r="E1317" s="71"/>
      <c r="F1317" s="71"/>
      <c r="G1317" s="71"/>
      <c r="H1317" s="8"/>
    </row>
    <row r="1318" spans="4:8" x14ac:dyDescent="0.2">
      <c r="D1318" s="71"/>
      <c r="E1318" s="71"/>
      <c r="F1318" s="71"/>
      <c r="G1318" s="71"/>
      <c r="H1318" s="8"/>
    </row>
    <row r="1319" spans="4:8" x14ac:dyDescent="0.2">
      <c r="D1319" s="71"/>
      <c r="E1319" s="71"/>
      <c r="F1319" s="71"/>
      <c r="G1319" s="71"/>
      <c r="H1319" s="8"/>
    </row>
    <row r="1320" spans="4:8" x14ac:dyDescent="0.2">
      <c r="D1320" s="71"/>
      <c r="E1320" s="71"/>
      <c r="F1320" s="71"/>
      <c r="G1320" s="71"/>
      <c r="H1320" s="8"/>
    </row>
    <row r="1321" spans="4:8" x14ac:dyDescent="0.2">
      <c r="D1321" s="71"/>
      <c r="E1321" s="71"/>
      <c r="F1321" s="71"/>
      <c r="G1321" s="71"/>
      <c r="H1321" s="8"/>
    </row>
    <row r="1322" spans="4:8" x14ac:dyDescent="0.2">
      <c r="D1322" s="71"/>
      <c r="E1322" s="71"/>
      <c r="F1322" s="71"/>
      <c r="G1322" s="71"/>
      <c r="H1322" s="8"/>
    </row>
    <row r="1323" spans="4:8" x14ac:dyDescent="0.2">
      <c r="D1323" s="71"/>
      <c r="E1323" s="71"/>
      <c r="F1323" s="71"/>
      <c r="G1323" s="71"/>
      <c r="H1323" s="8"/>
    </row>
    <row r="1324" spans="4:8" x14ac:dyDescent="0.2">
      <c r="D1324" s="71"/>
      <c r="E1324" s="71"/>
      <c r="F1324" s="71"/>
      <c r="G1324" s="71"/>
      <c r="H1324" s="8"/>
    </row>
    <row r="1325" spans="4:8" x14ac:dyDescent="0.2">
      <c r="D1325" s="71"/>
      <c r="E1325" s="71"/>
      <c r="F1325" s="71"/>
      <c r="G1325" s="71"/>
      <c r="H1325" s="8"/>
    </row>
    <row r="1326" spans="4:8" x14ac:dyDescent="0.2">
      <c r="D1326" s="71"/>
      <c r="E1326" s="71"/>
      <c r="F1326" s="71"/>
      <c r="G1326" s="71"/>
      <c r="H1326" s="8"/>
    </row>
    <row r="1327" spans="4:8" x14ac:dyDescent="0.2">
      <c r="D1327" s="71"/>
      <c r="E1327" s="71"/>
      <c r="F1327" s="71"/>
      <c r="G1327" s="71"/>
      <c r="H1327" s="8"/>
    </row>
    <row r="1328" spans="4:8" x14ac:dyDescent="0.2">
      <c r="D1328" s="71"/>
      <c r="E1328" s="71"/>
      <c r="F1328" s="71"/>
      <c r="G1328" s="71"/>
      <c r="H1328" s="8"/>
    </row>
    <row r="1329" spans="4:8" x14ac:dyDescent="0.2">
      <c r="D1329" s="71"/>
      <c r="E1329" s="71"/>
      <c r="F1329" s="71"/>
      <c r="G1329" s="71"/>
      <c r="H1329" s="8"/>
    </row>
    <row r="1330" spans="4:8" x14ac:dyDescent="0.2">
      <c r="D1330" s="71"/>
      <c r="E1330" s="71"/>
      <c r="F1330" s="71"/>
      <c r="G1330" s="71"/>
      <c r="H1330" s="8"/>
    </row>
    <row r="1331" spans="4:8" x14ac:dyDescent="0.2">
      <c r="D1331" s="71"/>
      <c r="E1331" s="71"/>
      <c r="F1331" s="71"/>
      <c r="G1331" s="71"/>
      <c r="H1331" s="8"/>
    </row>
    <row r="1332" spans="4:8" x14ac:dyDescent="0.2">
      <c r="D1332" s="71"/>
      <c r="E1332" s="71"/>
      <c r="F1332" s="71"/>
      <c r="G1332" s="71"/>
      <c r="H1332" s="8"/>
    </row>
    <row r="1333" spans="4:8" x14ac:dyDescent="0.2">
      <c r="D1333" s="71"/>
      <c r="E1333" s="71"/>
      <c r="F1333" s="71"/>
      <c r="G1333" s="71"/>
      <c r="H1333" s="8"/>
    </row>
    <row r="1334" spans="4:8" x14ac:dyDescent="0.2">
      <c r="D1334" s="71"/>
      <c r="E1334" s="71"/>
      <c r="F1334" s="71"/>
      <c r="G1334" s="71"/>
      <c r="H1334" s="8"/>
    </row>
    <row r="1335" spans="4:8" x14ac:dyDescent="0.2">
      <c r="D1335" s="71"/>
      <c r="E1335" s="71"/>
      <c r="F1335" s="71"/>
      <c r="G1335" s="71"/>
      <c r="H1335" s="8"/>
    </row>
    <row r="1336" spans="4:8" x14ac:dyDescent="0.2">
      <c r="D1336" s="71"/>
      <c r="E1336" s="71"/>
      <c r="F1336" s="71"/>
      <c r="G1336" s="71"/>
      <c r="H1336" s="8"/>
    </row>
    <row r="1337" spans="4:8" x14ac:dyDescent="0.2">
      <c r="D1337" s="71"/>
      <c r="E1337" s="71"/>
      <c r="F1337" s="71"/>
      <c r="G1337" s="71"/>
      <c r="H1337" s="8"/>
    </row>
    <row r="1338" spans="4:8" x14ac:dyDescent="0.2">
      <c r="D1338" s="71"/>
      <c r="E1338" s="71"/>
      <c r="F1338" s="71"/>
      <c r="G1338" s="71"/>
      <c r="H1338" s="8"/>
    </row>
    <row r="1339" spans="4:8" x14ac:dyDescent="0.2">
      <c r="D1339" s="71"/>
      <c r="E1339" s="71"/>
      <c r="F1339" s="71"/>
      <c r="G1339" s="71"/>
      <c r="H1339" s="8"/>
    </row>
    <row r="1340" spans="4:8" x14ac:dyDescent="0.2">
      <c r="D1340" s="71"/>
      <c r="E1340" s="71"/>
      <c r="F1340" s="71"/>
      <c r="G1340" s="71"/>
      <c r="H1340" s="8"/>
    </row>
    <row r="1341" spans="4:8" x14ac:dyDescent="0.2">
      <c r="D1341" s="71"/>
      <c r="E1341" s="71"/>
      <c r="F1341" s="71"/>
      <c r="G1341" s="71"/>
      <c r="H1341" s="8"/>
    </row>
    <row r="1342" spans="4:8" x14ac:dyDescent="0.2">
      <c r="D1342" s="71"/>
      <c r="E1342" s="71"/>
      <c r="F1342" s="71"/>
      <c r="G1342" s="71"/>
      <c r="H1342" s="8"/>
    </row>
    <row r="1343" spans="4:8" x14ac:dyDescent="0.2">
      <c r="D1343" s="71"/>
      <c r="E1343" s="71"/>
      <c r="F1343" s="71"/>
      <c r="G1343" s="71"/>
      <c r="H1343" s="8"/>
    </row>
    <row r="1344" spans="4:8" x14ac:dyDescent="0.2">
      <c r="D1344" s="71"/>
      <c r="E1344" s="71"/>
      <c r="F1344" s="71"/>
      <c r="G1344" s="71"/>
      <c r="H1344" s="8"/>
    </row>
    <row r="1345" spans="4:8" x14ac:dyDescent="0.2">
      <c r="D1345" s="71"/>
      <c r="E1345" s="71"/>
      <c r="F1345" s="71"/>
      <c r="G1345" s="71"/>
      <c r="H1345" s="8"/>
    </row>
    <row r="1346" spans="4:8" x14ac:dyDescent="0.2">
      <c r="D1346" s="71"/>
      <c r="E1346" s="71"/>
      <c r="F1346" s="71"/>
      <c r="G1346" s="71"/>
      <c r="H1346" s="8"/>
    </row>
    <row r="1347" spans="4:8" x14ac:dyDescent="0.2">
      <c r="D1347" s="71"/>
      <c r="E1347" s="71"/>
      <c r="F1347" s="71"/>
      <c r="G1347" s="71"/>
      <c r="H1347" s="8"/>
    </row>
    <row r="1348" spans="4:8" x14ac:dyDescent="0.2">
      <c r="D1348" s="71"/>
      <c r="E1348" s="71"/>
      <c r="F1348" s="71"/>
      <c r="G1348" s="71"/>
      <c r="H1348" s="8"/>
    </row>
    <row r="1349" spans="4:8" x14ac:dyDescent="0.2">
      <c r="D1349" s="71"/>
      <c r="E1349" s="71"/>
      <c r="F1349" s="71"/>
      <c r="G1349" s="71"/>
      <c r="H1349" s="8"/>
    </row>
    <row r="1350" spans="4:8" x14ac:dyDescent="0.2">
      <c r="D1350" s="71"/>
      <c r="E1350" s="71"/>
      <c r="F1350" s="71"/>
      <c r="G1350" s="71"/>
      <c r="H1350" s="8"/>
    </row>
    <row r="1351" spans="4:8" x14ac:dyDescent="0.2">
      <c r="D1351" s="71"/>
      <c r="E1351" s="71"/>
      <c r="F1351" s="71"/>
      <c r="G1351" s="71"/>
      <c r="H1351" s="8"/>
    </row>
    <row r="1352" spans="4:8" x14ac:dyDescent="0.2">
      <c r="D1352" s="71"/>
      <c r="E1352" s="71"/>
      <c r="F1352" s="71"/>
      <c r="G1352" s="71"/>
      <c r="H1352" s="8"/>
    </row>
    <row r="1353" spans="4:8" x14ac:dyDescent="0.2">
      <c r="D1353" s="71"/>
      <c r="E1353" s="71"/>
      <c r="F1353" s="71"/>
      <c r="G1353" s="71"/>
      <c r="H1353" s="8"/>
    </row>
    <row r="1354" spans="4:8" x14ac:dyDescent="0.2">
      <c r="D1354" s="71"/>
      <c r="E1354" s="71"/>
      <c r="F1354" s="71"/>
      <c r="G1354" s="71"/>
      <c r="H1354" s="8"/>
    </row>
    <row r="1355" spans="4:8" x14ac:dyDescent="0.2">
      <c r="D1355" s="71"/>
      <c r="E1355" s="71"/>
      <c r="F1355" s="71"/>
      <c r="G1355" s="71"/>
      <c r="H1355" s="8"/>
    </row>
    <row r="1356" spans="4:8" x14ac:dyDescent="0.2">
      <c r="D1356" s="71"/>
      <c r="E1356" s="71"/>
      <c r="F1356" s="71"/>
      <c r="G1356" s="71"/>
      <c r="H1356" s="8"/>
    </row>
    <row r="1357" spans="4:8" x14ac:dyDescent="0.2">
      <c r="D1357" s="71"/>
      <c r="E1357" s="71"/>
      <c r="F1357" s="71"/>
      <c r="G1357" s="71"/>
      <c r="H1357" s="8"/>
    </row>
    <row r="1358" spans="4:8" x14ac:dyDescent="0.2">
      <c r="D1358" s="71"/>
      <c r="E1358" s="71"/>
      <c r="F1358" s="71"/>
      <c r="G1358" s="71"/>
      <c r="H1358" s="8"/>
    </row>
    <row r="1359" spans="4:8" x14ac:dyDescent="0.2">
      <c r="D1359" s="71"/>
      <c r="E1359" s="71"/>
      <c r="F1359" s="71"/>
      <c r="G1359" s="71"/>
      <c r="H1359" s="8"/>
    </row>
    <row r="1360" spans="4:8" x14ac:dyDescent="0.2">
      <c r="D1360" s="71"/>
      <c r="E1360" s="71"/>
      <c r="F1360" s="71"/>
      <c r="G1360" s="71"/>
      <c r="H1360" s="8"/>
    </row>
    <row r="1361" spans="4:8" x14ac:dyDescent="0.2">
      <c r="D1361" s="71"/>
      <c r="E1361" s="71"/>
      <c r="F1361" s="71"/>
      <c r="G1361" s="71"/>
      <c r="H1361" s="8"/>
    </row>
    <row r="1362" spans="4:8" x14ac:dyDescent="0.2">
      <c r="D1362" s="71"/>
      <c r="E1362" s="71"/>
      <c r="F1362" s="71"/>
      <c r="G1362" s="71"/>
      <c r="H1362" s="8"/>
    </row>
    <row r="1363" spans="4:8" x14ac:dyDescent="0.2">
      <c r="D1363" s="71"/>
      <c r="E1363" s="71"/>
      <c r="F1363" s="71"/>
      <c r="G1363" s="71"/>
      <c r="H1363" s="8"/>
    </row>
    <row r="1364" spans="4:8" x14ac:dyDescent="0.2">
      <c r="D1364" s="71"/>
      <c r="E1364" s="71"/>
      <c r="F1364" s="71"/>
      <c r="G1364" s="71"/>
      <c r="H1364" s="8"/>
    </row>
    <row r="1365" spans="4:8" x14ac:dyDescent="0.2">
      <c r="D1365" s="71"/>
      <c r="E1365" s="71"/>
      <c r="F1365" s="71"/>
      <c r="G1365" s="71"/>
      <c r="H1365" s="8"/>
    </row>
    <row r="1366" spans="4:8" x14ac:dyDescent="0.2">
      <c r="D1366" s="71"/>
      <c r="E1366" s="71"/>
      <c r="F1366" s="71"/>
      <c r="G1366" s="71"/>
      <c r="H1366" s="8"/>
    </row>
    <row r="1367" spans="4:8" x14ac:dyDescent="0.2">
      <c r="D1367" s="71"/>
      <c r="E1367" s="71"/>
      <c r="F1367" s="71"/>
      <c r="G1367" s="71"/>
      <c r="H1367" s="8"/>
    </row>
    <row r="1368" spans="4:8" x14ac:dyDescent="0.2">
      <c r="D1368" s="71"/>
      <c r="E1368" s="71"/>
      <c r="F1368" s="71"/>
      <c r="G1368" s="71"/>
      <c r="H1368" s="8"/>
    </row>
    <row r="1369" spans="4:8" x14ac:dyDescent="0.2">
      <c r="D1369" s="71"/>
      <c r="E1369" s="71"/>
      <c r="F1369" s="71"/>
      <c r="G1369" s="71"/>
      <c r="H1369" s="8"/>
    </row>
    <row r="1370" spans="4:8" x14ac:dyDescent="0.2">
      <c r="D1370" s="71"/>
      <c r="E1370" s="71"/>
      <c r="F1370" s="71"/>
      <c r="G1370" s="71"/>
      <c r="H1370" s="8"/>
    </row>
    <row r="1371" spans="4:8" x14ac:dyDescent="0.2">
      <c r="D1371" s="71"/>
      <c r="E1371" s="71"/>
      <c r="F1371" s="71"/>
      <c r="G1371" s="71"/>
      <c r="H1371" s="8"/>
    </row>
    <row r="1372" spans="4:8" x14ac:dyDescent="0.2">
      <c r="D1372" s="71"/>
      <c r="E1372" s="71"/>
      <c r="F1372" s="71"/>
      <c r="G1372" s="71"/>
      <c r="H1372" s="8"/>
    </row>
    <row r="1373" spans="4:8" x14ac:dyDescent="0.2">
      <c r="D1373" s="71"/>
      <c r="E1373" s="71"/>
      <c r="F1373" s="71"/>
      <c r="G1373" s="71"/>
      <c r="H1373" s="8"/>
    </row>
    <row r="1374" spans="4:8" x14ac:dyDescent="0.2">
      <c r="D1374" s="71"/>
      <c r="E1374" s="71"/>
      <c r="F1374" s="71"/>
      <c r="G1374" s="71"/>
      <c r="H1374" s="8"/>
    </row>
    <row r="1375" spans="4:8" x14ac:dyDescent="0.2">
      <c r="D1375" s="71"/>
      <c r="E1375" s="71"/>
      <c r="F1375" s="71"/>
      <c r="G1375" s="71"/>
      <c r="H1375" s="8"/>
    </row>
    <row r="1376" spans="4:8" x14ac:dyDescent="0.2">
      <c r="D1376" s="71"/>
      <c r="E1376" s="71"/>
      <c r="F1376" s="71"/>
      <c r="G1376" s="71"/>
      <c r="H1376" s="8"/>
    </row>
    <row r="1377" spans="4:8" x14ac:dyDescent="0.2">
      <c r="D1377" s="71"/>
      <c r="E1377" s="71"/>
      <c r="F1377" s="71"/>
      <c r="G1377" s="71"/>
      <c r="H1377" s="8"/>
    </row>
    <row r="1378" spans="4:8" x14ac:dyDescent="0.2">
      <c r="D1378" s="71"/>
      <c r="E1378" s="71"/>
      <c r="F1378" s="71"/>
      <c r="G1378" s="71"/>
      <c r="H1378" s="8"/>
    </row>
    <row r="1379" spans="4:8" x14ac:dyDescent="0.2">
      <c r="D1379" s="71"/>
      <c r="E1379" s="71"/>
      <c r="F1379" s="71"/>
      <c r="G1379" s="71"/>
      <c r="H1379" s="8"/>
    </row>
    <row r="1380" spans="4:8" x14ac:dyDescent="0.2">
      <c r="D1380" s="71"/>
      <c r="E1380" s="71"/>
      <c r="F1380" s="71"/>
      <c r="G1380" s="71"/>
      <c r="H1380" s="8"/>
    </row>
    <row r="1381" spans="4:8" x14ac:dyDescent="0.2">
      <c r="D1381" s="71"/>
      <c r="E1381" s="71"/>
      <c r="F1381" s="71"/>
      <c r="G1381" s="71"/>
      <c r="H1381" s="8"/>
    </row>
    <row r="1382" spans="4:8" x14ac:dyDescent="0.2">
      <c r="D1382" s="71"/>
      <c r="E1382" s="71"/>
      <c r="F1382" s="71"/>
      <c r="G1382" s="71"/>
      <c r="H1382" s="8"/>
    </row>
    <row r="1383" spans="4:8" x14ac:dyDescent="0.2">
      <c r="D1383" s="71"/>
      <c r="E1383" s="71"/>
      <c r="F1383" s="71"/>
      <c r="G1383" s="71"/>
      <c r="H1383" s="8"/>
    </row>
    <row r="1384" spans="4:8" x14ac:dyDescent="0.2">
      <c r="D1384" s="71"/>
      <c r="E1384" s="71"/>
      <c r="F1384" s="71"/>
      <c r="G1384" s="71"/>
      <c r="H1384" s="8"/>
    </row>
    <row r="1385" spans="4:8" x14ac:dyDescent="0.2">
      <c r="D1385" s="71"/>
      <c r="E1385" s="71"/>
      <c r="F1385" s="71"/>
      <c r="G1385" s="71"/>
      <c r="H1385" s="8"/>
    </row>
    <row r="1386" spans="4:8" x14ac:dyDescent="0.2">
      <c r="D1386" s="71"/>
      <c r="E1386" s="71"/>
      <c r="F1386" s="71"/>
      <c r="G1386" s="71"/>
      <c r="H1386" s="8"/>
    </row>
    <row r="1387" spans="4:8" x14ac:dyDescent="0.2">
      <c r="D1387" s="71"/>
      <c r="E1387" s="71"/>
      <c r="F1387" s="71"/>
      <c r="G1387" s="71"/>
      <c r="H1387" s="8"/>
    </row>
    <row r="1388" spans="4:8" x14ac:dyDescent="0.2">
      <c r="D1388" s="71"/>
      <c r="E1388" s="71"/>
      <c r="F1388" s="71"/>
      <c r="G1388" s="71"/>
      <c r="H1388" s="8"/>
    </row>
    <row r="1389" spans="4:8" x14ac:dyDescent="0.2">
      <c r="D1389" s="71"/>
      <c r="E1389" s="71"/>
      <c r="F1389" s="71"/>
      <c r="G1389" s="71"/>
      <c r="H1389" s="8"/>
    </row>
    <row r="1390" spans="4:8" x14ac:dyDescent="0.2">
      <c r="D1390" s="71"/>
      <c r="E1390" s="71"/>
      <c r="F1390" s="71"/>
      <c r="G1390" s="71"/>
      <c r="H1390" s="8"/>
    </row>
    <row r="1391" spans="4:8" x14ac:dyDescent="0.2">
      <c r="D1391" s="71"/>
      <c r="E1391" s="71"/>
      <c r="F1391" s="71"/>
      <c r="G1391" s="71"/>
      <c r="H1391" s="8"/>
    </row>
    <row r="1392" spans="4:8" x14ac:dyDescent="0.2">
      <c r="D1392" s="71"/>
      <c r="E1392" s="71"/>
      <c r="F1392" s="71"/>
      <c r="G1392" s="71"/>
      <c r="H1392" s="8"/>
    </row>
    <row r="1393" spans="4:8" x14ac:dyDescent="0.2">
      <c r="D1393" s="71"/>
      <c r="E1393" s="71"/>
      <c r="F1393" s="71"/>
      <c r="G1393" s="71"/>
      <c r="H1393" s="8"/>
    </row>
    <row r="1394" spans="4:8" x14ac:dyDescent="0.2">
      <c r="D1394" s="71"/>
      <c r="E1394" s="71"/>
      <c r="F1394" s="71"/>
      <c r="G1394" s="71"/>
      <c r="H1394" s="8"/>
    </row>
    <row r="1395" spans="4:8" x14ac:dyDescent="0.2">
      <c r="D1395" s="71"/>
      <c r="E1395" s="71"/>
      <c r="F1395" s="71"/>
      <c r="G1395" s="71"/>
      <c r="H1395" s="8"/>
    </row>
    <row r="1396" spans="4:8" x14ac:dyDescent="0.2">
      <c r="D1396" s="71"/>
      <c r="E1396" s="71"/>
      <c r="F1396" s="71"/>
      <c r="G1396" s="71"/>
      <c r="H1396" s="8"/>
    </row>
    <row r="1397" spans="4:8" x14ac:dyDescent="0.2">
      <c r="D1397" s="71"/>
      <c r="E1397" s="71"/>
      <c r="F1397" s="71"/>
      <c r="G1397" s="71"/>
      <c r="H1397" s="8"/>
    </row>
    <row r="1398" spans="4:8" x14ac:dyDescent="0.2">
      <c r="D1398" s="71"/>
      <c r="E1398" s="71"/>
      <c r="F1398" s="71"/>
      <c r="G1398" s="71"/>
      <c r="H1398" s="8"/>
    </row>
    <row r="1399" spans="4:8" x14ac:dyDescent="0.2">
      <c r="D1399" s="71"/>
      <c r="E1399" s="71"/>
      <c r="F1399" s="71"/>
      <c r="G1399" s="71"/>
      <c r="H1399" s="8"/>
    </row>
    <row r="1400" spans="4:8" x14ac:dyDescent="0.2">
      <c r="D1400" s="71"/>
      <c r="E1400" s="71"/>
      <c r="F1400" s="71"/>
      <c r="G1400" s="71"/>
      <c r="H1400" s="8"/>
    </row>
    <row r="1401" spans="4:8" x14ac:dyDescent="0.2">
      <c r="D1401" s="71"/>
      <c r="E1401" s="71"/>
      <c r="F1401" s="71"/>
      <c r="G1401" s="71"/>
      <c r="H1401" s="8"/>
    </row>
    <row r="1402" spans="4:8" x14ac:dyDescent="0.2">
      <c r="D1402" s="71"/>
      <c r="E1402" s="71"/>
      <c r="F1402" s="71"/>
      <c r="G1402" s="71"/>
      <c r="H1402" s="8"/>
    </row>
    <row r="1403" spans="4:8" x14ac:dyDescent="0.2">
      <c r="D1403" s="71"/>
      <c r="E1403" s="71"/>
      <c r="F1403" s="71"/>
      <c r="G1403" s="71"/>
      <c r="H1403" s="8"/>
    </row>
    <row r="1404" spans="4:8" x14ac:dyDescent="0.2">
      <c r="D1404" s="71"/>
      <c r="E1404" s="71"/>
      <c r="F1404" s="71"/>
      <c r="G1404" s="71"/>
      <c r="H1404" s="8"/>
    </row>
    <row r="1405" spans="4:8" x14ac:dyDescent="0.2">
      <c r="D1405" s="71"/>
      <c r="E1405" s="71"/>
      <c r="F1405" s="71"/>
      <c r="G1405" s="71"/>
      <c r="H1405" s="8"/>
    </row>
    <row r="1406" spans="4:8" x14ac:dyDescent="0.2">
      <c r="D1406" s="71"/>
      <c r="E1406" s="71"/>
      <c r="F1406" s="71"/>
      <c r="G1406" s="71"/>
      <c r="H1406" s="8"/>
    </row>
    <row r="1407" spans="4:8" x14ac:dyDescent="0.2">
      <c r="D1407" s="71"/>
      <c r="E1407" s="71"/>
      <c r="F1407" s="71"/>
      <c r="G1407" s="71"/>
      <c r="H1407" s="8"/>
    </row>
    <row r="1408" spans="4:8" x14ac:dyDescent="0.2">
      <c r="D1408" s="71"/>
      <c r="E1408" s="71"/>
      <c r="F1408" s="71"/>
      <c r="G1408" s="71"/>
      <c r="H1408" s="8"/>
    </row>
    <row r="1409" spans="4:8" x14ac:dyDescent="0.2">
      <c r="D1409" s="71"/>
      <c r="E1409" s="71"/>
      <c r="F1409" s="71"/>
      <c r="G1409" s="71"/>
      <c r="H1409" s="8"/>
    </row>
    <row r="1410" spans="4:8" x14ac:dyDescent="0.2">
      <c r="D1410" s="71"/>
      <c r="E1410" s="71"/>
      <c r="F1410" s="71"/>
      <c r="G1410" s="71"/>
      <c r="H1410" s="8"/>
    </row>
    <row r="1411" spans="4:8" x14ac:dyDescent="0.2">
      <c r="D1411" s="71"/>
      <c r="E1411" s="71"/>
      <c r="F1411" s="71"/>
      <c r="G1411" s="71"/>
      <c r="H1411" s="8"/>
    </row>
    <row r="1412" spans="4:8" x14ac:dyDescent="0.2">
      <c r="D1412" s="71"/>
      <c r="E1412" s="71"/>
      <c r="F1412" s="71"/>
      <c r="G1412" s="71"/>
      <c r="H1412" s="8"/>
    </row>
    <row r="1413" spans="4:8" x14ac:dyDescent="0.2">
      <c r="D1413" s="71"/>
      <c r="E1413" s="71"/>
      <c r="F1413" s="71"/>
      <c r="G1413" s="71"/>
      <c r="H1413" s="8"/>
    </row>
    <row r="1414" spans="4:8" x14ac:dyDescent="0.2">
      <c r="D1414" s="71"/>
      <c r="E1414" s="71"/>
      <c r="F1414" s="71"/>
      <c r="G1414" s="71"/>
      <c r="H1414" s="8"/>
    </row>
    <row r="1415" spans="4:8" x14ac:dyDescent="0.2">
      <c r="D1415" s="71"/>
      <c r="E1415" s="71"/>
      <c r="F1415" s="71"/>
      <c r="G1415" s="71"/>
      <c r="H1415" s="8"/>
    </row>
    <row r="1416" spans="4:8" x14ac:dyDescent="0.2">
      <c r="D1416" s="71"/>
      <c r="E1416" s="71"/>
      <c r="F1416" s="71"/>
      <c r="G1416" s="71"/>
      <c r="H1416" s="8"/>
    </row>
    <row r="1417" spans="4:8" x14ac:dyDescent="0.2">
      <c r="D1417" s="71"/>
      <c r="E1417" s="71"/>
      <c r="F1417" s="71"/>
      <c r="G1417" s="71"/>
      <c r="H1417" s="8"/>
    </row>
    <row r="1418" spans="4:8" x14ac:dyDescent="0.2">
      <c r="D1418" s="71"/>
      <c r="E1418" s="71"/>
      <c r="F1418" s="71"/>
      <c r="G1418" s="71"/>
      <c r="H1418" s="8"/>
    </row>
    <row r="1419" spans="4:8" x14ac:dyDescent="0.2">
      <c r="D1419" s="71"/>
      <c r="E1419" s="71"/>
      <c r="F1419" s="71"/>
      <c r="G1419" s="71"/>
      <c r="H1419" s="8"/>
    </row>
    <row r="1420" spans="4:8" x14ac:dyDescent="0.2">
      <c r="D1420" s="71"/>
      <c r="E1420" s="71"/>
      <c r="F1420" s="71"/>
      <c r="G1420" s="71"/>
      <c r="H1420" s="8"/>
    </row>
    <row r="1421" spans="4:8" x14ac:dyDescent="0.2">
      <c r="D1421" s="71"/>
      <c r="E1421" s="71"/>
      <c r="F1421" s="71"/>
      <c r="G1421" s="71"/>
      <c r="H1421" s="8"/>
    </row>
    <row r="1422" spans="4:8" x14ac:dyDescent="0.2">
      <c r="D1422" s="71"/>
      <c r="E1422" s="71"/>
      <c r="F1422" s="71"/>
      <c r="G1422" s="71"/>
      <c r="H1422" s="8"/>
    </row>
    <row r="1423" spans="4:8" x14ac:dyDescent="0.2">
      <c r="D1423" s="71"/>
      <c r="E1423" s="71"/>
      <c r="F1423" s="71"/>
      <c r="G1423" s="71"/>
      <c r="H1423" s="8"/>
    </row>
    <row r="1424" spans="4:8" x14ac:dyDescent="0.2">
      <c r="D1424" s="71"/>
      <c r="E1424" s="71"/>
      <c r="F1424" s="71"/>
      <c r="G1424" s="71"/>
      <c r="H1424" s="8"/>
    </row>
    <row r="1425" spans="4:8" x14ac:dyDescent="0.2">
      <c r="D1425" s="71"/>
      <c r="E1425" s="71"/>
      <c r="F1425" s="71"/>
      <c r="G1425" s="71"/>
      <c r="H1425" s="8"/>
    </row>
    <row r="1426" spans="4:8" x14ac:dyDescent="0.2">
      <c r="D1426" s="71"/>
      <c r="E1426" s="71"/>
      <c r="F1426" s="71"/>
      <c r="G1426" s="71"/>
      <c r="H1426" s="8"/>
    </row>
    <row r="1427" spans="4:8" x14ac:dyDescent="0.2">
      <c r="D1427" s="71"/>
      <c r="E1427" s="71"/>
      <c r="F1427" s="71"/>
      <c r="G1427" s="71"/>
      <c r="H1427" s="8"/>
    </row>
    <row r="1428" spans="4:8" x14ac:dyDescent="0.2">
      <c r="D1428" s="71"/>
      <c r="E1428" s="71"/>
      <c r="F1428" s="71"/>
      <c r="G1428" s="71"/>
      <c r="H1428" s="8"/>
    </row>
    <row r="1429" spans="4:8" x14ac:dyDescent="0.2">
      <c r="D1429" s="71"/>
      <c r="E1429" s="71"/>
      <c r="F1429" s="71"/>
      <c r="G1429" s="71"/>
      <c r="H1429" s="8"/>
    </row>
    <row r="1430" spans="4:8" x14ac:dyDescent="0.2">
      <c r="D1430" s="71"/>
      <c r="E1430" s="71"/>
      <c r="F1430" s="71"/>
      <c r="G1430" s="71"/>
      <c r="H1430" s="8"/>
    </row>
    <row r="1431" spans="4:8" x14ac:dyDescent="0.2">
      <c r="D1431" s="71"/>
      <c r="E1431" s="71"/>
      <c r="F1431" s="71"/>
      <c r="G1431" s="71"/>
      <c r="H1431" s="8"/>
    </row>
    <row r="1432" spans="4:8" x14ac:dyDescent="0.2">
      <c r="D1432" s="71"/>
      <c r="E1432" s="71"/>
      <c r="F1432" s="71"/>
      <c r="G1432" s="71"/>
      <c r="H1432" s="8"/>
    </row>
    <row r="1433" spans="4:8" x14ac:dyDescent="0.2">
      <c r="D1433" s="71"/>
      <c r="E1433" s="71"/>
      <c r="F1433" s="71"/>
      <c r="G1433" s="71"/>
      <c r="H1433" s="8"/>
    </row>
    <row r="1434" spans="4:8" x14ac:dyDescent="0.2">
      <c r="D1434" s="71"/>
      <c r="E1434" s="71"/>
      <c r="F1434" s="71"/>
      <c r="G1434" s="71"/>
      <c r="H1434" s="8"/>
    </row>
    <row r="1435" spans="4:8" x14ac:dyDescent="0.2">
      <c r="D1435" s="71"/>
      <c r="E1435" s="71"/>
      <c r="F1435" s="71"/>
      <c r="G1435" s="71"/>
      <c r="H1435" s="8"/>
    </row>
    <row r="1436" spans="4:8" x14ac:dyDescent="0.2">
      <c r="D1436" s="71"/>
      <c r="E1436" s="71"/>
      <c r="F1436" s="71"/>
      <c r="G1436" s="71"/>
      <c r="H1436" s="8"/>
    </row>
    <row r="1437" spans="4:8" x14ac:dyDescent="0.2">
      <c r="D1437" s="71"/>
      <c r="E1437" s="71"/>
      <c r="F1437" s="71"/>
      <c r="G1437" s="71"/>
      <c r="H1437" s="8"/>
    </row>
    <row r="1438" spans="4:8" x14ac:dyDescent="0.2">
      <c r="D1438" s="71"/>
      <c r="E1438" s="71"/>
      <c r="F1438" s="71"/>
      <c r="G1438" s="71"/>
      <c r="H1438" s="8"/>
    </row>
    <row r="1439" spans="4:8" x14ac:dyDescent="0.2">
      <c r="D1439" s="71"/>
      <c r="E1439" s="71"/>
      <c r="F1439" s="71"/>
      <c r="G1439" s="71"/>
      <c r="H1439" s="8"/>
    </row>
    <row r="1440" spans="4:8" x14ac:dyDescent="0.2">
      <c r="D1440" s="71"/>
      <c r="E1440" s="71"/>
      <c r="F1440" s="71"/>
      <c r="G1440" s="71"/>
      <c r="H1440" s="8"/>
    </row>
    <row r="1441" spans="4:8" x14ac:dyDescent="0.2">
      <c r="D1441" s="71"/>
      <c r="E1441" s="71"/>
      <c r="F1441" s="71"/>
      <c r="G1441" s="71"/>
      <c r="H1441" s="8"/>
    </row>
    <row r="1442" spans="4:8" x14ac:dyDescent="0.2">
      <c r="D1442" s="71"/>
      <c r="E1442" s="71"/>
      <c r="F1442" s="71"/>
      <c r="G1442" s="71"/>
      <c r="H1442" s="8"/>
    </row>
    <row r="1443" spans="4:8" x14ac:dyDescent="0.2">
      <c r="D1443" s="71"/>
      <c r="E1443" s="71"/>
      <c r="F1443" s="71"/>
      <c r="G1443" s="71"/>
      <c r="H1443" s="8"/>
    </row>
    <row r="1444" spans="4:8" x14ac:dyDescent="0.2">
      <c r="D1444" s="71"/>
      <c r="E1444" s="71"/>
      <c r="F1444" s="71"/>
      <c r="G1444" s="71"/>
      <c r="H1444" s="8"/>
    </row>
    <row r="1445" spans="4:8" x14ac:dyDescent="0.2">
      <c r="D1445" s="71"/>
      <c r="E1445" s="71"/>
      <c r="F1445" s="71"/>
      <c r="G1445" s="71"/>
      <c r="H1445" s="8"/>
    </row>
    <row r="1446" spans="4:8" x14ac:dyDescent="0.2">
      <c r="D1446" s="71"/>
      <c r="E1446" s="71"/>
      <c r="F1446" s="71"/>
      <c r="G1446" s="71"/>
      <c r="H1446" s="8"/>
    </row>
    <row r="1447" spans="4:8" x14ac:dyDescent="0.2">
      <c r="D1447" s="71"/>
      <c r="E1447" s="71"/>
      <c r="F1447" s="71"/>
      <c r="G1447" s="71"/>
      <c r="H1447" s="8"/>
    </row>
    <row r="1448" spans="4:8" x14ac:dyDescent="0.2">
      <c r="D1448" s="71"/>
      <c r="E1448" s="71"/>
      <c r="F1448" s="71"/>
      <c r="G1448" s="71"/>
      <c r="H1448" s="8"/>
    </row>
    <row r="1449" spans="4:8" x14ac:dyDescent="0.2">
      <c r="D1449" s="71"/>
      <c r="E1449" s="71"/>
      <c r="F1449" s="71"/>
      <c r="G1449" s="71"/>
      <c r="H1449" s="8"/>
    </row>
    <row r="1450" spans="4:8" x14ac:dyDescent="0.2">
      <c r="D1450" s="71"/>
      <c r="E1450" s="71"/>
      <c r="F1450" s="71"/>
      <c r="G1450" s="71"/>
      <c r="H1450" s="8"/>
    </row>
    <row r="1451" spans="4:8" x14ac:dyDescent="0.2">
      <c r="D1451" s="71"/>
      <c r="E1451" s="71"/>
      <c r="F1451" s="71"/>
      <c r="G1451" s="71"/>
      <c r="H1451" s="8"/>
    </row>
    <row r="1452" spans="4:8" x14ac:dyDescent="0.2">
      <c r="D1452" s="71"/>
      <c r="E1452" s="71"/>
      <c r="F1452" s="71"/>
      <c r="G1452" s="71"/>
      <c r="H1452" s="8"/>
    </row>
    <row r="1453" spans="4:8" x14ac:dyDescent="0.2">
      <c r="D1453" s="71"/>
      <c r="E1453" s="71"/>
      <c r="F1453" s="71"/>
      <c r="G1453" s="71"/>
      <c r="H1453" s="8"/>
    </row>
    <row r="1454" spans="4:8" x14ac:dyDescent="0.2">
      <c r="D1454" s="71"/>
      <c r="E1454" s="71"/>
      <c r="F1454" s="71"/>
      <c r="G1454" s="71"/>
      <c r="H1454" s="8"/>
    </row>
    <row r="1455" spans="4:8" x14ac:dyDescent="0.2">
      <c r="D1455" s="71"/>
      <c r="E1455" s="71"/>
      <c r="F1455" s="71"/>
      <c r="G1455" s="71"/>
      <c r="H1455" s="8"/>
    </row>
    <row r="1456" spans="4:8" x14ac:dyDescent="0.2">
      <c r="D1456" s="71"/>
      <c r="E1456" s="71"/>
      <c r="F1456" s="71"/>
      <c r="G1456" s="71"/>
      <c r="H1456" s="8"/>
    </row>
    <row r="1457" spans="4:8" x14ac:dyDescent="0.2">
      <c r="D1457" s="71"/>
      <c r="E1457" s="71"/>
      <c r="F1457" s="71"/>
      <c r="G1457" s="71"/>
      <c r="H1457" s="8"/>
    </row>
    <row r="1458" spans="4:8" x14ac:dyDescent="0.2">
      <c r="D1458" s="71"/>
      <c r="E1458" s="71"/>
      <c r="F1458" s="71"/>
      <c r="G1458" s="71"/>
      <c r="H1458" s="8"/>
    </row>
    <row r="1459" spans="4:8" x14ac:dyDescent="0.2">
      <c r="D1459" s="71"/>
      <c r="E1459" s="71"/>
      <c r="F1459" s="71"/>
      <c r="G1459" s="71"/>
      <c r="H1459" s="8"/>
    </row>
    <row r="1460" spans="4:8" x14ac:dyDescent="0.2">
      <c r="D1460" s="71"/>
      <c r="E1460" s="71"/>
      <c r="F1460" s="71"/>
      <c r="G1460" s="71"/>
      <c r="H1460" s="8"/>
    </row>
    <row r="1461" spans="4:8" x14ac:dyDescent="0.2">
      <c r="D1461" s="71"/>
      <c r="E1461" s="71"/>
      <c r="F1461" s="71"/>
      <c r="G1461" s="71"/>
      <c r="H1461" s="8"/>
    </row>
    <row r="1462" spans="4:8" x14ac:dyDescent="0.2">
      <c r="D1462" s="71"/>
      <c r="E1462" s="71"/>
      <c r="F1462" s="71"/>
      <c r="G1462" s="71"/>
      <c r="H1462" s="8"/>
    </row>
    <row r="1463" spans="4:8" x14ac:dyDescent="0.2">
      <c r="D1463" s="71"/>
      <c r="E1463" s="71"/>
      <c r="F1463" s="71"/>
      <c r="G1463" s="71"/>
      <c r="H1463" s="8"/>
    </row>
    <row r="1464" spans="4:8" x14ac:dyDescent="0.2">
      <c r="D1464" s="71"/>
      <c r="E1464" s="71"/>
      <c r="F1464" s="71"/>
      <c r="G1464" s="71"/>
      <c r="H1464" s="8"/>
    </row>
    <row r="1465" spans="4:8" x14ac:dyDescent="0.2">
      <c r="D1465" s="71"/>
      <c r="E1465" s="71"/>
      <c r="F1465" s="71"/>
      <c r="G1465" s="71"/>
      <c r="H1465" s="8"/>
    </row>
    <row r="1466" spans="4:8" x14ac:dyDescent="0.2">
      <c r="D1466" s="71"/>
      <c r="E1466" s="71"/>
      <c r="F1466" s="71"/>
      <c r="G1466" s="71"/>
      <c r="H1466" s="8"/>
    </row>
    <row r="1467" spans="4:8" x14ac:dyDescent="0.2">
      <c r="D1467" s="71"/>
      <c r="E1467" s="71"/>
      <c r="F1467" s="71"/>
      <c r="G1467" s="71"/>
      <c r="H1467" s="8"/>
    </row>
    <row r="1468" spans="4:8" x14ac:dyDescent="0.2">
      <c r="D1468" s="71"/>
      <c r="E1468" s="71"/>
      <c r="F1468" s="71"/>
      <c r="G1468" s="71"/>
      <c r="H1468" s="8"/>
    </row>
    <row r="1469" spans="4:8" x14ac:dyDescent="0.2">
      <c r="D1469" s="71"/>
      <c r="E1469" s="71"/>
      <c r="F1469" s="71"/>
      <c r="G1469" s="71"/>
      <c r="H1469" s="8"/>
    </row>
    <row r="1470" spans="4:8" x14ac:dyDescent="0.2">
      <c r="D1470" s="71"/>
      <c r="E1470" s="71"/>
      <c r="F1470" s="71"/>
      <c r="G1470" s="71"/>
      <c r="H1470" s="8"/>
    </row>
    <row r="1471" spans="4:8" x14ac:dyDescent="0.2">
      <c r="D1471" s="71"/>
      <c r="E1471" s="71"/>
      <c r="F1471" s="71"/>
      <c r="G1471" s="71"/>
      <c r="H1471" s="8"/>
    </row>
    <row r="1472" spans="4:8" x14ac:dyDescent="0.2">
      <c r="D1472" s="71"/>
      <c r="E1472" s="71"/>
      <c r="F1472" s="71"/>
      <c r="G1472" s="71"/>
      <c r="H1472" s="8"/>
    </row>
    <row r="1473" spans="4:8" x14ac:dyDescent="0.2">
      <c r="D1473" s="71"/>
      <c r="E1473" s="71"/>
      <c r="F1473" s="71"/>
      <c r="G1473" s="71"/>
      <c r="H1473" s="8"/>
    </row>
    <row r="1474" spans="4:8" x14ac:dyDescent="0.2">
      <c r="D1474" s="71"/>
      <c r="E1474" s="71"/>
      <c r="F1474" s="71"/>
      <c r="G1474" s="71"/>
      <c r="H1474" s="8"/>
    </row>
    <row r="1475" spans="4:8" x14ac:dyDescent="0.2">
      <c r="D1475" s="71"/>
      <c r="E1475" s="71"/>
      <c r="F1475" s="71"/>
      <c r="G1475" s="71"/>
      <c r="H1475" s="8"/>
    </row>
    <row r="1476" spans="4:8" x14ac:dyDescent="0.2">
      <c r="D1476" s="71"/>
      <c r="E1476" s="71"/>
      <c r="F1476" s="71"/>
      <c r="G1476" s="71"/>
      <c r="H1476" s="8"/>
    </row>
    <row r="1477" spans="4:8" x14ac:dyDescent="0.2">
      <c r="D1477" s="71"/>
      <c r="E1477" s="71"/>
      <c r="F1477" s="71"/>
      <c r="G1477" s="71"/>
      <c r="H1477" s="8"/>
    </row>
    <row r="1478" spans="4:8" x14ac:dyDescent="0.2">
      <c r="D1478" s="71"/>
      <c r="E1478" s="71"/>
      <c r="F1478" s="71"/>
      <c r="G1478" s="71"/>
      <c r="H1478" s="8"/>
    </row>
    <row r="1479" spans="4:8" x14ac:dyDescent="0.2">
      <c r="D1479" s="71"/>
      <c r="E1479" s="71"/>
      <c r="F1479" s="71"/>
      <c r="G1479" s="71"/>
      <c r="H1479" s="8"/>
    </row>
    <row r="1480" spans="4:8" x14ac:dyDescent="0.2">
      <c r="D1480" s="71"/>
      <c r="E1480" s="71"/>
      <c r="F1480" s="71"/>
      <c r="G1480" s="71"/>
      <c r="H1480" s="8"/>
    </row>
    <row r="1481" spans="4:8" x14ac:dyDescent="0.2">
      <c r="D1481" s="71"/>
      <c r="E1481" s="71"/>
      <c r="F1481" s="71"/>
      <c r="G1481" s="71"/>
      <c r="H1481" s="8"/>
    </row>
    <row r="1482" spans="4:8" x14ac:dyDescent="0.2">
      <c r="D1482" s="71"/>
      <c r="E1482" s="71"/>
      <c r="F1482" s="71"/>
      <c r="G1482" s="71"/>
      <c r="H1482" s="8"/>
    </row>
    <row r="1483" spans="4:8" x14ac:dyDescent="0.2">
      <c r="D1483" s="71"/>
      <c r="E1483" s="71"/>
      <c r="F1483" s="71"/>
      <c r="G1483" s="71"/>
      <c r="H1483" s="8"/>
    </row>
    <row r="1484" spans="4:8" x14ac:dyDescent="0.2">
      <c r="D1484" s="71"/>
      <c r="E1484" s="71"/>
      <c r="F1484" s="71"/>
      <c r="G1484" s="71"/>
      <c r="H1484" s="8"/>
    </row>
    <row r="1485" spans="4:8" x14ac:dyDescent="0.2">
      <c r="D1485" s="71"/>
      <c r="E1485" s="71"/>
      <c r="F1485" s="71"/>
      <c r="G1485" s="71"/>
      <c r="H1485" s="8"/>
    </row>
    <row r="1486" spans="4:8" x14ac:dyDescent="0.2">
      <c r="D1486" s="71"/>
      <c r="E1486" s="71"/>
      <c r="F1486" s="71"/>
      <c r="G1486" s="71"/>
      <c r="H1486" s="8"/>
    </row>
    <row r="1487" spans="4:8" x14ac:dyDescent="0.2">
      <c r="D1487" s="71"/>
      <c r="E1487" s="71"/>
      <c r="F1487" s="71"/>
      <c r="G1487" s="71"/>
      <c r="H1487" s="8"/>
    </row>
    <row r="1488" spans="4:8" x14ac:dyDescent="0.2">
      <c r="D1488" s="71"/>
      <c r="E1488" s="71"/>
      <c r="F1488" s="71"/>
      <c r="G1488" s="71"/>
      <c r="H1488" s="8"/>
    </row>
    <row r="1489" spans="4:8" x14ac:dyDescent="0.2">
      <c r="D1489" s="71"/>
      <c r="E1489" s="71"/>
      <c r="F1489" s="71"/>
      <c r="G1489" s="71"/>
      <c r="H1489" s="8"/>
    </row>
    <row r="1490" spans="4:8" x14ac:dyDescent="0.2">
      <c r="D1490" s="71"/>
      <c r="E1490" s="71"/>
      <c r="F1490" s="71"/>
      <c r="G1490" s="71"/>
      <c r="H1490" s="8"/>
    </row>
    <row r="1491" spans="4:8" x14ac:dyDescent="0.2">
      <c r="D1491" s="71"/>
      <c r="E1491" s="71"/>
      <c r="F1491" s="71"/>
      <c r="G1491" s="71"/>
      <c r="H1491" s="8"/>
    </row>
    <row r="1492" spans="4:8" x14ac:dyDescent="0.2">
      <c r="D1492" s="71"/>
      <c r="E1492" s="71"/>
      <c r="F1492" s="71"/>
      <c r="G1492" s="71"/>
      <c r="H1492" s="8"/>
    </row>
    <row r="1493" spans="4:8" x14ac:dyDescent="0.2">
      <c r="D1493" s="71"/>
      <c r="E1493" s="71"/>
      <c r="F1493" s="71"/>
      <c r="G1493" s="71"/>
      <c r="H1493" s="8"/>
    </row>
    <row r="1494" spans="4:8" x14ac:dyDescent="0.2">
      <c r="D1494" s="71"/>
      <c r="E1494" s="71"/>
      <c r="F1494" s="71"/>
      <c r="G1494" s="71"/>
      <c r="H1494" s="8"/>
    </row>
    <row r="1495" spans="4:8" x14ac:dyDescent="0.2">
      <c r="D1495" s="71"/>
      <c r="E1495" s="71"/>
      <c r="F1495" s="71"/>
      <c r="G1495" s="71"/>
      <c r="H1495" s="8"/>
    </row>
    <row r="1496" spans="4:8" x14ac:dyDescent="0.2">
      <c r="D1496" s="71"/>
      <c r="E1496" s="71"/>
      <c r="F1496" s="71"/>
      <c r="G1496" s="71"/>
      <c r="H1496" s="8"/>
    </row>
    <row r="1497" spans="4:8" x14ac:dyDescent="0.2">
      <c r="D1497" s="71"/>
      <c r="E1497" s="71"/>
      <c r="F1497" s="71"/>
      <c r="G1497" s="71"/>
      <c r="H1497" s="8"/>
    </row>
    <row r="1498" spans="4:8" x14ac:dyDescent="0.2">
      <c r="D1498" s="71"/>
      <c r="E1498" s="71"/>
      <c r="F1498" s="71"/>
      <c r="G1498" s="71"/>
      <c r="H1498" s="8"/>
    </row>
    <row r="1499" spans="4:8" x14ac:dyDescent="0.2">
      <c r="D1499" s="71"/>
      <c r="E1499" s="71"/>
      <c r="F1499" s="71"/>
      <c r="G1499" s="71"/>
      <c r="H1499" s="8"/>
    </row>
    <row r="1500" spans="4:8" x14ac:dyDescent="0.2">
      <c r="D1500" s="71"/>
      <c r="E1500" s="71"/>
      <c r="F1500" s="71"/>
      <c r="G1500" s="71"/>
      <c r="H1500" s="8"/>
    </row>
    <row r="1501" spans="4:8" x14ac:dyDescent="0.2">
      <c r="D1501" s="71"/>
      <c r="E1501" s="71"/>
      <c r="F1501" s="71"/>
      <c r="G1501" s="71"/>
      <c r="H1501" s="8"/>
    </row>
    <row r="1502" spans="4:8" x14ac:dyDescent="0.2">
      <c r="D1502" s="71"/>
      <c r="E1502" s="71"/>
      <c r="F1502" s="71"/>
      <c r="G1502" s="71"/>
      <c r="H1502" s="8"/>
    </row>
    <row r="1503" spans="4:8" x14ac:dyDescent="0.2">
      <c r="D1503" s="71"/>
      <c r="E1503" s="71"/>
      <c r="F1503" s="71"/>
      <c r="G1503" s="71"/>
      <c r="H1503" s="8"/>
    </row>
    <row r="1504" spans="4:8" x14ac:dyDescent="0.2">
      <c r="D1504" s="71"/>
      <c r="E1504" s="71"/>
      <c r="F1504" s="71"/>
      <c r="G1504" s="71"/>
      <c r="H1504" s="8"/>
    </row>
    <row r="1505" spans="4:8" x14ac:dyDescent="0.2">
      <c r="D1505" s="71"/>
      <c r="E1505" s="71"/>
      <c r="F1505" s="71"/>
      <c r="G1505" s="71"/>
      <c r="H1505" s="8"/>
    </row>
    <row r="1506" spans="4:8" x14ac:dyDescent="0.2">
      <c r="D1506" s="71"/>
      <c r="E1506" s="71"/>
      <c r="F1506" s="71"/>
      <c r="G1506" s="71"/>
      <c r="H1506" s="8"/>
    </row>
    <row r="1507" spans="4:8" x14ac:dyDescent="0.2">
      <c r="D1507" s="71"/>
      <c r="E1507" s="71"/>
      <c r="F1507" s="71"/>
      <c r="G1507" s="71"/>
      <c r="H1507" s="8"/>
    </row>
    <row r="1508" spans="4:8" x14ac:dyDescent="0.2">
      <c r="D1508" s="71"/>
      <c r="E1508" s="71"/>
      <c r="F1508" s="71"/>
      <c r="G1508" s="71"/>
      <c r="H1508" s="8"/>
    </row>
    <row r="1509" spans="4:8" x14ac:dyDescent="0.2">
      <c r="D1509" s="71"/>
      <c r="E1509" s="71"/>
      <c r="F1509" s="71"/>
      <c r="G1509" s="71"/>
      <c r="H1509" s="8"/>
    </row>
    <row r="1510" spans="4:8" x14ac:dyDescent="0.2">
      <c r="D1510" s="71"/>
      <c r="E1510" s="71"/>
      <c r="F1510" s="71"/>
      <c r="G1510" s="71"/>
      <c r="H1510" s="8"/>
    </row>
    <row r="1511" spans="4:8" x14ac:dyDescent="0.2">
      <c r="D1511" s="71"/>
      <c r="E1511" s="71"/>
      <c r="F1511" s="71"/>
      <c r="G1511" s="71"/>
      <c r="H1511" s="8"/>
    </row>
    <row r="1512" spans="4:8" x14ac:dyDescent="0.2">
      <c r="D1512" s="71"/>
      <c r="E1512" s="71"/>
      <c r="F1512" s="71"/>
      <c r="G1512" s="71"/>
      <c r="H1512" s="8"/>
    </row>
    <row r="1513" spans="4:8" x14ac:dyDescent="0.2">
      <c r="D1513" s="71"/>
      <c r="E1513" s="71"/>
      <c r="F1513" s="71"/>
      <c r="G1513" s="71"/>
      <c r="H1513" s="8"/>
    </row>
    <row r="1514" spans="4:8" x14ac:dyDescent="0.2">
      <c r="D1514" s="71"/>
      <c r="E1514" s="71"/>
      <c r="F1514" s="71"/>
      <c r="G1514" s="71"/>
      <c r="H1514" s="8"/>
    </row>
    <row r="1515" spans="4:8" x14ac:dyDescent="0.2">
      <c r="D1515" s="71"/>
      <c r="E1515" s="71"/>
      <c r="F1515" s="71"/>
      <c r="G1515" s="71"/>
      <c r="H1515" s="8"/>
    </row>
    <row r="1516" spans="4:8" x14ac:dyDescent="0.2">
      <c r="D1516" s="71"/>
      <c r="E1516" s="71"/>
      <c r="F1516" s="71"/>
      <c r="G1516" s="71"/>
      <c r="H1516" s="8"/>
    </row>
    <row r="1517" spans="4:8" x14ac:dyDescent="0.2">
      <c r="D1517" s="71"/>
      <c r="E1517" s="71"/>
      <c r="F1517" s="71"/>
      <c r="G1517" s="71"/>
      <c r="H1517" s="8"/>
    </row>
    <row r="1518" spans="4:8" x14ac:dyDescent="0.2">
      <c r="D1518" s="71"/>
      <c r="E1518" s="71"/>
      <c r="F1518" s="71"/>
      <c r="G1518" s="71"/>
      <c r="H1518" s="8"/>
    </row>
    <row r="1519" spans="4:8" x14ac:dyDescent="0.2">
      <c r="D1519" s="71"/>
      <c r="E1519" s="71"/>
      <c r="F1519" s="71"/>
      <c r="G1519" s="71"/>
      <c r="H1519" s="8"/>
    </row>
    <row r="1520" spans="4:8" x14ac:dyDescent="0.2">
      <c r="D1520" s="71"/>
      <c r="E1520" s="71"/>
      <c r="F1520" s="71"/>
      <c r="G1520" s="71"/>
      <c r="H1520" s="8"/>
    </row>
    <row r="1521" spans="4:8" x14ac:dyDescent="0.2">
      <c r="D1521" s="71"/>
      <c r="E1521" s="71"/>
      <c r="F1521" s="71"/>
      <c r="G1521" s="71"/>
      <c r="H1521" s="8"/>
    </row>
    <row r="1522" spans="4:8" x14ac:dyDescent="0.2">
      <c r="D1522" s="71"/>
      <c r="E1522" s="71"/>
      <c r="F1522" s="71"/>
      <c r="G1522" s="71"/>
      <c r="H1522" s="8"/>
    </row>
    <row r="1523" spans="4:8" x14ac:dyDescent="0.2">
      <c r="D1523" s="71"/>
      <c r="E1523" s="71"/>
      <c r="F1523" s="71"/>
      <c r="G1523" s="71"/>
      <c r="H1523" s="8"/>
    </row>
    <row r="1524" spans="4:8" x14ac:dyDescent="0.2">
      <c r="D1524" s="71"/>
      <c r="E1524" s="71"/>
      <c r="F1524" s="71"/>
      <c r="G1524" s="71"/>
      <c r="H1524" s="8"/>
    </row>
    <row r="1525" spans="4:8" x14ac:dyDescent="0.2">
      <c r="D1525" s="71"/>
      <c r="E1525" s="71"/>
      <c r="F1525" s="71"/>
      <c r="G1525" s="71"/>
      <c r="H1525" s="8"/>
    </row>
    <row r="1526" spans="4:8" x14ac:dyDescent="0.2">
      <c r="D1526" s="71"/>
      <c r="E1526" s="71"/>
      <c r="F1526" s="71"/>
      <c r="G1526" s="71"/>
      <c r="H1526" s="8"/>
    </row>
    <row r="1527" spans="4:8" x14ac:dyDescent="0.2">
      <c r="D1527" s="71"/>
      <c r="E1527" s="71"/>
      <c r="F1527" s="71"/>
      <c r="G1527" s="71"/>
      <c r="H1527" s="8"/>
    </row>
    <row r="1528" spans="4:8" x14ac:dyDescent="0.2">
      <c r="D1528" s="71"/>
      <c r="E1528" s="71"/>
      <c r="F1528" s="71"/>
      <c r="G1528" s="71"/>
      <c r="H1528" s="8"/>
    </row>
    <row r="1529" spans="4:8" x14ac:dyDescent="0.2">
      <c r="D1529" s="71"/>
      <c r="E1529" s="71"/>
      <c r="F1529" s="71"/>
      <c r="G1529" s="71"/>
      <c r="H1529" s="8"/>
    </row>
    <row r="1530" spans="4:8" x14ac:dyDescent="0.2">
      <c r="D1530" s="71"/>
      <c r="E1530" s="71"/>
      <c r="F1530" s="71"/>
      <c r="G1530" s="71"/>
      <c r="H1530" s="8"/>
    </row>
    <row r="1531" spans="4:8" x14ac:dyDescent="0.2">
      <c r="D1531" s="71"/>
      <c r="E1531" s="71"/>
      <c r="F1531" s="71"/>
      <c r="G1531" s="71"/>
      <c r="H1531" s="8"/>
    </row>
    <row r="1532" spans="4:8" x14ac:dyDescent="0.2">
      <c r="D1532" s="71"/>
      <c r="E1532" s="71"/>
      <c r="F1532" s="71"/>
      <c r="G1532" s="71"/>
      <c r="H1532" s="8"/>
    </row>
    <row r="1533" spans="4:8" x14ac:dyDescent="0.2">
      <c r="D1533" s="71"/>
      <c r="E1533" s="71"/>
      <c r="F1533" s="71"/>
      <c r="G1533" s="71"/>
      <c r="H1533" s="8"/>
    </row>
    <row r="1534" spans="4:8" x14ac:dyDescent="0.2">
      <c r="D1534" s="71"/>
      <c r="E1534" s="71"/>
      <c r="F1534" s="71"/>
      <c r="G1534" s="71"/>
      <c r="H1534" s="8"/>
    </row>
    <row r="1535" spans="4:8" x14ac:dyDescent="0.2">
      <c r="D1535" s="71"/>
      <c r="E1535" s="71"/>
      <c r="F1535" s="71"/>
      <c r="G1535" s="71"/>
      <c r="H1535" s="8"/>
    </row>
    <row r="1536" spans="4:8" x14ac:dyDescent="0.2">
      <c r="D1536" s="71"/>
      <c r="E1536" s="71"/>
      <c r="F1536" s="71"/>
      <c r="G1536" s="71"/>
      <c r="H1536" s="8"/>
    </row>
    <row r="1537" spans="4:8" x14ac:dyDescent="0.2">
      <c r="D1537" s="71"/>
      <c r="E1537" s="71"/>
      <c r="F1537" s="71"/>
      <c r="G1537" s="71"/>
      <c r="H1537" s="8"/>
    </row>
    <row r="1538" spans="4:8" x14ac:dyDescent="0.2">
      <c r="D1538" s="71"/>
      <c r="E1538" s="71"/>
      <c r="F1538" s="71"/>
      <c r="G1538" s="71"/>
      <c r="H1538" s="8"/>
    </row>
    <row r="1539" spans="4:8" x14ac:dyDescent="0.2">
      <c r="D1539" s="71"/>
      <c r="E1539" s="71"/>
      <c r="F1539" s="71"/>
      <c r="G1539" s="71"/>
      <c r="H1539" s="8"/>
    </row>
    <row r="1540" spans="4:8" x14ac:dyDescent="0.2">
      <c r="D1540" s="71"/>
      <c r="E1540" s="71"/>
      <c r="F1540" s="71"/>
      <c r="G1540" s="71"/>
      <c r="H1540" s="8"/>
    </row>
    <row r="1541" spans="4:8" x14ac:dyDescent="0.2">
      <c r="D1541" s="71"/>
      <c r="E1541" s="71"/>
      <c r="F1541" s="71"/>
      <c r="G1541" s="71"/>
      <c r="H1541" s="8"/>
    </row>
    <row r="1542" spans="4:8" x14ac:dyDescent="0.2">
      <c r="D1542" s="71"/>
      <c r="E1542" s="71"/>
      <c r="F1542" s="71"/>
      <c r="G1542" s="71"/>
      <c r="H1542" s="8"/>
    </row>
    <row r="1543" spans="4:8" x14ac:dyDescent="0.2">
      <c r="D1543" s="71"/>
      <c r="E1543" s="71"/>
      <c r="F1543" s="71"/>
      <c r="G1543" s="71"/>
      <c r="H1543" s="8"/>
    </row>
    <row r="1544" spans="4:8" x14ac:dyDescent="0.2">
      <c r="D1544" s="71"/>
      <c r="E1544" s="71"/>
      <c r="F1544" s="71"/>
      <c r="G1544" s="71"/>
      <c r="H1544" s="8"/>
    </row>
    <row r="1545" spans="4:8" x14ac:dyDescent="0.2">
      <c r="D1545" s="71"/>
      <c r="E1545" s="71"/>
      <c r="F1545" s="71"/>
      <c r="G1545" s="71"/>
      <c r="H1545" s="8"/>
    </row>
    <row r="1546" spans="4:8" x14ac:dyDescent="0.2">
      <c r="D1546" s="71"/>
      <c r="E1546" s="71"/>
      <c r="F1546" s="71"/>
      <c r="G1546" s="71"/>
      <c r="H1546" s="8"/>
    </row>
    <row r="1547" spans="4:8" x14ac:dyDescent="0.2">
      <c r="D1547" s="71"/>
      <c r="E1547" s="71"/>
      <c r="F1547" s="71"/>
      <c r="G1547" s="71"/>
      <c r="H1547" s="8"/>
    </row>
    <row r="1548" spans="4:8" x14ac:dyDescent="0.2">
      <c r="D1548" s="71"/>
      <c r="E1548" s="71"/>
      <c r="F1548" s="71"/>
      <c r="G1548" s="71"/>
      <c r="H1548" s="8"/>
    </row>
    <row r="1549" spans="4:8" x14ac:dyDescent="0.2">
      <c r="D1549" s="71"/>
      <c r="E1549" s="71"/>
      <c r="F1549" s="71"/>
      <c r="G1549" s="71"/>
      <c r="H1549" s="8"/>
    </row>
    <row r="1550" spans="4:8" x14ac:dyDescent="0.2">
      <c r="D1550" s="71"/>
      <c r="E1550" s="71"/>
      <c r="F1550" s="71"/>
      <c r="G1550" s="71"/>
      <c r="H1550" s="8"/>
    </row>
    <row r="1551" spans="4:8" x14ac:dyDescent="0.2">
      <c r="D1551" s="71"/>
      <c r="E1551" s="71"/>
      <c r="F1551" s="71"/>
      <c r="G1551" s="71"/>
      <c r="H1551" s="8"/>
    </row>
    <row r="1552" spans="4:8" x14ac:dyDescent="0.2">
      <c r="D1552" s="71"/>
      <c r="E1552" s="71"/>
      <c r="F1552" s="71"/>
      <c r="G1552" s="71"/>
      <c r="H1552" s="8"/>
    </row>
    <row r="1553" spans="4:8" x14ac:dyDescent="0.2">
      <c r="D1553" s="71"/>
      <c r="E1553" s="71"/>
      <c r="F1553" s="71"/>
      <c r="G1553" s="71"/>
      <c r="H1553" s="8"/>
    </row>
    <row r="1554" spans="4:8" x14ac:dyDescent="0.2">
      <c r="D1554" s="71"/>
      <c r="E1554" s="71"/>
      <c r="F1554" s="71"/>
      <c r="G1554" s="71"/>
      <c r="H1554" s="8"/>
    </row>
    <row r="1555" spans="4:8" x14ac:dyDescent="0.2">
      <c r="D1555" s="71"/>
      <c r="E1555" s="71"/>
      <c r="F1555" s="71"/>
      <c r="G1555" s="71"/>
      <c r="H1555" s="8"/>
    </row>
    <row r="1556" spans="4:8" x14ac:dyDescent="0.2">
      <c r="D1556" s="71"/>
      <c r="E1556" s="71"/>
      <c r="F1556" s="71"/>
      <c r="G1556" s="71"/>
      <c r="H1556" s="8"/>
    </row>
    <row r="1557" spans="4:8" x14ac:dyDescent="0.2">
      <c r="D1557" s="71"/>
      <c r="E1557" s="71"/>
      <c r="F1557" s="71"/>
      <c r="G1557" s="71"/>
      <c r="H1557" s="8"/>
    </row>
    <row r="1558" spans="4:8" x14ac:dyDescent="0.2">
      <c r="D1558" s="71"/>
      <c r="E1558" s="71"/>
      <c r="F1558" s="71"/>
      <c r="G1558" s="71"/>
      <c r="H1558" s="8"/>
    </row>
    <row r="1559" spans="4:8" x14ac:dyDescent="0.2">
      <c r="D1559" s="71"/>
      <c r="E1559" s="71"/>
      <c r="F1559" s="71"/>
      <c r="G1559" s="71"/>
      <c r="H1559" s="8"/>
    </row>
    <row r="1560" spans="4:8" x14ac:dyDescent="0.2">
      <c r="D1560" s="71"/>
      <c r="E1560" s="71"/>
      <c r="F1560" s="71"/>
      <c r="G1560" s="71"/>
      <c r="H1560" s="8"/>
    </row>
    <row r="1561" spans="4:8" x14ac:dyDescent="0.2">
      <c r="D1561" s="71"/>
      <c r="E1561" s="71"/>
      <c r="F1561" s="71"/>
      <c r="G1561" s="71"/>
      <c r="H1561" s="8"/>
    </row>
    <row r="1562" spans="4:8" x14ac:dyDescent="0.2">
      <c r="D1562" s="71"/>
      <c r="E1562" s="71"/>
      <c r="F1562" s="71"/>
      <c r="G1562" s="71"/>
      <c r="H1562" s="8"/>
    </row>
    <row r="1563" spans="4:8" x14ac:dyDescent="0.2">
      <c r="D1563" s="71"/>
      <c r="E1563" s="71"/>
      <c r="F1563" s="71"/>
      <c r="G1563" s="71"/>
      <c r="H1563" s="8"/>
    </row>
    <row r="1564" spans="4:8" x14ac:dyDescent="0.2">
      <c r="D1564" s="71"/>
      <c r="E1564" s="71"/>
      <c r="F1564" s="71"/>
      <c r="G1564" s="71"/>
      <c r="H1564" s="8"/>
    </row>
    <row r="1565" spans="4:8" x14ac:dyDescent="0.2">
      <c r="D1565" s="71"/>
      <c r="E1565" s="71"/>
      <c r="F1565" s="71"/>
      <c r="G1565" s="71"/>
      <c r="H1565" s="8"/>
    </row>
    <row r="1566" spans="4:8" x14ac:dyDescent="0.2">
      <c r="D1566" s="71"/>
      <c r="E1566" s="71"/>
      <c r="F1566" s="71"/>
      <c r="G1566" s="71"/>
      <c r="H1566" s="8"/>
    </row>
    <row r="1567" spans="4:8" x14ac:dyDescent="0.2">
      <c r="D1567" s="71"/>
      <c r="E1567" s="71"/>
      <c r="F1567" s="71"/>
      <c r="G1567" s="71"/>
      <c r="H1567" s="8"/>
    </row>
    <row r="1568" spans="4:8" x14ac:dyDescent="0.2">
      <c r="D1568" s="71"/>
      <c r="E1568" s="71"/>
      <c r="F1568" s="71"/>
      <c r="G1568" s="71"/>
      <c r="H1568" s="8"/>
    </row>
    <row r="1569" spans="4:8" x14ac:dyDescent="0.2">
      <c r="D1569" s="71"/>
      <c r="E1569" s="71"/>
      <c r="F1569" s="71"/>
      <c r="G1569" s="71"/>
      <c r="H1569" s="8"/>
    </row>
    <row r="1570" spans="4:8" x14ac:dyDescent="0.2">
      <c r="D1570" s="71"/>
      <c r="E1570" s="71"/>
      <c r="F1570" s="71"/>
      <c r="G1570" s="71"/>
      <c r="H1570" s="8"/>
    </row>
    <row r="1571" spans="4:8" x14ac:dyDescent="0.2">
      <c r="D1571" s="71"/>
      <c r="E1571" s="71"/>
      <c r="F1571" s="71"/>
      <c r="G1571" s="71"/>
      <c r="H1571" s="8"/>
    </row>
    <row r="1572" spans="4:8" x14ac:dyDescent="0.2">
      <c r="D1572" s="71"/>
      <c r="E1572" s="71"/>
      <c r="F1572" s="71"/>
      <c r="G1572" s="71"/>
      <c r="H1572" s="8"/>
    </row>
    <row r="1573" spans="4:8" x14ac:dyDescent="0.2">
      <c r="D1573" s="71"/>
      <c r="E1573" s="71"/>
      <c r="F1573" s="71"/>
      <c r="G1573" s="71"/>
      <c r="H1573" s="8"/>
    </row>
    <row r="1574" spans="4:8" x14ac:dyDescent="0.2">
      <c r="D1574" s="71"/>
      <c r="E1574" s="71"/>
      <c r="F1574" s="71"/>
      <c r="G1574" s="71"/>
      <c r="H1574" s="8"/>
    </row>
    <row r="1575" spans="4:8" x14ac:dyDescent="0.2">
      <c r="D1575" s="71"/>
      <c r="E1575" s="71"/>
      <c r="F1575" s="71"/>
      <c r="G1575" s="71"/>
      <c r="H1575" s="8"/>
    </row>
    <row r="1576" spans="4:8" x14ac:dyDescent="0.2">
      <c r="D1576" s="71"/>
      <c r="E1576" s="71"/>
      <c r="F1576" s="71"/>
      <c r="G1576" s="71"/>
      <c r="H1576" s="8"/>
    </row>
    <row r="1577" spans="4:8" x14ac:dyDescent="0.2">
      <c r="D1577" s="71"/>
      <c r="E1577" s="71"/>
      <c r="F1577" s="71"/>
      <c r="G1577" s="71"/>
      <c r="H1577" s="8"/>
    </row>
    <row r="1578" spans="4:8" x14ac:dyDescent="0.2">
      <c r="D1578" s="71"/>
      <c r="E1578" s="71"/>
      <c r="F1578" s="71"/>
      <c r="G1578" s="71"/>
      <c r="H1578" s="8"/>
    </row>
    <row r="1579" spans="4:8" x14ac:dyDescent="0.2">
      <c r="D1579" s="71"/>
      <c r="E1579" s="71"/>
      <c r="F1579" s="71"/>
      <c r="G1579" s="71"/>
      <c r="H1579" s="8"/>
    </row>
    <row r="1580" spans="4:8" x14ac:dyDescent="0.2">
      <c r="D1580" s="71"/>
      <c r="E1580" s="71"/>
      <c r="F1580" s="71"/>
      <c r="G1580" s="71"/>
      <c r="H1580" s="8"/>
    </row>
    <row r="1581" spans="4:8" x14ac:dyDescent="0.2">
      <c r="D1581" s="71"/>
      <c r="E1581" s="71"/>
      <c r="F1581" s="71"/>
      <c r="G1581" s="71"/>
      <c r="H1581" s="8"/>
    </row>
    <row r="1582" spans="4:8" x14ac:dyDescent="0.2">
      <c r="D1582" s="71"/>
      <c r="E1582" s="71"/>
      <c r="F1582" s="71"/>
      <c r="G1582" s="71"/>
      <c r="H1582" s="8"/>
    </row>
  </sheetData>
  <sortState ref="A383:BA396">
    <sortCondition ref="B383:B396"/>
  </sortState>
  <phoneticPr fontId="0" type="noConversion"/>
  <printOptions horizontalCentered="1"/>
  <pageMargins left="0.28000000000000003" right="0.03" top="0.25" bottom="0.19" header="0.19" footer="0.18"/>
  <pageSetup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2010</vt:lpstr>
      <vt:lpstr>'2010'!Print_Area</vt:lpstr>
      <vt:lpstr>'2010'!Print_Titles</vt:lpstr>
    </vt:vector>
  </TitlesOfParts>
  <Company>Micron Electronics,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Windows User</cp:lastModifiedBy>
  <cp:lastPrinted>2010-11-30T17:21:27Z</cp:lastPrinted>
  <dcterms:created xsi:type="dcterms:W3CDTF">2000-12-04T22:24:04Z</dcterms:created>
  <dcterms:modified xsi:type="dcterms:W3CDTF">2011-02-08T17:27:22Z</dcterms:modified>
</cp:coreProperties>
</file>