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90" windowWidth="10500" windowHeight="9525" activeTab="1"/>
  </bookViews>
  <sheets>
    <sheet name="ByStatus" sheetId="1" r:id="rId1"/>
    <sheet name="status_accompanied" sheetId="2" r:id="rId2"/>
  </sheets>
  <calcPr calcId="145621"/>
</workbook>
</file>

<file path=xl/calcChain.xml><?xml version="1.0" encoding="utf-8"?>
<calcChain xmlns="http://schemas.openxmlformats.org/spreadsheetml/2006/main">
  <c r="B45" i="1" l="1"/>
  <c r="Q5" i="2"/>
  <c r="Q6" i="2"/>
  <c r="Q7" i="2"/>
  <c r="Q8" i="2"/>
  <c r="Q9" i="2"/>
  <c r="Q10" i="2"/>
  <c r="Q11" i="2"/>
  <c r="Q12" i="2"/>
  <c r="Q13" i="2"/>
  <c r="Q14" i="2"/>
  <c r="Q15" i="2"/>
  <c r="Q16" i="2"/>
  <c r="Q4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3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B46" i="2"/>
  <c r="C45" i="1"/>
  <c r="D45" i="1"/>
  <c r="E45" i="1"/>
  <c r="F45" i="1"/>
  <c r="G45" i="1"/>
  <c r="Q46" i="2" l="1"/>
</calcChain>
</file>

<file path=xl/sharedStrings.xml><?xml version="1.0" encoding="utf-8"?>
<sst xmlns="http://schemas.openxmlformats.org/spreadsheetml/2006/main" count="117" uniqueCount="54">
  <si>
    <t>District</t>
  </si>
  <si>
    <t>Living with Another Family Member</t>
  </si>
  <si>
    <t>Living in a Motel or Hotel</t>
  </si>
  <si>
    <t>In a Shelter</t>
  </si>
  <si>
    <t>In a Car, Park, Campground or Public Place</t>
  </si>
  <si>
    <t>Living without Adequate Facilities</t>
  </si>
  <si>
    <t>Total</t>
  </si>
  <si>
    <t>ALPINE DISTRICT</t>
  </si>
  <si>
    <t>BOX ELDER DISTRICT</t>
  </si>
  <si>
    <t>CACHE DISTRICT</t>
  </si>
  <si>
    <t>CARBON DISTRICT</t>
  </si>
  <si>
    <t>DAVIS DISTRICT</t>
  </si>
  <si>
    <t>DUCHESNE DISTRICT</t>
  </si>
  <si>
    <t>EMERY DISTRICT</t>
  </si>
  <si>
    <t>GARFIELD DISTRICT</t>
  </si>
  <si>
    <t>GRANITE DISTRICT</t>
  </si>
  <si>
    <t>IRON DISTRICT</t>
  </si>
  <si>
    <t>JORDAN DISTRICT</t>
  </si>
  <si>
    <t>JUAB DISTRICT</t>
  </si>
  <si>
    <t>MILLARD DISTRICT</t>
  </si>
  <si>
    <t>MORGAN DISTRICT</t>
  </si>
  <si>
    <t>NEBO DISTRICT</t>
  </si>
  <si>
    <t>NORTH SANPETE DISTRICT</t>
  </si>
  <si>
    <t>PARK CITY DISTRICT</t>
  </si>
  <si>
    <t>PIUTE DISTRICT</t>
  </si>
  <si>
    <t>SAN JUAN DISTRICT</t>
  </si>
  <si>
    <t>SEVIER DISTRICT</t>
  </si>
  <si>
    <t>SOUTH SANPETE DISTRICT</t>
  </si>
  <si>
    <t>SOUTH SUMMIT DISTRICT</t>
  </si>
  <si>
    <t>TOOELE DISTRICT</t>
  </si>
  <si>
    <t>UINTAH DISTRICT</t>
  </si>
  <si>
    <t>WASATCH DISTRICT</t>
  </si>
  <si>
    <t>WASHINGTON DISTRICT</t>
  </si>
  <si>
    <t>WEBER DISTRICT</t>
  </si>
  <si>
    <t>SALT LAKE DISTRICT</t>
  </si>
  <si>
    <t>OGDEN CITY DISTRICT</t>
  </si>
  <si>
    <t>PROVO DISTRICT</t>
  </si>
  <si>
    <t>LOGAN CITY DISTRICT</t>
  </si>
  <si>
    <t>MURRAY DISTRICT</t>
  </si>
  <si>
    <t>ACADEMY FOR MATH ENGINEERING &amp; SCIENCE (AMES)</t>
  </si>
  <si>
    <t>NO UT ACAD FOR MATH ENGINEERING &amp; SCIENCE (NUAMES)</t>
  </si>
  <si>
    <t>EAST HOLLYWOOD HIGH</t>
  </si>
  <si>
    <t>SUCCESS ACADEMY</t>
  </si>
  <si>
    <t>WASATCH PEAK ACADEMY</t>
  </si>
  <si>
    <t>SALT LAKE SCHOOL FOR THE PERFORMING ARTS</t>
  </si>
  <si>
    <t>GUADALUPE SCHOOL</t>
  </si>
  <si>
    <t>OPEN CLASSROOM</t>
  </si>
  <si>
    <t>SALT LAKE CENTER FOR SCIENCE EDUCATION</t>
  </si>
  <si>
    <t>CANYONS DISTRICT</t>
  </si>
  <si>
    <t>TOTAL</t>
  </si>
  <si>
    <t>N</t>
  </si>
  <si>
    <t>Y</t>
  </si>
  <si>
    <t>Grand Total</t>
  </si>
  <si>
    <t>ALIANZA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</si>
</sst>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0" fontId="16" fillId="0" borderId="13" xfId="0" applyFont="1" applyBorder="1"/>
    <xf numFmtId="0" fontId="18" fillId="0" borderId="16" xfId="0" applyFont="1" applyBorder="1" applyAlignment="1">
      <alignment wrapText="1"/>
    </xf>
    <xf numFmtId="0" fontId="19" fillId="0" borderId="13" xfId="0" applyFont="1" applyBorder="1" applyAlignment="1">
      <alignment horizontal="center" vertical="center" wrapText="1"/>
    </xf>
    <xf numFmtId="0" fontId="16" fillId="0" borderId="14" xfId="0" applyFont="1" applyBorder="1"/>
    <xf numFmtId="0" fontId="16" fillId="0" borderId="15" xfId="0" applyFont="1" applyBorder="1"/>
    <xf numFmtId="0" fontId="0" fillId="0" borderId="11" xfId="0" applyBorder="1"/>
    <xf numFmtId="0" fontId="18" fillId="0" borderId="11" xfId="0" applyFont="1" applyBorder="1" applyAlignment="1">
      <alignment wrapText="1"/>
    </xf>
    <xf numFmtId="0" fontId="19" fillId="0" borderId="15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0" fillId="0" borderId="15" xfId="0" applyBorder="1"/>
    <xf numFmtId="0" fontId="18" fillId="0" borderId="0" xfId="0" applyFont="1" applyBorder="1" applyAlignment="1">
      <alignment wrapText="1"/>
    </xf>
    <xf numFmtId="0" fontId="0" fillId="0" borderId="0" xfId="0" applyBorder="1"/>
    <xf numFmtId="0" fontId="19" fillId="0" borderId="21" xfId="0" applyFont="1" applyBorder="1" applyAlignment="1">
      <alignment horizontal="center" vertical="center" wrapText="1"/>
    </xf>
    <xf numFmtId="0" fontId="19" fillId="0" borderId="13" xfId="0" applyFont="1" applyBorder="1" applyAlignment="1">
      <alignment wrapText="1"/>
    </xf>
    <xf numFmtId="0" fontId="0" fillId="0" borderId="0" xfId="0"/>
    <xf numFmtId="0" fontId="18" fillId="0" borderId="0" xfId="0" applyFont="1" applyAlignment="1">
      <alignment wrapText="1"/>
    </xf>
    <xf numFmtId="0" fontId="16" fillId="0" borderId="21" xfId="0" applyFont="1" applyBorder="1"/>
    <xf numFmtId="0" fontId="16" fillId="0" borderId="20" xfId="0" applyFont="1" applyBorder="1"/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B13" sqref="B13"/>
    </sheetView>
  </sheetViews>
  <sheetFormatPr defaultRowHeight="15" x14ac:dyDescent="0.25"/>
  <cols>
    <col min="1" max="1" width="24" style="24" customWidth="1"/>
    <col min="2" max="2" width="13.140625" customWidth="1"/>
    <col min="3" max="3" width="8.7109375" bestFit="1" customWidth="1"/>
    <col min="4" max="4" width="6.7109375" bestFit="1" customWidth="1"/>
    <col min="5" max="6" width="12.28515625" customWidth="1"/>
    <col min="7" max="7" width="8" customWidth="1"/>
  </cols>
  <sheetData>
    <row r="1" spans="1:7" s="1" customFormat="1" ht="42" thickBot="1" x14ac:dyDescent="0.35">
      <c r="A1" s="2" t="s">
        <v>0</v>
      </c>
      <c r="B1" s="18" t="s">
        <v>1</v>
      </c>
      <c r="C1" s="4" t="s">
        <v>2</v>
      </c>
      <c r="D1" s="4" t="s">
        <v>3</v>
      </c>
      <c r="E1" s="4" t="s">
        <v>4</v>
      </c>
      <c r="F1" s="14" t="s">
        <v>5</v>
      </c>
      <c r="G1" s="8" t="s">
        <v>6</v>
      </c>
    </row>
    <row r="2" spans="1:7" ht="41.45" x14ac:dyDescent="0.3">
      <c r="A2" s="12" t="s">
        <v>39</v>
      </c>
      <c r="B2" s="25">
        <v>2</v>
      </c>
      <c r="C2" s="25">
        <v>0</v>
      </c>
      <c r="D2" s="25">
        <v>0</v>
      </c>
      <c r="E2" s="25">
        <v>0</v>
      </c>
      <c r="F2" s="12">
        <v>0</v>
      </c>
      <c r="G2" s="5">
        <v>2</v>
      </c>
    </row>
    <row r="3" spans="1:7" ht="14.45" x14ac:dyDescent="0.3">
      <c r="A3" s="12" t="s">
        <v>53</v>
      </c>
      <c r="B3" s="25">
        <v>0</v>
      </c>
      <c r="C3" s="25">
        <v>0</v>
      </c>
      <c r="D3" s="25">
        <v>1</v>
      </c>
      <c r="E3" s="25">
        <v>0</v>
      </c>
      <c r="F3" s="12">
        <v>0</v>
      </c>
      <c r="G3" s="5">
        <v>1</v>
      </c>
    </row>
    <row r="4" spans="1:7" ht="14.45" x14ac:dyDescent="0.3">
      <c r="A4" s="12" t="s">
        <v>7</v>
      </c>
      <c r="B4" s="25">
        <v>56</v>
      </c>
      <c r="C4" s="25">
        <v>0</v>
      </c>
      <c r="D4" s="25">
        <v>0</v>
      </c>
      <c r="E4" s="25">
        <v>6</v>
      </c>
      <c r="F4" s="12">
        <v>0</v>
      </c>
      <c r="G4" s="5">
        <v>62</v>
      </c>
    </row>
    <row r="5" spans="1:7" ht="14.45" x14ac:dyDescent="0.3">
      <c r="A5" s="12" t="s">
        <v>8</v>
      </c>
      <c r="B5" s="25">
        <v>74</v>
      </c>
      <c r="C5" s="25">
        <v>0</v>
      </c>
      <c r="D5" s="25">
        <v>3</v>
      </c>
      <c r="E5" s="25">
        <v>0</v>
      </c>
      <c r="F5" s="12">
        <v>0</v>
      </c>
      <c r="G5" s="5">
        <v>77</v>
      </c>
    </row>
    <row r="6" spans="1:7" ht="14.45" x14ac:dyDescent="0.3">
      <c r="A6" s="12" t="s">
        <v>9</v>
      </c>
      <c r="B6" s="25">
        <v>123</v>
      </c>
      <c r="C6" s="25">
        <v>0</v>
      </c>
      <c r="D6" s="25">
        <v>0</v>
      </c>
      <c r="E6" s="25">
        <v>0</v>
      </c>
      <c r="F6" s="12">
        <v>0</v>
      </c>
      <c r="G6" s="5">
        <v>123</v>
      </c>
    </row>
    <row r="7" spans="1:7" ht="14.45" x14ac:dyDescent="0.3">
      <c r="A7" s="12" t="s">
        <v>48</v>
      </c>
      <c r="B7" s="25">
        <v>1518</v>
      </c>
      <c r="C7" s="25">
        <v>21</v>
      </c>
      <c r="D7" s="25">
        <v>114</v>
      </c>
      <c r="E7" s="25">
        <v>12</v>
      </c>
      <c r="F7" s="12">
        <v>2</v>
      </c>
      <c r="G7" s="5">
        <v>1667</v>
      </c>
    </row>
    <row r="8" spans="1:7" ht="14.45" x14ac:dyDescent="0.3">
      <c r="A8" s="12" t="s">
        <v>10</v>
      </c>
      <c r="B8" s="25">
        <v>203</v>
      </c>
      <c r="C8" s="16">
        <v>1</v>
      </c>
      <c r="D8" s="25">
        <v>0</v>
      </c>
      <c r="E8" s="25">
        <v>0</v>
      </c>
      <c r="F8" s="12">
        <v>1</v>
      </c>
      <c r="G8" s="5">
        <v>205</v>
      </c>
    </row>
    <row r="9" spans="1:7" ht="14.45" x14ac:dyDescent="0.3">
      <c r="A9" s="12" t="s">
        <v>11</v>
      </c>
      <c r="B9" s="25">
        <v>912</v>
      </c>
      <c r="C9" s="25">
        <v>21</v>
      </c>
      <c r="D9" s="25">
        <v>44</v>
      </c>
      <c r="E9" s="25">
        <v>8</v>
      </c>
      <c r="F9" s="12">
        <v>34</v>
      </c>
      <c r="G9" s="5">
        <v>1019</v>
      </c>
    </row>
    <row r="10" spans="1:7" ht="14.45" x14ac:dyDescent="0.3">
      <c r="A10" s="12" t="s">
        <v>12</v>
      </c>
      <c r="B10" s="25">
        <v>67</v>
      </c>
      <c r="C10" s="25">
        <v>1</v>
      </c>
      <c r="D10" s="25">
        <v>1</v>
      </c>
      <c r="E10" s="25">
        <v>3</v>
      </c>
      <c r="F10" s="12">
        <v>2</v>
      </c>
      <c r="G10" s="5">
        <v>74</v>
      </c>
    </row>
    <row r="11" spans="1:7" ht="14.45" x14ac:dyDescent="0.3">
      <c r="A11" s="12" t="s">
        <v>41</v>
      </c>
      <c r="B11" s="25">
        <v>0</v>
      </c>
      <c r="C11" s="25">
        <v>0</v>
      </c>
      <c r="D11" s="25">
        <v>2</v>
      </c>
      <c r="E11" s="25">
        <v>0</v>
      </c>
      <c r="F11" s="12">
        <v>0</v>
      </c>
      <c r="G11" s="5">
        <v>2</v>
      </c>
    </row>
    <row r="12" spans="1:7" ht="14.45" x14ac:dyDescent="0.3">
      <c r="A12" s="12" t="s">
        <v>13</v>
      </c>
      <c r="B12" s="25">
        <v>52</v>
      </c>
      <c r="C12" s="25">
        <v>0</v>
      </c>
      <c r="D12" s="25">
        <v>0</v>
      </c>
      <c r="E12" s="25">
        <v>0</v>
      </c>
      <c r="F12" s="12">
        <v>0</v>
      </c>
      <c r="G12" s="5">
        <v>52</v>
      </c>
    </row>
    <row r="13" spans="1:7" ht="14.45" x14ac:dyDescent="0.3">
      <c r="A13" s="12" t="s">
        <v>14</v>
      </c>
      <c r="B13" s="25">
        <v>7</v>
      </c>
      <c r="C13" s="25">
        <v>17</v>
      </c>
      <c r="D13" s="25">
        <v>0</v>
      </c>
      <c r="E13" s="25">
        <v>5</v>
      </c>
      <c r="F13" s="12">
        <v>6</v>
      </c>
      <c r="G13" s="5">
        <v>35</v>
      </c>
    </row>
    <row r="14" spans="1:7" ht="14.45" x14ac:dyDescent="0.3">
      <c r="A14" s="12" t="s">
        <v>15</v>
      </c>
      <c r="B14" s="25">
        <v>503</v>
      </c>
      <c r="C14" s="25">
        <v>23</v>
      </c>
      <c r="D14" s="25">
        <v>51</v>
      </c>
      <c r="E14" s="25">
        <v>8</v>
      </c>
      <c r="F14" s="12">
        <v>4</v>
      </c>
      <c r="G14" s="5">
        <v>589</v>
      </c>
    </row>
    <row r="15" spans="1:7" ht="14.45" x14ac:dyDescent="0.3">
      <c r="A15" s="12" t="s">
        <v>45</v>
      </c>
      <c r="B15" s="25">
        <v>7</v>
      </c>
      <c r="C15" s="25">
        <v>0</v>
      </c>
      <c r="D15" s="25">
        <v>0</v>
      </c>
      <c r="E15" s="25">
        <v>0</v>
      </c>
      <c r="F15" s="12">
        <v>1</v>
      </c>
      <c r="G15" s="5">
        <v>8</v>
      </c>
    </row>
    <row r="16" spans="1:7" ht="14.45" x14ac:dyDescent="0.3">
      <c r="A16" s="12" t="s">
        <v>16</v>
      </c>
      <c r="B16" s="25">
        <v>197</v>
      </c>
      <c r="C16" s="25">
        <v>1</v>
      </c>
      <c r="D16" s="25">
        <v>10</v>
      </c>
      <c r="E16" s="25">
        <v>1</v>
      </c>
      <c r="F16" s="12">
        <v>12</v>
      </c>
      <c r="G16" s="5">
        <v>221</v>
      </c>
    </row>
    <row r="17" spans="1:7" ht="14.45" x14ac:dyDescent="0.3">
      <c r="A17" s="12" t="s">
        <v>17</v>
      </c>
      <c r="B17" s="25">
        <v>1285</v>
      </c>
      <c r="C17" s="25">
        <v>13</v>
      </c>
      <c r="D17" s="25">
        <v>19</v>
      </c>
      <c r="E17" s="25">
        <v>0</v>
      </c>
      <c r="F17" s="12">
        <v>3</v>
      </c>
      <c r="G17" s="5">
        <v>1320</v>
      </c>
    </row>
    <row r="18" spans="1:7" ht="14.45" x14ac:dyDescent="0.3">
      <c r="A18" s="12" t="s">
        <v>18</v>
      </c>
      <c r="B18" s="25">
        <v>19</v>
      </c>
      <c r="C18" s="25">
        <v>0</v>
      </c>
      <c r="D18" s="25">
        <v>0</v>
      </c>
      <c r="E18" s="25">
        <v>0</v>
      </c>
      <c r="F18" s="12">
        <v>2</v>
      </c>
      <c r="G18" s="5">
        <v>21</v>
      </c>
    </row>
    <row r="19" spans="1:7" ht="14.45" x14ac:dyDescent="0.3">
      <c r="A19" s="12" t="s">
        <v>37</v>
      </c>
      <c r="B19" s="25">
        <v>64</v>
      </c>
      <c r="C19" s="25">
        <v>0</v>
      </c>
      <c r="D19" s="25">
        <v>2</v>
      </c>
      <c r="E19" s="25">
        <v>0</v>
      </c>
      <c r="F19" s="12">
        <v>0</v>
      </c>
      <c r="G19" s="5">
        <v>66</v>
      </c>
    </row>
    <row r="20" spans="1:7" ht="14.45" x14ac:dyDescent="0.3">
      <c r="A20" s="12" t="s">
        <v>19</v>
      </c>
      <c r="B20" s="25">
        <v>81</v>
      </c>
      <c r="C20" s="25">
        <v>14</v>
      </c>
      <c r="D20" s="25">
        <v>0</v>
      </c>
      <c r="E20" s="25">
        <v>5</v>
      </c>
      <c r="F20" s="12">
        <v>0</v>
      </c>
      <c r="G20" s="5">
        <v>100</v>
      </c>
    </row>
    <row r="21" spans="1:7" ht="14.45" x14ac:dyDescent="0.3">
      <c r="A21" s="12" t="s">
        <v>20</v>
      </c>
      <c r="B21" s="25">
        <v>7</v>
      </c>
      <c r="C21" s="25">
        <v>0</v>
      </c>
      <c r="D21" s="25">
        <v>0</v>
      </c>
      <c r="E21" s="25">
        <v>0</v>
      </c>
      <c r="F21" s="12">
        <v>0</v>
      </c>
      <c r="G21" s="5">
        <v>7</v>
      </c>
    </row>
    <row r="22" spans="1:7" ht="14.45" x14ac:dyDescent="0.3">
      <c r="A22" s="12" t="s">
        <v>38</v>
      </c>
      <c r="B22" s="25">
        <v>82</v>
      </c>
      <c r="C22" s="25">
        <v>2</v>
      </c>
      <c r="D22" s="25">
        <v>10</v>
      </c>
      <c r="E22" s="25">
        <v>0</v>
      </c>
      <c r="F22" s="12">
        <v>5</v>
      </c>
      <c r="G22" s="5">
        <v>99</v>
      </c>
    </row>
    <row r="23" spans="1:7" ht="14.45" x14ac:dyDescent="0.3">
      <c r="A23" s="12" t="s">
        <v>21</v>
      </c>
      <c r="B23" s="25">
        <v>1565</v>
      </c>
      <c r="C23" s="25">
        <v>13</v>
      </c>
      <c r="D23" s="25">
        <v>15</v>
      </c>
      <c r="E23" s="25">
        <v>23</v>
      </c>
      <c r="F23" s="12">
        <v>7</v>
      </c>
      <c r="G23" s="5">
        <v>1623</v>
      </c>
    </row>
    <row r="24" spans="1:7" ht="41.45" x14ac:dyDescent="0.3">
      <c r="A24" s="12" t="s">
        <v>40</v>
      </c>
      <c r="B24" s="25">
        <v>10</v>
      </c>
      <c r="C24" s="25">
        <v>0</v>
      </c>
      <c r="D24" s="25">
        <v>0</v>
      </c>
      <c r="E24" s="25">
        <v>1</v>
      </c>
      <c r="F24" s="12">
        <v>0</v>
      </c>
      <c r="G24" s="5">
        <v>11</v>
      </c>
    </row>
    <row r="25" spans="1:7" x14ac:dyDescent="0.25">
      <c r="A25" s="12" t="s">
        <v>22</v>
      </c>
      <c r="B25" s="25">
        <v>70</v>
      </c>
      <c r="C25" s="25">
        <v>0</v>
      </c>
      <c r="D25" s="25">
        <v>0</v>
      </c>
      <c r="E25" s="25">
        <v>1</v>
      </c>
      <c r="F25" s="12">
        <v>2</v>
      </c>
      <c r="G25" s="5">
        <v>73</v>
      </c>
    </row>
    <row r="26" spans="1:7" x14ac:dyDescent="0.25">
      <c r="A26" s="12" t="s">
        <v>35</v>
      </c>
      <c r="B26" s="25">
        <v>765</v>
      </c>
      <c r="C26" s="25">
        <v>21</v>
      </c>
      <c r="D26" s="25">
        <v>42</v>
      </c>
      <c r="E26" s="25">
        <v>1</v>
      </c>
      <c r="F26" s="12">
        <v>63</v>
      </c>
      <c r="G26" s="5">
        <v>892</v>
      </c>
    </row>
    <row r="27" spans="1:7" x14ac:dyDescent="0.25">
      <c r="A27" s="12" t="s">
        <v>46</v>
      </c>
      <c r="B27" s="25">
        <v>2</v>
      </c>
      <c r="C27" s="25">
        <v>0</v>
      </c>
      <c r="D27" s="25">
        <v>0</v>
      </c>
      <c r="E27" s="25">
        <v>0</v>
      </c>
      <c r="F27" s="12">
        <v>0</v>
      </c>
      <c r="G27" s="5">
        <v>2</v>
      </c>
    </row>
    <row r="28" spans="1:7" x14ac:dyDescent="0.25">
      <c r="A28" s="12" t="s">
        <v>23</v>
      </c>
      <c r="B28" s="25">
        <v>51</v>
      </c>
      <c r="C28" s="25">
        <v>1</v>
      </c>
      <c r="D28" s="25">
        <v>0</v>
      </c>
      <c r="E28" s="25">
        <v>0</v>
      </c>
      <c r="F28" s="12">
        <v>0</v>
      </c>
      <c r="G28" s="5">
        <v>52</v>
      </c>
    </row>
    <row r="29" spans="1:7" x14ac:dyDescent="0.25">
      <c r="A29" s="12" t="s">
        <v>24</v>
      </c>
      <c r="B29" s="25">
        <v>3</v>
      </c>
      <c r="C29" s="25">
        <v>0</v>
      </c>
      <c r="D29" s="25">
        <v>0</v>
      </c>
      <c r="E29" s="25">
        <v>0</v>
      </c>
      <c r="F29" s="12">
        <v>4</v>
      </c>
      <c r="G29" s="5">
        <v>7</v>
      </c>
    </row>
    <row r="30" spans="1:7" x14ac:dyDescent="0.25">
      <c r="A30" s="12" t="s">
        <v>36</v>
      </c>
      <c r="B30" s="25">
        <v>66</v>
      </c>
      <c r="C30" s="25">
        <v>13</v>
      </c>
      <c r="D30" s="25">
        <v>7</v>
      </c>
      <c r="E30" s="25">
        <v>0</v>
      </c>
      <c r="F30" s="12">
        <v>0</v>
      </c>
      <c r="G30" s="5">
        <v>86</v>
      </c>
    </row>
    <row r="31" spans="1:7" ht="26.25" x14ac:dyDescent="0.25">
      <c r="A31" s="12" t="s">
        <v>47</v>
      </c>
      <c r="B31" s="25">
        <v>6</v>
      </c>
      <c r="C31" s="25">
        <v>0</v>
      </c>
      <c r="D31" s="25">
        <v>0</v>
      </c>
      <c r="E31" s="25">
        <v>0</v>
      </c>
      <c r="F31" s="12">
        <v>0</v>
      </c>
      <c r="G31" s="5">
        <v>6</v>
      </c>
    </row>
    <row r="32" spans="1:7" x14ac:dyDescent="0.25">
      <c r="A32" s="12" t="s">
        <v>34</v>
      </c>
      <c r="B32" s="25">
        <v>751</v>
      </c>
      <c r="C32" s="25">
        <v>27</v>
      </c>
      <c r="D32" s="25">
        <v>224</v>
      </c>
      <c r="E32" s="25">
        <v>11</v>
      </c>
      <c r="F32" s="12">
        <v>12</v>
      </c>
      <c r="G32" s="5">
        <v>1025</v>
      </c>
    </row>
    <row r="33" spans="1:7" ht="26.25" x14ac:dyDescent="0.25">
      <c r="A33" s="12" t="s">
        <v>44</v>
      </c>
      <c r="B33" s="25">
        <v>2</v>
      </c>
      <c r="C33" s="25">
        <v>0</v>
      </c>
      <c r="D33" s="25">
        <v>0</v>
      </c>
      <c r="E33" s="25">
        <v>0</v>
      </c>
      <c r="F33" s="12">
        <v>0</v>
      </c>
      <c r="G33" s="5">
        <v>2</v>
      </c>
    </row>
    <row r="34" spans="1:7" x14ac:dyDescent="0.25">
      <c r="A34" s="12" t="s">
        <v>25</v>
      </c>
      <c r="B34" s="25">
        <v>552</v>
      </c>
      <c r="C34" s="25">
        <v>4</v>
      </c>
      <c r="D34" s="25">
        <v>0</v>
      </c>
      <c r="E34" s="25">
        <v>9</v>
      </c>
      <c r="F34" s="12">
        <v>186</v>
      </c>
      <c r="G34" s="5">
        <v>751</v>
      </c>
    </row>
    <row r="35" spans="1:7" x14ac:dyDescent="0.25">
      <c r="A35" s="12" t="s">
        <v>26</v>
      </c>
      <c r="B35" s="25">
        <v>39</v>
      </c>
      <c r="C35" s="25">
        <v>5</v>
      </c>
      <c r="D35" s="25">
        <v>7</v>
      </c>
      <c r="E35" s="25">
        <v>0</v>
      </c>
      <c r="F35" s="12">
        <v>0</v>
      </c>
      <c r="G35" s="5">
        <v>51</v>
      </c>
    </row>
    <row r="36" spans="1:7" x14ac:dyDescent="0.25">
      <c r="A36" s="12" t="s">
        <v>27</v>
      </c>
      <c r="B36" s="25">
        <v>20</v>
      </c>
      <c r="C36" s="25">
        <v>0</v>
      </c>
      <c r="D36" s="25">
        <v>0</v>
      </c>
      <c r="E36" s="25">
        <v>0</v>
      </c>
      <c r="F36" s="12">
        <v>0</v>
      </c>
      <c r="G36" s="5">
        <v>20</v>
      </c>
    </row>
    <row r="37" spans="1:7" x14ac:dyDescent="0.25">
      <c r="A37" s="12" t="s">
        <v>28</v>
      </c>
      <c r="B37" s="25">
        <v>1</v>
      </c>
      <c r="C37" s="25">
        <v>0</v>
      </c>
      <c r="D37" s="25">
        <v>0</v>
      </c>
      <c r="E37" s="25">
        <v>0</v>
      </c>
      <c r="F37" s="12">
        <v>0</v>
      </c>
      <c r="G37" s="5">
        <v>1</v>
      </c>
    </row>
    <row r="38" spans="1:7" x14ac:dyDescent="0.25">
      <c r="A38" s="12" t="s">
        <v>42</v>
      </c>
      <c r="B38" s="25">
        <v>2</v>
      </c>
      <c r="C38" s="25">
        <v>2</v>
      </c>
      <c r="D38" s="25">
        <v>0</v>
      </c>
      <c r="E38" s="25">
        <v>0</v>
      </c>
      <c r="F38" s="12">
        <v>1</v>
      </c>
      <c r="G38" s="5">
        <v>5</v>
      </c>
    </row>
    <row r="39" spans="1:7" x14ac:dyDescent="0.25">
      <c r="A39" s="12" t="s">
        <v>29</v>
      </c>
      <c r="B39" s="25">
        <v>747</v>
      </c>
      <c r="C39" s="25">
        <v>18</v>
      </c>
      <c r="D39" s="25">
        <v>22</v>
      </c>
      <c r="E39" s="25">
        <v>9</v>
      </c>
      <c r="F39" s="12">
        <v>21</v>
      </c>
      <c r="G39" s="5">
        <v>817</v>
      </c>
    </row>
    <row r="40" spans="1:7" x14ac:dyDescent="0.25">
      <c r="A40" s="12" t="s">
        <v>30</v>
      </c>
      <c r="B40" s="25">
        <v>41</v>
      </c>
      <c r="C40" s="25">
        <v>2</v>
      </c>
      <c r="D40" s="25">
        <v>0</v>
      </c>
      <c r="E40" s="25">
        <v>1</v>
      </c>
      <c r="F40" s="12">
        <v>0</v>
      </c>
      <c r="G40" s="5">
        <v>44</v>
      </c>
    </row>
    <row r="41" spans="1:7" x14ac:dyDescent="0.25">
      <c r="A41" s="12" t="s">
        <v>31</v>
      </c>
      <c r="B41" s="25">
        <v>159</v>
      </c>
      <c r="C41" s="25">
        <v>1</v>
      </c>
      <c r="D41" s="25">
        <v>1</v>
      </c>
      <c r="E41" s="25">
        <v>3</v>
      </c>
      <c r="F41" s="12">
        <v>0</v>
      </c>
      <c r="G41" s="5">
        <v>164</v>
      </c>
    </row>
    <row r="42" spans="1:7" x14ac:dyDescent="0.25">
      <c r="A42" s="12" t="s">
        <v>43</v>
      </c>
      <c r="B42" s="25">
        <v>2</v>
      </c>
      <c r="C42" s="25">
        <v>0</v>
      </c>
      <c r="D42" s="25">
        <v>0</v>
      </c>
      <c r="E42" s="25">
        <v>0</v>
      </c>
      <c r="F42" s="12">
        <v>0</v>
      </c>
      <c r="G42" s="5">
        <v>2</v>
      </c>
    </row>
    <row r="43" spans="1:7" x14ac:dyDescent="0.25">
      <c r="A43" s="12" t="s">
        <v>32</v>
      </c>
      <c r="B43" s="25">
        <v>627</v>
      </c>
      <c r="C43" s="25">
        <v>51</v>
      </c>
      <c r="D43" s="25">
        <v>25</v>
      </c>
      <c r="E43" s="25">
        <v>7</v>
      </c>
      <c r="F43" s="12">
        <v>7</v>
      </c>
      <c r="G43" s="5">
        <v>717</v>
      </c>
    </row>
    <row r="44" spans="1:7" ht="15.75" thickBot="1" x14ac:dyDescent="0.3">
      <c r="A44" s="12" t="s">
        <v>33</v>
      </c>
      <c r="B44" s="25">
        <v>272</v>
      </c>
      <c r="C44" s="25">
        <v>1</v>
      </c>
      <c r="D44" s="25">
        <v>4</v>
      </c>
      <c r="E44" s="25">
        <v>0</v>
      </c>
      <c r="F44" s="12">
        <v>5</v>
      </c>
      <c r="G44" s="5">
        <v>282</v>
      </c>
    </row>
    <row r="45" spans="1:7" ht="15.75" thickBot="1" x14ac:dyDescent="0.3">
      <c r="A45" s="19" t="s">
        <v>49</v>
      </c>
      <c r="B45" s="22">
        <f>SUM(B2:B44)</f>
        <v>11012</v>
      </c>
      <c r="C45" s="22">
        <f t="shared" ref="C45:G45" si="0">SUM(C2:C44)</f>
        <v>273</v>
      </c>
      <c r="D45" s="22">
        <f t="shared" si="0"/>
        <v>604</v>
      </c>
      <c r="E45" s="22">
        <f t="shared" si="0"/>
        <v>114</v>
      </c>
      <c r="F45" s="6">
        <f t="shared" si="0"/>
        <v>380</v>
      </c>
      <c r="G45" s="22">
        <f t="shared" si="0"/>
        <v>12383</v>
      </c>
    </row>
  </sheetData>
  <sortState ref="A2:G45">
    <sortCondition ref="A2:A45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workbookViewId="0">
      <selection activeCell="D51" sqref="D51"/>
    </sheetView>
  </sheetViews>
  <sheetFormatPr defaultRowHeight="15" x14ac:dyDescent="0.25"/>
  <cols>
    <col min="1" max="1" width="22.7109375" customWidth="1"/>
  </cols>
  <sheetData>
    <row r="1" spans="1:17" s="20" customFormat="1" ht="35.450000000000003" customHeight="1" thickBot="1" x14ac:dyDescent="0.35">
      <c r="A1" s="11"/>
      <c r="B1" s="27" t="s">
        <v>1</v>
      </c>
      <c r="C1" s="27"/>
      <c r="D1" s="31"/>
      <c r="E1" s="28" t="s">
        <v>2</v>
      </c>
      <c r="F1" s="29"/>
      <c r="G1" s="30"/>
      <c r="H1" s="27" t="s">
        <v>3</v>
      </c>
      <c r="I1" s="27"/>
      <c r="J1" s="31"/>
      <c r="K1" s="28" t="s">
        <v>4</v>
      </c>
      <c r="L1" s="29"/>
      <c r="M1" s="30"/>
      <c r="N1" s="27" t="s">
        <v>5</v>
      </c>
      <c r="O1" s="27"/>
      <c r="P1" s="27"/>
      <c r="Q1" s="15"/>
    </row>
    <row r="2" spans="1:17" ht="28.15" thickBot="1" x14ac:dyDescent="0.35">
      <c r="A2" s="13" t="s">
        <v>0</v>
      </c>
      <c r="B2" s="3" t="s">
        <v>50</v>
      </c>
      <c r="C2" s="3" t="s">
        <v>51</v>
      </c>
      <c r="D2" s="18" t="s">
        <v>6</v>
      </c>
      <c r="E2" s="3" t="s">
        <v>50</v>
      </c>
      <c r="F2" s="3" t="s">
        <v>51</v>
      </c>
      <c r="G2" s="18" t="s">
        <v>6</v>
      </c>
      <c r="H2" s="3" t="s">
        <v>50</v>
      </c>
      <c r="I2" s="3" t="s">
        <v>51</v>
      </c>
      <c r="J2" s="18" t="s">
        <v>6</v>
      </c>
      <c r="K2" s="3" t="s">
        <v>50</v>
      </c>
      <c r="L2" s="3" t="s">
        <v>51</v>
      </c>
      <c r="M2" s="18" t="s">
        <v>6</v>
      </c>
      <c r="N2" s="3" t="s">
        <v>50</v>
      </c>
      <c r="O2" s="3" t="s">
        <v>51</v>
      </c>
      <c r="P2" s="3" t="s">
        <v>6</v>
      </c>
      <c r="Q2" s="13" t="s">
        <v>52</v>
      </c>
    </row>
    <row r="3" spans="1:17" ht="41.45" x14ac:dyDescent="0.3">
      <c r="A3" s="12" t="s">
        <v>39</v>
      </c>
      <c r="B3" s="21">
        <v>0</v>
      </c>
      <c r="C3" s="21">
        <v>2</v>
      </c>
      <c r="D3" s="7">
        <v>2</v>
      </c>
      <c r="E3" s="21">
        <v>0</v>
      </c>
      <c r="F3" s="21">
        <v>0</v>
      </c>
      <c r="G3" s="7">
        <v>0</v>
      </c>
      <c r="H3" s="21">
        <v>0</v>
      </c>
      <c r="I3" s="21">
        <v>0</v>
      </c>
      <c r="J3" s="7">
        <v>0</v>
      </c>
      <c r="K3" s="21">
        <v>0</v>
      </c>
      <c r="L3" s="21">
        <v>0</v>
      </c>
      <c r="M3" s="7">
        <v>0</v>
      </c>
      <c r="N3" s="21">
        <v>0</v>
      </c>
      <c r="O3" s="21">
        <v>0</v>
      </c>
      <c r="P3" s="21">
        <v>0</v>
      </c>
      <c r="Q3" s="23">
        <f t="shared" ref="Q3:Q45" si="0">SUM(D3,G3,J3,M3,P3)</f>
        <v>2</v>
      </c>
    </row>
    <row r="4" spans="1:17" ht="14.45" x14ac:dyDescent="0.3">
      <c r="A4" s="12" t="s">
        <v>53</v>
      </c>
      <c r="B4" s="21">
        <v>0</v>
      </c>
      <c r="C4" s="21">
        <v>0</v>
      </c>
      <c r="D4" s="7">
        <v>0</v>
      </c>
      <c r="E4" s="21">
        <v>0</v>
      </c>
      <c r="F4" s="21">
        <v>0</v>
      </c>
      <c r="G4" s="7">
        <v>0</v>
      </c>
      <c r="H4" s="21">
        <v>0</v>
      </c>
      <c r="I4" s="21">
        <v>1</v>
      </c>
      <c r="J4" s="7">
        <v>1</v>
      </c>
      <c r="K4" s="21">
        <v>0</v>
      </c>
      <c r="L4" s="21">
        <v>0</v>
      </c>
      <c r="M4" s="7">
        <v>0</v>
      </c>
      <c r="N4" s="21">
        <v>0</v>
      </c>
      <c r="O4" s="21">
        <v>0</v>
      </c>
      <c r="P4" s="21">
        <v>0</v>
      </c>
      <c r="Q4" s="23">
        <f t="shared" si="0"/>
        <v>1</v>
      </c>
    </row>
    <row r="5" spans="1:17" ht="14.45" x14ac:dyDescent="0.3">
      <c r="A5" s="12" t="s">
        <v>7</v>
      </c>
      <c r="B5" s="21">
        <v>18</v>
      </c>
      <c r="C5" s="21">
        <v>38</v>
      </c>
      <c r="D5" s="7">
        <v>56</v>
      </c>
      <c r="E5" s="21">
        <v>0</v>
      </c>
      <c r="F5" s="21">
        <v>0</v>
      </c>
      <c r="G5" s="7">
        <v>0</v>
      </c>
      <c r="H5" s="21">
        <v>0</v>
      </c>
      <c r="I5" s="21">
        <v>0</v>
      </c>
      <c r="J5" s="7">
        <v>0</v>
      </c>
      <c r="K5" s="21">
        <v>0</v>
      </c>
      <c r="L5" s="21">
        <v>6</v>
      </c>
      <c r="M5" s="7">
        <v>6</v>
      </c>
      <c r="N5" s="21">
        <v>0</v>
      </c>
      <c r="O5" s="21">
        <v>0</v>
      </c>
      <c r="P5" s="21">
        <v>0</v>
      </c>
      <c r="Q5" s="23">
        <f t="shared" si="0"/>
        <v>62</v>
      </c>
    </row>
    <row r="6" spans="1:17" ht="14.45" x14ac:dyDescent="0.3">
      <c r="A6" s="12" t="s">
        <v>8</v>
      </c>
      <c r="B6" s="21">
        <v>2</v>
      </c>
      <c r="C6" s="21">
        <v>72</v>
      </c>
      <c r="D6" s="7">
        <v>74</v>
      </c>
      <c r="E6" s="21">
        <v>0</v>
      </c>
      <c r="F6" s="21">
        <v>0</v>
      </c>
      <c r="G6" s="7">
        <v>0</v>
      </c>
      <c r="H6" s="21">
        <v>0</v>
      </c>
      <c r="I6" s="21">
        <v>3</v>
      </c>
      <c r="J6" s="7">
        <v>3</v>
      </c>
      <c r="K6" s="21">
        <v>0</v>
      </c>
      <c r="L6" s="21">
        <v>0</v>
      </c>
      <c r="M6" s="7">
        <v>0</v>
      </c>
      <c r="N6" s="21">
        <v>0</v>
      </c>
      <c r="O6" s="21">
        <v>0</v>
      </c>
      <c r="P6" s="21">
        <v>0</v>
      </c>
      <c r="Q6" s="23">
        <f t="shared" si="0"/>
        <v>77</v>
      </c>
    </row>
    <row r="7" spans="1:17" ht="14.45" x14ac:dyDescent="0.3">
      <c r="A7" s="12" t="s">
        <v>9</v>
      </c>
      <c r="B7" s="21">
        <v>1</v>
      </c>
      <c r="C7" s="21">
        <v>122</v>
      </c>
      <c r="D7" s="7">
        <v>123</v>
      </c>
      <c r="E7" s="21">
        <v>0</v>
      </c>
      <c r="F7" s="21">
        <v>0</v>
      </c>
      <c r="G7" s="7">
        <v>0</v>
      </c>
      <c r="H7" s="21">
        <v>0</v>
      </c>
      <c r="I7" s="21">
        <v>0</v>
      </c>
      <c r="J7" s="7">
        <v>0</v>
      </c>
      <c r="K7" s="21">
        <v>0</v>
      </c>
      <c r="L7" s="21">
        <v>0</v>
      </c>
      <c r="M7" s="7">
        <v>0</v>
      </c>
      <c r="N7" s="21">
        <v>0</v>
      </c>
      <c r="O7" s="21">
        <v>0</v>
      </c>
      <c r="P7" s="21">
        <v>0</v>
      </c>
      <c r="Q7" s="23">
        <f t="shared" si="0"/>
        <v>123</v>
      </c>
    </row>
    <row r="8" spans="1:17" ht="14.45" x14ac:dyDescent="0.3">
      <c r="A8" s="12" t="s">
        <v>48</v>
      </c>
      <c r="B8" s="21">
        <v>73</v>
      </c>
      <c r="C8" s="21">
        <v>1445</v>
      </c>
      <c r="D8" s="7">
        <v>1518</v>
      </c>
      <c r="E8" s="21">
        <v>1</v>
      </c>
      <c r="F8" s="21">
        <v>20</v>
      </c>
      <c r="G8" s="7">
        <v>21</v>
      </c>
      <c r="H8" s="21">
        <v>1</v>
      </c>
      <c r="I8" s="21">
        <v>113</v>
      </c>
      <c r="J8" s="7">
        <v>114</v>
      </c>
      <c r="K8" s="21">
        <v>0</v>
      </c>
      <c r="L8" s="21">
        <v>12</v>
      </c>
      <c r="M8" s="7">
        <v>12</v>
      </c>
      <c r="N8" s="21">
        <v>0</v>
      </c>
      <c r="O8" s="21">
        <v>2</v>
      </c>
      <c r="P8" s="21">
        <v>2</v>
      </c>
      <c r="Q8" s="23">
        <f t="shared" si="0"/>
        <v>1667</v>
      </c>
    </row>
    <row r="9" spans="1:17" ht="14.45" x14ac:dyDescent="0.3">
      <c r="A9" s="12" t="s">
        <v>10</v>
      </c>
      <c r="B9" s="21">
        <v>0</v>
      </c>
      <c r="C9" s="21">
        <v>203</v>
      </c>
      <c r="D9" s="7">
        <v>203</v>
      </c>
      <c r="E9" s="21">
        <v>0</v>
      </c>
      <c r="F9" s="21">
        <v>1</v>
      </c>
      <c r="G9" s="7">
        <v>1</v>
      </c>
      <c r="H9" s="21">
        <v>0</v>
      </c>
      <c r="I9" s="21">
        <v>0</v>
      </c>
      <c r="J9" s="7">
        <v>0</v>
      </c>
      <c r="K9" s="21">
        <v>0</v>
      </c>
      <c r="L9" s="21">
        <v>0</v>
      </c>
      <c r="M9" s="7">
        <v>0</v>
      </c>
      <c r="N9" s="21">
        <v>1</v>
      </c>
      <c r="O9" s="21">
        <v>0</v>
      </c>
      <c r="P9" s="21">
        <v>1</v>
      </c>
      <c r="Q9" s="23">
        <f t="shared" si="0"/>
        <v>205</v>
      </c>
    </row>
    <row r="10" spans="1:17" ht="14.45" x14ac:dyDescent="0.3">
      <c r="A10" s="12" t="s">
        <v>11</v>
      </c>
      <c r="B10" s="21">
        <v>0</v>
      </c>
      <c r="C10" s="21">
        <v>912</v>
      </c>
      <c r="D10" s="7">
        <v>912</v>
      </c>
      <c r="E10" s="21">
        <v>0</v>
      </c>
      <c r="F10" s="21">
        <v>21</v>
      </c>
      <c r="G10" s="7">
        <v>21</v>
      </c>
      <c r="H10" s="21">
        <v>0</v>
      </c>
      <c r="I10" s="21">
        <v>44</v>
      </c>
      <c r="J10" s="7">
        <v>44</v>
      </c>
      <c r="K10" s="21">
        <v>0</v>
      </c>
      <c r="L10" s="21">
        <v>8</v>
      </c>
      <c r="M10" s="7">
        <v>8</v>
      </c>
      <c r="N10" s="21">
        <v>0</v>
      </c>
      <c r="O10" s="21">
        <v>34</v>
      </c>
      <c r="P10" s="21">
        <v>34</v>
      </c>
      <c r="Q10" s="23">
        <f t="shared" si="0"/>
        <v>1019</v>
      </c>
    </row>
    <row r="11" spans="1:17" ht="14.45" x14ac:dyDescent="0.3">
      <c r="A11" s="12" t="s">
        <v>12</v>
      </c>
      <c r="B11" s="21">
        <v>0</v>
      </c>
      <c r="C11" s="26">
        <v>67</v>
      </c>
      <c r="D11" s="7">
        <v>67</v>
      </c>
      <c r="E11" s="21">
        <v>0</v>
      </c>
      <c r="F11" s="21">
        <v>1</v>
      </c>
      <c r="G11" s="7">
        <v>1</v>
      </c>
      <c r="H11" s="21">
        <v>0</v>
      </c>
      <c r="I11" s="21">
        <v>1</v>
      </c>
      <c r="J11" s="7">
        <v>1</v>
      </c>
      <c r="K11" s="21">
        <v>0</v>
      </c>
      <c r="L11" s="21">
        <v>3</v>
      </c>
      <c r="M11" s="7">
        <v>3</v>
      </c>
      <c r="N11" s="21">
        <v>0</v>
      </c>
      <c r="O11" s="21">
        <v>2</v>
      </c>
      <c r="P11" s="21">
        <v>2</v>
      </c>
      <c r="Q11" s="23">
        <f t="shared" si="0"/>
        <v>74</v>
      </c>
    </row>
    <row r="12" spans="1:17" ht="14.45" x14ac:dyDescent="0.3">
      <c r="A12" s="12" t="s">
        <v>41</v>
      </c>
      <c r="B12" s="21">
        <v>0</v>
      </c>
      <c r="C12" s="26">
        <v>0</v>
      </c>
      <c r="D12" s="7">
        <v>0</v>
      </c>
      <c r="E12" s="21">
        <v>0</v>
      </c>
      <c r="F12" s="21">
        <v>0</v>
      </c>
      <c r="G12" s="7">
        <v>0</v>
      </c>
      <c r="H12" s="21">
        <v>0</v>
      </c>
      <c r="I12" s="21">
        <v>2</v>
      </c>
      <c r="J12" s="7">
        <v>2</v>
      </c>
      <c r="K12" s="21">
        <v>0</v>
      </c>
      <c r="L12" s="21">
        <v>0</v>
      </c>
      <c r="M12" s="7">
        <v>0</v>
      </c>
      <c r="N12" s="21">
        <v>0</v>
      </c>
      <c r="O12" s="21">
        <v>0</v>
      </c>
      <c r="P12" s="21">
        <v>0</v>
      </c>
      <c r="Q12" s="23">
        <f t="shared" si="0"/>
        <v>2</v>
      </c>
    </row>
    <row r="13" spans="1:17" ht="14.45" x14ac:dyDescent="0.3">
      <c r="A13" s="12" t="s">
        <v>13</v>
      </c>
      <c r="B13" s="21">
        <v>0</v>
      </c>
      <c r="C13" s="21">
        <v>52</v>
      </c>
      <c r="D13" s="7">
        <v>52</v>
      </c>
      <c r="E13" s="21">
        <v>0</v>
      </c>
      <c r="F13" s="21">
        <v>0</v>
      </c>
      <c r="G13" s="7">
        <v>0</v>
      </c>
      <c r="H13" s="21">
        <v>0</v>
      </c>
      <c r="I13" s="21">
        <v>0</v>
      </c>
      <c r="J13" s="7">
        <v>0</v>
      </c>
      <c r="K13" s="21">
        <v>0</v>
      </c>
      <c r="L13" s="21">
        <v>0</v>
      </c>
      <c r="M13" s="7">
        <v>0</v>
      </c>
      <c r="N13" s="21">
        <v>0</v>
      </c>
      <c r="O13" s="21">
        <v>0</v>
      </c>
      <c r="P13" s="21">
        <v>0</v>
      </c>
      <c r="Q13" s="23">
        <f t="shared" si="0"/>
        <v>52</v>
      </c>
    </row>
    <row r="14" spans="1:17" ht="14.45" x14ac:dyDescent="0.3">
      <c r="A14" s="12" t="s">
        <v>14</v>
      </c>
      <c r="B14" s="21">
        <v>0</v>
      </c>
      <c r="C14" s="26">
        <v>7</v>
      </c>
      <c r="D14" s="7">
        <v>7</v>
      </c>
      <c r="E14" s="21">
        <v>0</v>
      </c>
      <c r="F14" s="21">
        <v>17</v>
      </c>
      <c r="G14" s="7">
        <v>17</v>
      </c>
      <c r="H14" s="21">
        <v>0</v>
      </c>
      <c r="I14" s="21">
        <v>0</v>
      </c>
      <c r="J14" s="7">
        <v>0</v>
      </c>
      <c r="K14" s="21">
        <v>0</v>
      </c>
      <c r="L14" s="21">
        <v>5</v>
      </c>
      <c r="M14" s="7">
        <v>5</v>
      </c>
      <c r="N14" s="21">
        <v>0</v>
      </c>
      <c r="O14" s="21">
        <v>6</v>
      </c>
      <c r="P14" s="21">
        <v>6</v>
      </c>
      <c r="Q14" s="23">
        <f t="shared" si="0"/>
        <v>35</v>
      </c>
    </row>
    <row r="15" spans="1:17" ht="14.45" x14ac:dyDescent="0.3">
      <c r="A15" s="12" t="s">
        <v>15</v>
      </c>
      <c r="B15" s="21">
        <v>57</v>
      </c>
      <c r="C15" s="16">
        <v>446</v>
      </c>
      <c r="D15" s="7">
        <v>503</v>
      </c>
      <c r="E15" s="21">
        <v>0</v>
      </c>
      <c r="F15" s="21">
        <v>23</v>
      </c>
      <c r="G15" s="7">
        <v>23</v>
      </c>
      <c r="H15" s="21">
        <v>0</v>
      </c>
      <c r="I15" s="21">
        <v>51</v>
      </c>
      <c r="J15" s="7">
        <v>51</v>
      </c>
      <c r="K15" s="21">
        <v>0</v>
      </c>
      <c r="L15" s="21">
        <v>8</v>
      </c>
      <c r="M15" s="7">
        <v>8</v>
      </c>
      <c r="N15" s="21">
        <v>0</v>
      </c>
      <c r="O15" s="21">
        <v>4</v>
      </c>
      <c r="P15" s="21">
        <v>4</v>
      </c>
      <c r="Q15" s="23">
        <f t="shared" si="0"/>
        <v>589</v>
      </c>
    </row>
    <row r="16" spans="1:17" ht="14.45" x14ac:dyDescent="0.3">
      <c r="A16" s="12" t="s">
        <v>45</v>
      </c>
      <c r="B16" s="21">
        <v>0</v>
      </c>
      <c r="C16" s="21">
        <v>7</v>
      </c>
      <c r="D16" s="7">
        <v>7</v>
      </c>
      <c r="E16" s="21">
        <v>0</v>
      </c>
      <c r="F16" s="21">
        <v>0</v>
      </c>
      <c r="G16" s="7">
        <v>0</v>
      </c>
      <c r="H16" s="21">
        <v>0</v>
      </c>
      <c r="I16" s="21">
        <v>0</v>
      </c>
      <c r="J16" s="7">
        <v>0</v>
      </c>
      <c r="K16" s="21">
        <v>0</v>
      </c>
      <c r="L16" s="21">
        <v>0</v>
      </c>
      <c r="M16" s="7">
        <v>0</v>
      </c>
      <c r="N16" s="21">
        <v>0</v>
      </c>
      <c r="O16" s="21">
        <v>1</v>
      </c>
      <c r="P16" s="21">
        <v>1</v>
      </c>
      <c r="Q16" s="23">
        <f t="shared" si="0"/>
        <v>8</v>
      </c>
    </row>
    <row r="17" spans="1:17" ht="14.45" x14ac:dyDescent="0.3">
      <c r="A17" s="12" t="s">
        <v>16</v>
      </c>
      <c r="B17" s="21">
        <v>110</v>
      </c>
      <c r="C17" s="16">
        <v>87</v>
      </c>
      <c r="D17" s="7">
        <v>197</v>
      </c>
      <c r="E17" s="21">
        <v>1</v>
      </c>
      <c r="F17" s="21">
        <v>0</v>
      </c>
      <c r="G17" s="7">
        <v>1</v>
      </c>
      <c r="H17" s="21">
        <v>2</v>
      </c>
      <c r="I17" s="21">
        <v>8</v>
      </c>
      <c r="J17" s="7">
        <v>10</v>
      </c>
      <c r="K17" s="21">
        <v>1</v>
      </c>
      <c r="L17" s="21">
        <v>0</v>
      </c>
      <c r="M17" s="7">
        <v>1</v>
      </c>
      <c r="N17" s="21">
        <v>7</v>
      </c>
      <c r="O17" s="21">
        <v>5</v>
      </c>
      <c r="P17" s="21">
        <v>12</v>
      </c>
      <c r="Q17" s="23">
        <f t="shared" si="0"/>
        <v>221</v>
      </c>
    </row>
    <row r="18" spans="1:17" ht="14.45" x14ac:dyDescent="0.3">
      <c r="A18" s="12" t="s">
        <v>17</v>
      </c>
      <c r="B18" s="21">
        <v>87</v>
      </c>
      <c r="C18" s="21">
        <v>1198</v>
      </c>
      <c r="D18" s="7">
        <v>1285</v>
      </c>
      <c r="E18" s="21">
        <v>0</v>
      </c>
      <c r="F18" s="21">
        <v>13</v>
      </c>
      <c r="G18" s="7">
        <v>13</v>
      </c>
      <c r="H18" s="21">
        <v>4</v>
      </c>
      <c r="I18" s="21">
        <v>15</v>
      </c>
      <c r="J18" s="7">
        <v>19</v>
      </c>
      <c r="K18" s="21">
        <v>0</v>
      </c>
      <c r="L18" s="21">
        <v>0</v>
      </c>
      <c r="M18" s="7">
        <v>0</v>
      </c>
      <c r="N18" s="21">
        <v>2</v>
      </c>
      <c r="O18" s="21">
        <v>1</v>
      </c>
      <c r="P18" s="21">
        <v>3</v>
      </c>
      <c r="Q18" s="23">
        <f t="shared" si="0"/>
        <v>1320</v>
      </c>
    </row>
    <row r="19" spans="1:17" ht="14.45" x14ac:dyDescent="0.3">
      <c r="A19" s="12" t="s">
        <v>18</v>
      </c>
      <c r="B19" s="21">
        <v>2</v>
      </c>
      <c r="C19" s="21">
        <v>17</v>
      </c>
      <c r="D19" s="7">
        <v>19</v>
      </c>
      <c r="E19" s="21">
        <v>0</v>
      </c>
      <c r="F19" s="21">
        <v>0</v>
      </c>
      <c r="G19" s="7">
        <v>0</v>
      </c>
      <c r="H19" s="21">
        <v>0</v>
      </c>
      <c r="I19" s="21">
        <v>0</v>
      </c>
      <c r="J19" s="7">
        <v>0</v>
      </c>
      <c r="K19" s="21">
        <v>0</v>
      </c>
      <c r="L19" s="21">
        <v>0</v>
      </c>
      <c r="M19" s="7">
        <v>0</v>
      </c>
      <c r="N19" s="21">
        <v>0</v>
      </c>
      <c r="O19" s="21">
        <v>2</v>
      </c>
      <c r="P19" s="21">
        <v>2</v>
      </c>
      <c r="Q19" s="23">
        <f t="shared" si="0"/>
        <v>21</v>
      </c>
    </row>
    <row r="20" spans="1:17" ht="14.45" x14ac:dyDescent="0.3">
      <c r="A20" s="12" t="s">
        <v>37</v>
      </c>
      <c r="B20" s="21">
        <v>3</v>
      </c>
      <c r="C20" s="21">
        <v>61</v>
      </c>
      <c r="D20" s="7">
        <v>64</v>
      </c>
      <c r="E20" s="21">
        <v>0</v>
      </c>
      <c r="F20" s="21">
        <v>0</v>
      </c>
      <c r="G20" s="7">
        <v>0</v>
      </c>
      <c r="H20" s="21">
        <v>0</v>
      </c>
      <c r="I20" s="21">
        <v>2</v>
      </c>
      <c r="J20" s="7">
        <v>2</v>
      </c>
      <c r="K20" s="21">
        <v>0</v>
      </c>
      <c r="L20" s="21">
        <v>0</v>
      </c>
      <c r="M20" s="7">
        <v>0</v>
      </c>
      <c r="N20" s="21">
        <v>0</v>
      </c>
      <c r="O20" s="21">
        <v>0</v>
      </c>
      <c r="P20" s="21">
        <v>0</v>
      </c>
      <c r="Q20" s="23">
        <f t="shared" si="0"/>
        <v>66</v>
      </c>
    </row>
    <row r="21" spans="1:17" ht="14.45" x14ac:dyDescent="0.3">
      <c r="A21" s="12" t="s">
        <v>19</v>
      </c>
      <c r="B21" s="21">
        <v>3</v>
      </c>
      <c r="C21" s="21">
        <v>78</v>
      </c>
      <c r="D21" s="7">
        <v>81</v>
      </c>
      <c r="E21" s="21">
        <v>0</v>
      </c>
      <c r="F21" s="21">
        <v>14</v>
      </c>
      <c r="G21" s="7">
        <v>14</v>
      </c>
      <c r="H21" s="21">
        <v>0</v>
      </c>
      <c r="I21" s="21">
        <v>0</v>
      </c>
      <c r="J21" s="7">
        <v>0</v>
      </c>
      <c r="K21" s="21">
        <v>0</v>
      </c>
      <c r="L21" s="21">
        <v>5</v>
      </c>
      <c r="M21" s="7">
        <v>5</v>
      </c>
      <c r="N21" s="21">
        <v>0</v>
      </c>
      <c r="O21" s="21">
        <v>0</v>
      </c>
      <c r="P21" s="21">
        <v>0</v>
      </c>
      <c r="Q21" s="23">
        <f t="shared" si="0"/>
        <v>100</v>
      </c>
    </row>
    <row r="22" spans="1:17" ht="14.45" x14ac:dyDescent="0.3">
      <c r="A22" s="12" t="s">
        <v>20</v>
      </c>
      <c r="B22" s="21">
        <v>0</v>
      </c>
      <c r="C22" s="21">
        <v>7</v>
      </c>
      <c r="D22" s="7">
        <v>7</v>
      </c>
      <c r="E22" s="21">
        <v>0</v>
      </c>
      <c r="F22" s="21">
        <v>0</v>
      </c>
      <c r="G22" s="7">
        <v>0</v>
      </c>
      <c r="H22" s="21">
        <v>0</v>
      </c>
      <c r="I22" s="21">
        <v>0</v>
      </c>
      <c r="J22" s="7">
        <v>0</v>
      </c>
      <c r="K22" s="21">
        <v>0</v>
      </c>
      <c r="L22" s="21">
        <v>0</v>
      </c>
      <c r="M22" s="7">
        <v>0</v>
      </c>
      <c r="N22" s="21">
        <v>0</v>
      </c>
      <c r="O22" s="21">
        <v>0</v>
      </c>
      <c r="P22" s="21">
        <v>0</v>
      </c>
      <c r="Q22" s="23">
        <f t="shared" si="0"/>
        <v>7</v>
      </c>
    </row>
    <row r="23" spans="1:17" ht="14.45" x14ac:dyDescent="0.3">
      <c r="A23" s="12" t="s">
        <v>38</v>
      </c>
      <c r="B23" s="21">
        <v>0</v>
      </c>
      <c r="C23" s="21">
        <v>82</v>
      </c>
      <c r="D23" s="7">
        <v>82</v>
      </c>
      <c r="E23" s="21">
        <v>0</v>
      </c>
      <c r="F23" s="21">
        <v>2</v>
      </c>
      <c r="G23" s="7">
        <v>2</v>
      </c>
      <c r="H23" s="21">
        <v>0</v>
      </c>
      <c r="I23" s="21">
        <v>10</v>
      </c>
      <c r="J23" s="7">
        <v>10</v>
      </c>
      <c r="K23" s="21">
        <v>0</v>
      </c>
      <c r="L23" s="21">
        <v>0</v>
      </c>
      <c r="M23" s="7">
        <v>0</v>
      </c>
      <c r="N23" s="21">
        <v>0</v>
      </c>
      <c r="O23" s="21">
        <v>5</v>
      </c>
      <c r="P23" s="21">
        <v>5</v>
      </c>
      <c r="Q23" s="23">
        <f t="shared" si="0"/>
        <v>99</v>
      </c>
    </row>
    <row r="24" spans="1:17" ht="14.45" x14ac:dyDescent="0.3">
      <c r="A24" s="12" t="s">
        <v>21</v>
      </c>
      <c r="B24" s="21">
        <v>9</v>
      </c>
      <c r="C24" s="21">
        <v>1556</v>
      </c>
      <c r="D24" s="7">
        <v>1565</v>
      </c>
      <c r="E24" s="21">
        <v>0</v>
      </c>
      <c r="F24" s="21">
        <v>13</v>
      </c>
      <c r="G24" s="7">
        <v>13</v>
      </c>
      <c r="H24" s="21">
        <v>0</v>
      </c>
      <c r="I24" s="21">
        <v>15</v>
      </c>
      <c r="J24" s="7">
        <v>15</v>
      </c>
      <c r="K24" s="21">
        <v>0</v>
      </c>
      <c r="L24" s="21">
        <v>23</v>
      </c>
      <c r="M24" s="7">
        <v>23</v>
      </c>
      <c r="N24" s="21">
        <v>1</v>
      </c>
      <c r="O24" s="21">
        <v>6</v>
      </c>
      <c r="P24" s="21">
        <v>7</v>
      </c>
      <c r="Q24" s="23">
        <f t="shared" si="0"/>
        <v>1623</v>
      </c>
    </row>
    <row r="25" spans="1:17" ht="41.45" x14ac:dyDescent="0.3">
      <c r="A25" s="12" t="s">
        <v>40</v>
      </c>
      <c r="B25" s="21">
        <v>0</v>
      </c>
      <c r="C25" s="21">
        <v>10</v>
      </c>
      <c r="D25" s="7">
        <v>10</v>
      </c>
      <c r="E25" s="21">
        <v>0</v>
      </c>
      <c r="F25" s="21">
        <v>0</v>
      </c>
      <c r="G25" s="7">
        <v>0</v>
      </c>
      <c r="H25" s="21">
        <v>0</v>
      </c>
      <c r="I25" s="21">
        <v>0</v>
      </c>
      <c r="J25" s="7">
        <v>0</v>
      </c>
      <c r="K25" s="21">
        <v>0</v>
      </c>
      <c r="L25" s="21">
        <v>1</v>
      </c>
      <c r="M25" s="7">
        <v>1</v>
      </c>
      <c r="N25" s="21">
        <v>0</v>
      </c>
      <c r="O25" s="21">
        <v>0</v>
      </c>
      <c r="P25" s="21">
        <v>0</v>
      </c>
      <c r="Q25" s="23">
        <f t="shared" si="0"/>
        <v>11</v>
      </c>
    </row>
    <row r="26" spans="1:17" x14ac:dyDescent="0.25">
      <c r="A26" s="12" t="s">
        <v>22</v>
      </c>
      <c r="B26" s="21">
        <v>0</v>
      </c>
      <c r="C26" s="21">
        <v>70</v>
      </c>
      <c r="D26" s="7">
        <v>70</v>
      </c>
      <c r="E26" s="21">
        <v>0</v>
      </c>
      <c r="F26" s="21">
        <v>0</v>
      </c>
      <c r="G26" s="7">
        <v>0</v>
      </c>
      <c r="H26" s="21">
        <v>0</v>
      </c>
      <c r="I26" s="21">
        <v>0</v>
      </c>
      <c r="J26" s="7">
        <v>0</v>
      </c>
      <c r="K26" s="21">
        <v>0</v>
      </c>
      <c r="L26" s="21">
        <v>1</v>
      </c>
      <c r="M26" s="7">
        <v>1</v>
      </c>
      <c r="N26" s="21">
        <v>0</v>
      </c>
      <c r="O26" s="21">
        <v>2</v>
      </c>
      <c r="P26" s="21">
        <v>2</v>
      </c>
      <c r="Q26" s="23">
        <f t="shared" si="0"/>
        <v>73</v>
      </c>
    </row>
    <row r="27" spans="1:17" x14ac:dyDescent="0.25">
      <c r="A27" s="12" t="s">
        <v>35</v>
      </c>
      <c r="B27" s="21">
        <v>476</v>
      </c>
      <c r="C27" s="21">
        <v>289</v>
      </c>
      <c r="D27" s="7">
        <v>765</v>
      </c>
      <c r="E27" s="21">
        <v>10</v>
      </c>
      <c r="F27" s="21">
        <v>11</v>
      </c>
      <c r="G27" s="7">
        <v>21</v>
      </c>
      <c r="H27" s="21">
        <v>18</v>
      </c>
      <c r="I27" s="21">
        <v>24</v>
      </c>
      <c r="J27" s="7">
        <v>42</v>
      </c>
      <c r="K27" s="21">
        <v>1</v>
      </c>
      <c r="L27" s="21">
        <v>0</v>
      </c>
      <c r="M27" s="7">
        <v>1</v>
      </c>
      <c r="N27" s="21">
        <v>31</v>
      </c>
      <c r="O27" s="21">
        <v>32</v>
      </c>
      <c r="P27" s="21">
        <v>63</v>
      </c>
      <c r="Q27" s="23">
        <f t="shared" si="0"/>
        <v>892</v>
      </c>
    </row>
    <row r="28" spans="1:17" x14ac:dyDescent="0.25">
      <c r="A28" s="12" t="s">
        <v>46</v>
      </c>
      <c r="B28" s="21">
        <v>0</v>
      </c>
      <c r="C28" s="21">
        <v>2</v>
      </c>
      <c r="D28" s="7">
        <v>2</v>
      </c>
      <c r="E28" s="21">
        <v>0</v>
      </c>
      <c r="F28" s="21">
        <v>0</v>
      </c>
      <c r="G28" s="7">
        <v>0</v>
      </c>
      <c r="H28" s="21">
        <v>0</v>
      </c>
      <c r="I28" s="21">
        <v>0</v>
      </c>
      <c r="J28" s="7">
        <v>0</v>
      </c>
      <c r="K28" s="21">
        <v>0</v>
      </c>
      <c r="L28" s="21">
        <v>0</v>
      </c>
      <c r="M28" s="7">
        <v>0</v>
      </c>
      <c r="N28" s="21">
        <v>0</v>
      </c>
      <c r="O28" s="21">
        <v>0</v>
      </c>
      <c r="P28" s="21">
        <v>0</v>
      </c>
      <c r="Q28" s="23">
        <f t="shared" si="0"/>
        <v>2</v>
      </c>
    </row>
    <row r="29" spans="1:17" x14ac:dyDescent="0.25">
      <c r="A29" s="12" t="s">
        <v>23</v>
      </c>
      <c r="B29" s="21">
        <v>1</v>
      </c>
      <c r="C29" s="21">
        <v>50</v>
      </c>
      <c r="D29" s="7">
        <v>51</v>
      </c>
      <c r="E29" s="21">
        <v>0</v>
      </c>
      <c r="F29" s="21">
        <v>1</v>
      </c>
      <c r="G29" s="7">
        <v>1</v>
      </c>
      <c r="H29" s="21">
        <v>0</v>
      </c>
      <c r="I29" s="21">
        <v>0</v>
      </c>
      <c r="J29" s="7">
        <v>0</v>
      </c>
      <c r="K29" s="21">
        <v>0</v>
      </c>
      <c r="L29" s="21">
        <v>0</v>
      </c>
      <c r="M29" s="7">
        <v>0</v>
      </c>
      <c r="N29" s="21">
        <v>0</v>
      </c>
      <c r="O29" s="21">
        <v>0</v>
      </c>
      <c r="P29" s="21">
        <v>0</v>
      </c>
      <c r="Q29" s="23">
        <f t="shared" si="0"/>
        <v>52</v>
      </c>
    </row>
    <row r="30" spans="1:17" x14ac:dyDescent="0.25">
      <c r="A30" s="12" t="s">
        <v>24</v>
      </c>
      <c r="B30" s="21">
        <v>0</v>
      </c>
      <c r="C30" s="21">
        <v>3</v>
      </c>
      <c r="D30" s="7">
        <v>3</v>
      </c>
      <c r="E30" s="21">
        <v>0</v>
      </c>
      <c r="F30" s="21">
        <v>0</v>
      </c>
      <c r="G30" s="7">
        <v>0</v>
      </c>
      <c r="H30" s="21">
        <v>0</v>
      </c>
      <c r="I30" s="21">
        <v>0</v>
      </c>
      <c r="J30" s="7">
        <v>0</v>
      </c>
      <c r="K30" s="21">
        <v>0</v>
      </c>
      <c r="L30" s="21">
        <v>0</v>
      </c>
      <c r="M30" s="7">
        <v>0</v>
      </c>
      <c r="N30" s="21">
        <v>0</v>
      </c>
      <c r="O30" s="21">
        <v>4</v>
      </c>
      <c r="P30" s="21">
        <v>4</v>
      </c>
      <c r="Q30" s="23">
        <f t="shared" si="0"/>
        <v>7</v>
      </c>
    </row>
    <row r="31" spans="1:17" x14ac:dyDescent="0.25">
      <c r="A31" s="12" t="s">
        <v>36</v>
      </c>
      <c r="B31" s="21">
        <v>1</v>
      </c>
      <c r="C31" s="21">
        <v>65</v>
      </c>
      <c r="D31" s="7">
        <v>66</v>
      </c>
      <c r="E31" s="21">
        <v>0</v>
      </c>
      <c r="F31" s="21">
        <v>13</v>
      </c>
      <c r="G31" s="7">
        <v>13</v>
      </c>
      <c r="H31" s="21">
        <v>1</v>
      </c>
      <c r="I31" s="21">
        <v>6</v>
      </c>
      <c r="J31" s="7">
        <v>7</v>
      </c>
      <c r="K31" s="21">
        <v>0</v>
      </c>
      <c r="L31" s="21">
        <v>0</v>
      </c>
      <c r="M31" s="7">
        <v>0</v>
      </c>
      <c r="N31" s="21">
        <v>0</v>
      </c>
      <c r="O31" s="21">
        <v>0</v>
      </c>
      <c r="P31" s="21">
        <v>0</v>
      </c>
      <c r="Q31" s="23">
        <f t="shared" si="0"/>
        <v>86</v>
      </c>
    </row>
    <row r="32" spans="1:17" ht="26.25" x14ac:dyDescent="0.25">
      <c r="A32" s="12" t="s">
        <v>47</v>
      </c>
      <c r="B32" s="21">
        <v>1</v>
      </c>
      <c r="C32" s="21">
        <v>5</v>
      </c>
      <c r="D32" s="7">
        <v>6</v>
      </c>
      <c r="E32" s="21">
        <v>0</v>
      </c>
      <c r="F32" s="21">
        <v>0</v>
      </c>
      <c r="G32" s="7">
        <v>0</v>
      </c>
      <c r="H32" s="21">
        <v>0</v>
      </c>
      <c r="I32" s="21">
        <v>0</v>
      </c>
      <c r="J32" s="7">
        <v>0</v>
      </c>
      <c r="K32" s="21">
        <v>0</v>
      </c>
      <c r="L32" s="21">
        <v>0</v>
      </c>
      <c r="M32" s="7">
        <v>0</v>
      </c>
      <c r="N32" s="21">
        <v>0</v>
      </c>
      <c r="O32" s="21">
        <v>0</v>
      </c>
      <c r="P32" s="21">
        <v>0</v>
      </c>
      <c r="Q32" s="23">
        <f t="shared" si="0"/>
        <v>6</v>
      </c>
    </row>
    <row r="33" spans="1:17" x14ac:dyDescent="0.25">
      <c r="A33" s="12" t="s">
        <v>34</v>
      </c>
      <c r="B33" s="21">
        <v>48</v>
      </c>
      <c r="C33" s="21">
        <v>703</v>
      </c>
      <c r="D33" s="7">
        <v>751</v>
      </c>
      <c r="E33" s="21">
        <v>1</v>
      </c>
      <c r="F33" s="21">
        <v>26</v>
      </c>
      <c r="G33" s="7">
        <v>27</v>
      </c>
      <c r="H33" s="21">
        <v>15</v>
      </c>
      <c r="I33" s="21">
        <v>209</v>
      </c>
      <c r="J33" s="7">
        <v>224</v>
      </c>
      <c r="K33" s="21">
        <v>0</v>
      </c>
      <c r="L33" s="21">
        <v>11</v>
      </c>
      <c r="M33" s="7">
        <v>11</v>
      </c>
      <c r="N33" s="21">
        <v>2</v>
      </c>
      <c r="O33" s="21">
        <v>10</v>
      </c>
      <c r="P33" s="21">
        <v>12</v>
      </c>
      <c r="Q33" s="23">
        <f t="shared" si="0"/>
        <v>1025</v>
      </c>
    </row>
    <row r="34" spans="1:17" ht="26.25" x14ac:dyDescent="0.25">
      <c r="A34" s="12" t="s">
        <v>44</v>
      </c>
      <c r="B34" s="21">
        <v>0</v>
      </c>
      <c r="C34" s="21">
        <v>2</v>
      </c>
      <c r="D34" s="7">
        <v>2</v>
      </c>
      <c r="E34" s="21">
        <v>0</v>
      </c>
      <c r="F34" s="21">
        <v>0</v>
      </c>
      <c r="G34" s="7">
        <v>0</v>
      </c>
      <c r="H34" s="21">
        <v>0</v>
      </c>
      <c r="I34" s="21">
        <v>0</v>
      </c>
      <c r="J34" s="7">
        <v>0</v>
      </c>
      <c r="K34" s="21">
        <v>0</v>
      </c>
      <c r="L34" s="21">
        <v>0</v>
      </c>
      <c r="M34" s="7">
        <v>0</v>
      </c>
      <c r="N34" s="21">
        <v>0</v>
      </c>
      <c r="O34" s="21">
        <v>0</v>
      </c>
      <c r="P34" s="21">
        <v>0</v>
      </c>
      <c r="Q34" s="23">
        <f t="shared" si="0"/>
        <v>2</v>
      </c>
    </row>
    <row r="35" spans="1:17" x14ac:dyDescent="0.25">
      <c r="A35" s="12" t="s">
        <v>25</v>
      </c>
      <c r="B35" s="21">
        <v>4</v>
      </c>
      <c r="C35" s="21">
        <v>548</v>
      </c>
      <c r="D35" s="7">
        <v>552</v>
      </c>
      <c r="E35" s="21">
        <v>0</v>
      </c>
      <c r="F35" s="21">
        <v>4</v>
      </c>
      <c r="G35" s="7">
        <v>4</v>
      </c>
      <c r="H35" s="21">
        <v>0</v>
      </c>
      <c r="I35" s="21">
        <v>0</v>
      </c>
      <c r="J35" s="7">
        <v>0</v>
      </c>
      <c r="K35" s="21">
        <v>0</v>
      </c>
      <c r="L35" s="21">
        <v>9</v>
      </c>
      <c r="M35" s="7">
        <v>9</v>
      </c>
      <c r="N35" s="21">
        <v>0</v>
      </c>
      <c r="O35" s="21">
        <v>186</v>
      </c>
      <c r="P35" s="21">
        <v>186</v>
      </c>
      <c r="Q35" s="23">
        <f t="shared" si="0"/>
        <v>751</v>
      </c>
    </row>
    <row r="36" spans="1:17" x14ac:dyDescent="0.25">
      <c r="A36" s="12" t="s">
        <v>26</v>
      </c>
      <c r="B36" s="21">
        <v>0</v>
      </c>
      <c r="C36" s="21">
        <v>39</v>
      </c>
      <c r="D36" s="7">
        <v>39</v>
      </c>
      <c r="E36" s="21">
        <v>0</v>
      </c>
      <c r="F36" s="21">
        <v>5</v>
      </c>
      <c r="G36" s="7">
        <v>5</v>
      </c>
      <c r="H36" s="21">
        <v>0</v>
      </c>
      <c r="I36" s="21">
        <v>7</v>
      </c>
      <c r="J36" s="7">
        <v>7</v>
      </c>
      <c r="K36" s="21">
        <v>0</v>
      </c>
      <c r="L36" s="21">
        <v>0</v>
      </c>
      <c r="M36" s="7">
        <v>0</v>
      </c>
      <c r="N36" s="21">
        <v>0</v>
      </c>
      <c r="O36" s="21">
        <v>0</v>
      </c>
      <c r="P36" s="21">
        <v>0</v>
      </c>
      <c r="Q36" s="23">
        <f t="shared" si="0"/>
        <v>51</v>
      </c>
    </row>
    <row r="37" spans="1:17" x14ac:dyDescent="0.25">
      <c r="A37" s="12" t="s">
        <v>27</v>
      </c>
      <c r="B37" s="21">
        <v>3</v>
      </c>
      <c r="C37" s="21">
        <v>17</v>
      </c>
      <c r="D37" s="7">
        <v>20</v>
      </c>
      <c r="E37" s="21">
        <v>0</v>
      </c>
      <c r="F37" s="21">
        <v>0</v>
      </c>
      <c r="G37" s="7">
        <v>0</v>
      </c>
      <c r="H37" s="21">
        <v>0</v>
      </c>
      <c r="I37" s="21">
        <v>0</v>
      </c>
      <c r="J37" s="7">
        <v>0</v>
      </c>
      <c r="K37" s="21">
        <v>0</v>
      </c>
      <c r="L37" s="21">
        <v>0</v>
      </c>
      <c r="M37" s="7">
        <v>0</v>
      </c>
      <c r="N37" s="21">
        <v>0</v>
      </c>
      <c r="O37" s="21">
        <v>0</v>
      </c>
      <c r="P37" s="21">
        <v>0</v>
      </c>
      <c r="Q37" s="23">
        <f t="shared" si="0"/>
        <v>20</v>
      </c>
    </row>
    <row r="38" spans="1:17" x14ac:dyDescent="0.25">
      <c r="A38" s="12" t="s">
        <v>28</v>
      </c>
      <c r="B38" s="21">
        <v>0</v>
      </c>
      <c r="C38" s="21">
        <v>1</v>
      </c>
      <c r="D38" s="7">
        <v>1</v>
      </c>
      <c r="E38" s="21">
        <v>0</v>
      </c>
      <c r="F38" s="21">
        <v>0</v>
      </c>
      <c r="G38" s="7">
        <v>0</v>
      </c>
      <c r="H38" s="21">
        <v>0</v>
      </c>
      <c r="I38" s="21">
        <v>0</v>
      </c>
      <c r="J38" s="7">
        <v>0</v>
      </c>
      <c r="K38" s="21">
        <v>0</v>
      </c>
      <c r="L38" s="21">
        <v>0</v>
      </c>
      <c r="M38" s="7">
        <v>0</v>
      </c>
      <c r="N38" s="21">
        <v>0</v>
      </c>
      <c r="O38" s="21">
        <v>0</v>
      </c>
      <c r="P38" s="21">
        <v>0</v>
      </c>
      <c r="Q38" s="23">
        <f t="shared" si="0"/>
        <v>1</v>
      </c>
    </row>
    <row r="39" spans="1:17" x14ac:dyDescent="0.25">
      <c r="A39" s="12" t="s">
        <v>42</v>
      </c>
      <c r="B39" s="21">
        <v>2</v>
      </c>
      <c r="C39" s="21">
        <v>0</v>
      </c>
      <c r="D39" s="7">
        <v>2</v>
      </c>
      <c r="E39" s="21">
        <v>2</v>
      </c>
      <c r="F39" s="21">
        <v>0</v>
      </c>
      <c r="G39" s="7">
        <v>2</v>
      </c>
      <c r="H39" s="21">
        <v>0</v>
      </c>
      <c r="I39" s="21">
        <v>0</v>
      </c>
      <c r="J39" s="7">
        <v>0</v>
      </c>
      <c r="K39" s="21">
        <v>0</v>
      </c>
      <c r="L39" s="21">
        <v>0</v>
      </c>
      <c r="M39" s="7">
        <v>0</v>
      </c>
      <c r="N39" s="21">
        <v>1</v>
      </c>
      <c r="O39" s="21">
        <v>0</v>
      </c>
      <c r="P39" s="21">
        <v>1</v>
      </c>
      <c r="Q39" s="23">
        <f t="shared" si="0"/>
        <v>5</v>
      </c>
    </row>
    <row r="40" spans="1:17" x14ac:dyDescent="0.25">
      <c r="A40" s="12" t="s">
        <v>29</v>
      </c>
      <c r="B40" s="21">
        <v>114</v>
      </c>
      <c r="C40" s="21">
        <v>633</v>
      </c>
      <c r="D40" s="7">
        <v>747</v>
      </c>
      <c r="E40" s="21">
        <v>0</v>
      </c>
      <c r="F40" s="21">
        <v>18</v>
      </c>
      <c r="G40" s="7">
        <v>18</v>
      </c>
      <c r="H40" s="21">
        <v>3</v>
      </c>
      <c r="I40" s="21">
        <v>19</v>
      </c>
      <c r="J40" s="7">
        <v>22</v>
      </c>
      <c r="K40" s="21">
        <v>1</v>
      </c>
      <c r="L40" s="21">
        <v>8</v>
      </c>
      <c r="M40" s="7">
        <v>9</v>
      </c>
      <c r="N40" s="21">
        <v>1</v>
      </c>
      <c r="O40" s="21">
        <v>20</v>
      </c>
      <c r="P40" s="21">
        <v>21</v>
      </c>
      <c r="Q40" s="23">
        <f t="shared" si="0"/>
        <v>817</v>
      </c>
    </row>
    <row r="41" spans="1:17" x14ac:dyDescent="0.25">
      <c r="A41" s="12" t="s">
        <v>30</v>
      </c>
      <c r="B41" s="21">
        <v>0</v>
      </c>
      <c r="C41" s="21">
        <v>41</v>
      </c>
      <c r="D41" s="7">
        <v>41</v>
      </c>
      <c r="E41" s="21">
        <v>0</v>
      </c>
      <c r="F41" s="21">
        <v>2</v>
      </c>
      <c r="G41" s="7">
        <v>2</v>
      </c>
      <c r="H41" s="21">
        <v>0</v>
      </c>
      <c r="I41" s="21">
        <v>0</v>
      </c>
      <c r="J41" s="7">
        <v>0</v>
      </c>
      <c r="K41" s="21">
        <v>0</v>
      </c>
      <c r="L41" s="21">
        <v>1</v>
      </c>
      <c r="M41" s="7">
        <v>1</v>
      </c>
      <c r="N41" s="21">
        <v>0</v>
      </c>
      <c r="O41" s="21">
        <v>0</v>
      </c>
      <c r="P41" s="21">
        <v>0</v>
      </c>
      <c r="Q41" s="23">
        <f t="shared" si="0"/>
        <v>44</v>
      </c>
    </row>
    <row r="42" spans="1:17" x14ac:dyDescent="0.25">
      <c r="A42" s="12" t="s">
        <v>31</v>
      </c>
      <c r="B42" s="21">
        <v>0</v>
      </c>
      <c r="C42" s="21">
        <v>159</v>
      </c>
      <c r="D42" s="7">
        <v>159</v>
      </c>
      <c r="E42" s="21">
        <v>0</v>
      </c>
      <c r="F42" s="21">
        <v>1</v>
      </c>
      <c r="G42" s="7">
        <v>1</v>
      </c>
      <c r="H42" s="21">
        <v>0</v>
      </c>
      <c r="I42" s="21">
        <v>1</v>
      </c>
      <c r="J42" s="7">
        <v>1</v>
      </c>
      <c r="K42" s="21">
        <v>0</v>
      </c>
      <c r="L42" s="21">
        <v>3</v>
      </c>
      <c r="M42" s="7">
        <v>3</v>
      </c>
      <c r="N42" s="21">
        <v>0</v>
      </c>
      <c r="O42" s="21">
        <v>0</v>
      </c>
      <c r="P42" s="21">
        <v>0</v>
      </c>
      <c r="Q42" s="23">
        <f t="shared" si="0"/>
        <v>164</v>
      </c>
    </row>
    <row r="43" spans="1:17" x14ac:dyDescent="0.25">
      <c r="A43" s="12" t="s">
        <v>43</v>
      </c>
      <c r="B43" s="21">
        <v>0</v>
      </c>
      <c r="C43" s="21">
        <v>2</v>
      </c>
      <c r="D43" s="7">
        <v>2</v>
      </c>
      <c r="E43" s="21">
        <v>0</v>
      </c>
      <c r="F43" s="21">
        <v>0</v>
      </c>
      <c r="G43" s="7">
        <v>0</v>
      </c>
      <c r="H43" s="21">
        <v>0</v>
      </c>
      <c r="I43" s="21">
        <v>0</v>
      </c>
      <c r="J43" s="7">
        <v>0</v>
      </c>
      <c r="K43" s="21">
        <v>0</v>
      </c>
      <c r="L43" s="21">
        <v>0</v>
      </c>
      <c r="M43" s="7">
        <v>0</v>
      </c>
      <c r="N43" s="21">
        <v>0</v>
      </c>
      <c r="O43" s="21">
        <v>0</v>
      </c>
      <c r="P43" s="21">
        <v>0</v>
      </c>
      <c r="Q43" s="23">
        <f t="shared" si="0"/>
        <v>2</v>
      </c>
    </row>
    <row r="44" spans="1:17" x14ac:dyDescent="0.25">
      <c r="A44" s="12" t="s">
        <v>32</v>
      </c>
      <c r="B44" s="21">
        <v>617</v>
      </c>
      <c r="C44" s="21">
        <v>10</v>
      </c>
      <c r="D44" s="7">
        <v>627</v>
      </c>
      <c r="E44" s="21">
        <v>49</v>
      </c>
      <c r="F44" s="21">
        <v>2</v>
      </c>
      <c r="G44" s="7">
        <v>51</v>
      </c>
      <c r="H44" s="21">
        <v>23</v>
      </c>
      <c r="I44" s="21">
        <v>2</v>
      </c>
      <c r="J44" s="7">
        <v>25</v>
      </c>
      <c r="K44" s="21">
        <v>6</v>
      </c>
      <c r="L44" s="21">
        <v>1</v>
      </c>
      <c r="M44" s="7">
        <v>7</v>
      </c>
      <c r="N44" s="21">
        <v>7</v>
      </c>
      <c r="O44" s="21">
        <v>0</v>
      </c>
      <c r="P44" s="21">
        <v>7</v>
      </c>
      <c r="Q44" s="23">
        <f t="shared" si="0"/>
        <v>717</v>
      </c>
    </row>
    <row r="45" spans="1:17" ht="15.75" thickBot="1" x14ac:dyDescent="0.3">
      <c r="A45" s="12" t="s">
        <v>33</v>
      </c>
      <c r="B45" s="21">
        <v>40</v>
      </c>
      <c r="C45" s="21">
        <v>232</v>
      </c>
      <c r="D45" s="7">
        <v>272</v>
      </c>
      <c r="E45" s="21">
        <v>0</v>
      </c>
      <c r="F45" s="21">
        <v>1</v>
      </c>
      <c r="G45" s="7">
        <v>1</v>
      </c>
      <c r="H45" s="21">
        <v>0</v>
      </c>
      <c r="I45" s="21">
        <v>4</v>
      </c>
      <c r="J45" s="7">
        <v>4</v>
      </c>
      <c r="K45" s="21">
        <v>0</v>
      </c>
      <c r="L45" s="21">
        <v>0</v>
      </c>
      <c r="M45" s="7">
        <v>0</v>
      </c>
      <c r="N45" s="21">
        <v>0</v>
      </c>
      <c r="O45" s="21">
        <v>5</v>
      </c>
      <c r="P45" s="21">
        <v>5</v>
      </c>
      <c r="Q45" s="23">
        <f t="shared" si="0"/>
        <v>282</v>
      </c>
    </row>
    <row r="46" spans="1:17" ht="15.75" thickBot="1" x14ac:dyDescent="0.3">
      <c r="A46" s="10" t="s">
        <v>49</v>
      </c>
      <c r="B46" s="9">
        <f>SUM(B3:B45)</f>
        <v>1672</v>
      </c>
      <c r="C46" s="9">
        <f t="shared" ref="C46:Q46" si="1">SUM(C3:C45)</f>
        <v>9340</v>
      </c>
      <c r="D46" s="22">
        <f t="shared" si="1"/>
        <v>11012</v>
      </c>
      <c r="E46" s="9">
        <f t="shared" si="1"/>
        <v>64</v>
      </c>
      <c r="F46" s="9">
        <f t="shared" si="1"/>
        <v>209</v>
      </c>
      <c r="G46" s="22">
        <f t="shared" si="1"/>
        <v>273</v>
      </c>
      <c r="H46" s="9">
        <f t="shared" si="1"/>
        <v>67</v>
      </c>
      <c r="I46" s="9">
        <f t="shared" si="1"/>
        <v>537</v>
      </c>
      <c r="J46" s="22">
        <f t="shared" si="1"/>
        <v>604</v>
      </c>
      <c r="K46" s="9">
        <f t="shared" si="1"/>
        <v>9</v>
      </c>
      <c r="L46" s="9">
        <f t="shared" si="1"/>
        <v>105</v>
      </c>
      <c r="M46" s="22">
        <f t="shared" si="1"/>
        <v>114</v>
      </c>
      <c r="N46" s="9">
        <f t="shared" si="1"/>
        <v>53</v>
      </c>
      <c r="O46" s="9">
        <f t="shared" si="1"/>
        <v>327</v>
      </c>
      <c r="P46" s="6">
        <f t="shared" si="1"/>
        <v>380</v>
      </c>
      <c r="Q46" s="6">
        <f t="shared" si="1"/>
        <v>12383</v>
      </c>
    </row>
    <row r="48" spans="1:17" x14ac:dyDescent="0.25">
      <c r="O48" s="17"/>
    </row>
  </sheetData>
  <sortState ref="A3:Q45">
    <sortCondition ref="A3:A45"/>
  </sortState>
  <mergeCells count="5">
    <mergeCell ref="N1:P1"/>
    <mergeCell ref="K1:M1"/>
    <mergeCell ref="H1:J1"/>
    <mergeCell ref="E1:G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ByStatus</vt:lpstr>
      <vt:lpstr>status_accompanied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Moore, Sarah</cp:lastModifiedBy>
  <dcterms:created xsi:type="dcterms:W3CDTF">2013-02-04T22:10:04Z</dcterms:created>
  <dcterms:modified xsi:type="dcterms:W3CDTF">2013-03-06T04:05:48Z</dcterms:modified>
</cp:coreProperties>
</file>