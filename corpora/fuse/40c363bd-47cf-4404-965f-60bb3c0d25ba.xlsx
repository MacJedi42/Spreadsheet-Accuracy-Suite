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3275" windowHeight="8700" activeTab="1"/>
  </bookViews>
  <sheets>
    <sheet name="Room Audit Summary" sheetId="2" r:id="rId1"/>
    <sheet name="Room Audit Data" sheetId="1" r:id="rId2"/>
  </sheets>
  <definedNames>
    <definedName name="_xlnm.Print_Area" localSheetId="1">'Room Audit Data'!$A$1:$U$43</definedName>
    <definedName name="_xlnm.Print_Area" localSheetId="0">'Room Audit Summary'!$B$2:$M$40</definedName>
  </definedNames>
  <calcPr calcId="125725"/>
</workbook>
</file>

<file path=xl/calcChain.xml><?xml version="1.0" encoding="utf-8"?>
<calcChain xmlns="http://schemas.openxmlformats.org/spreadsheetml/2006/main">
  <c r="M26" i="1"/>
  <c r="Q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M41"/>
  <c r="M40"/>
  <c r="M39"/>
  <c r="M38"/>
  <c r="M37"/>
  <c r="M36"/>
  <c r="M35"/>
  <c r="M34"/>
  <c r="M33"/>
  <c r="M32"/>
  <c r="M31"/>
  <c r="M30"/>
  <c r="M29"/>
  <c r="M28"/>
  <c r="M27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7"/>
  <c r="T7"/>
  <c r="U7" s="1"/>
  <c r="S7" s="1"/>
  <c r="T8"/>
  <c r="U8" s="1"/>
  <c r="S8" s="1"/>
  <c r="T9"/>
  <c r="U9" s="1"/>
  <c r="S9" s="1"/>
  <c r="T10"/>
  <c r="U10" s="1"/>
  <c r="S10" s="1"/>
  <c r="T11"/>
  <c r="U11" s="1"/>
  <c r="S11" s="1"/>
  <c r="T12"/>
  <c r="U12" s="1"/>
  <c r="S12" s="1"/>
  <c r="T13"/>
  <c r="U13" s="1"/>
  <c r="S13" s="1"/>
  <c r="T14"/>
  <c r="U14" s="1"/>
  <c r="S14" s="1"/>
  <c r="T16"/>
  <c r="U16" s="1"/>
  <c r="S16" s="1"/>
  <c r="T17"/>
  <c r="U17" s="1"/>
  <c r="S17" s="1"/>
  <c r="T18"/>
  <c r="U18" s="1"/>
  <c r="S18" s="1"/>
  <c r="T19"/>
  <c r="U19" s="1"/>
  <c r="S19" s="1"/>
  <c r="T20"/>
  <c r="U20" s="1"/>
  <c r="S20" s="1"/>
  <c r="T21"/>
  <c r="U21" s="1"/>
  <c r="S21" s="1"/>
  <c r="T22"/>
  <c r="U22" s="1"/>
  <c r="S22" s="1"/>
  <c r="T23"/>
  <c r="U23" s="1"/>
  <c r="S23" s="1"/>
  <c r="T24"/>
  <c r="U24" s="1"/>
  <c r="S24" s="1"/>
  <c r="T25"/>
  <c r="U25" s="1"/>
  <c r="S25" s="1"/>
  <c r="T26"/>
  <c r="U26" s="1"/>
  <c r="S26" s="1"/>
  <c r="T27"/>
  <c r="U27" s="1"/>
  <c r="S27" s="1"/>
  <c r="T28"/>
  <c r="U28" s="1"/>
  <c r="S28" s="1"/>
  <c r="T29"/>
  <c r="U29" s="1"/>
  <c r="S29" s="1"/>
  <c r="T30"/>
  <c r="U30" s="1"/>
  <c r="S30" s="1"/>
  <c r="T31"/>
  <c r="U31" s="1"/>
  <c r="S31" s="1"/>
  <c r="T32"/>
  <c r="U32" s="1"/>
  <c r="S32" s="1"/>
  <c r="T33"/>
  <c r="U33" s="1"/>
  <c r="S33" s="1"/>
  <c r="T34"/>
  <c r="U34" s="1"/>
  <c r="S34" s="1"/>
  <c r="T35"/>
  <c r="U35" s="1"/>
  <c r="S35" s="1"/>
  <c r="T36"/>
  <c r="U36" s="1"/>
  <c r="S36" s="1"/>
  <c r="T37"/>
  <c r="U37" s="1"/>
  <c r="S37" s="1"/>
  <c r="T38"/>
  <c r="U38" s="1"/>
  <c r="S38" s="1"/>
  <c r="T39"/>
  <c r="U39" s="1"/>
  <c r="S39" s="1"/>
  <c r="T40"/>
  <c r="U40" s="1"/>
  <c r="S40" s="1"/>
  <c r="T41"/>
  <c r="U41" s="1"/>
  <c r="S41" s="1"/>
  <c r="T15"/>
  <c r="U15" s="1"/>
  <c r="S15" s="1"/>
  <c r="P42" l="1"/>
  <c r="P43" s="1"/>
  <c r="M24" i="2" s="1"/>
  <c r="T42" i="1"/>
  <c r="U43" s="1"/>
  <c r="M30" i="2" s="1"/>
  <c r="D42" i="1"/>
  <c r="D43" s="1"/>
  <c r="M3" i="2" s="1"/>
  <c r="J42" i="1"/>
  <c r="J43" s="1"/>
  <c r="M13" i="2" s="1"/>
  <c r="M42" i="1"/>
  <c r="M43" s="1"/>
  <c r="M18" i="2" s="1"/>
  <c r="S42" i="1"/>
  <c r="G42"/>
  <c r="G43" s="1"/>
  <c r="M8" i="2" s="1"/>
  <c r="S43" i="1" l="1"/>
  <c r="M36" i="2"/>
</calcChain>
</file>

<file path=xl/sharedStrings.xml><?xml version="1.0" encoding="utf-8"?>
<sst xmlns="http://schemas.openxmlformats.org/spreadsheetml/2006/main" count="141" uniqueCount="79">
  <si>
    <t>Observed</t>
  </si>
  <si>
    <t>Use</t>
  </si>
  <si>
    <t>Type</t>
  </si>
  <si>
    <t>CIP</t>
  </si>
  <si>
    <t>Prorate</t>
  </si>
  <si>
    <t>Room #</t>
  </si>
  <si>
    <t>Variance</t>
  </si>
  <si>
    <t>% Diff</t>
  </si>
  <si>
    <t>Bldg</t>
  </si>
  <si>
    <t>Accurate Facilities Data</t>
  </si>
  <si>
    <t>Room</t>
  </si>
  <si>
    <t>Rooms are identified by a unique alphabetic or numeric code.</t>
  </si>
  <si>
    <t>Identification</t>
  </si>
  <si>
    <t>Data</t>
  </si>
  <si>
    <t>All rooms reviewed have unique numbers and are posted</t>
  </si>
  <si>
    <t>CBM 011</t>
  </si>
  <si>
    <t>Campus Operating Procedures</t>
  </si>
  <si>
    <t>All rooms identified as unique in the report but not on site</t>
  </si>
  <si>
    <t>PRT data</t>
  </si>
  <si>
    <t>Facilities Manual</t>
  </si>
  <si>
    <t>&gt;90% of reviewed rooms have unique identification</t>
  </si>
  <si>
    <t>Meeting notes</t>
  </si>
  <si>
    <t>&lt;90% of reviewed rooms have unique identification</t>
  </si>
  <si>
    <t>A</t>
  </si>
  <si>
    <t>100% of rooms unidentifiable based on unique numbering</t>
  </si>
  <si>
    <t>Space use (room type) codes reflect actual use.</t>
  </si>
  <si>
    <t>Room type</t>
  </si>
  <si>
    <t>&lt;5% deviation between reported and PRT data</t>
  </si>
  <si>
    <t>5-6.9% deviation between reported and PRT data</t>
  </si>
  <si>
    <t>7-9.9% deviation between reported and PRT data</t>
  </si>
  <si>
    <t>10-15% deviation between reported and PRT data</t>
  </si>
  <si>
    <t>B</t>
  </si>
  <si>
    <t>&gt;15% deviation between reported and PRT data</t>
  </si>
  <si>
    <t>Functional category (room use) codes reflect actual use.</t>
  </si>
  <si>
    <t>Room use</t>
  </si>
  <si>
    <t>C</t>
  </si>
  <si>
    <t>D</t>
  </si>
  <si>
    <t>Classification of Instructional Programs(CIP) identifies academic disciplines, instructional programs, and departments.</t>
  </si>
  <si>
    <t>(+/- 10%)</t>
  </si>
  <si>
    <t>E</t>
  </si>
  <si>
    <t>Prorated use.</t>
  </si>
  <si>
    <t>Proration</t>
  </si>
  <si>
    <t>F.1</t>
  </si>
  <si>
    <t>Reported room area.</t>
  </si>
  <si>
    <t>Square feet</t>
  </si>
  <si>
    <t>CBM</t>
  </si>
  <si>
    <t>F.2</t>
  </si>
  <si>
    <t>Number of rooms with a square foot variance greater than 10%.</t>
  </si>
  <si>
    <t>&lt;5 rooms deviation between reported and PRT data</t>
  </si>
  <si>
    <t>PRT documentation</t>
  </si>
  <si>
    <t>5-7 rooms deviation between reported and PRT data</t>
  </si>
  <si>
    <t>8-10 rooms deviation between reported and PRT data</t>
  </si>
  <si>
    <t>11-15 rooms deviation between reported and PRT data</t>
  </si>
  <si>
    <t>&gt;15 rooms deviation between reported and PRT data</t>
  </si>
  <si>
    <t>Goal</t>
  </si>
  <si>
    <t>Unit</t>
  </si>
  <si>
    <t>Compliance Elements</t>
  </si>
  <si>
    <t>Concept</t>
  </si>
  <si>
    <t xml:space="preserve">Item </t>
  </si>
  <si>
    <t>Scale</t>
  </si>
  <si>
    <t>Definition</t>
  </si>
  <si>
    <t>Minor   Def</t>
  </si>
  <si>
    <t>Major Def</t>
  </si>
  <si>
    <t>Documents</t>
  </si>
  <si>
    <t>Score</t>
  </si>
  <si>
    <t>Number of occurrences from F.1</t>
  </si>
  <si>
    <t>PRT Team Lead</t>
  </si>
  <si>
    <t>Audit Data Input Fields</t>
  </si>
  <si>
    <t>Data input by THECB</t>
  </si>
  <si>
    <t>Institution</t>
  </si>
  <si>
    <t>Date</t>
  </si>
  <si>
    <t>Formula Calculated Fields</t>
  </si>
  <si>
    <t>Room Audit Summary</t>
  </si>
  <si>
    <t xml:space="preserve">  Peer Review Team</t>
  </si>
  <si>
    <t>Occurrence</t>
  </si>
  <si>
    <t>Occurrence Count</t>
  </si>
  <si>
    <t>Occurrence Percent</t>
  </si>
  <si>
    <t>E&amp;G SF</t>
  </si>
  <si>
    <t>CIP identifies academic disciplines, instructional programs, and depts.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</si>
</sst>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[$-409]mmmm\ d\,\ yyyy;@"/>
  </numFmts>
  <fonts count="12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sz val="1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5" fillId="0" borderId="2" xfId="0" applyFont="1" applyBorder="1" applyAlignment="1">
      <alignment vertical="top" wrapText="1"/>
    </xf>
    <xf numFmtId="0" fontId="5" fillId="0" borderId="0" xfId="0" applyFont="1"/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/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/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/>
    <xf numFmtId="0" fontId="6" fillId="0" borderId="10" xfId="0" applyFont="1" applyBorder="1" applyAlignment="1">
      <alignment wrapText="1"/>
    </xf>
    <xf numFmtId="0" fontId="6" fillId="0" borderId="10" xfId="0" applyFont="1" applyBorder="1"/>
    <xf numFmtId="0" fontId="5" fillId="3" borderId="3" xfId="0" applyFont="1" applyFill="1" applyBorder="1"/>
    <xf numFmtId="0" fontId="3" fillId="0" borderId="2" xfId="0" applyFont="1" applyBorder="1" applyAlignment="1">
      <alignment vertical="top"/>
    </xf>
    <xf numFmtId="0" fontId="5" fillId="0" borderId="7" xfId="0" applyFont="1" applyBorder="1" applyAlignment="1">
      <alignment wrapText="1"/>
    </xf>
    <xf numFmtId="0" fontId="5" fillId="3" borderId="3" xfId="0" applyFont="1" applyFill="1" applyBorder="1" applyAlignment="1">
      <alignment horizontal="center"/>
    </xf>
    <xf numFmtId="0" fontId="5" fillId="0" borderId="7" xfId="0" applyFont="1" applyBorder="1"/>
    <xf numFmtId="0" fontId="0" fillId="0" borderId="0" xfId="0" applyBorder="1"/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5" fillId="0" borderId="11" xfId="0" applyFont="1" applyBorder="1" applyAlignment="1">
      <alignment vertical="top"/>
    </xf>
    <xf numFmtId="0" fontId="5" fillId="0" borderId="13" xfId="0" applyFont="1" applyBorder="1"/>
    <xf numFmtId="0" fontId="5" fillId="0" borderId="13" xfId="0" applyFont="1" applyBorder="1" applyAlignment="1">
      <alignment wrapText="1"/>
    </xf>
    <xf numFmtId="0" fontId="5" fillId="0" borderId="3" xfId="0" applyFont="1" applyBorder="1" applyAlignment="1">
      <alignment vertical="top"/>
    </xf>
    <xf numFmtId="0" fontId="5" fillId="0" borderId="5" xfId="0" applyFont="1" applyBorder="1" applyAlignment="1">
      <alignment wrapText="1"/>
    </xf>
    <xf numFmtId="0" fontId="5" fillId="0" borderId="7" xfId="0" applyFont="1" applyBorder="1" applyAlignment="1">
      <alignment vertical="top"/>
    </xf>
    <xf numFmtId="0" fontId="5" fillId="0" borderId="4" xfId="0" applyFont="1" applyFill="1" applyBorder="1"/>
    <xf numFmtId="0" fontId="2" fillId="0" borderId="0" xfId="0" applyFont="1" applyBorder="1" applyAlignment="1">
      <alignment horizontal="center" wrapText="1"/>
    </xf>
    <xf numFmtId="165" fontId="0" fillId="4" borderId="7" xfId="2" applyNumberFormat="1" applyFont="1" applyFill="1" applyBorder="1"/>
    <xf numFmtId="165" fontId="0" fillId="4" borderId="2" xfId="0" applyNumberFormat="1" applyFill="1" applyBorder="1"/>
    <xf numFmtId="165" fontId="0" fillId="4" borderId="4" xfId="0" applyNumberFormat="1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14" xfId="0" applyFill="1" applyBorder="1"/>
    <xf numFmtId="0" fontId="0" fillId="4" borderId="15" xfId="0" applyFill="1" applyBorder="1"/>
    <xf numFmtId="0" fontId="6" fillId="0" borderId="8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8" fillId="0" borderId="16" xfId="0" applyFont="1" applyFill="1" applyBorder="1" applyAlignment="1">
      <alignment horizontal="center" wrapText="1"/>
    </xf>
    <xf numFmtId="0" fontId="8" fillId="0" borderId="16" xfId="0" applyFont="1" applyFill="1" applyBorder="1" applyAlignment="1" applyProtection="1">
      <alignment horizontal="center" wrapText="1"/>
      <protection locked="0"/>
    </xf>
    <xf numFmtId="0" fontId="8" fillId="0" borderId="16" xfId="0" applyFont="1" applyFill="1" applyBorder="1" applyAlignment="1" applyProtection="1">
      <alignment horizontal="center" wrapText="1"/>
    </xf>
    <xf numFmtId="0" fontId="9" fillId="2" borderId="1" xfId="0" applyFont="1" applyFill="1" applyBorder="1"/>
    <xf numFmtId="0" fontId="9" fillId="2" borderId="1" xfId="0" applyNumberFormat="1" applyFont="1" applyFill="1" applyBorder="1" applyProtection="1">
      <protection locked="0"/>
    </xf>
    <xf numFmtId="0" fontId="9" fillId="3" borderId="1" xfId="0" applyNumberFormat="1" applyFont="1" applyFill="1" applyBorder="1" applyProtection="1">
      <protection locked="0"/>
    </xf>
    <xf numFmtId="0" fontId="9" fillId="4" borderId="1" xfId="0" applyNumberFormat="1" applyFont="1" applyFill="1" applyBorder="1" applyProtection="1">
      <protection locked="0"/>
    </xf>
    <xf numFmtId="0" fontId="9" fillId="2" borderId="1" xfId="0" applyFont="1" applyFill="1" applyBorder="1" applyProtection="1">
      <protection locked="0"/>
    </xf>
    <xf numFmtId="0" fontId="9" fillId="3" borderId="1" xfId="0" applyFont="1" applyFill="1" applyBorder="1" applyProtection="1">
      <protection locked="0"/>
    </xf>
    <xf numFmtId="0" fontId="9" fillId="4" borderId="1" xfId="0" applyFont="1" applyFill="1" applyBorder="1" applyProtection="1">
      <protection locked="0"/>
    </xf>
    <xf numFmtId="164" fontId="9" fillId="2" borderId="1" xfId="0" applyNumberFormat="1" applyFont="1" applyFill="1" applyBorder="1" applyProtection="1">
      <protection locked="0"/>
    </xf>
    <xf numFmtId="164" fontId="9" fillId="3" borderId="1" xfId="0" applyNumberFormat="1" applyFont="1" applyFill="1" applyBorder="1" applyProtection="1">
      <protection locked="0"/>
    </xf>
    <xf numFmtId="1" fontId="9" fillId="4" borderId="1" xfId="0" applyNumberFormat="1" applyFont="1" applyFill="1" applyBorder="1" applyProtection="1">
      <protection locked="0"/>
    </xf>
    <xf numFmtId="0" fontId="9" fillId="4" borderId="1" xfId="0" applyFont="1" applyFill="1" applyBorder="1" applyProtection="1"/>
    <xf numFmtId="165" fontId="9" fillId="4" borderId="1" xfId="2" applyNumberFormat="1" applyFont="1" applyFill="1" applyBorder="1" applyProtection="1"/>
    <xf numFmtId="49" fontId="9" fillId="2" borderId="1" xfId="0" applyNumberFormat="1" applyFont="1" applyFill="1" applyBorder="1" applyAlignment="1" applyProtection="1">
      <alignment horizontal="right"/>
      <protection locked="0"/>
    </xf>
    <xf numFmtId="49" fontId="9" fillId="3" borderId="1" xfId="0" applyNumberFormat="1" applyFont="1" applyFill="1" applyBorder="1" applyAlignment="1" applyProtection="1">
      <alignment horizontal="right"/>
      <protection locked="0"/>
    </xf>
    <xf numFmtId="0" fontId="9" fillId="3" borderId="0" xfId="0" applyFont="1" applyFill="1" applyBorder="1" applyProtection="1">
      <protection locked="0"/>
    </xf>
    <xf numFmtId="0" fontId="9" fillId="5" borderId="0" xfId="0" applyFont="1" applyFill="1" applyBorder="1" applyProtection="1">
      <protection locked="0"/>
    </xf>
    <xf numFmtId="0" fontId="10" fillId="5" borderId="0" xfId="0" applyFont="1" applyFill="1" applyBorder="1" applyProtection="1">
      <protection locked="0"/>
    </xf>
    <xf numFmtId="0" fontId="9" fillId="5" borderId="0" xfId="0" applyFont="1" applyFill="1" applyBorder="1" applyProtection="1"/>
    <xf numFmtId="0" fontId="9" fillId="5" borderId="0" xfId="0" applyFont="1" applyFill="1" applyBorder="1" applyAlignment="1" applyProtection="1">
      <alignment horizontal="left" vertical="top"/>
      <protection locked="0"/>
    </xf>
    <xf numFmtId="0" fontId="8" fillId="5" borderId="0" xfId="0" applyFont="1" applyFill="1" applyBorder="1" applyAlignment="1" applyProtection="1">
      <alignment horizontal="center" wrapText="1"/>
      <protection locked="0"/>
    </xf>
    <xf numFmtId="0" fontId="9" fillId="6" borderId="0" xfId="0" applyFont="1" applyFill="1" applyBorder="1" applyProtection="1">
      <protection locked="0"/>
    </xf>
    <xf numFmtId="0" fontId="9" fillId="3" borderId="1" xfId="0" applyFont="1" applyFill="1" applyBorder="1"/>
    <xf numFmtId="0" fontId="9" fillId="0" borderId="1" xfId="0" applyFont="1" applyFill="1" applyBorder="1" applyProtection="1">
      <protection locked="0"/>
    </xf>
    <xf numFmtId="165" fontId="9" fillId="4" borderId="1" xfId="2" applyNumberFormat="1" applyFont="1" applyFill="1" applyBorder="1" applyProtection="1">
      <protection locked="0"/>
    </xf>
    <xf numFmtId="0" fontId="9" fillId="3" borderId="16" xfId="0" applyFont="1" applyFill="1" applyBorder="1"/>
    <xf numFmtId="0" fontId="9" fillId="3" borderId="16" xfId="0" applyFont="1" applyFill="1" applyBorder="1" applyProtection="1">
      <protection locked="0"/>
    </xf>
    <xf numFmtId="0" fontId="9" fillId="0" borderId="16" xfId="0" applyFont="1" applyFill="1" applyBorder="1" applyProtection="1">
      <protection locked="0"/>
    </xf>
    <xf numFmtId="0" fontId="9" fillId="4" borderId="16" xfId="0" applyFont="1" applyFill="1" applyBorder="1" applyProtection="1">
      <protection locked="0"/>
    </xf>
    <xf numFmtId="166" fontId="9" fillId="4" borderId="16" xfId="1" applyNumberFormat="1" applyFont="1" applyFill="1" applyBorder="1" applyProtection="1">
      <protection locked="0"/>
    </xf>
    <xf numFmtId="166" fontId="9" fillId="0" borderId="16" xfId="1" applyNumberFormat="1" applyFont="1" applyFill="1" applyBorder="1" applyProtection="1">
      <protection locked="0"/>
    </xf>
    <xf numFmtId="165" fontId="9" fillId="4" borderId="16" xfId="2" applyNumberFormat="1" applyFont="1" applyFill="1" applyBorder="1" applyProtection="1">
      <protection locked="0"/>
    </xf>
    <xf numFmtId="0" fontId="9" fillId="2" borderId="17" xfId="0" applyFont="1" applyFill="1" applyBorder="1"/>
    <xf numFmtId="0" fontId="9" fillId="2" borderId="17" xfId="0" applyNumberFormat="1" applyFont="1" applyFill="1" applyBorder="1" applyProtection="1">
      <protection locked="0"/>
    </xf>
    <xf numFmtId="0" fontId="9" fillId="3" borderId="17" xfId="0" applyNumberFormat="1" applyFont="1" applyFill="1" applyBorder="1" applyProtection="1">
      <protection locked="0"/>
    </xf>
    <xf numFmtId="0" fontId="9" fillId="4" borderId="17" xfId="0" applyNumberFormat="1" applyFont="1" applyFill="1" applyBorder="1" applyProtection="1">
      <protection locked="0"/>
    </xf>
    <xf numFmtId="0" fontId="9" fillId="2" borderId="17" xfId="0" applyFont="1" applyFill="1" applyBorder="1" applyProtection="1">
      <protection locked="0"/>
    </xf>
    <xf numFmtId="0" fontId="9" fillId="3" borderId="17" xfId="0" applyFont="1" applyFill="1" applyBorder="1" applyProtection="1">
      <protection locked="0"/>
    </xf>
    <xf numFmtId="0" fontId="9" fillId="4" borderId="17" xfId="0" applyFont="1" applyFill="1" applyBorder="1" applyProtection="1">
      <protection locked="0"/>
    </xf>
    <xf numFmtId="164" fontId="9" fillId="2" borderId="17" xfId="0" applyNumberFormat="1" applyFont="1" applyFill="1" applyBorder="1" applyProtection="1">
      <protection locked="0"/>
    </xf>
    <xf numFmtId="164" fontId="9" fillId="3" borderId="17" xfId="0" applyNumberFormat="1" applyFont="1" applyFill="1" applyBorder="1" applyProtection="1">
      <protection locked="0"/>
    </xf>
    <xf numFmtId="1" fontId="9" fillId="4" borderId="17" xfId="0" applyNumberFormat="1" applyFont="1" applyFill="1" applyBorder="1" applyProtection="1">
      <protection locked="0"/>
    </xf>
    <xf numFmtId="0" fontId="9" fillId="4" borderId="17" xfId="0" applyFont="1" applyFill="1" applyBorder="1" applyProtection="1"/>
    <xf numFmtId="165" fontId="9" fillId="4" borderId="17" xfId="2" applyNumberFormat="1" applyFont="1" applyFill="1" applyBorder="1" applyProtection="1"/>
    <xf numFmtId="0" fontId="9" fillId="5" borderId="0" xfId="0" applyFont="1" applyFill="1"/>
    <xf numFmtId="0" fontId="9" fillId="5" borderId="0" xfId="0" applyFont="1" applyFill="1" applyProtection="1">
      <protection locked="0"/>
    </xf>
    <xf numFmtId="0" fontId="9" fillId="5" borderId="0" xfId="0" applyFont="1" applyFill="1" applyProtection="1"/>
    <xf numFmtId="0" fontId="9" fillId="7" borderId="0" xfId="0" applyFont="1" applyFill="1" applyBorder="1" applyProtection="1">
      <protection locked="0"/>
    </xf>
    <xf numFmtId="0" fontId="5" fillId="0" borderId="7" xfId="0" applyFont="1" applyBorder="1"/>
    <xf numFmtId="0" fontId="5" fillId="0" borderId="2" xfId="0" applyFont="1" applyBorder="1"/>
    <xf numFmtId="0" fontId="5" fillId="0" borderId="7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165" fontId="0" fillId="4" borderId="7" xfId="2" applyNumberFormat="1" applyFont="1" applyFill="1" applyBorder="1"/>
    <xf numFmtId="165" fontId="0" fillId="4" borderId="2" xfId="2" applyNumberFormat="1" applyFont="1" applyFill="1" applyBorder="1"/>
    <xf numFmtId="0" fontId="5" fillId="0" borderId="1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3" borderId="7" xfId="0" applyFont="1" applyFill="1" applyBorder="1"/>
    <xf numFmtId="0" fontId="5" fillId="3" borderId="2" xfId="0" applyFont="1" applyFill="1" applyBorder="1"/>
    <xf numFmtId="0" fontId="5" fillId="0" borderId="11" xfId="0" applyFont="1" applyBorder="1"/>
    <xf numFmtId="0" fontId="5" fillId="0" borderId="3" xfId="0" applyFont="1" applyBorder="1"/>
    <xf numFmtId="0" fontId="11" fillId="0" borderId="10" xfId="0" applyFont="1" applyBorder="1" applyAlignment="1" applyProtection="1">
      <alignment vertical="top" wrapText="1"/>
      <protection locked="0"/>
    </xf>
    <xf numFmtId="0" fontId="11" fillId="0" borderId="9" xfId="0" applyFont="1" applyBorder="1" applyAlignment="1" applyProtection="1">
      <alignment vertical="top" wrapText="1"/>
      <protection locked="0"/>
    </xf>
    <xf numFmtId="0" fontId="11" fillId="0" borderId="12" xfId="0" applyFont="1" applyBorder="1" applyAlignment="1" applyProtection="1">
      <alignment vertical="top" wrapText="1"/>
      <protection locked="0"/>
    </xf>
    <xf numFmtId="0" fontId="7" fillId="5" borderId="0" xfId="0" applyFont="1" applyFill="1" applyBorder="1" applyAlignment="1">
      <alignment horizontal="left"/>
    </xf>
    <xf numFmtId="167" fontId="7" fillId="5" borderId="0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M40"/>
  <sheetViews>
    <sheetView showGridLines="0" zoomScaleNormal="100" workbookViewId="0">
      <selection activeCell="G6" sqref="G6"/>
    </sheetView>
  </sheetViews>
  <sheetFormatPr defaultRowHeight="12.75"/>
  <cols>
    <col min="2" max="2" width="13.85546875" customWidth="1"/>
    <col min="4" max="4" width="18.85546875" customWidth="1"/>
    <col min="5" max="5" width="11.28515625" customWidth="1"/>
    <col min="8" max="8" width="25.85546875" customWidth="1"/>
    <col min="11" max="11" width="10.85546875" customWidth="1"/>
    <col min="12" max="12" width="16" customWidth="1"/>
  </cols>
  <sheetData>
    <row r="1" spans="2:13" ht="13.5" thickBot="1"/>
    <row r="2" spans="2:13" ht="24.75" thickBot="1">
      <c r="B2" s="19" t="s">
        <v>54</v>
      </c>
      <c r="C2" s="20" t="s">
        <v>55</v>
      </c>
      <c r="D2" s="21" t="s">
        <v>56</v>
      </c>
      <c r="E2" s="22" t="s">
        <v>57</v>
      </c>
      <c r="F2" s="23" t="s">
        <v>58</v>
      </c>
      <c r="G2" s="24" t="s">
        <v>59</v>
      </c>
      <c r="H2" s="23" t="s">
        <v>60</v>
      </c>
      <c r="I2" s="23" t="s">
        <v>61</v>
      </c>
      <c r="J2" s="23" t="s">
        <v>62</v>
      </c>
      <c r="K2" s="24" t="s">
        <v>13</v>
      </c>
      <c r="L2" s="21" t="s">
        <v>63</v>
      </c>
      <c r="M2" s="48" t="s">
        <v>64</v>
      </c>
    </row>
    <row r="3" spans="2:13" ht="24" customHeight="1">
      <c r="B3" s="3" t="s">
        <v>9</v>
      </c>
      <c r="C3" s="4" t="s">
        <v>10</v>
      </c>
      <c r="D3" s="103" t="s">
        <v>11</v>
      </c>
      <c r="E3" s="4" t="s">
        <v>12</v>
      </c>
      <c r="F3" s="5" t="s">
        <v>13</v>
      </c>
      <c r="G3" s="6">
        <v>5</v>
      </c>
      <c r="H3" s="5" t="s">
        <v>14</v>
      </c>
      <c r="I3" s="5"/>
      <c r="J3" s="5"/>
      <c r="K3" s="6" t="s">
        <v>15</v>
      </c>
      <c r="L3" s="7" t="s">
        <v>16</v>
      </c>
      <c r="M3" s="41">
        <f>'Room Audit Data'!D43</f>
        <v>1</v>
      </c>
    </row>
    <row r="4" spans="2:13" ht="24" customHeight="1">
      <c r="B4" s="3"/>
      <c r="C4" s="4"/>
      <c r="D4" s="104"/>
      <c r="E4" s="4"/>
      <c r="F4" s="5"/>
      <c r="G4" s="6">
        <v>4</v>
      </c>
      <c r="H4" s="5" t="s">
        <v>17</v>
      </c>
      <c r="I4" s="5"/>
      <c r="J4" s="5"/>
      <c r="K4" s="5" t="s">
        <v>18</v>
      </c>
      <c r="L4" s="7" t="s">
        <v>19</v>
      </c>
      <c r="M4" s="42"/>
    </row>
    <row r="5" spans="2:13" ht="24" customHeight="1">
      <c r="B5" s="3"/>
      <c r="C5" s="4"/>
      <c r="D5" s="104"/>
      <c r="E5" s="4"/>
      <c r="F5" s="5"/>
      <c r="G5" s="6">
        <v>3</v>
      </c>
      <c r="H5" s="5" t="s">
        <v>20</v>
      </c>
      <c r="I5" s="5"/>
      <c r="J5" s="5"/>
      <c r="K5" s="6"/>
      <c r="L5" s="7" t="s">
        <v>21</v>
      </c>
      <c r="M5" s="42"/>
    </row>
    <row r="6" spans="2:13" ht="24" customHeight="1">
      <c r="B6" s="3"/>
      <c r="C6" s="4"/>
      <c r="D6" s="104"/>
      <c r="E6" s="4"/>
      <c r="F6" s="5"/>
      <c r="G6" s="25">
        <v>2</v>
      </c>
      <c r="H6" s="5" t="s">
        <v>22</v>
      </c>
      <c r="I6" s="5"/>
      <c r="J6" s="5"/>
      <c r="K6" s="6"/>
      <c r="L6" s="7"/>
      <c r="M6" s="42"/>
    </row>
    <row r="7" spans="2:13" ht="24" customHeight="1" thickBot="1">
      <c r="B7" s="8" t="s">
        <v>23</v>
      </c>
      <c r="C7" s="9"/>
      <c r="D7" s="107"/>
      <c r="E7" s="9"/>
      <c r="F7" s="11"/>
      <c r="G7" s="12">
        <v>1</v>
      </c>
      <c r="H7" s="11" t="s">
        <v>24</v>
      </c>
      <c r="I7" s="11"/>
      <c r="J7" s="11"/>
      <c r="K7" s="12"/>
      <c r="L7" s="10"/>
      <c r="M7" s="43"/>
    </row>
    <row r="8" spans="2:13" ht="24">
      <c r="B8" s="13"/>
      <c r="C8" s="4"/>
      <c r="D8" s="103" t="s">
        <v>25</v>
      </c>
      <c r="E8" s="4" t="s">
        <v>26</v>
      </c>
      <c r="F8" s="5" t="s">
        <v>13</v>
      </c>
      <c r="G8" s="6">
        <v>5</v>
      </c>
      <c r="H8" s="5" t="s">
        <v>27</v>
      </c>
      <c r="I8" s="5"/>
      <c r="J8" s="5"/>
      <c r="K8" s="6" t="s">
        <v>15</v>
      </c>
      <c r="L8" s="7" t="s">
        <v>19</v>
      </c>
      <c r="M8" s="41">
        <f>'Room Audit Data'!G43</f>
        <v>0</v>
      </c>
    </row>
    <row r="9" spans="2:13" ht="24">
      <c r="B9" s="13"/>
      <c r="C9" s="4"/>
      <c r="D9" s="104"/>
      <c r="E9" s="4"/>
      <c r="F9" s="5"/>
      <c r="G9" s="6">
        <v>4</v>
      </c>
      <c r="H9" s="5" t="s">
        <v>28</v>
      </c>
      <c r="I9" s="5"/>
      <c r="J9" s="5"/>
      <c r="K9" s="5" t="s">
        <v>18</v>
      </c>
      <c r="L9" s="7" t="s">
        <v>21</v>
      </c>
      <c r="M9" s="44"/>
    </row>
    <row r="10" spans="2:13" ht="24">
      <c r="B10" s="13"/>
      <c r="C10" s="4"/>
      <c r="D10" s="104"/>
      <c r="E10" s="4"/>
      <c r="F10" s="5"/>
      <c r="G10" s="6">
        <v>3</v>
      </c>
      <c r="H10" s="5" t="s">
        <v>29</v>
      </c>
      <c r="I10" s="5"/>
      <c r="J10" s="5"/>
      <c r="K10" s="6"/>
      <c r="L10" s="7"/>
      <c r="M10" s="44"/>
    </row>
    <row r="11" spans="2:13" ht="24">
      <c r="B11" s="13"/>
      <c r="C11" s="4"/>
      <c r="D11" s="7"/>
      <c r="E11" s="4"/>
      <c r="F11" s="5"/>
      <c r="G11" s="25">
        <v>2</v>
      </c>
      <c r="H11" s="5" t="s">
        <v>30</v>
      </c>
      <c r="I11" s="5"/>
      <c r="J11" s="5"/>
      <c r="K11" s="6"/>
      <c r="L11" s="7"/>
      <c r="M11" s="44"/>
    </row>
    <row r="12" spans="2:13" ht="24.75" thickBot="1">
      <c r="B12" s="14" t="s">
        <v>31</v>
      </c>
      <c r="C12" s="9"/>
      <c r="D12" s="10"/>
      <c r="E12" s="9"/>
      <c r="F12" s="11"/>
      <c r="G12" s="12">
        <v>1</v>
      </c>
      <c r="H12" s="11" t="s">
        <v>32</v>
      </c>
      <c r="I12" s="11"/>
      <c r="J12" s="11"/>
      <c r="K12" s="12"/>
      <c r="L12" s="10"/>
      <c r="M12" s="45"/>
    </row>
    <row r="13" spans="2:13" ht="24">
      <c r="B13" s="13"/>
      <c r="C13" s="4"/>
      <c r="D13" s="105" t="s">
        <v>33</v>
      </c>
      <c r="E13" s="4"/>
      <c r="F13" s="5" t="s">
        <v>13</v>
      </c>
      <c r="G13" s="6">
        <v>5</v>
      </c>
      <c r="H13" s="5" t="s">
        <v>27</v>
      </c>
      <c r="I13" s="5"/>
      <c r="J13" s="5"/>
      <c r="K13" s="6" t="s">
        <v>15</v>
      </c>
      <c r="L13" s="7" t="s">
        <v>19</v>
      </c>
      <c r="M13" s="41">
        <f>'Room Audit Data'!J43</f>
        <v>0</v>
      </c>
    </row>
    <row r="14" spans="2:13" ht="24">
      <c r="B14" s="13"/>
      <c r="C14" s="4"/>
      <c r="D14" s="106"/>
      <c r="E14" s="4" t="s">
        <v>34</v>
      </c>
      <c r="F14" s="5"/>
      <c r="G14" s="25">
        <v>4</v>
      </c>
      <c r="H14" s="5" t="s">
        <v>28</v>
      </c>
      <c r="I14" s="5"/>
      <c r="J14" s="5"/>
      <c r="K14" s="5" t="s">
        <v>18</v>
      </c>
      <c r="L14" s="7" t="s">
        <v>21</v>
      </c>
      <c r="M14" s="44"/>
    </row>
    <row r="15" spans="2:13" ht="24">
      <c r="B15" s="13"/>
      <c r="C15" s="4"/>
      <c r="D15" s="106"/>
      <c r="E15" s="4"/>
      <c r="F15" s="5"/>
      <c r="G15" s="6">
        <v>3</v>
      </c>
      <c r="H15" s="5" t="s">
        <v>29</v>
      </c>
      <c r="I15" s="5"/>
      <c r="J15" s="5"/>
      <c r="K15" s="6"/>
      <c r="L15" s="7"/>
      <c r="M15" s="44"/>
    </row>
    <row r="16" spans="2:13" ht="24">
      <c r="B16" s="13"/>
      <c r="C16" s="4"/>
      <c r="D16" s="7"/>
      <c r="E16" s="4"/>
      <c r="F16" s="5"/>
      <c r="G16" s="6">
        <v>2</v>
      </c>
      <c r="H16" s="5" t="s">
        <v>30</v>
      </c>
      <c r="I16" s="5"/>
      <c r="J16" s="5"/>
      <c r="K16" s="6"/>
      <c r="L16" s="7"/>
      <c r="M16" s="44"/>
    </row>
    <row r="17" spans="2:13" ht="24.75" thickBot="1">
      <c r="B17" s="14" t="s">
        <v>35</v>
      </c>
      <c r="C17" s="9"/>
      <c r="D17" s="10"/>
      <c r="E17" s="9"/>
      <c r="F17" s="11"/>
      <c r="G17" s="12">
        <v>1</v>
      </c>
      <c r="H17" s="11" t="s">
        <v>32</v>
      </c>
      <c r="I17" s="11"/>
      <c r="J17" s="11"/>
      <c r="K17" s="12"/>
      <c r="L17" s="10"/>
      <c r="M17" s="44"/>
    </row>
    <row r="18" spans="2:13" ht="12.75" customHeight="1">
      <c r="B18" s="13"/>
      <c r="C18" s="101"/>
      <c r="D18" s="103" t="s">
        <v>37</v>
      </c>
      <c r="E18" s="101" t="s">
        <v>3</v>
      </c>
      <c r="F18" s="105" t="s">
        <v>13</v>
      </c>
      <c r="G18" s="101">
        <v>5</v>
      </c>
      <c r="H18" s="105" t="s">
        <v>27</v>
      </c>
      <c r="I18" s="105"/>
      <c r="J18" s="105"/>
      <c r="K18" s="101" t="s">
        <v>15</v>
      </c>
      <c r="L18" s="110" t="s">
        <v>19</v>
      </c>
      <c r="M18" s="108">
        <f>'Room Audit Data'!M43</f>
        <v>0</v>
      </c>
    </row>
    <row r="19" spans="2:13">
      <c r="B19" s="13"/>
      <c r="C19" s="102"/>
      <c r="D19" s="104"/>
      <c r="E19" s="102"/>
      <c r="F19" s="106"/>
      <c r="G19" s="102"/>
      <c r="H19" s="106"/>
      <c r="I19" s="106"/>
      <c r="J19" s="106"/>
      <c r="K19" s="102"/>
      <c r="L19" s="111"/>
      <c r="M19" s="109"/>
    </row>
    <row r="20" spans="2:13" ht="24">
      <c r="B20" s="13"/>
      <c r="C20" s="4"/>
      <c r="D20" s="104"/>
      <c r="E20" s="4"/>
      <c r="F20" s="5" t="s">
        <v>38</v>
      </c>
      <c r="G20" s="6">
        <v>4</v>
      </c>
      <c r="H20" s="5" t="s">
        <v>28</v>
      </c>
      <c r="I20" s="5"/>
      <c r="J20" s="5"/>
      <c r="K20" s="5" t="s">
        <v>18</v>
      </c>
      <c r="L20" s="5" t="s">
        <v>21</v>
      </c>
      <c r="M20" s="44"/>
    </row>
    <row r="21" spans="2:13" ht="24">
      <c r="B21" s="13"/>
      <c r="C21" s="4"/>
      <c r="D21" s="104"/>
      <c r="E21" s="4"/>
      <c r="F21" s="5"/>
      <c r="G21" s="6">
        <v>3</v>
      </c>
      <c r="H21" s="5" t="s">
        <v>29</v>
      </c>
      <c r="I21" s="5"/>
      <c r="J21" s="5"/>
      <c r="K21" s="6"/>
      <c r="L21" s="5"/>
      <c r="M21" s="44"/>
    </row>
    <row r="22" spans="2:13" ht="24">
      <c r="B22" s="13"/>
      <c r="C22" s="4"/>
      <c r="D22" s="104"/>
      <c r="E22" s="4"/>
      <c r="F22" s="5"/>
      <c r="G22" s="25">
        <v>2</v>
      </c>
      <c r="H22" s="49" t="s">
        <v>30</v>
      </c>
      <c r="I22" s="5"/>
      <c r="J22" s="5"/>
      <c r="K22" s="6"/>
      <c r="L22" s="5"/>
      <c r="M22" s="44"/>
    </row>
    <row r="23" spans="2:13" ht="24.75" thickBot="1">
      <c r="B23" s="26" t="s">
        <v>36</v>
      </c>
      <c r="C23" s="4"/>
      <c r="D23" s="104"/>
      <c r="E23" s="4"/>
      <c r="F23" s="5"/>
      <c r="G23" s="6">
        <v>1</v>
      </c>
      <c r="H23" s="49" t="s">
        <v>32</v>
      </c>
      <c r="I23" s="5"/>
      <c r="J23" s="5"/>
      <c r="K23" s="6"/>
      <c r="L23" s="5"/>
      <c r="M23" s="44"/>
    </row>
    <row r="24" spans="2:13">
      <c r="B24" s="33"/>
      <c r="C24" s="29"/>
      <c r="D24" s="103" t="s">
        <v>40</v>
      </c>
      <c r="E24" s="101" t="s">
        <v>41</v>
      </c>
      <c r="F24" s="105" t="s">
        <v>13</v>
      </c>
      <c r="G24" s="101">
        <v>5</v>
      </c>
      <c r="H24" s="105" t="s">
        <v>27</v>
      </c>
      <c r="I24" s="27"/>
      <c r="J24" s="35"/>
      <c r="K24" s="101" t="s">
        <v>15</v>
      </c>
      <c r="L24" s="110" t="s">
        <v>19</v>
      </c>
      <c r="M24" s="108">
        <f>'Room Audit Data'!P43</f>
        <v>0</v>
      </c>
    </row>
    <row r="25" spans="2:13">
      <c r="B25" s="36"/>
      <c r="C25" s="16"/>
      <c r="D25" s="104"/>
      <c r="E25" s="102"/>
      <c r="F25" s="106"/>
      <c r="G25" s="102"/>
      <c r="H25" s="106"/>
      <c r="I25" s="7"/>
      <c r="J25" s="32"/>
      <c r="K25" s="102"/>
      <c r="L25" s="111"/>
      <c r="M25" s="109"/>
    </row>
    <row r="26" spans="2:13" ht="24">
      <c r="B26" s="36"/>
      <c r="C26" s="16"/>
      <c r="D26" s="104"/>
      <c r="E26" s="16"/>
      <c r="F26" s="32"/>
      <c r="G26" s="6">
        <v>4</v>
      </c>
      <c r="H26" s="7" t="s">
        <v>28</v>
      </c>
      <c r="I26" s="7"/>
      <c r="J26" s="32"/>
      <c r="K26" s="5" t="s">
        <v>18</v>
      </c>
      <c r="L26" s="5" t="s">
        <v>21</v>
      </c>
      <c r="M26" s="44"/>
    </row>
    <row r="27" spans="2:13" ht="24">
      <c r="B27" s="36"/>
      <c r="C27" s="16"/>
      <c r="D27" s="104"/>
      <c r="E27" s="16"/>
      <c r="F27" s="32"/>
      <c r="G27" s="6">
        <v>3</v>
      </c>
      <c r="H27" s="7" t="s">
        <v>29</v>
      </c>
      <c r="I27" s="7"/>
      <c r="J27" s="32"/>
      <c r="K27" s="16"/>
      <c r="L27" s="32"/>
      <c r="M27" s="44"/>
    </row>
    <row r="28" spans="2:13" ht="24">
      <c r="B28" s="36"/>
      <c r="C28" s="16"/>
      <c r="D28" s="104"/>
      <c r="E28" s="16"/>
      <c r="F28" s="32"/>
      <c r="G28" s="6">
        <v>2</v>
      </c>
      <c r="H28" s="50" t="s">
        <v>30</v>
      </c>
      <c r="I28" s="7"/>
      <c r="J28" s="32"/>
      <c r="K28" s="16"/>
      <c r="L28" s="32"/>
      <c r="M28" s="44"/>
    </row>
    <row r="29" spans="2:13" ht="24.75" thickBot="1">
      <c r="B29" s="36" t="s">
        <v>39</v>
      </c>
      <c r="C29" s="16"/>
      <c r="D29" s="104"/>
      <c r="E29" s="16"/>
      <c r="F29" s="32"/>
      <c r="G29" s="25">
        <v>1</v>
      </c>
      <c r="H29" s="50" t="s">
        <v>32</v>
      </c>
      <c r="I29" s="7"/>
      <c r="J29" s="32"/>
      <c r="K29" s="16"/>
      <c r="L29" s="32"/>
      <c r="M29" s="44"/>
    </row>
    <row r="30" spans="2:13">
      <c r="B30" s="38"/>
      <c r="C30" s="34"/>
      <c r="D30" s="103" t="s">
        <v>43</v>
      </c>
      <c r="E30" s="114" t="s">
        <v>44</v>
      </c>
      <c r="F30" s="105" t="s">
        <v>13</v>
      </c>
      <c r="G30" s="112">
        <v>5</v>
      </c>
      <c r="H30" s="105" t="s">
        <v>27</v>
      </c>
      <c r="I30" s="35"/>
      <c r="J30" s="27"/>
      <c r="K30" s="101" t="s">
        <v>15</v>
      </c>
      <c r="L30" s="105" t="s">
        <v>45</v>
      </c>
      <c r="M30" s="108" t="e">
        <f>'Room Audit Data'!U43</f>
        <v>#DIV/0!</v>
      </c>
    </row>
    <row r="31" spans="2:13">
      <c r="B31" s="13"/>
      <c r="C31" s="31"/>
      <c r="D31" s="104"/>
      <c r="E31" s="115"/>
      <c r="F31" s="106"/>
      <c r="G31" s="113"/>
      <c r="H31" s="106"/>
      <c r="I31" s="32"/>
      <c r="J31" s="7"/>
      <c r="K31" s="102"/>
      <c r="L31" s="106"/>
      <c r="M31" s="109"/>
    </row>
    <row r="32" spans="2:13" ht="24">
      <c r="B32" s="13"/>
      <c r="C32" s="31"/>
      <c r="D32" s="104"/>
      <c r="E32" s="31"/>
      <c r="F32" s="7"/>
      <c r="G32" s="16">
        <v>4</v>
      </c>
      <c r="H32" s="7" t="s">
        <v>28</v>
      </c>
      <c r="I32" s="32"/>
      <c r="J32" s="7"/>
      <c r="K32" s="5" t="s">
        <v>18</v>
      </c>
      <c r="L32" s="7"/>
      <c r="M32" s="46"/>
    </row>
    <row r="33" spans="2:13" ht="24">
      <c r="B33" s="13"/>
      <c r="C33" s="31"/>
      <c r="D33" s="104"/>
      <c r="E33" s="31"/>
      <c r="F33" s="7"/>
      <c r="G33" s="16">
        <v>3</v>
      </c>
      <c r="H33" s="7" t="s">
        <v>29</v>
      </c>
      <c r="I33" s="32"/>
      <c r="J33" s="7"/>
      <c r="K33" s="31"/>
      <c r="L33" s="7"/>
      <c r="M33" s="46"/>
    </row>
    <row r="34" spans="2:13" ht="24">
      <c r="B34" s="13"/>
      <c r="C34" s="31"/>
      <c r="D34" s="104"/>
      <c r="E34" s="31"/>
      <c r="F34" s="7"/>
      <c r="G34" s="16">
        <v>2</v>
      </c>
      <c r="H34" s="50" t="s">
        <v>30</v>
      </c>
      <c r="I34" s="32"/>
      <c r="J34" s="7"/>
      <c r="K34" s="31"/>
      <c r="L34" s="7"/>
      <c r="M34" s="46"/>
    </row>
    <row r="35" spans="2:13" ht="24.75" thickBot="1">
      <c r="B35" s="14" t="s">
        <v>42</v>
      </c>
      <c r="C35" s="9"/>
      <c r="D35" s="107"/>
      <c r="E35" s="9"/>
      <c r="F35" s="10"/>
      <c r="G35" s="39">
        <v>1</v>
      </c>
      <c r="H35" s="10" t="s">
        <v>32</v>
      </c>
      <c r="I35" s="37"/>
      <c r="J35" s="10"/>
      <c r="K35" s="9"/>
      <c r="L35" s="10"/>
      <c r="M35" s="47"/>
    </row>
    <row r="36" spans="2:13" ht="24.75" customHeight="1">
      <c r="B36" s="13"/>
      <c r="C36" s="4"/>
      <c r="D36" s="104" t="s">
        <v>47</v>
      </c>
      <c r="E36" s="4" t="s">
        <v>6</v>
      </c>
      <c r="F36" s="5" t="s">
        <v>13</v>
      </c>
      <c r="G36" s="15">
        <v>5</v>
      </c>
      <c r="H36" s="5" t="s">
        <v>48</v>
      </c>
      <c r="I36" s="5"/>
      <c r="J36" s="5"/>
      <c r="K36" s="103" t="s">
        <v>65</v>
      </c>
      <c r="L36" s="7" t="s">
        <v>49</v>
      </c>
      <c r="M36" s="44">
        <f>'Room Audit Data'!S42</f>
        <v>0</v>
      </c>
    </row>
    <row r="37" spans="2:13" ht="24">
      <c r="B37" s="13"/>
      <c r="C37" s="4"/>
      <c r="D37" s="104"/>
      <c r="E37" s="4"/>
      <c r="F37" s="5"/>
      <c r="G37" s="28">
        <v>4</v>
      </c>
      <c r="H37" s="5" t="s">
        <v>50</v>
      </c>
      <c r="I37" s="5"/>
      <c r="J37" s="5"/>
      <c r="K37" s="104"/>
      <c r="L37" s="7"/>
      <c r="M37" s="44"/>
    </row>
    <row r="38" spans="2:13" ht="24">
      <c r="B38" s="13"/>
      <c r="C38" s="4"/>
      <c r="D38" s="104"/>
      <c r="E38" s="4"/>
      <c r="F38" s="5"/>
      <c r="G38" s="15">
        <v>3</v>
      </c>
      <c r="H38" s="5" t="s">
        <v>51</v>
      </c>
      <c r="I38" s="5"/>
      <c r="J38" s="5"/>
      <c r="K38" s="5"/>
      <c r="L38" s="7"/>
      <c r="M38" s="44"/>
    </row>
    <row r="39" spans="2:13" ht="26.25" customHeight="1">
      <c r="B39" s="16"/>
      <c r="C39" s="4"/>
      <c r="D39" s="104"/>
      <c r="E39" s="4"/>
      <c r="F39" s="5"/>
      <c r="G39" s="15">
        <v>2</v>
      </c>
      <c r="H39" s="5" t="s">
        <v>52</v>
      </c>
      <c r="I39" s="5"/>
      <c r="J39" s="5"/>
      <c r="K39" s="6"/>
      <c r="L39" s="7"/>
      <c r="M39" s="44"/>
    </row>
    <row r="40" spans="2:13" ht="24.75" thickBot="1">
      <c r="B40" s="17" t="s">
        <v>46</v>
      </c>
      <c r="C40" s="9"/>
      <c r="D40" s="107"/>
      <c r="E40" s="9"/>
      <c r="F40" s="11"/>
      <c r="G40" s="18">
        <v>1</v>
      </c>
      <c r="H40" s="11" t="s">
        <v>53</v>
      </c>
      <c r="I40" s="11"/>
      <c r="J40" s="11"/>
      <c r="K40" s="12"/>
      <c r="L40" s="10"/>
      <c r="M40" s="45"/>
    </row>
  </sheetData>
  <mergeCells count="32">
    <mergeCell ref="K36:K37"/>
    <mergeCell ref="L24:L25"/>
    <mergeCell ref="M24:M25"/>
    <mergeCell ref="D30:D35"/>
    <mergeCell ref="G30:G31"/>
    <mergeCell ref="H30:H31"/>
    <mergeCell ref="E30:E31"/>
    <mergeCell ref="F30:F31"/>
    <mergeCell ref="K30:K31"/>
    <mergeCell ref="L30:L31"/>
    <mergeCell ref="M30:M31"/>
    <mergeCell ref="M18:M19"/>
    <mergeCell ref="D36:D40"/>
    <mergeCell ref="D18:D23"/>
    <mergeCell ref="G24:G25"/>
    <mergeCell ref="H24:H25"/>
    <mergeCell ref="D24:D29"/>
    <mergeCell ref="E24:E25"/>
    <mergeCell ref="F24:F25"/>
    <mergeCell ref="L18:L19"/>
    <mergeCell ref="H18:H19"/>
    <mergeCell ref="K24:K25"/>
    <mergeCell ref="E18:E19"/>
    <mergeCell ref="F18:F19"/>
    <mergeCell ref="G18:G19"/>
    <mergeCell ref="I18:I19"/>
    <mergeCell ref="J18:J19"/>
    <mergeCell ref="K18:K19"/>
    <mergeCell ref="D8:D10"/>
    <mergeCell ref="D13:D15"/>
    <mergeCell ref="C18:C19"/>
    <mergeCell ref="D3:D7"/>
  </mergeCells>
  <pageMargins left="0.7" right="0.7" top="0.75" bottom="0.75" header="0.3" footer="0.3"/>
  <pageSetup scale="82" fitToHeight="2" orientation="landscape" r:id="rId1"/>
  <headerFooter>
    <oddHeader xml:space="preserve">&amp;C&amp;"Tahoma,Bold"&amp;11Peer Review Team
Room Audit Summary </oddHeader>
    <oddFooter>&amp;R&amp;"Tahoma,Regular"&amp;11THECB September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3"/>
  <sheetViews>
    <sheetView showGridLines="0" tabSelected="1" zoomScale="70" zoomScaleNormal="70" workbookViewId="0">
      <selection activeCell="J2" sqref="J2"/>
    </sheetView>
  </sheetViews>
  <sheetFormatPr defaultRowHeight="12.75"/>
  <cols>
    <col min="2" max="2" width="11.140625" style="1" customWidth="1"/>
    <col min="3" max="3" width="11.7109375" style="1" customWidth="1"/>
    <col min="4" max="4" width="13.28515625" style="1" customWidth="1"/>
    <col min="5" max="5" width="9.140625" style="1"/>
    <col min="6" max="6" width="11.7109375" style="1" customWidth="1"/>
    <col min="7" max="7" width="15.5703125" style="1" customWidth="1"/>
    <col min="8" max="8" width="9.140625" style="1"/>
    <col min="9" max="9" width="11.85546875" style="1" customWidth="1"/>
    <col min="10" max="10" width="14.28515625" style="1" customWidth="1"/>
    <col min="11" max="11" width="13.7109375" style="1" bestFit="1" customWidth="1"/>
    <col min="12" max="12" width="11.85546875" style="1" customWidth="1"/>
    <col min="13" max="13" width="14" style="1" customWidth="1"/>
    <col min="14" max="14" width="9.140625" style="1"/>
    <col min="15" max="15" width="11.5703125" style="1" customWidth="1"/>
    <col min="16" max="16" width="13.42578125" style="1" customWidth="1"/>
    <col min="17" max="18" width="11.85546875" style="1" customWidth="1"/>
    <col min="19" max="19" width="14.28515625" style="1" customWidth="1"/>
    <col min="20" max="20" width="11.28515625" style="2" customWidth="1"/>
    <col min="21" max="21" width="9.140625" style="2"/>
    <col min="22" max="16384" width="9.140625" style="30"/>
  </cols>
  <sheetData>
    <row r="1" spans="1:21" ht="18">
      <c r="A1" s="119" t="s">
        <v>69</v>
      </c>
      <c r="B1" s="119"/>
      <c r="C1" s="119"/>
      <c r="D1" s="119"/>
      <c r="E1" s="68"/>
      <c r="F1" s="69" t="s">
        <v>67</v>
      </c>
      <c r="G1" s="69"/>
      <c r="H1" s="69"/>
      <c r="I1" s="69"/>
      <c r="J1" s="70" t="s">
        <v>73</v>
      </c>
      <c r="K1" s="69"/>
      <c r="L1" s="69"/>
      <c r="M1" s="69"/>
      <c r="N1" s="69"/>
      <c r="O1" s="69"/>
      <c r="P1" s="69"/>
      <c r="Q1" s="69"/>
      <c r="R1" s="69"/>
      <c r="S1" s="69"/>
      <c r="T1" s="71"/>
      <c r="U1" s="71"/>
    </row>
    <row r="2" spans="1:21" ht="18">
      <c r="A2" s="120" t="s">
        <v>70</v>
      </c>
      <c r="B2" s="120"/>
      <c r="C2" s="120"/>
      <c r="D2" s="120"/>
      <c r="E2" s="74"/>
      <c r="F2" s="72" t="s">
        <v>71</v>
      </c>
      <c r="G2" s="73"/>
      <c r="H2" s="69"/>
      <c r="I2" s="69"/>
      <c r="J2" s="70" t="s">
        <v>72</v>
      </c>
      <c r="K2" s="69"/>
      <c r="L2" s="69"/>
      <c r="M2" s="69"/>
      <c r="N2" s="69"/>
      <c r="O2" s="69"/>
      <c r="P2" s="69"/>
      <c r="Q2" s="69"/>
      <c r="R2" s="69"/>
      <c r="S2" s="69"/>
      <c r="T2" s="71"/>
      <c r="U2" s="71"/>
    </row>
    <row r="3" spans="1:21" ht="15">
      <c r="A3" s="119" t="s">
        <v>66</v>
      </c>
      <c r="B3" s="119"/>
      <c r="C3" s="119"/>
      <c r="D3" s="119"/>
      <c r="E3" s="100"/>
      <c r="F3" s="69" t="s">
        <v>68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1"/>
      <c r="U3" s="71"/>
    </row>
    <row r="4" spans="1:21" ht="15" thickBot="1">
      <c r="A4" s="97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9"/>
    </row>
    <row r="5" spans="1:21" ht="33" customHeight="1" thickBot="1">
      <c r="A5" s="116" t="s">
        <v>11</v>
      </c>
      <c r="B5" s="117"/>
      <c r="C5" s="117"/>
      <c r="D5" s="118"/>
      <c r="E5" s="116" t="s">
        <v>25</v>
      </c>
      <c r="F5" s="117"/>
      <c r="G5" s="118"/>
      <c r="H5" s="116" t="s">
        <v>33</v>
      </c>
      <c r="I5" s="117"/>
      <c r="J5" s="118"/>
      <c r="K5" s="116" t="s">
        <v>78</v>
      </c>
      <c r="L5" s="117"/>
      <c r="M5" s="118"/>
      <c r="N5" s="116" t="s">
        <v>40</v>
      </c>
      <c r="O5" s="117"/>
      <c r="P5" s="118"/>
      <c r="Q5" s="116" t="s">
        <v>43</v>
      </c>
      <c r="R5" s="117"/>
      <c r="S5" s="117"/>
      <c r="T5" s="117"/>
      <c r="U5" s="118"/>
    </row>
    <row r="6" spans="1:21" s="40" customFormat="1" ht="23.85" customHeight="1">
      <c r="A6" s="51" t="s">
        <v>8</v>
      </c>
      <c r="B6" s="52" t="s">
        <v>5</v>
      </c>
      <c r="C6" s="52" t="s">
        <v>0</v>
      </c>
      <c r="D6" s="52" t="s">
        <v>74</v>
      </c>
      <c r="E6" s="52" t="s">
        <v>2</v>
      </c>
      <c r="F6" s="52" t="s">
        <v>0</v>
      </c>
      <c r="G6" s="52" t="s">
        <v>74</v>
      </c>
      <c r="H6" s="52" t="s">
        <v>1</v>
      </c>
      <c r="I6" s="52" t="s">
        <v>0</v>
      </c>
      <c r="J6" s="52" t="s">
        <v>74</v>
      </c>
      <c r="K6" s="52" t="s">
        <v>3</v>
      </c>
      <c r="L6" s="52" t="s">
        <v>0</v>
      </c>
      <c r="M6" s="52" t="s">
        <v>74</v>
      </c>
      <c r="N6" s="52" t="s">
        <v>4</v>
      </c>
      <c r="O6" s="52" t="s">
        <v>0</v>
      </c>
      <c r="P6" s="52" t="s">
        <v>74</v>
      </c>
      <c r="Q6" s="52" t="s">
        <v>77</v>
      </c>
      <c r="R6" s="52" t="s">
        <v>0</v>
      </c>
      <c r="S6" s="52" t="s">
        <v>74</v>
      </c>
      <c r="T6" s="53" t="s">
        <v>6</v>
      </c>
      <c r="U6" s="53" t="s">
        <v>7</v>
      </c>
    </row>
    <row r="7" spans="1:21" ht="23.85" customHeight="1">
      <c r="A7" s="54"/>
      <c r="B7" s="55"/>
      <c r="C7" s="56"/>
      <c r="D7" s="57">
        <f>IF(B7=C7,0,1)</f>
        <v>0</v>
      </c>
      <c r="E7" s="58"/>
      <c r="F7" s="59"/>
      <c r="G7" s="57">
        <f>IF(E7=F7,0,1)</f>
        <v>0</v>
      </c>
      <c r="H7" s="55"/>
      <c r="I7" s="59"/>
      <c r="J7" s="60">
        <f>IF(H7=I7,0,1)</f>
        <v>0</v>
      </c>
      <c r="K7" s="58"/>
      <c r="L7" s="59"/>
      <c r="M7" s="60">
        <f>IF(K7=L7,0,1)</f>
        <v>0</v>
      </c>
      <c r="N7" s="58"/>
      <c r="O7" s="59"/>
      <c r="P7" s="60">
        <f>IF(N7=O7,0,1)</f>
        <v>0</v>
      </c>
      <c r="Q7" s="61"/>
      <c r="R7" s="62"/>
      <c r="S7" s="63">
        <f>COUNTIF(U7,"&gt;=10%")+COUNTIF(U7,"&lt;=-10%")</f>
        <v>0</v>
      </c>
      <c r="T7" s="64">
        <f t="shared" ref="T7:T14" si="0">Q7-R7</f>
        <v>0</v>
      </c>
      <c r="U7" s="65" t="e">
        <f t="shared" ref="U7:U14" si="1">T7/Q7</f>
        <v>#DIV/0!</v>
      </c>
    </row>
    <row r="8" spans="1:21" ht="23.85" customHeight="1">
      <c r="A8" s="54"/>
      <c r="B8" s="55"/>
      <c r="C8" s="56"/>
      <c r="D8" s="57">
        <f t="shared" ref="D8:D41" si="2">IF(B8=C8,0,1)</f>
        <v>0</v>
      </c>
      <c r="E8" s="58"/>
      <c r="F8" s="59"/>
      <c r="G8" s="57">
        <f t="shared" ref="G8:G41" si="3">IF(E8=F8,0,1)</f>
        <v>0</v>
      </c>
      <c r="H8" s="55"/>
      <c r="I8" s="56"/>
      <c r="J8" s="60">
        <f t="shared" ref="J8:J41" si="4">IF(H8=I8,0,1)</f>
        <v>0</v>
      </c>
      <c r="K8" s="58"/>
      <c r="L8" s="59"/>
      <c r="M8" s="60">
        <f t="shared" ref="M8:M41" si="5">IF(K8=L8,0,1)</f>
        <v>0</v>
      </c>
      <c r="N8" s="58"/>
      <c r="O8" s="59"/>
      <c r="P8" s="60">
        <f t="shared" ref="P8:P41" si="6">IF(N8=O8,0,1)</f>
        <v>0</v>
      </c>
      <c r="Q8" s="61"/>
      <c r="R8" s="62"/>
      <c r="S8" s="63">
        <f t="shared" ref="S8:S41" si="7">COUNTIF(U8,"&gt;=10%")+COUNTIF(U8,"&lt;=-10%")</f>
        <v>0</v>
      </c>
      <c r="T8" s="64">
        <f t="shared" si="0"/>
        <v>0</v>
      </c>
      <c r="U8" s="65" t="e">
        <f t="shared" si="1"/>
        <v>#DIV/0!</v>
      </c>
    </row>
    <row r="9" spans="1:21" ht="23.85" customHeight="1">
      <c r="A9" s="54"/>
      <c r="B9" s="55"/>
      <c r="C9" s="56"/>
      <c r="D9" s="57">
        <f t="shared" si="2"/>
        <v>0</v>
      </c>
      <c r="E9" s="58"/>
      <c r="F9" s="59"/>
      <c r="G9" s="57">
        <f t="shared" si="3"/>
        <v>0</v>
      </c>
      <c r="H9" s="55"/>
      <c r="I9" s="56"/>
      <c r="J9" s="60">
        <f t="shared" si="4"/>
        <v>0</v>
      </c>
      <c r="K9" s="58"/>
      <c r="L9" s="59"/>
      <c r="M9" s="60">
        <f t="shared" si="5"/>
        <v>0</v>
      </c>
      <c r="N9" s="58"/>
      <c r="O9" s="59"/>
      <c r="P9" s="60">
        <f t="shared" si="6"/>
        <v>0</v>
      </c>
      <c r="Q9" s="61"/>
      <c r="R9" s="62"/>
      <c r="S9" s="63">
        <f t="shared" si="7"/>
        <v>0</v>
      </c>
      <c r="T9" s="64">
        <f t="shared" si="0"/>
        <v>0</v>
      </c>
      <c r="U9" s="65" t="e">
        <f t="shared" si="1"/>
        <v>#DIV/0!</v>
      </c>
    </row>
    <row r="10" spans="1:21" ht="23.85" customHeight="1">
      <c r="A10" s="54"/>
      <c r="B10" s="55"/>
      <c r="C10" s="56"/>
      <c r="D10" s="57">
        <f t="shared" si="2"/>
        <v>0</v>
      </c>
      <c r="E10" s="58"/>
      <c r="F10" s="59"/>
      <c r="G10" s="57">
        <f t="shared" si="3"/>
        <v>0</v>
      </c>
      <c r="H10" s="55"/>
      <c r="I10" s="56"/>
      <c r="J10" s="60">
        <f t="shared" si="4"/>
        <v>0</v>
      </c>
      <c r="K10" s="58"/>
      <c r="L10" s="59"/>
      <c r="M10" s="60">
        <f t="shared" si="5"/>
        <v>0</v>
      </c>
      <c r="N10" s="58"/>
      <c r="O10" s="59"/>
      <c r="P10" s="60">
        <f t="shared" si="6"/>
        <v>0</v>
      </c>
      <c r="Q10" s="61"/>
      <c r="R10" s="62"/>
      <c r="S10" s="63">
        <f t="shared" si="7"/>
        <v>0</v>
      </c>
      <c r="T10" s="64">
        <f t="shared" si="0"/>
        <v>0</v>
      </c>
      <c r="U10" s="65" t="e">
        <f t="shared" si="1"/>
        <v>#DIV/0!</v>
      </c>
    </row>
    <row r="11" spans="1:21" ht="23.85" customHeight="1">
      <c r="A11" s="54"/>
      <c r="B11" s="58"/>
      <c r="C11" s="59"/>
      <c r="D11" s="57">
        <f t="shared" si="2"/>
        <v>0</v>
      </c>
      <c r="E11" s="58"/>
      <c r="F11" s="59"/>
      <c r="G11" s="57">
        <f t="shared" si="3"/>
        <v>0</v>
      </c>
      <c r="H11" s="55"/>
      <c r="I11" s="56"/>
      <c r="J11" s="60">
        <f t="shared" si="4"/>
        <v>0</v>
      </c>
      <c r="K11" s="58"/>
      <c r="L11" s="59"/>
      <c r="M11" s="60">
        <f t="shared" si="5"/>
        <v>0</v>
      </c>
      <c r="N11" s="58"/>
      <c r="O11" s="59"/>
      <c r="P11" s="60">
        <f t="shared" si="6"/>
        <v>0</v>
      </c>
      <c r="Q11" s="61"/>
      <c r="R11" s="62"/>
      <c r="S11" s="63">
        <f t="shared" si="7"/>
        <v>0</v>
      </c>
      <c r="T11" s="64">
        <f t="shared" si="0"/>
        <v>0</v>
      </c>
      <c r="U11" s="65" t="e">
        <f t="shared" si="1"/>
        <v>#DIV/0!</v>
      </c>
    </row>
    <row r="12" spans="1:21" ht="23.85" customHeight="1">
      <c r="A12" s="54"/>
      <c r="B12" s="58"/>
      <c r="C12" s="59"/>
      <c r="D12" s="57">
        <f t="shared" si="2"/>
        <v>0</v>
      </c>
      <c r="E12" s="58"/>
      <c r="F12" s="59"/>
      <c r="G12" s="57">
        <f t="shared" si="3"/>
        <v>0</v>
      </c>
      <c r="H12" s="55"/>
      <c r="I12" s="56"/>
      <c r="J12" s="60">
        <f t="shared" si="4"/>
        <v>0</v>
      </c>
      <c r="K12" s="58"/>
      <c r="L12" s="59"/>
      <c r="M12" s="60">
        <f t="shared" si="5"/>
        <v>0</v>
      </c>
      <c r="N12" s="58"/>
      <c r="O12" s="59"/>
      <c r="P12" s="60">
        <f t="shared" si="6"/>
        <v>0</v>
      </c>
      <c r="Q12" s="61"/>
      <c r="R12" s="62"/>
      <c r="S12" s="63">
        <f t="shared" si="7"/>
        <v>0</v>
      </c>
      <c r="T12" s="64">
        <f t="shared" si="0"/>
        <v>0</v>
      </c>
      <c r="U12" s="65" t="e">
        <f t="shared" si="1"/>
        <v>#DIV/0!</v>
      </c>
    </row>
    <row r="13" spans="1:21" ht="23.85" customHeight="1">
      <c r="A13" s="54"/>
      <c r="B13" s="55"/>
      <c r="C13" s="56"/>
      <c r="D13" s="57">
        <f t="shared" si="2"/>
        <v>0</v>
      </c>
      <c r="E13" s="58"/>
      <c r="F13" s="59"/>
      <c r="G13" s="57">
        <f t="shared" si="3"/>
        <v>0</v>
      </c>
      <c r="H13" s="55"/>
      <c r="I13" s="56"/>
      <c r="J13" s="60">
        <f t="shared" si="4"/>
        <v>0</v>
      </c>
      <c r="K13" s="58"/>
      <c r="L13" s="59"/>
      <c r="M13" s="60">
        <f t="shared" si="5"/>
        <v>0</v>
      </c>
      <c r="N13" s="58"/>
      <c r="O13" s="59"/>
      <c r="P13" s="60">
        <f t="shared" si="6"/>
        <v>0</v>
      </c>
      <c r="Q13" s="61"/>
      <c r="R13" s="62"/>
      <c r="S13" s="63">
        <f t="shared" si="7"/>
        <v>0</v>
      </c>
      <c r="T13" s="64">
        <f t="shared" si="0"/>
        <v>0</v>
      </c>
      <c r="U13" s="65" t="e">
        <f t="shared" si="1"/>
        <v>#DIV/0!</v>
      </c>
    </row>
    <row r="14" spans="1:21" ht="23.85" customHeight="1">
      <c r="A14" s="54"/>
      <c r="B14" s="55"/>
      <c r="C14" s="56"/>
      <c r="D14" s="57">
        <f t="shared" si="2"/>
        <v>0</v>
      </c>
      <c r="E14" s="58"/>
      <c r="F14" s="59"/>
      <c r="G14" s="57">
        <f t="shared" si="3"/>
        <v>0</v>
      </c>
      <c r="H14" s="55"/>
      <c r="I14" s="56"/>
      <c r="J14" s="60">
        <f t="shared" si="4"/>
        <v>0</v>
      </c>
      <c r="K14" s="58"/>
      <c r="L14" s="59"/>
      <c r="M14" s="60">
        <f t="shared" si="5"/>
        <v>0</v>
      </c>
      <c r="N14" s="58"/>
      <c r="O14" s="59"/>
      <c r="P14" s="60">
        <f t="shared" si="6"/>
        <v>0</v>
      </c>
      <c r="Q14" s="61"/>
      <c r="R14" s="62"/>
      <c r="S14" s="63">
        <f t="shared" si="7"/>
        <v>0</v>
      </c>
      <c r="T14" s="64">
        <f t="shared" si="0"/>
        <v>0</v>
      </c>
      <c r="U14" s="65" t="e">
        <f t="shared" si="1"/>
        <v>#DIV/0!</v>
      </c>
    </row>
    <row r="15" spans="1:21" ht="23.85" customHeight="1">
      <c r="A15" s="54"/>
      <c r="B15" s="55"/>
      <c r="C15" s="56"/>
      <c r="D15" s="57">
        <f t="shared" si="2"/>
        <v>0</v>
      </c>
      <c r="E15" s="58"/>
      <c r="F15" s="59"/>
      <c r="G15" s="57">
        <f t="shared" si="3"/>
        <v>0</v>
      </c>
      <c r="H15" s="55"/>
      <c r="I15" s="56"/>
      <c r="J15" s="60">
        <f t="shared" si="4"/>
        <v>0</v>
      </c>
      <c r="K15" s="58"/>
      <c r="L15" s="59"/>
      <c r="M15" s="60">
        <f t="shared" si="5"/>
        <v>0</v>
      </c>
      <c r="N15" s="58"/>
      <c r="O15" s="59"/>
      <c r="P15" s="60">
        <f t="shared" si="6"/>
        <v>0</v>
      </c>
      <c r="Q15" s="61"/>
      <c r="R15" s="62"/>
      <c r="S15" s="63">
        <f t="shared" si="7"/>
        <v>0</v>
      </c>
      <c r="T15" s="64">
        <f>Q15-R15</f>
        <v>0</v>
      </c>
      <c r="U15" s="65" t="e">
        <f>T15/Q15</f>
        <v>#DIV/0!</v>
      </c>
    </row>
    <row r="16" spans="1:21" ht="23.85" customHeight="1">
      <c r="A16" s="54"/>
      <c r="B16" s="55"/>
      <c r="C16" s="56"/>
      <c r="D16" s="57">
        <f t="shared" si="2"/>
        <v>0</v>
      </c>
      <c r="E16" s="58"/>
      <c r="F16" s="59"/>
      <c r="G16" s="57">
        <f t="shared" si="3"/>
        <v>0</v>
      </c>
      <c r="H16" s="55"/>
      <c r="I16" s="56"/>
      <c r="J16" s="60">
        <f t="shared" si="4"/>
        <v>0</v>
      </c>
      <c r="K16" s="58"/>
      <c r="L16" s="59"/>
      <c r="M16" s="60">
        <f t="shared" si="5"/>
        <v>0</v>
      </c>
      <c r="N16" s="58"/>
      <c r="O16" s="59"/>
      <c r="P16" s="60">
        <f t="shared" si="6"/>
        <v>0</v>
      </c>
      <c r="Q16" s="61"/>
      <c r="R16" s="62"/>
      <c r="S16" s="63">
        <f t="shared" si="7"/>
        <v>0</v>
      </c>
      <c r="T16" s="64">
        <f t="shared" ref="T16:T41" si="8">Q16-R16</f>
        <v>0</v>
      </c>
      <c r="U16" s="65" t="e">
        <f t="shared" ref="U16:U41" si="9">T16/Q16</f>
        <v>#DIV/0!</v>
      </c>
    </row>
    <row r="17" spans="1:21" ht="23.85" customHeight="1">
      <c r="A17" s="54"/>
      <c r="B17" s="58"/>
      <c r="C17" s="59"/>
      <c r="D17" s="57">
        <f t="shared" si="2"/>
        <v>0</v>
      </c>
      <c r="E17" s="58"/>
      <c r="F17" s="59"/>
      <c r="G17" s="57">
        <f t="shared" si="3"/>
        <v>0</v>
      </c>
      <c r="H17" s="55"/>
      <c r="I17" s="56"/>
      <c r="J17" s="60">
        <f t="shared" si="4"/>
        <v>0</v>
      </c>
      <c r="K17" s="58"/>
      <c r="L17" s="59"/>
      <c r="M17" s="60">
        <f t="shared" si="5"/>
        <v>0</v>
      </c>
      <c r="N17" s="58"/>
      <c r="O17" s="59"/>
      <c r="P17" s="60">
        <f t="shared" si="6"/>
        <v>0</v>
      </c>
      <c r="Q17" s="61"/>
      <c r="R17" s="62"/>
      <c r="S17" s="63">
        <f t="shared" si="7"/>
        <v>0</v>
      </c>
      <c r="T17" s="64">
        <f t="shared" si="8"/>
        <v>0</v>
      </c>
      <c r="U17" s="65" t="e">
        <f t="shared" si="9"/>
        <v>#DIV/0!</v>
      </c>
    </row>
    <row r="18" spans="1:21" ht="23.85" customHeight="1">
      <c r="A18" s="54"/>
      <c r="B18" s="55"/>
      <c r="C18" s="56"/>
      <c r="D18" s="57">
        <f t="shared" si="2"/>
        <v>0</v>
      </c>
      <c r="E18" s="58"/>
      <c r="F18" s="59"/>
      <c r="G18" s="57">
        <f t="shared" si="3"/>
        <v>0</v>
      </c>
      <c r="H18" s="55"/>
      <c r="I18" s="56"/>
      <c r="J18" s="60">
        <f t="shared" si="4"/>
        <v>0</v>
      </c>
      <c r="K18" s="58"/>
      <c r="L18" s="59"/>
      <c r="M18" s="60">
        <f t="shared" si="5"/>
        <v>0</v>
      </c>
      <c r="N18" s="58"/>
      <c r="O18" s="59"/>
      <c r="P18" s="60">
        <f t="shared" si="6"/>
        <v>0</v>
      </c>
      <c r="Q18" s="61"/>
      <c r="R18" s="62"/>
      <c r="S18" s="63">
        <f t="shared" si="7"/>
        <v>0</v>
      </c>
      <c r="T18" s="64">
        <f t="shared" si="8"/>
        <v>0</v>
      </c>
      <c r="U18" s="65" t="e">
        <f t="shared" si="9"/>
        <v>#DIV/0!</v>
      </c>
    </row>
    <row r="19" spans="1:21" ht="23.85" customHeight="1">
      <c r="A19" s="54"/>
      <c r="B19" s="55"/>
      <c r="C19" s="56"/>
      <c r="D19" s="57">
        <f t="shared" si="2"/>
        <v>0</v>
      </c>
      <c r="E19" s="58"/>
      <c r="F19" s="59"/>
      <c r="G19" s="57">
        <f t="shared" si="3"/>
        <v>0</v>
      </c>
      <c r="H19" s="55"/>
      <c r="I19" s="56"/>
      <c r="J19" s="60">
        <f t="shared" si="4"/>
        <v>0</v>
      </c>
      <c r="K19" s="58"/>
      <c r="L19" s="59"/>
      <c r="M19" s="60">
        <f t="shared" si="5"/>
        <v>0</v>
      </c>
      <c r="N19" s="58"/>
      <c r="O19" s="59"/>
      <c r="P19" s="60">
        <f t="shared" si="6"/>
        <v>0</v>
      </c>
      <c r="Q19" s="61"/>
      <c r="R19" s="62"/>
      <c r="S19" s="63">
        <f t="shared" si="7"/>
        <v>0</v>
      </c>
      <c r="T19" s="64">
        <f t="shared" si="8"/>
        <v>0</v>
      </c>
      <c r="U19" s="65" t="e">
        <f t="shared" si="9"/>
        <v>#DIV/0!</v>
      </c>
    </row>
    <row r="20" spans="1:21" ht="23.85" customHeight="1">
      <c r="A20" s="54"/>
      <c r="B20" s="55"/>
      <c r="C20" s="56"/>
      <c r="D20" s="57">
        <f t="shared" si="2"/>
        <v>0</v>
      </c>
      <c r="E20" s="58"/>
      <c r="F20" s="59"/>
      <c r="G20" s="57">
        <f t="shared" si="3"/>
        <v>0</v>
      </c>
      <c r="H20" s="55"/>
      <c r="I20" s="56"/>
      <c r="J20" s="60">
        <f t="shared" si="4"/>
        <v>0</v>
      </c>
      <c r="K20" s="58"/>
      <c r="L20" s="59"/>
      <c r="M20" s="60">
        <f t="shared" si="5"/>
        <v>0</v>
      </c>
      <c r="N20" s="58"/>
      <c r="O20" s="59"/>
      <c r="P20" s="60">
        <f t="shared" si="6"/>
        <v>0</v>
      </c>
      <c r="Q20" s="61"/>
      <c r="R20" s="62"/>
      <c r="S20" s="63">
        <f t="shared" si="7"/>
        <v>0</v>
      </c>
      <c r="T20" s="64">
        <f t="shared" si="8"/>
        <v>0</v>
      </c>
      <c r="U20" s="65" t="e">
        <f t="shared" si="9"/>
        <v>#DIV/0!</v>
      </c>
    </row>
    <row r="21" spans="1:21" ht="23.85" customHeight="1">
      <c r="A21" s="54"/>
      <c r="B21" s="55"/>
      <c r="C21" s="56"/>
      <c r="D21" s="57">
        <f t="shared" si="2"/>
        <v>0</v>
      </c>
      <c r="E21" s="58"/>
      <c r="F21" s="59"/>
      <c r="G21" s="57">
        <f t="shared" si="3"/>
        <v>0</v>
      </c>
      <c r="H21" s="55"/>
      <c r="I21" s="56"/>
      <c r="J21" s="60">
        <f t="shared" si="4"/>
        <v>0</v>
      </c>
      <c r="K21" s="58"/>
      <c r="L21" s="59"/>
      <c r="M21" s="60">
        <f t="shared" si="5"/>
        <v>0</v>
      </c>
      <c r="N21" s="58"/>
      <c r="O21" s="59"/>
      <c r="P21" s="60">
        <f t="shared" si="6"/>
        <v>0</v>
      </c>
      <c r="Q21" s="61"/>
      <c r="R21" s="62"/>
      <c r="S21" s="63">
        <f t="shared" si="7"/>
        <v>0</v>
      </c>
      <c r="T21" s="64">
        <f t="shared" si="8"/>
        <v>0</v>
      </c>
      <c r="U21" s="65" t="e">
        <f t="shared" si="9"/>
        <v>#DIV/0!</v>
      </c>
    </row>
    <row r="22" spans="1:21" ht="23.85" customHeight="1">
      <c r="A22" s="54"/>
      <c r="B22" s="55"/>
      <c r="C22" s="56"/>
      <c r="D22" s="57">
        <f t="shared" si="2"/>
        <v>0</v>
      </c>
      <c r="E22" s="58"/>
      <c r="F22" s="59"/>
      <c r="G22" s="57">
        <f t="shared" si="3"/>
        <v>0</v>
      </c>
      <c r="H22" s="55"/>
      <c r="I22" s="56"/>
      <c r="J22" s="60">
        <f t="shared" si="4"/>
        <v>0</v>
      </c>
      <c r="K22" s="58"/>
      <c r="L22" s="59"/>
      <c r="M22" s="60">
        <f t="shared" si="5"/>
        <v>0</v>
      </c>
      <c r="N22" s="58"/>
      <c r="O22" s="59"/>
      <c r="P22" s="60">
        <f t="shared" si="6"/>
        <v>0</v>
      </c>
      <c r="Q22" s="61"/>
      <c r="R22" s="62"/>
      <c r="S22" s="63">
        <f t="shared" si="7"/>
        <v>0</v>
      </c>
      <c r="T22" s="64">
        <f t="shared" si="8"/>
        <v>0</v>
      </c>
      <c r="U22" s="65" t="e">
        <f t="shared" si="9"/>
        <v>#DIV/0!</v>
      </c>
    </row>
    <row r="23" spans="1:21" ht="23.85" customHeight="1">
      <c r="A23" s="54"/>
      <c r="B23" s="55"/>
      <c r="C23" s="56"/>
      <c r="D23" s="57">
        <f t="shared" si="2"/>
        <v>0</v>
      </c>
      <c r="E23" s="58"/>
      <c r="F23" s="59"/>
      <c r="G23" s="57">
        <f t="shared" si="3"/>
        <v>0</v>
      </c>
      <c r="H23" s="55"/>
      <c r="I23" s="56"/>
      <c r="J23" s="60">
        <f t="shared" si="4"/>
        <v>0</v>
      </c>
      <c r="K23" s="58"/>
      <c r="L23" s="59"/>
      <c r="M23" s="60">
        <f t="shared" si="5"/>
        <v>0</v>
      </c>
      <c r="N23" s="58"/>
      <c r="O23" s="59"/>
      <c r="P23" s="60">
        <f t="shared" si="6"/>
        <v>0</v>
      </c>
      <c r="Q23" s="61"/>
      <c r="R23" s="62"/>
      <c r="S23" s="63">
        <f t="shared" si="7"/>
        <v>0</v>
      </c>
      <c r="T23" s="64">
        <f t="shared" si="8"/>
        <v>0</v>
      </c>
      <c r="U23" s="65" t="e">
        <f t="shared" si="9"/>
        <v>#DIV/0!</v>
      </c>
    </row>
    <row r="24" spans="1:21" ht="23.85" customHeight="1">
      <c r="A24" s="54"/>
      <c r="B24" s="55"/>
      <c r="C24" s="56"/>
      <c r="D24" s="57">
        <f t="shared" si="2"/>
        <v>0</v>
      </c>
      <c r="E24" s="58"/>
      <c r="F24" s="59"/>
      <c r="G24" s="57">
        <f t="shared" si="3"/>
        <v>0</v>
      </c>
      <c r="H24" s="55"/>
      <c r="I24" s="56"/>
      <c r="J24" s="60">
        <f t="shared" si="4"/>
        <v>0</v>
      </c>
      <c r="K24" s="58"/>
      <c r="L24" s="59"/>
      <c r="M24" s="60">
        <f t="shared" si="5"/>
        <v>0</v>
      </c>
      <c r="N24" s="58"/>
      <c r="O24" s="59"/>
      <c r="P24" s="60">
        <f t="shared" si="6"/>
        <v>0</v>
      </c>
      <c r="Q24" s="61"/>
      <c r="R24" s="62"/>
      <c r="S24" s="63">
        <f t="shared" si="7"/>
        <v>0</v>
      </c>
      <c r="T24" s="64">
        <f t="shared" si="8"/>
        <v>0</v>
      </c>
      <c r="U24" s="65" t="e">
        <f t="shared" si="9"/>
        <v>#DIV/0!</v>
      </c>
    </row>
    <row r="25" spans="1:21" ht="23.85" customHeight="1">
      <c r="A25" s="54"/>
      <c r="B25" s="55"/>
      <c r="C25" s="56"/>
      <c r="D25" s="57">
        <f t="shared" si="2"/>
        <v>0</v>
      </c>
      <c r="E25" s="58"/>
      <c r="F25" s="59"/>
      <c r="G25" s="57">
        <f t="shared" si="3"/>
        <v>0</v>
      </c>
      <c r="H25" s="55"/>
      <c r="I25" s="56"/>
      <c r="J25" s="60">
        <f t="shared" si="4"/>
        <v>0</v>
      </c>
      <c r="K25" s="58"/>
      <c r="L25" s="59"/>
      <c r="M25" s="60">
        <f t="shared" si="5"/>
        <v>0</v>
      </c>
      <c r="N25" s="58"/>
      <c r="O25" s="59"/>
      <c r="P25" s="60">
        <f t="shared" si="6"/>
        <v>0</v>
      </c>
      <c r="Q25" s="61"/>
      <c r="R25" s="62"/>
      <c r="S25" s="63">
        <f t="shared" si="7"/>
        <v>0</v>
      </c>
      <c r="T25" s="64">
        <f t="shared" si="8"/>
        <v>0</v>
      </c>
      <c r="U25" s="65" t="e">
        <f t="shared" si="9"/>
        <v>#DIV/0!</v>
      </c>
    </row>
    <row r="26" spans="1:21" ht="23.85" customHeight="1">
      <c r="A26" s="54"/>
      <c r="B26" s="55"/>
      <c r="C26" s="56"/>
      <c r="D26" s="57">
        <f t="shared" si="2"/>
        <v>0</v>
      </c>
      <c r="E26" s="58"/>
      <c r="F26" s="59"/>
      <c r="G26" s="57">
        <f t="shared" si="3"/>
        <v>0</v>
      </c>
      <c r="H26" s="55"/>
      <c r="I26" s="56"/>
      <c r="J26" s="60">
        <f t="shared" si="4"/>
        <v>0</v>
      </c>
      <c r="K26" s="58"/>
      <c r="L26" s="59"/>
      <c r="M26" s="60">
        <f t="shared" si="5"/>
        <v>0</v>
      </c>
      <c r="N26" s="58"/>
      <c r="O26" s="59"/>
      <c r="P26" s="60">
        <f t="shared" si="6"/>
        <v>0</v>
      </c>
      <c r="Q26" s="61"/>
      <c r="R26" s="62"/>
      <c r="S26" s="63">
        <f t="shared" si="7"/>
        <v>0</v>
      </c>
      <c r="T26" s="64">
        <f t="shared" si="8"/>
        <v>0</v>
      </c>
      <c r="U26" s="65" t="e">
        <f t="shared" si="9"/>
        <v>#DIV/0!</v>
      </c>
    </row>
    <row r="27" spans="1:21" ht="23.85" customHeight="1">
      <c r="A27" s="54"/>
      <c r="B27" s="55"/>
      <c r="C27" s="56"/>
      <c r="D27" s="57">
        <f t="shared" si="2"/>
        <v>0</v>
      </c>
      <c r="E27" s="58"/>
      <c r="F27" s="59"/>
      <c r="G27" s="57">
        <f t="shared" si="3"/>
        <v>0</v>
      </c>
      <c r="H27" s="55"/>
      <c r="I27" s="56"/>
      <c r="J27" s="60">
        <f t="shared" si="4"/>
        <v>0</v>
      </c>
      <c r="K27" s="58"/>
      <c r="L27" s="59"/>
      <c r="M27" s="60">
        <f t="shared" si="5"/>
        <v>0</v>
      </c>
      <c r="N27" s="58"/>
      <c r="O27" s="59"/>
      <c r="P27" s="60">
        <f t="shared" si="6"/>
        <v>0</v>
      </c>
      <c r="Q27" s="61"/>
      <c r="R27" s="62"/>
      <c r="S27" s="63">
        <f t="shared" si="7"/>
        <v>0</v>
      </c>
      <c r="T27" s="64">
        <f t="shared" si="8"/>
        <v>0</v>
      </c>
      <c r="U27" s="65" t="e">
        <f t="shared" si="9"/>
        <v>#DIV/0!</v>
      </c>
    </row>
    <row r="28" spans="1:21" ht="23.85" customHeight="1">
      <c r="A28" s="54"/>
      <c r="B28" s="58"/>
      <c r="C28" s="59"/>
      <c r="D28" s="57">
        <f t="shared" si="2"/>
        <v>0</v>
      </c>
      <c r="E28" s="58"/>
      <c r="F28" s="59"/>
      <c r="G28" s="57">
        <f t="shared" si="3"/>
        <v>0</v>
      </c>
      <c r="H28" s="55"/>
      <c r="I28" s="56"/>
      <c r="J28" s="60">
        <f t="shared" si="4"/>
        <v>0</v>
      </c>
      <c r="K28" s="58"/>
      <c r="L28" s="59"/>
      <c r="M28" s="60">
        <f t="shared" si="5"/>
        <v>0</v>
      </c>
      <c r="N28" s="58"/>
      <c r="O28" s="59"/>
      <c r="P28" s="60">
        <f t="shared" si="6"/>
        <v>0</v>
      </c>
      <c r="Q28" s="61"/>
      <c r="R28" s="62"/>
      <c r="S28" s="63">
        <f t="shared" si="7"/>
        <v>0</v>
      </c>
      <c r="T28" s="64">
        <f t="shared" si="8"/>
        <v>0</v>
      </c>
      <c r="U28" s="65" t="e">
        <f t="shared" si="9"/>
        <v>#DIV/0!</v>
      </c>
    </row>
    <row r="29" spans="1:21" ht="23.85" customHeight="1">
      <c r="A29" s="54"/>
      <c r="B29" s="58"/>
      <c r="C29" s="59"/>
      <c r="D29" s="57">
        <f t="shared" si="2"/>
        <v>0</v>
      </c>
      <c r="E29" s="58"/>
      <c r="F29" s="59"/>
      <c r="G29" s="57">
        <f t="shared" si="3"/>
        <v>0</v>
      </c>
      <c r="H29" s="55"/>
      <c r="I29" s="56"/>
      <c r="J29" s="60">
        <f t="shared" si="4"/>
        <v>0</v>
      </c>
      <c r="K29" s="58"/>
      <c r="L29" s="59"/>
      <c r="M29" s="60">
        <f t="shared" si="5"/>
        <v>0</v>
      </c>
      <c r="N29" s="58"/>
      <c r="O29" s="59"/>
      <c r="P29" s="60">
        <f t="shared" si="6"/>
        <v>0</v>
      </c>
      <c r="Q29" s="61"/>
      <c r="R29" s="62"/>
      <c r="S29" s="63">
        <f t="shared" si="7"/>
        <v>0</v>
      </c>
      <c r="T29" s="64">
        <f t="shared" si="8"/>
        <v>0</v>
      </c>
      <c r="U29" s="65" t="e">
        <f t="shared" si="9"/>
        <v>#DIV/0!</v>
      </c>
    </row>
    <row r="30" spans="1:21" ht="23.85" customHeight="1">
      <c r="A30" s="54"/>
      <c r="B30" s="55"/>
      <c r="C30" s="56"/>
      <c r="D30" s="57">
        <f t="shared" si="2"/>
        <v>0</v>
      </c>
      <c r="E30" s="58"/>
      <c r="F30" s="59"/>
      <c r="G30" s="57">
        <f t="shared" si="3"/>
        <v>0</v>
      </c>
      <c r="H30" s="66"/>
      <c r="I30" s="67"/>
      <c r="J30" s="60">
        <f t="shared" si="4"/>
        <v>0</v>
      </c>
      <c r="K30" s="58"/>
      <c r="L30" s="59"/>
      <c r="M30" s="60">
        <f t="shared" si="5"/>
        <v>0</v>
      </c>
      <c r="N30" s="58"/>
      <c r="O30" s="59"/>
      <c r="P30" s="60">
        <f t="shared" si="6"/>
        <v>0</v>
      </c>
      <c r="Q30" s="61"/>
      <c r="R30" s="62"/>
      <c r="S30" s="63">
        <f t="shared" si="7"/>
        <v>0</v>
      </c>
      <c r="T30" s="64">
        <f t="shared" si="8"/>
        <v>0</v>
      </c>
      <c r="U30" s="65" t="e">
        <f t="shared" si="9"/>
        <v>#DIV/0!</v>
      </c>
    </row>
    <row r="31" spans="1:21" ht="23.85" customHeight="1">
      <c r="A31" s="54"/>
      <c r="B31" s="55"/>
      <c r="C31" s="56"/>
      <c r="D31" s="57">
        <f t="shared" si="2"/>
        <v>0</v>
      </c>
      <c r="E31" s="58"/>
      <c r="F31" s="59"/>
      <c r="G31" s="57">
        <f t="shared" si="3"/>
        <v>0</v>
      </c>
      <c r="H31" s="55"/>
      <c r="I31" s="56"/>
      <c r="J31" s="60">
        <f t="shared" si="4"/>
        <v>0</v>
      </c>
      <c r="K31" s="58"/>
      <c r="L31" s="59"/>
      <c r="M31" s="60">
        <f t="shared" si="5"/>
        <v>0</v>
      </c>
      <c r="N31" s="58"/>
      <c r="O31" s="59"/>
      <c r="P31" s="60">
        <f t="shared" si="6"/>
        <v>0</v>
      </c>
      <c r="Q31" s="61"/>
      <c r="R31" s="62"/>
      <c r="S31" s="63">
        <f t="shared" si="7"/>
        <v>0</v>
      </c>
      <c r="T31" s="64">
        <f t="shared" si="8"/>
        <v>0</v>
      </c>
      <c r="U31" s="65" t="e">
        <f t="shared" si="9"/>
        <v>#DIV/0!</v>
      </c>
    </row>
    <row r="32" spans="1:21" ht="23.85" customHeight="1">
      <c r="A32" s="54"/>
      <c r="B32" s="55"/>
      <c r="C32" s="56"/>
      <c r="D32" s="57">
        <f t="shared" si="2"/>
        <v>0</v>
      </c>
      <c r="E32" s="58"/>
      <c r="F32" s="59"/>
      <c r="G32" s="57">
        <f t="shared" si="3"/>
        <v>0</v>
      </c>
      <c r="H32" s="55"/>
      <c r="I32" s="56"/>
      <c r="J32" s="60">
        <f t="shared" si="4"/>
        <v>0</v>
      </c>
      <c r="K32" s="58"/>
      <c r="L32" s="59"/>
      <c r="M32" s="60">
        <f t="shared" si="5"/>
        <v>0</v>
      </c>
      <c r="N32" s="58"/>
      <c r="O32" s="59"/>
      <c r="P32" s="60">
        <f t="shared" si="6"/>
        <v>0</v>
      </c>
      <c r="Q32" s="61"/>
      <c r="R32" s="62"/>
      <c r="S32" s="63">
        <f t="shared" si="7"/>
        <v>0</v>
      </c>
      <c r="T32" s="64">
        <f t="shared" si="8"/>
        <v>0</v>
      </c>
      <c r="U32" s="65" t="e">
        <f t="shared" si="9"/>
        <v>#DIV/0!</v>
      </c>
    </row>
    <row r="33" spans="1:21" ht="23.85" customHeight="1">
      <c r="A33" s="54"/>
      <c r="B33" s="58"/>
      <c r="C33" s="59"/>
      <c r="D33" s="57">
        <f t="shared" si="2"/>
        <v>0</v>
      </c>
      <c r="E33" s="58"/>
      <c r="F33" s="59"/>
      <c r="G33" s="57">
        <f t="shared" si="3"/>
        <v>0</v>
      </c>
      <c r="H33" s="55"/>
      <c r="I33" s="56"/>
      <c r="J33" s="60">
        <f t="shared" si="4"/>
        <v>0</v>
      </c>
      <c r="K33" s="58"/>
      <c r="L33" s="59"/>
      <c r="M33" s="60">
        <f t="shared" si="5"/>
        <v>0</v>
      </c>
      <c r="N33" s="58"/>
      <c r="O33" s="59"/>
      <c r="P33" s="60">
        <f t="shared" si="6"/>
        <v>0</v>
      </c>
      <c r="Q33" s="61"/>
      <c r="R33" s="62"/>
      <c r="S33" s="63">
        <f t="shared" si="7"/>
        <v>0</v>
      </c>
      <c r="T33" s="64">
        <f t="shared" si="8"/>
        <v>0</v>
      </c>
      <c r="U33" s="65" t="e">
        <f t="shared" si="9"/>
        <v>#DIV/0!</v>
      </c>
    </row>
    <row r="34" spans="1:21" ht="23.85" customHeight="1">
      <c r="A34" s="54"/>
      <c r="B34" s="55"/>
      <c r="C34" s="56"/>
      <c r="D34" s="57">
        <f t="shared" si="2"/>
        <v>0</v>
      </c>
      <c r="E34" s="58"/>
      <c r="F34" s="59"/>
      <c r="G34" s="57">
        <f t="shared" si="3"/>
        <v>0</v>
      </c>
      <c r="H34" s="55"/>
      <c r="I34" s="56"/>
      <c r="J34" s="60">
        <f t="shared" si="4"/>
        <v>0</v>
      </c>
      <c r="K34" s="58"/>
      <c r="L34" s="59"/>
      <c r="M34" s="60">
        <f t="shared" si="5"/>
        <v>0</v>
      </c>
      <c r="N34" s="58"/>
      <c r="O34" s="59"/>
      <c r="P34" s="60">
        <f t="shared" si="6"/>
        <v>0</v>
      </c>
      <c r="Q34" s="61"/>
      <c r="R34" s="62"/>
      <c r="S34" s="63">
        <f t="shared" si="7"/>
        <v>0</v>
      </c>
      <c r="T34" s="64">
        <f t="shared" si="8"/>
        <v>0</v>
      </c>
      <c r="U34" s="65" t="e">
        <f t="shared" si="9"/>
        <v>#DIV/0!</v>
      </c>
    </row>
    <row r="35" spans="1:21" ht="23.85" customHeight="1">
      <c r="A35" s="54"/>
      <c r="B35" s="55"/>
      <c r="C35" s="56"/>
      <c r="D35" s="57">
        <f t="shared" si="2"/>
        <v>0</v>
      </c>
      <c r="E35" s="58"/>
      <c r="F35" s="59"/>
      <c r="G35" s="57">
        <f t="shared" si="3"/>
        <v>0</v>
      </c>
      <c r="H35" s="55"/>
      <c r="I35" s="56"/>
      <c r="J35" s="60">
        <f t="shared" si="4"/>
        <v>0</v>
      </c>
      <c r="K35" s="58"/>
      <c r="L35" s="59"/>
      <c r="M35" s="60">
        <f t="shared" si="5"/>
        <v>0</v>
      </c>
      <c r="N35" s="58"/>
      <c r="O35" s="59"/>
      <c r="P35" s="60">
        <f t="shared" si="6"/>
        <v>0</v>
      </c>
      <c r="Q35" s="61"/>
      <c r="R35" s="62"/>
      <c r="S35" s="63">
        <f t="shared" si="7"/>
        <v>0</v>
      </c>
      <c r="T35" s="64">
        <f t="shared" si="8"/>
        <v>0</v>
      </c>
      <c r="U35" s="65" t="e">
        <f t="shared" si="9"/>
        <v>#DIV/0!</v>
      </c>
    </row>
    <row r="36" spans="1:21" ht="23.85" customHeight="1">
      <c r="A36" s="54"/>
      <c r="B36" s="55"/>
      <c r="C36" s="56"/>
      <c r="D36" s="57">
        <f t="shared" si="2"/>
        <v>0</v>
      </c>
      <c r="E36" s="58"/>
      <c r="F36" s="59"/>
      <c r="G36" s="57">
        <f t="shared" si="3"/>
        <v>0</v>
      </c>
      <c r="H36" s="66"/>
      <c r="I36" s="67"/>
      <c r="J36" s="60">
        <f t="shared" si="4"/>
        <v>0</v>
      </c>
      <c r="K36" s="58"/>
      <c r="L36" s="59"/>
      <c r="M36" s="60">
        <f t="shared" si="5"/>
        <v>0</v>
      </c>
      <c r="N36" s="58"/>
      <c r="O36" s="59"/>
      <c r="P36" s="60">
        <f t="shared" si="6"/>
        <v>0</v>
      </c>
      <c r="Q36" s="61"/>
      <c r="R36" s="62"/>
      <c r="S36" s="63">
        <f t="shared" si="7"/>
        <v>0</v>
      </c>
      <c r="T36" s="64">
        <f t="shared" si="8"/>
        <v>0</v>
      </c>
      <c r="U36" s="65" t="e">
        <f t="shared" si="9"/>
        <v>#DIV/0!</v>
      </c>
    </row>
    <row r="37" spans="1:21" ht="23.85" customHeight="1">
      <c r="A37" s="54"/>
      <c r="B37" s="55"/>
      <c r="C37" s="56"/>
      <c r="D37" s="57">
        <f t="shared" si="2"/>
        <v>0</v>
      </c>
      <c r="E37" s="58"/>
      <c r="F37" s="59"/>
      <c r="G37" s="57">
        <f t="shared" si="3"/>
        <v>0</v>
      </c>
      <c r="H37" s="55"/>
      <c r="I37" s="56"/>
      <c r="J37" s="60">
        <f t="shared" si="4"/>
        <v>0</v>
      </c>
      <c r="K37" s="58"/>
      <c r="L37" s="59"/>
      <c r="M37" s="60">
        <f t="shared" si="5"/>
        <v>0</v>
      </c>
      <c r="N37" s="58"/>
      <c r="O37" s="59"/>
      <c r="P37" s="60">
        <f t="shared" si="6"/>
        <v>0</v>
      </c>
      <c r="Q37" s="61"/>
      <c r="R37" s="62"/>
      <c r="S37" s="63">
        <f t="shared" si="7"/>
        <v>0</v>
      </c>
      <c r="T37" s="64">
        <f t="shared" si="8"/>
        <v>0</v>
      </c>
      <c r="U37" s="65" t="e">
        <f t="shared" si="9"/>
        <v>#DIV/0!</v>
      </c>
    </row>
    <row r="38" spans="1:21" ht="23.85" customHeight="1">
      <c r="A38" s="54"/>
      <c r="B38" s="55"/>
      <c r="C38" s="56"/>
      <c r="D38" s="57">
        <f t="shared" si="2"/>
        <v>0</v>
      </c>
      <c r="E38" s="58"/>
      <c r="F38" s="59"/>
      <c r="G38" s="57">
        <f t="shared" si="3"/>
        <v>0</v>
      </c>
      <c r="H38" s="55"/>
      <c r="I38" s="56"/>
      <c r="J38" s="60">
        <f t="shared" si="4"/>
        <v>0</v>
      </c>
      <c r="K38" s="58"/>
      <c r="L38" s="59"/>
      <c r="M38" s="60">
        <f t="shared" si="5"/>
        <v>0</v>
      </c>
      <c r="N38" s="58"/>
      <c r="O38" s="59"/>
      <c r="P38" s="60">
        <f t="shared" si="6"/>
        <v>0</v>
      </c>
      <c r="Q38" s="61"/>
      <c r="R38" s="62"/>
      <c r="S38" s="63">
        <f t="shared" si="7"/>
        <v>0</v>
      </c>
      <c r="T38" s="64">
        <f t="shared" si="8"/>
        <v>0</v>
      </c>
      <c r="U38" s="65" t="e">
        <f t="shared" si="9"/>
        <v>#DIV/0!</v>
      </c>
    </row>
    <row r="39" spans="1:21" ht="23.85" customHeight="1">
      <c r="A39" s="54"/>
      <c r="B39" s="58"/>
      <c r="C39" s="59"/>
      <c r="D39" s="57">
        <f t="shared" si="2"/>
        <v>0</v>
      </c>
      <c r="E39" s="58"/>
      <c r="F39" s="59"/>
      <c r="G39" s="57">
        <f t="shared" si="3"/>
        <v>0</v>
      </c>
      <c r="H39" s="55"/>
      <c r="I39" s="56"/>
      <c r="J39" s="60">
        <f t="shared" si="4"/>
        <v>0</v>
      </c>
      <c r="K39" s="58"/>
      <c r="L39" s="59"/>
      <c r="M39" s="60">
        <f t="shared" si="5"/>
        <v>0</v>
      </c>
      <c r="N39" s="58"/>
      <c r="O39" s="59"/>
      <c r="P39" s="60">
        <f t="shared" si="6"/>
        <v>0</v>
      </c>
      <c r="Q39" s="61"/>
      <c r="R39" s="62"/>
      <c r="S39" s="63">
        <f t="shared" si="7"/>
        <v>0</v>
      </c>
      <c r="T39" s="64">
        <f t="shared" si="8"/>
        <v>0</v>
      </c>
      <c r="U39" s="65" t="e">
        <f t="shared" si="9"/>
        <v>#DIV/0!</v>
      </c>
    </row>
    <row r="40" spans="1:21" ht="23.85" customHeight="1">
      <c r="A40" s="54"/>
      <c r="B40" s="55"/>
      <c r="C40" s="56"/>
      <c r="D40" s="57">
        <f t="shared" si="2"/>
        <v>0</v>
      </c>
      <c r="E40" s="58"/>
      <c r="F40" s="59"/>
      <c r="G40" s="57">
        <f t="shared" si="3"/>
        <v>0</v>
      </c>
      <c r="H40" s="55"/>
      <c r="I40" s="56"/>
      <c r="J40" s="60">
        <f t="shared" si="4"/>
        <v>0</v>
      </c>
      <c r="K40" s="58"/>
      <c r="L40" s="59"/>
      <c r="M40" s="60">
        <f t="shared" si="5"/>
        <v>0</v>
      </c>
      <c r="N40" s="58"/>
      <c r="O40" s="59"/>
      <c r="P40" s="60">
        <f t="shared" si="6"/>
        <v>0</v>
      </c>
      <c r="Q40" s="61"/>
      <c r="R40" s="62"/>
      <c r="S40" s="63">
        <f t="shared" si="7"/>
        <v>0</v>
      </c>
      <c r="T40" s="64">
        <f t="shared" si="8"/>
        <v>0</v>
      </c>
      <c r="U40" s="65" t="e">
        <f t="shared" si="9"/>
        <v>#DIV/0!</v>
      </c>
    </row>
    <row r="41" spans="1:21" ht="23.85" customHeight="1" thickBot="1">
      <c r="A41" s="85"/>
      <c r="B41" s="86"/>
      <c r="C41" s="87"/>
      <c r="D41" s="88">
        <f t="shared" si="2"/>
        <v>0</v>
      </c>
      <c r="E41" s="89"/>
      <c r="F41" s="90"/>
      <c r="G41" s="88">
        <f t="shared" si="3"/>
        <v>0</v>
      </c>
      <c r="H41" s="86"/>
      <c r="I41" s="87"/>
      <c r="J41" s="91">
        <f t="shared" si="4"/>
        <v>0</v>
      </c>
      <c r="K41" s="89"/>
      <c r="L41" s="90"/>
      <c r="M41" s="91">
        <f t="shared" si="5"/>
        <v>0</v>
      </c>
      <c r="N41" s="89"/>
      <c r="O41" s="90"/>
      <c r="P41" s="91">
        <f t="shared" si="6"/>
        <v>0</v>
      </c>
      <c r="Q41" s="92"/>
      <c r="R41" s="93"/>
      <c r="S41" s="94">
        <f t="shared" si="7"/>
        <v>0</v>
      </c>
      <c r="T41" s="95">
        <f t="shared" si="8"/>
        <v>0</v>
      </c>
      <c r="U41" s="96" t="e">
        <f t="shared" si="9"/>
        <v>#DIV/0!</v>
      </c>
    </row>
    <row r="42" spans="1:21" ht="23.85" customHeight="1">
      <c r="A42" s="78" t="s">
        <v>75</v>
      </c>
      <c r="B42" s="79"/>
      <c r="C42" s="80"/>
      <c r="D42" s="81">
        <f>SUM(D7:D41)</f>
        <v>0</v>
      </c>
      <c r="E42" s="80"/>
      <c r="F42" s="80"/>
      <c r="G42" s="81">
        <f>SUM(G7:G41)</f>
        <v>0</v>
      </c>
      <c r="H42" s="80"/>
      <c r="I42" s="80"/>
      <c r="J42" s="81">
        <f>SUM(J7:J41)</f>
        <v>0</v>
      </c>
      <c r="K42" s="80"/>
      <c r="L42" s="80"/>
      <c r="M42" s="81">
        <f>SUM(M7:M41)</f>
        <v>0</v>
      </c>
      <c r="N42" s="80"/>
      <c r="O42" s="80"/>
      <c r="P42" s="81">
        <f>SUM(P7:P41)</f>
        <v>0</v>
      </c>
      <c r="Q42" s="82">
        <f>SUM(Q7:Q41)</f>
        <v>0</v>
      </c>
      <c r="R42" s="83"/>
      <c r="S42" s="81">
        <f>SUM(S7:S41)</f>
        <v>0</v>
      </c>
      <c r="T42" s="82">
        <f>SUM(T7:T41)</f>
        <v>0</v>
      </c>
      <c r="U42" s="84"/>
    </row>
    <row r="43" spans="1:21" ht="23.85" customHeight="1">
      <c r="A43" s="75" t="s">
        <v>76</v>
      </c>
      <c r="B43" s="59"/>
      <c r="C43" s="76"/>
      <c r="D43" s="77">
        <f>1-(D42/35)</f>
        <v>1</v>
      </c>
      <c r="E43" s="76"/>
      <c r="F43" s="76"/>
      <c r="G43" s="77">
        <f>G42/35</f>
        <v>0</v>
      </c>
      <c r="H43" s="76"/>
      <c r="I43" s="76"/>
      <c r="J43" s="77">
        <f>J42/35</f>
        <v>0</v>
      </c>
      <c r="K43" s="76"/>
      <c r="L43" s="76"/>
      <c r="M43" s="77">
        <f>M42/35</f>
        <v>0</v>
      </c>
      <c r="N43" s="76"/>
      <c r="O43" s="76"/>
      <c r="P43" s="77">
        <f>P42/35</f>
        <v>0</v>
      </c>
      <c r="Q43" s="76"/>
      <c r="R43" s="76"/>
      <c r="S43" s="77">
        <f>S42/35</f>
        <v>0</v>
      </c>
      <c r="T43" s="64"/>
      <c r="U43" s="77" t="e">
        <f>T42/Q42</f>
        <v>#DIV/0!</v>
      </c>
    </row>
  </sheetData>
  <mergeCells count="9">
    <mergeCell ref="K5:M5"/>
    <mergeCell ref="N5:P5"/>
    <mergeCell ref="Q5:U5"/>
    <mergeCell ref="A5:D5"/>
    <mergeCell ref="A1:D1"/>
    <mergeCell ref="A2:D2"/>
    <mergeCell ref="A3:D3"/>
    <mergeCell ref="E5:G5"/>
    <mergeCell ref="H5:J5"/>
  </mergeCells>
  <phoneticPr fontId="1" type="noConversion"/>
  <pageMargins left="0.7" right="0.7" top="0.75" bottom="0.75" header="0.3" footer="0.3"/>
  <pageSetup scale="50" orientation="landscape" r:id="rId1"/>
  <headerFooter differentOddEven="1" alignWithMargins="0">
    <oddFooter>&amp;R&amp;"Tahoma,Regular"&amp;11THECB September 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Room Audit Summary</vt:lpstr>
      <vt:lpstr>Room Audit Data</vt:lpstr>
      <vt:lpstr>'Room Audit Data'!Print_Area</vt:lpstr>
      <vt:lpstr>'Room Audit Summary'!Print_Area</vt:lpstr>
    </vt:vector>
  </TitlesOfParts>
  <Company>UTHSCSA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gonzalezh</dc:creator>
  <cp:lastModifiedBy>Paul Turcotte</cp:lastModifiedBy>
  <cp:lastPrinted>2009-09-29T20:33:24Z</cp:lastPrinted>
  <dcterms:created xsi:type="dcterms:W3CDTF">2008-05-22T13:35:21Z</dcterms:created>
  <dcterms:modified xsi:type="dcterms:W3CDTF">2009-09-29T20:33:25Z</dcterms:modified>
</cp:coreProperties>
</file>