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fileSharing readOnlyRecommended="1"/>
  <workbookPr filterPrivacy="1" codeName="ThisWorkbook" defaultThemeVersion="124226"/>
  <bookViews>
    <workbookView xWindow="420" yWindow="315" windowWidth="19320" windowHeight="9540"/>
  </bookViews>
  <sheets>
    <sheet name="Mod 37 Increases" sheetId="1" r:id="rId1"/>
  </sheets>
  <definedNames>
    <definedName name="_xlnm._FilterDatabase" localSheetId="0" hidden="1">'Mod 37 Increases'!$A$5:$O$580</definedName>
    <definedName name="_xlnm.Print_Titles" localSheetId="0">'Mod 37 Increases'!$1:$5</definedName>
  </definedNames>
  <calcPr calcId="125725"/>
</workbook>
</file>

<file path=xl/calcChain.xml><?xml version="1.0" encoding="utf-8"?>
<calcChain xmlns="http://schemas.openxmlformats.org/spreadsheetml/2006/main">
  <c r="L6" i="1"/>
  <c r="M6" s="1"/>
  <c r="J6"/>
</calcChain>
</file>

<file path=xl/sharedStrings.xml><?xml version="1.0" encoding="utf-8"?>
<sst xmlns="http://schemas.openxmlformats.org/spreadsheetml/2006/main" count="21" uniqueCount="21">
  <si>
    <t>SIN</t>
  </si>
  <si>
    <t>OLD LIST PRICE</t>
  </si>
  <si>
    <t>NEW LIST PRICE</t>
  </si>
  <si>
    <t>627-13</t>
  </si>
  <si>
    <t>NEW GSA PRICE</t>
  </si>
  <si>
    <t>NEW GSA PRICE WITH IFF</t>
  </si>
  <si>
    <t>GSA % DISCOUNT</t>
  </si>
  <si>
    <t>Part Number Change Spreadsheet</t>
  </si>
  <si>
    <t>OLD ITEM DESCRIPTION</t>
  </si>
  <si>
    <t>OLD GSA ITEM NUMBER</t>
  </si>
  <si>
    <t>LIST CHANGES</t>
  </si>
  <si>
    <t>NEW GSA ITEM NUMBER</t>
  </si>
  <si>
    <t>NEW ITEM DESCRIPTION</t>
  </si>
  <si>
    <t>P1234</t>
  </si>
  <si>
    <t>25Hz  Load test Cable Analyzer</t>
  </si>
  <si>
    <t>XP1234</t>
  </si>
  <si>
    <t xml:space="preserve">NEW Manufacture Price List Reference: </t>
  </si>
  <si>
    <t>OLD Manufacture Price List Reference:</t>
  </si>
  <si>
    <t>% change in LIST PRICE</t>
  </si>
  <si>
    <t>25Hz  Load test Cable Analyzer with case</t>
  </si>
  <si>
    <t xml:space="preserve">No Case for Transport </t>
  </si>
</sst>
</file>

<file path=xl/styles.xml><?xml version="1.0" encoding="utf-8"?>
<styleSheet xmlns="http://schemas.openxmlformats.org/spreadsheetml/2006/main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0.0000%"/>
  </numFmts>
  <fonts count="7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7" fontId="0" fillId="0" borderId="0" xfId="1" applyNumberFormat="1" applyFont="1" applyAlignment="1"/>
    <xf numFmtId="7" fontId="0" fillId="0" borderId="0" xfId="1" applyNumberFormat="1" applyFont="1" applyAlignment="1">
      <alignment horizontal="right"/>
    </xf>
    <xf numFmtId="165" fontId="0" fillId="0" borderId="0" xfId="3" applyNumberFormat="1" applyFont="1" applyAlignment="1">
      <alignment horizontal="center"/>
    </xf>
    <xf numFmtId="165" fontId="0" fillId="0" borderId="0" xfId="3" applyNumberFormat="1" applyFont="1" applyAlignment="1">
      <alignment horizontal="righ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7" fontId="0" fillId="0" borderId="1" xfId="1" applyNumberFormat="1" applyFont="1" applyBorder="1" applyAlignment="1">
      <alignment wrapText="1"/>
    </xf>
    <xf numFmtId="165" fontId="0" fillId="2" borderId="1" xfId="3" applyNumberFormat="1" applyFont="1" applyFill="1" applyBorder="1" applyAlignment="1">
      <alignment horizontal="right" wrapText="1"/>
    </xf>
    <xf numFmtId="165" fontId="0" fillId="0" borderId="1" xfId="3" applyNumberFormat="1" applyFont="1" applyBorder="1" applyAlignment="1">
      <alignment horizontal="right" wrapText="1"/>
    </xf>
    <xf numFmtId="7" fontId="0" fillId="0" borderId="1" xfId="1" applyNumberFormat="1" applyFont="1" applyBorder="1" applyAlignment="1">
      <alignment horizontal="right" wrapText="1"/>
    </xf>
    <xf numFmtId="164" fontId="0" fillId="0" borderId="1" xfId="3" applyNumberFormat="1" applyFont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7" fontId="5" fillId="0" borderId="0" xfId="1" applyNumberFormat="1" applyFont="1" applyAlignment="1"/>
    <xf numFmtId="165" fontId="5" fillId="0" borderId="0" xfId="3" applyNumberFormat="1" applyFont="1" applyAlignment="1">
      <alignment horizontal="right"/>
    </xf>
    <xf numFmtId="7" fontId="5" fillId="0" borderId="0" xfId="1" applyNumberFormat="1" applyFont="1" applyAlignment="1">
      <alignment horizontal="right"/>
    </xf>
    <xf numFmtId="165" fontId="5" fillId="0" borderId="0" xfId="3" applyNumberFormat="1" applyFont="1" applyAlignment="1">
      <alignment horizontal="center"/>
    </xf>
    <xf numFmtId="0" fontId="5" fillId="0" borderId="0" xfId="0" applyFont="1" applyAlignment="1"/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0" fontId="2" fillId="4" borderId="1" xfId="2" applyFont="1" applyFill="1" applyBorder="1" applyAlignment="1">
      <alignment horizontal="center" wrapText="1"/>
    </xf>
    <xf numFmtId="0" fontId="2" fillId="4" borderId="1" xfId="2" applyFont="1" applyFill="1" applyBorder="1" applyAlignment="1">
      <alignment horizontal="left" wrapText="1"/>
    </xf>
    <xf numFmtId="0" fontId="0" fillId="4" borderId="1" xfId="0" applyFill="1" applyBorder="1" applyAlignment="1">
      <alignment horizontal="center" wrapText="1"/>
    </xf>
    <xf numFmtId="7" fontId="2" fillId="4" borderId="1" xfId="1" applyNumberFormat="1" applyFont="1" applyFill="1" applyBorder="1" applyAlignment="1">
      <alignment horizontal="center" wrapText="1"/>
    </xf>
    <xf numFmtId="165" fontId="2" fillId="4" borderId="1" xfId="3" applyNumberFormat="1" applyFont="1" applyFill="1" applyBorder="1" applyAlignment="1">
      <alignment horizontal="center" wrapText="1"/>
    </xf>
    <xf numFmtId="165" fontId="4" fillId="4" borderId="1" xfId="3" applyNumberFormat="1" applyFont="1" applyFill="1" applyBorder="1" applyAlignment="1">
      <alignment horizontal="center" wrapText="1"/>
    </xf>
    <xf numFmtId="0" fontId="6" fillId="0" borderId="0" xfId="0" applyFont="1" applyAlignment="1">
      <alignment horizontal="left"/>
    </xf>
  </cellXfs>
  <cellStyles count="4">
    <cellStyle name="Currency" xfId="1" builtinId="4"/>
    <cellStyle name="Normal" xfId="0" builtinId="0"/>
    <cellStyle name="Normal_Sheet2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8"/>
  <sheetViews>
    <sheetView tabSelected="1" zoomScale="75" workbookViewId="0">
      <pane ySplit="5" topLeftCell="A6" activePane="bottomLeft" state="frozen"/>
      <selection pane="bottomLeft" activeCell="F12" sqref="F12"/>
    </sheetView>
  </sheetViews>
  <sheetFormatPr defaultRowHeight="12.75" customHeight="1"/>
  <cols>
    <col min="1" max="1" width="10.140625" style="1" bestFit="1" customWidth="1"/>
    <col min="2" max="2" width="11.28515625" style="3" customWidth="1"/>
    <col min="3" max="3" width="34" style="3" customWidth="1"/>
    <col min="4" max="4" width="1.7109375" style="1" customWidth="1"/>
    <col min="5" max="5" width="12.42578125" style="3" customWidth="1"/>
    <col min="6" max="6" width="38.42578125" style="3" customWidth="1"/>
    <col min="7" max="7" width="20.85546875" style="1" customWidth="1"/>
    <col min="8" max="8" width="9.85546875" style="5" customWidth="1"/>
    <col min="9" max="9" width="12.7109375" style="5" customWidth="1"/>
    <col min="10" max="10" width="7.140625" style="8" customWidth="1"/>
    <col min="11" max="11" width="10.140625" style="8" customWidth="1"/>
    <col min="12" max="12" width="11.42578125" style="6" customWidth="1"/>
    <col min="13" max="13" width="11" style="7" customWidth="1"/>
    <col min="14" max="14" width="33.5703125" style="1" bestFit="1" customWidth="1"/>
    <col min="15" max="15" width="9.140625" style="1"/>
    <col min="16" max="16384" width="9.140625" style="2"/>
  </cols>
  <sheetData>
    <row r="1" spans="1:15" s="24" customFormat="1" ht="38.25" customHeight="1">
      <c r="A1" s="33" t="s">
        <v>7</v>
      </c>
      <c r="B1" s="18"/>
      <c r="C1" s="18"/>
      <c r="D1" s="18"/>
      <c r="E1" s="18"/>
      <c r="G1" s="18"/>
      <c r="H1" s="20"/>
      <c r="I1" s="20"/>
      <c r="J1" s="21"/>
      <c r="K1" s="21"/>
      <c r="L1" s="22"/>
      <c r="M1" s="23"/>
      <c r="N1" s="19"/>
      <c r="O1" s="19"/>
    </row>
    <row r="2" spans="1:15" s="24" customFormat="1" ht="16.5" customHeight="1">
      <c r="A2" s="18"/>
      <c r="B2" s="18"/>
      <c r="C2" s="18"/>
      <c r="D2" s="19"/>
      <c r="E2" s="18"/>
      <c r="F2" s="18"/>
      <c r="G2" s="18"/>
      <c r="H2" s="20"/>
      <c r="I2" s="20"/>
      <c r="J2" s="21"/>
      <c r="K2" s="21"/>
      <c r="L2" s="22"/>
      <c r="M2" s="23"/>
      <c r="N2" s="19"/>
      <c r="O2" s="19"/>
    </row>
    <row r="3" spans="1:15" s="24" customFormat="1" ht="17.25" customHeight="1">
      <c r="A3" s="18" t="s">
        <v>16</v>
      </c>
      <c r="B3" s="18"/>
      <c r="C3" s="18"/>
      <c r="D3" s="19"/>
      <c r="E3" s="18"/>
      <c r="F3" s="18"/>
      <c r="G3" s="18"/>
      <c r="H3" s="20"/>
      <c r="I3" s="20"/>
      <c r="J3" s="21"/>
      <c r="K3" s="21"/>
      <c r="L3" s="22"/>
      <c r="M3" s="23"/>
      <c r="N3" s="19"/>
      <c r="O3" s="19"/>
    </row>
    <row r="4" spans="1:15" s="24" customFormat="1" ht="16.5" customHeight="1">
      <c r="A4" s="18" t="s">
        <v>17</v>
      </c>
      <c r="B4" s="18"/>
      <c r="C4" s="18"/>
      <c r="D4" s="18"/>
      <c r="E4" s="18"/>
      <c r="F4" s="18"/>
      <c r="G4" s="18"/>
      <c r="H4" s="20"/>
      <c r="I4" s="20"/>
      <c r="J4" s="21"/>
      <c r="K4" s="21"/>
      <c r="L4" s="22"/>
      <c r="M4" s="23"/>
      <c r="N4" s="19"/>
      <c r="O4" s="19"/>
    </row>
    <row r="5" spans="1:15" s="4" customFormat="1" ht="51">
      <c r="A5" s="27" t="s">
        <v>0</v>
      </c>
      <c r="B5" s="28" t="s">
        <v>9</v>
      </c>
      <c r="C5" s="28" t="s">
        <v>8</v>
      </c>
      <c r="D5" s="27"/>
      <c r="E5" s="28" t="s">
        <v>11</v>
      </c>
      <c r="F5" s="28" t="s">
        <v>12</v>
      </c>
      <c r="G5" s="29" t="s">
        <v>10</v>
      </c>
      <c r="H5" s="30" t="s">
        <v>1</v>
      </c>
      <c r="I5" s="30" t="s">
        <v>2</v>
      </c>
      <c r="J5" s="31" t="s">
        <v>18</v>
      </c>
      <c r="K5" s="32" t="s">
        <v>6</v>
      </c>
      <c r="L5" s="30" t="s">
        <v>4</v>
      </c>
      <c r="M5" s="31" t="s">
        <v>5</v>
      </c>
    </row>
    <row r="6" spans="1:15" ht="50.25" customHeight="1">
      <c r="A6" s="9" t="s">
        <v>3</v>
      </c>
      <c r="B6" s="10" t="s">
        <v>13</v>
      </c>
      <c r="C6" s="25" t="s">
        <v>19</v>
      </c>
      <c r="D6" s="17"/>
      <c r="E6" s="10" t="s">
        <v>15</v>
      </c>
      <c r="F6" s="25" t="s">
        <v>14</v>
      </c>
      <c r="G6" s="26" t="s">
        <v>20</v>
      </c>
      <c r="H6" s="12">
        <v>6995</v>
      </c>
      <c r="I6" s="12">
        <v>6910</v>
      </c>
      <c r="J6" s="13">
        <f t="shared" ref="J6" si="0">(I6-H6)/H6</f>
        <v>-1.2151536812008578E-2</v>
      </c>
      <c r="K6" s="14">
        <v>0.45</v>
      </c>
      <c r="L6" s="15">
        <f>I6-(I6*K6)</f>
        <v>3800.5</v>
      </c>
      <c r="M6" s="16">
        <f>L6/0.9925</f>
        <v>3829.2191435768259</v>
      </c>
      <c r="N6" s="2"/>
      <c r="O6" s="2"/>
    </row>
    <row r="7" spans="1:15" ht="51" customHeight="1">
      <c r="A7" s="9"/>
      <c r="B7" s="10"/>
      <c r="C7" s="10"/>
      <c r="D7" s="17"/>
      <c r="E7" s="10"/>
      <c r="F7" s="10"/>
      <c r="G7" s="11"/>
      <c r="H7" s="12"/>
      <c r="I7" s="12"/>
      <c r="J7" s="13"/>
      <c r="K7" s="14"/>
      <c r="L7" s="15"/>
      <c r="M7" s="16"/>
      <c r="N7" s="2"/>
      <c r="O7" s="2"/>
    </row>
    <row r="8" spans="1:15" ht="51" customHeight="1">
      <c r="A8" s="9"/>
      <c r="B8" s="10"/>
      <c r="C8" s="10"/>
      <c r="D8" s="17"/>
      <c r="E8" s="10"/>
      <c r="F8" s="10"/>
      <c r="G8" s="11"/>
      <c r="H8" s="12"/>
      <c r="I8" s="12"/>
      <c r="J8" s="13"/>
      <c r="K8" s="14"/>
      <c r="L8" s="15"/>
      <c r="M8" s="16"/>
      <c r="N8" s="2"/>
      <c r="O8" s="2"/>
    </row>
  </sheetData>
  <phoneticPr fontId="0" type="noConversion"/>
  <pageMargins left="0.25" right="0.25" top="0.75" bottom="0.75" header="0.3" footer="0.3"/>
  <pageSetup scale="67" fitToHeight="20" orientation="landscape" r:id="rId1"/>
  <headerFooter alignWithMargins="0">
    <oddHeader>&amp;CXYZ, Inc. 
Economic Price Increase Proposal
Fluke Networks &amp; Yokogawa Products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Increases</vt:lpstr>
      <vt:lpstr>'Mod 37 Increases'!Print_Titles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2008-01-24T15:53:37Z</cp:lastPrinted>
  <dcterms:created xsi:type="dcterms:W3CDTF">1901-01-01T06:00:00Z</dcterms:created>
  <dcterms:modified xsi:type="dcterms:W3CDTF">2013-01-09T19:48:45Z</dcterms:modified>
</cp:coreProperties>
</file>