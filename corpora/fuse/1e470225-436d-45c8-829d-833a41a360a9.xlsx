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24855" windowHeight="10680"/>
  </bookViews>
  <sheets>
    <sheet name="Primary Layout" sheetId="1" r:id="rId1"/>
  </sheets>
  <calcPr calcId="145621" calcMode="autoNoTable" iterate="1" iterateCount="1" iterateDelta="0"/>
</workbook>
</file>

<file path=xl/sharedStrings.xml><?xml version="1.0" encoding="utf-8"?>
<sst xmlns="http://schemas.openxmlformats.org/spreadsheetml/2006/main" count="89" uniqueCount="89">
  <si>
    <t/>
  </si>
  <si>
    <t>ID:</t>
  </si>
  <si>
    <t>100009214</t>
  </si>
  <si>
    <t>Notes/Supplemental Information:</t>
  </si>
  <si>
    <t>REIT Name:</t>
  </si>
  <si>
    <t>Winthrop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</si>
  <si>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</si>
  <si>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</si>
  <si>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</si>
  <si>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</si>
  <si>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</si>
  <si>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</si>
  <si>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</si>
  <si>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</si>
  <si>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</si>
  <si>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</si>
  <si>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</si>
  <si>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</si>
  <si>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</si>
  <si>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</si>
  <si>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</si>
  <si>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</si>
  <si>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</si>
  <si>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</si>
  <si>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</si>
  <si>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</si>
  <si>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</si>
  <si>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</si>
  <si>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</si>
  <si>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</si>
  <si>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</si>
  <si>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</si>
  <si>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</si>
  <si>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</si>
  <si>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</si>
  <si>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</si>
  <si>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</si>
  <si>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</si>
  <si>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</si>
  <si>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</si>
  <si>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</si>
  <si>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</si>
  <si>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</si>
  <si>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</si>
  <si>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</si>
  <si>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</si>
  <si>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</si>
  <si>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</si>
  <si>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</si>
  <si>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</si>
  <si>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</si>
  <si>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</si>
  <si>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</si>
  <si>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</si>
  <si>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</si>
  <si>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</si>
  <si>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</si>
  <si>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</si>
  <si>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</si>
  <si>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</si>
  <si>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</si>
  <si>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</si>
  <si>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</si>
  <si>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</si>
  <si>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</si>
  <si>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</si>
  <si>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</si>
  <si>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</si>
  <si>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</si>
  <si>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</si>
  <si>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</si>
  <si>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</si>
  <si>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</si>
  <si>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</si>
  <si>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</si>
  <si>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</si>
  <si>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</si>
  <si>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</si>
  <si>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</si>
  <si>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</si>
  <si>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</si>
  <si>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</si>
  <si>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</si>
  <si>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</si>
  <si>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t>
  </si>
  <si>
    <t>976391 30 0</t>
  </si>
  <si>
    <t>FUR</t>
  </si>
  <si>
    <t>Prefered Series D Shares</t>
  </si>
  <si>
    <t>FUR.PD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</si>
</sst>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0" fillId="0" borderId="0" xfId="0">
      <protection locked="0"/>
    </xf>
    <xf numFmtId="0" fontId="0" fillId="0" borderId="0" xfId="0">
      <alignment horizontal="right"/>
      <protection locked="0"/>
    </xf>
    <xf numFmtId="0" fontId="1" fillId="0" borderId="0" xfId="0">
      <protection locked="0"/>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20" activePane="bottomLeft" state="frozen"/>
      <selection pane="bottomLeft" activeCell="A39" sqref="A39"/>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6">
        <v>41302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103" t="s">
        <v>84</v>
      </c>
      <c r="B20" s="104" t="s">
        <v>85</v>
      </c>
      <c r="C20" s="103" t="s">
        <v>86</v>
      </c>
      <c r="D20" s="61"/>
      <c r="E20" s="61"/>
      <c r="F20" s="61"/>
      <c r="G20" s="62">
        <v>40999</v>
      </c>
      <c r="H20" s="62">
        <v>41011</v>
      </c>
      <c r="I20" s="62">
        <v>41015</v>
      </c>
      <c r="J20" s="63">
        <f>K20+L20+M20</f>
      </c>
      <c r="K20" s="53"/>
      <c r="L20" s="53"/>
      <c r="M20" s="53">
        <f>N20+O20+V20+Z20+AB20</f>
      </c>
      <c r="N20" s="63">
        <v>0.1625</v>
      </c>
      <c r="O20" s="64"/>
      <c r="P20" s="55"/>
      <c r="Q20" s="65">
        <f>N20+O20</f>
      </c>
      <c r="R20" s="63">
        <f>Q20*0.0000336</f>
      </c>
      <c r="S20" s="55"/>
      <c r="T20" s="55"/>
      <c r="U20" s="63">
        <f>R20</f>
      </c>
      <c r="V20" s="63"/>
      <c r="W20" s="63"/>
      <c r="X20" s="55"/>
      <c r="Y20" s="63"/>
      <c r="Z20" s="63"/>
      <c r="AA20" s="55"/>
      <c r="AB20" s="63"/>
      <c r="AC20" s="63"/>
      <c r="AD20" s="55"/>
      <c r="AE20" s="55"/>
      <c r="AF20" s="66"/>
      <c r="AG20" s="37"/>
    </row>
    <row r="21">
      <c r="A21" s="103" t="s">
        <v>84</v>
      </c>
      <c r="B21" s="104" t="s">
        <v>85</v>
      </c>
      <c r="C21" s="103" t="s">
        <v>86</v>
      </c>
      <c r="D21" s="61"/>
      <c r="E21" s="61"/>
      <c r="F21" s="61"/>
      <c r="G21" s="62">
        <v>41090</v>
      </c>
      <c r="H21" s="62">
        <v>41102</v>
      </c>
      <c r="I21" s="62">
        <v>41106</v>
      </c>
      <c r="J21" s="63">
        <f ref="J21:J23" t="shared" si="1">K21+L21+M21</f>
      </c>
      <c r="K21" s="53"/>
      <c r="L21" s="53"/>
      <c r="M21" s="53">
        <f ref="M21:M23" t="shared" si="2">N21+O21+V21+Z21+AB21</f>
      </c>
      <c r="N21" s="63">
        <v>0.1625</v>
      </c>
      <c r="O21" s="64"/>
      <c r="P21" s="55"/>
      <c r="Q21" s="65">
        <f ref="Q21:Q23" t="shared" si="3">N21+O21</f>
      </c>
      <c r="R21" s="63">
        <f ref="R21:R23" t="shared" si="4">Q21*0.0000336</f>
      </c>
      <c r="S21" s="55"/>
      <c r="T21" s="55"/>
      <c r="U21" s="63">
        <f ref="U21:U23" t="shared" si="5">R21</f>
      </c>
      <c r="V21" s="63"/>
      <c r="W21" s="63"/>
      <c r="X21" s="55"/>
      <c r="Y21" s="63"/>
      <c r="Z21" s="63"/>
      <c r="AA21" s="55"/>
      <c r="AB21" s="63"/>
      <c r="AC21" s="63"/>
      <c r="AD21" s="55"/>
      <c r="AE21" s="55"/>
      <c r="AF21" s="66"/>
      <c r="AG21" s="37"/>
    </row>
    <row r="22">
      <c r="A22" s="103" t="s">
        <v>84</v>
      </c>
      <c r="B22" s="104" t="s">
        <v>85</v>
      </c>
      <c r="C22" s="103" t="s">
        <v>86</v>
      </c>
      <c r="D22" s="61"/>
      <c r="E22" s="61"/>
      <c r="F22" s="61"/>
      <c r="G22" s="62">
        <v>41182</v>
      </c>
      <c r="H22" s="62">
        <v>41193</v>
      </c>
      <c r="I22" s="62">
        <v>41197</v>
      </c>
      <c r="J22" s="63">
        <f t="shared" si="1"/>
      </c>
      <c r="K22" s="53"/>
      <c r="L22" s="53"/>
      <c r="M22" s="53">
        <f t="shared" si="2"/>
      </c>
      <c r="N22" s="63">
        <v>0.1625</v>
      </c>
      <c r="O22" s="64"/>
      <c r="P22" s="68"/>
      <c r="Q22" s="65">
        <f t="shared" si="3"/>
      </c>
      <c r="R22" s="63">
        <f t="shared" si="4"/>
      </c>
      <c r="S22" s="68"/>
      <c r="T22" s="68"/>
      <c r="U22" s="63">
        <f t="shared" si="5"/>
      </c>
      <c r="V22" s="53"/>
      <c r="W22" s="53"/>
      <c r="X22" s="68"/>
      <c r="Y22" s="53"/>
      <c r="Z22" s="53"/>
      <c r="AA22" s="68"/>
      <c r="AB22" s="53"/>
      <c r="AC22" s="53"/>
      <c r="AD22" s="68"/>
      <c r="AE22" s="68"/>
      <c r="AF22" s="70"/>
      <c r="AG22" s="37"/>
    </row>
    <row r="23">
      <c r="A23" s="103" t="s">
        <v>84</v>
      </c>
      <c r="B23" s="104" t="s">
        <v>85</v>
      </c>
      <c r="C23" s="103" t="s">
        <v>86</v>
      </c>
      <c r="D23" s="73"/>
      <c r="E23" s="73"/>
      <c r="F23" s="73"/>
      <c r="G23" s="74">
        <v>41274</v>
      </c>
      <c r="H23" s="74">
        <v>41285</v>
      </c>
      <c r="I23" s="74">
        <v>41289</v>
      </c>
      <c r="J23" s="63">
        <f t="shared" si="1"/>
      </c>
      <c r="K23" s="53"/>
      <c r="L23" s="53">
        <v>0.1625</v>
      </c>
      <c r="M23" s="53">
        <f t="shared" si="2"/>
      </c>
      <c r="N23" s="63">
        <v>0</v>
      </c>
      <c r="O23" s="64"/>
      <c r="P23" s="68"/>
      <c r="Q23" s="65">
        <f t="shared" si="3"/>
      </c>
      <c r="R23" s="63">
        <f t="shared" si="4"/>
      </c>
      <c r="S23" s="68"/>
      <c r="T23" s="68"/>
      <c r="U23" s="63">
        <f t="shared" si="5"/>
      </c>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105" t="s">
        <v>87</v>
      </c>
      <c r="B26" s="104">
        <v>976391</v>
      </c>
      <c r="C26" s="105" t="s">
        <v>88</v>
      </c>
      <c r="D26" s="61"/>
      <c r="E26" s="61"/>
      <c r="F26" s="61"/>
      <c r="G26" s="62">
        <v>40984</v>
      </c>
      <c r="H26" s="62">
        <v>40996</v>
      </c>
      <c r="I26" s="62">
        <v>40998</v>
      </c>
      <c r="J26" s="63">
        <f ref="J26:J29" t="shared" si="6">K26+L26+M26</f>
      </c>
      <c r="K26" s="53"/>
      <c r="L26" s="53"/>
      <c r="M26" s="53">
        <f ref="M26:M29" t="shared" si="7">N26+O26+V26+Z26+AB26</f>
      </c>
      <c r="N26" s="63">
        <v>0.578124</v>
      </c>
      <c r="O26" s="64"/>
      <c r="P26" s="55"/>
      <c r="Q26" s="65">
        <f ref="Q26:Q29" t="shared" si="8">N26+O26</f>
      </c>
      <c r="R26" s="63">
        <f>Q26*0.0033585</f>
      </c>
      <c r="S26" s="55"/>
      <c r="T26" s="55"/>
      <c r="U26" s="63">
        <f ref="U26:U29" t="shared" si="9">R26</f>
      </c>
      <c r="V26" s="63"/>
      <c r="W26" s="63"/>
      <c r="X26" s="55"/>
      <c r="Y26" s="63"/>
      <c r="Z26" s="63"/>
      <c r="AA26" s="55"/>
      <c r="AB26" s="63"/>
      <c r="AC26" s="63"/>
      <c r="AD26" s="55"/>
      <c r="AE26" s="55"/>
      <c r="AF26" s="66"/>
      <c r="AG26" s="37"/>
    </row>
    <row r="27">
      <c r="A27" s="105" t="s">
        <v>87</v>
      </c>
      <c r="B27" s="104">
        <v>976391</v>
      </c>
      <c r="C27" s="105" t="s">
        <v>88</v>
      </c>
      <c r="D27" s="61"/>
      <c r="E27" s="61"/>
      <c r="F27" s="61"/>
      <c r="G27" s="62">
        <v>41075</v>
      </c>
      <c r="H27" s="62">
        <v>41087</v>
      </c>
      <c r="I27" s="62">
        <v>41089</v>
      </c>
      <c r="J27" s="63">
        <f t="shared" si="6"/>
      </c>
      <c r="K27" s="53"/>
      <c r="L27" s="53"/>
      <c r="M27" s="53">
        <f t="shared" si="7"/>
      </c>
      <c r="N27" s="63">
        <v>0.578124</v>
      </c>
      <c r="O27" s="64"/>
      <c r="P27" s="55"/>
      <c r="Q27" s="65">
        <f t="shared" si="8"/>
      </c>
      <c r="R27" s="63">
        <f ref="R27:R29" t="shared" si="10">Q27*0.0033585</f>
      </c>
      <c r="S27" s="55"/>
      <c r="T27" s="55"/>
      <c r="U27" s="63">
        <f t="shared" si="9"/>
      </c>
      <c r="V27" s="63"/>
      <c r="W27" s="63"/>
      <c r="X27" s="55"/>
      <c r="Y27" s="63"/>
      <c r="Z27" s="63"/>
      <c r="AA27" s="55"/>
      <c r="AB27" s="63"/>
      <c r="AC27" s="63"/>
      <c r="AD27" s="55"/>
      <c r="AE27" s="55"/>
      <c r="AF27" s="66"/>
      <c r="AG27" s="37"/>
    </row>
    <row r="28">
      <c r="A28" s="105" t="s">
        <v>87</v>
      </c>
      <c r="B28" s="104">
        <v>976391</v>
      </c>
      <c r="C28" s="105" t="s">
        <v>88</v>
      </c>
      <c r="D28" s="61"/>
      <c r="E28" s="61"/>
      <c r="F28" s="61"/>
      <c r="G28" s="62">
        <v>41166</v>
      </c>
      <c r="H28" s="62">
        <v>41179</v>
      </c>
      <c r="I28" s="62">
        <v>41183</v>
      </c>
      <c r="J28" s="63">
        <f t="shared" si="6"/>
      </c>
      <c r="K28" s="53"/>
      <c r="L28" s="53"/>
      <c r="M28" s="53">
        <f t="shared" si="7"/>
      </c>
      <c r="N28" s="63">
        <v>0.578124</v>
      </c>
      <c r="O28" s="67"/>
      <c r="P28" s="68"/>
      <c r="Q28" s="65">
        <f t="shared" si="8"/>
      </c>
      <c r="R28" s="63">
        <f t="shared" si="10"/>
      </c>
      <c r="S28" s="68"/>
      <c r="T28" s="68"/>
      <c r="U28" s="63">
        <f t="shared" si="9"/>
      </c>
      <c r="V28" s="53"/>
      <c r="W28" s="53"/>
      <c r="X28" s="68"/>
      <c r="Y28" s="53"/>
      <c r="Z28" s="53"/>
      <c r="AA28" s="68"/>
      <c r="AB28" s="53"/>
      <c r="AC28" s="53"/>
      <c r="AD28" s="68"/>
      <c r="AE28" s="68"/>
      <c r="AF28" s="70"/>
      <c r="AG28" s="37"/>
    </row>
    <row r="29">
      <c r="A29" s="105" t="s">
        <v>87</v>
      </c>
      <c r="B29" s="104">
        <v>976391</v>
      </c>
      <c r="C29" s="105" t="s">
        <v>88</v>
      </c>
      <c r="D29" s="73"/>
      <c r="E29" s="73"/>
      <c r="F29" s="73"/>
      <c r="G29" s="74">
        <v>41257</v>
      </c>
      <c r="H29" s="74">
        <v>41270</v>
      </c>
      <c r="I29" s="74">
        <v>41274</v>
      </c>
      <c r="J29" s="63">
        <f t="shared" si="6"/>
      </c>
      <c r="K29" s="53"/>
      <c r="L29" s="53"/>
      <c r="M29" s="53">
        <f t="shared" si="7"/>
      </c>
      <c r="N29" s="63">
        <v>0.578124</v>
      </c>
      <c r="O29" s="67"/>
      <c r="P29" s="68"/>
      <c r="Q29" s="65">
        <f t="shared" si="8"/>
      </c>
      <c r="R29" s="63">
        <f t="shared" si="10"/>
      </c>
      <c r="S29" s="68"/>
      <c r="T29" s="68"/>
      <c r="U29" s="63">
        <f t="shared" si="9"/>
      </c>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2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Joanna Gillis</cp:lastModifiedBy>
  <cp:lastPrinted>2013-01-28T18:16:37Z</cp:lastPrinted>
  <dcterms:created xsi:type="dcterms:W3CDTF">2012-11-27T14:14:45Z</dcterms:created>
  <dcterms:modified xsi:type="dcterms:W3CDTF">2013-01-28T18:18:38Z</dcterms:modified>
</cp:coreProperties>
</file>