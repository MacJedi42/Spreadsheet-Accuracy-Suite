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420" yWindow="-345" windowWidth="5475" windowHeight="5910"/>
  </bookViews>
  <sheets>
    <sheet name="instruction-districts" sheetId="1" r:id="rId1"/>
    <sheet name="instruction-charters" sheetId="2" r:id="rId2"/>
    <sheet name="support-districts" sheetId="3" r:id="rId3"/>
    <sheet name="support-charters" sheetId="4" r:id="rId4"/>
    <sheet name="Licensed FTEs" sheetId="7" r:id="rId5"/>
    <sheet name="Classified FTEs" sheetId="8" r:id="rId6"/>
  </sheets>
  <calcPr calcId="125725"/>
</workbook>
</file>

<file path=xl/calcChain.xml><?xml version="1.0" encoding="utf-8"?>
<calcChain xmlns="http://schemas.openxmlformats.org/spreadsheetml/2006/main">
  <c r="F117" i="7"/>
  <c r="G117"/>
  <c r="H117"/>
  <c r="I117"/>
  <c r="J117"/>
  <c r="K117"/>
  <c r="L117"/>
  <c r="M117"/>
  <c r="N117"/>
  <c r="O117"/>
  <c r="P117"/>
  <c r="Q117"/>
  <c r="R117"/>
  <c r="S117"/>
  <c r="E117"/>
  <c r="F112"/>
  <c r="G112"/>
  <c r="H112"/>
  <c r="I112"/>
  <c r="J112"/>
  <c r="K112"/>
  <c r="L112"/>
  <c r="M112"/>
  <c r="N112"/>
  <c r="O112"/>
  <c r="P112"/>
  <c r="Q112"/>
  <c r="R112"/>
  <c r="S112"/>
  <c r="E112"/>
  <c r="D53" i="1"/>
  <c r="E53"/>
  <c r="F53"/>
  <c r="G53"/>
  <c r="H53"/>
  <c r="I53"/>
  <c r="K53"/>
  <c r="L53"/>
  <c r="M53"/>
  <c r="N53"/>
  <c r="C53"/>
  <c r="D51"/>
  <c r="E51"/>
  <c r="F51"/>
  <c r="G51"/>
  <c r="H51"/>
  <c r="I51"/>
  <c r="K51"/>
  <c r="L51"/>
  <c r="M51"/>
  <c r="N51"/>
  <c r="C51"/>
  <c r="F76" i="4"/>
  <c r="H76"/>
  <c r="C76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11"/>
  <c r="L76" s="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11"/>
  <c r="K76" s="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11"/>
  <c r="J76" s="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11"/>
  <c r="I76" s="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11"/>
  <c r="G76" s="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11"/>
  <c r="E76" s="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11"/>
  <c r="D76" s="1"/>
  <c r="N12" i="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11"/>
  <c r="D76"/>
  <c r="E76"/>
  <c r="F76"/>
  <c r="G76"/>
  <c r="H76"/>
  <c r="K76"/>
  <c r="L76"/>
  <c r="M76"/>
  <c r="N76"/>
  <c r="C76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11"/>
  <c r="I76" s="1"/>
  <c r="L12" i="3" l="1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11"/>
  <c r="H51" l="1"/>
  <c r="H53"/>
  <c r="J12" i="2"/>
  <c r="M12" i="4" s="1"/>
  <c r="J13" i="2"/>
  <c r="M13" i="4" s="1"/>
  <c r="J14" i="2"/>
  <c r="M14" i="4" s="1"/>
  <c r="J15" i="2"/>
  <c r="M15" i="4" s="1"/>
  <c r="J16" i="2"/>
  <c r="M16" i="4" s="1"/>
  <c r="J17" i="2"/>
  <c r="M17" i="4" s="1"/>
  <c r="J18" i="2"/>
  <c r="M18" i="4" s="1"/>
  <c r="J19" i="2"/>
  <c r="M19" i="4" s="1"/>
  <c r="J20" i="2"/>
  <c r="M20" i="4" s="1"/>
  <c r="J21" i="2"/>
  <c r="M21" i="4" s="1"/>
  <c r="J22" i="2"/>
  <c r="M22" i="4" s="1"/>
  <c r="J23" i="2"/>
  <c r="M23" i="4" s="1"/>
  <c r="J24" i="2"/>
  <c r="M24" i="4" s="1"/>
  <c r="J25" i="2"/>
  <c r="M25" i="4" s="1"/>
  <c r="J26" i="2"/>
  <c r="M26" i="4" s="1"/>
  <c r="J27" i="2"/>
  <c r="M27" i="4" s="1"/>
  <c r="J28" i="2"/>
  <c r="M28" i="4" s="1"/>
  <c r="J29" i="2"/>
  <c r="M29" i="4" s="1"/>
  <c r="J30" i="2"/>
  <c r="M30" i="4" s="1"/>
  <c r="J31" i="2"/>
  <c r="M31" i="4" s="1"/>
  <c r="J32" i="2"/>
  <c r="M32" i="4" s="1"/>
  <c r="J33" i="2"/>
  <c r="M33" i="4" s="1"/>
  <c r="J34" i="2"/>
  <c r="M34" i="4" s="1"/>
  <c r="J35" i="2"/>
  <c r="M35" i="4" s="1"/>
  <c r="J36" i="2"/>
  <c r="M36" i="4" s="1"/>
  <c r="J37" i="2"/>
  <c r="M37" i="4" s="1"/>
  <c r="J38" i="2"/>
  <c r="M38" i="4" s="1"/>
  <c r="J39" i="2"/>
  <c r="M39" i="4" s="1"/>
  <c r="J40" i="2"/>
  <c r="M40" i="4" s="1"/>
  <c r="J41" i="2"/>
  <c r="M41" i="4" s="1"/>
  <c r="J42" i="2"/>
  <c r="M42" i="4" s="1"/>
  <c r="J43" i="2"/>
  <c r="M43" i="4" s="1"/>
  <c r="J44" i="2"/>
  <c r="M44" i="4" s="1"/>
  <c r="J45" i="2"/>
  <c r="M45" i="4" s="1"/>
  <c r="J46" i="2"/>
  <c r="M46" i="4" s="1"/>
  <c r="J47" i="2"/>
  <c r="M47" i="4" s="1"/>
  <c r="J48" i="2"/>
  <c r="M48" i="4" s="1"/>
  <c r="J49" i="2"/>
  <c r="M49" i="4" s="1"/>
  <c r="J50" i="2"/>
  <c r="M50" i="4" s="1"/>
  <c r="J51" i="2"/>
  <c r="M51" i="4" s="1"/>
  <c r="J52" i="2"/>
  <c r="M52" i="4" s="1"/>
  <c r="J53" i="2"/>
  <c r="M53" i="4" s="1"/>
  <c r="J54" i="2"/>
  <c r="M54" i="4" s="1"/>
  <c r="J55" i="2"/>
  <c r="M55" i="4" s="1"/>
  <c r="J56" i="2"/>
  <c r="M56" i="4" s="1"/>
  <c r="J57" i="2"/>
  <c r="M57" i="4" s="1"/>
  <c r="J58" i="2"/>
  <c r="M58" i="4" s="1"/>
  <c r="J59" i="2"/>
  <c r="M59" i="4" s="1"/>
  <c r="J60" i="2"/>
  <c r="M60" i="4" s="1"/>
  <c r="J61" i="2"/>
  <c r="M61" i="4" s="1"/>
  <c r="J62" i="2"/>
  <c r="M62" i="4" s="1"/>
  <c r="J63" i="2"/>
  <c r="M63" i="4" s="1"/>
  <c r="J64" i="2"/>
  <c r="M64" i="4" s="1"/>
  <c r="J65" i="2"/>
  <c r="M65" i="4" s="1"/>
  <c r="J66" i="2"/>
  <c r="M66" i="4" s="1"/>
  <c r="J67" i="2"/>
  <c r="M67" i="4" s="1"/>
  <c r="J68" i="2"/>
  <c r="M68" i="4" s="1"/>
  <c r="J69" i="2"/>
  <c r="M69" i="4" s="1"/>
  <c r="J70" i="2"/>
  <c r="M70" i="4" s="1"/>
  <c r="J71" i="2"/>
  <c r="M71" i="4" s="1"/>
  <c r="J72" i="2"/>
  <c r="M72" i="4" s="1"/>
  <c r="J73" i="2"/>
  <c r="M73" i="4" s="1"/>
  <c r="J74" i="2"/>
  <c r="M74" i="4" s="1"/>
  <c r="J75" i="2"/>
  <c r="M75" i="4" s="1"/>
  <c r="J11" i="2"/>
  <c r="J12" i="1"/>
  <c r="M12" i="3" s="1"/>
  <c r="J13" i="1"/>
  <c r="M13" i="3" s="1"/>
  <c r="J14" i="1"/>
  <c r="M14" i="3" s="1"/>
  <c r="J15" i="1"/>
  <c r="M15" i="3" s="1"/>
  <c r="J16" i="1"/>
  <c r="M16" i="3" s="1"/>
  <c r="J17" i="1"/>
  <c r="M17" i="3" s="1"/>
  <c r="J18" i="1"/>
  <c r="M18" i="3" s="1"/>
  <c r="J19" i="1"/>
  <c r="M19" i="3" s="1"/>
  <c r="J20" i="1"/>
  <c r="M20" i="3" s="1"/>
  <c r="J21" i="1"/>
  <c r="M21" i="3" s="1"/>
  <c r="J22" i="1"/>
  <c r="M22" i="3" s="1"/>
  <c r="J23" i="1"/>
  <c r="M23" i="3" s="1"/>
  <c r="J24" i="1"/>
  <c r="M24" i="3" s="1"/>
  <c r="J25" i="1"/>
  <c r="M25" i="3" s="1"/>
  <c r="J26" i="1"/>
  <c r="M26" i="3" s="1"/>
  <c r="J27" i="1"/>
  <c r="M27" i="3" s="1"/>
  <c r="J28" i="1"/>
  <c r="M28" i="3" s="1"/>
  <c r="J29" i="1"/>
  <c r="M29" i="3" s="1"/>
  <c r="J30" i="1"/>
  <c r="M30" i="3" s="1"/>
  <c r="J31" i="1"/>
  <c r="M31" i="3" s="1"/>
  <c r="J32" i="1"/>
  <c r="M32" i="3" s="1"/>
  <c r="J33" i="1"/>
  <c r="M33" i="3" s="1"/>
  <c r="J34" i="1"/>
  <c r="M34" i="3" s="1"/>
  <c r="J35" i="1"/>
  <c r="M35" i="3" s="1"/>
  <c r="J36" i="1"/>
  <c r="M36" i="3" s="1"/>
  <c r="J37" i="1"/>
  <c r="M37" i="3" s="1"/>
  <c r="J38" i="1"/>
  <c r="M38" i="3" s="1"/>
  <c r="J39" i="1"/>
  <c r="M39" i="3" s="1"/>
  <c r="J40" i="1"/>
  <c r="M40" i="3" s="1"/>
  <c r="J41" i="1"/>
  <c r="M41" i="3" s="1"/>
  <c r="J42" i="1"/>
  <c r="M42" i="3" s="1"/>
  <c r="J43" i="1"/>
  <c r="M43" i="3" s="1"/>
  <c r="J44" i="1"/>
  <c r="M44" i="3" s="1"/>
  <c r="J45" i="1"/>
  <c r="M45" i="3" s="1"/>
  <c r="J46" i="1"/>
  <c r="M46" i="3" s="1"/>
  <c r="J47" i="1"/>
  <c r="M47" i="3" s="1"/>
  <c r="J48" i="1"/>
  <c r="M48" i="3" s="1"/>
  <c r="J49" i="1"/>
  <c r="M49" i="3" s="1"/>
  <c r="J50" i="1"/>
  <c r="M50" i="3" s="1"/>
  <c r="J11" i="1"/>
  <c r="J51" l="1"/>
  <c r="J53" s="1"/>
  <c r="M11" i="3"/>
  <c r="M11" i="4"/>
  <c r="M76" s="1"/>
  <c r="J76" i="2"/>
  <c r="AM114" i="8"/>
  <c r="AM115" s="1"/>
  <c r="AK114"/>
  <c r="AK115" s="1"/>
  <c r="AJ114"/>
  <c r="AJ115" s="1"/>
  <c r="AI114"/>
  <c r="AI115" s="1"/>
  <c r="AH114"/>
  <c r="AH115" s="1"/>
  <c r="AF114"/>
  <c r="AF115" s="1"/>
  <c r="AE114"/>
  <c r="AE115" s="1"/>
  <c r="AD114"/>
  <c r="AD115" s="1"/>
  <c r="AB114"/>
  <c r="AB115" s="1"/>
  <c r="AA114"/>
  <c r="AA115" s="1"/>
  <c r="Y114"/>
  <c r="Y115" s="1"/>
  <c r="X114"/>
  <c r="X115" s="1"/>
  <c r="W114"/>
  <c r="W115" s="1"/>
  <c r="V114"/>
  <c r="V115" s="1"/>
  <c r="U114"/>
  <c r="U115" s="1"/>
  <c r="S114"/>
  <c r="S115" s="1"/>
  <c r="R114"/>
  <c r="R115" s="1"/>
  <c r="Q114"/>
  <c r="Q115" s="1"/>
  <c r="O114"/>
  <c r="O115" s="1"/>
  <c r="N114"/>
  <c r="N115" s="1"/>
  <c r="M114"/>
  <c r="M115" s="1"/>
  <c r="L114"/>
  <c r="L115" s="1"/>
  <c r="K114"/>
  <c r="K115" s="1"/>
  <c r="J114"/>
  <c r="J115" s="1"/>
  <c r="I114"/>
  <c r="I115" s="1"/>
  <c r="H114"/>
  <c r="H115" s="1"/>
  <c r="G114"/>
  <c r="G115" s="1"/>
  <c r="F114"/>
  <c r="F115" s="1"/>
  <c r="E114"/>
  <c r="E115" s="1"/>
  <c r="D114"/>
  <c r="D115" s="1"/>
  <c r="C114"/>
  <c r="C115" s="1"/>
  <c r="AL113"/>
  <c r="AG113"/>
  <c r="AC113"/>
  <c r="Z113"/>
  <c r="T113"/>
  <c r="P113"/>
  <c r="AL112"/>
  <c r="AG112"/>
  <c r="AC112"/>
  <c r="Z112"/>
  <c r="T112"/>
  <c r="P112"/>
  <c r="AL111"/>
  <c r="AG111"/>
  <c r="AC111"/>
  <c r="Z111"/>
  <c r="T111"/>
  <c r="P111"/>
  <c r="AL110"/>
  <c r="AG110"/>
  <c r="AC110"/>
  <c r="Z110"/>
  <c r="T110"/>
  <c r="P110"/>
  <c r="AL109"/>
  <c r="AG109"/>
  <c r="AC109"/>
  <c r="Z109"/>
  <c r="T109"/>
  <c r="P109"/>
  <c r="AL108"/>
  <c r="AG108"/>
  <c r="AC108"/>
  <c r="Z108"/>
  <c r="T108"/>
  <c r="P108"/>
  <c r="AL107"/>
  <c r="AG107"/>
  <c r="AC107"/>
  <c r="Z107"/>
  <c r="T107"/>
  <c r="P107"/>
  <c r="AL106"/>
  <c r="AG106"/>
  <c r="AC106"/>
  <c r="Z106"/>
  <c r="T106"/>
  <c r="P106"/>
  <c r="AL105"/>
  <c r="AG105"/>
  <c r="AC105"/>
  <c r="Z105"/>
  <c r="T105"/>
  <c r="P105"/>
  <c r="AL104"/>
  <c r="AG104"/>
  <c r="AC104"/>
  <c r="Z104"/>
  <c r="T104"/>
  <c r="P104"/>
  <c r="AL103"/>
  <c r="AG103"/>
  <c r="AC103"/>
  <c r="Z103"/>
  <c r="T103"/>
  <c r="P103"/>
  <c r="AL102"/>
  <c r="AG102"/>
  <c r="AC102"/>
  <c r="Z102"/>
  <c r="T102"/>
  <c r="P102"/>
  <c r="AL101"/>
  <c r="AG101"/>
  <c r="AC101"/>
  <c r="Z101"/>
  <c r="T101"/>
  <c r="P101"/>
  <c r="AL100"/>
  <c r="AG100"/>
  <c r="AC100"/>
  <c r="Z100"/>
  <c r="T100"/>
  <c r="P100"/>
  <c r="AL99"/>
  <c r="AG99"/>
  <c r="AC99"/>
  <c r="Z99"/>
  <c r="T99"/>
  <c r="P99"/>
  <c r="AL98"/>
  <c r="AG98"/>
  <c r="AC98"/>
  <c r="Z98"/>
  <c r="T98"/>
  <c r="P98"/>
  <c r="AL97"/>
  <c r="AG97"/>
  <c r="AC97"/>
  <c r="Z97"/>
  <c r="T97"/>
  <c r="P97"/>
  <c r="AL96"/>
  <c r="AG96"/>
  <c r="AC96"/>
  <c r="Z96"/>
  <c r="T96"/>
  <c r="P96"/>
  <c r="AL95"/>
  <c r="AG95"/>
  <c r="AC95"/>
  <c r="Z95"/>
  <c r="T95"/>
  <c r="P95"/>
  <c r="AL94"/>
  <c r="AG94"/>
  <c r="AC94"/>
  <c r="Z94"/>
  <c r="T94"/>
  <c r="P94"/>
  <c r="AL93"/>
  <c r="AG93"/>
  <c r="AC93"/>
  <c r="Z93"/>
  <c r="T93"/>
  <c r="P93"/>
  <c r="AL92"/>
  <c r="AG92"/>
  <c r="AC92"/>
  <c r="Z92"/>
  <c r="T92"/>
  <c r="P92"/>
  <c r="AL91"/>
  <c r="AG91"/>
  <c r="AC91"/>
  <c r="Z91"/>
  <c r="T91"/>
  <c r="P91"/>
  <c r="AL90"/>
  <c r="AG90"/>
  <c r="AC90"/>
  <c r="Z90"/>
  <c r="T90"/>
  <c r="P90"/>
  <c r="AL89"/>
  <c r="AG89"/>
  <c r="AC89"/>
  <c r="Z89"/>
  <c r="T89"/>
  <c r="P89"/>
  <c r="AL88"/>
  <c r="AG88"/>
  <c r="AC88"/>
  <c r="Z88"/>
  <c r="T88"/>
  <c r="P88"/>
  <c r="AL87"/>
  <c r="AG87"/>
  <c r="AC87"/>
  <c r="Z87"/>
  <c r="T87"/>
  <c r="P87"/>
  <c r="AL86"/>
  <c r="AG86"/>
  <c r="AC86"/>
  <c r="Z86"/>
  <c r="T86"/>
  <c r="P86"/>
  <c r="AL85"/>
  <c r="AG85"/>
  <c r="AC85"/>
  <c r="Z85"/>
  <c r="T85"/>
  <c r="P85"/>
  <c r="AL84"/>
  <c r="AG84"/>
  <c r="AC84"/>
  <c r="Z84"/>
  <c r="T84"/>
  <c r="P84"/>
  <c r="AL83"/>
  <c r="AG83"/>
  <c r="AC83"/>
  <c r="Z83"/>
  <c r="T83"/>
  <c r="P83"/>
  <c r="AL82"/>
  <c r="AG82"/>
  <c r="AC82"/>
  <c r="Z82"/>
  <c r="T82"/>
  <c r="P82"/>
  <c r="AL81"/>
  <c r="AG81"/>
  <c r="AC81"/>
  <c r="Z81"/>
  <c r="T81"/>
  <c r="P81"/>
  <c r="AL80"/>
  <c r="AG80"/>
  <c r="AC80"/>
  <c r="Z80"/>
  <c r="T80"/>
  <c r="P80"/>
  <c r="AL79"/>
  <c r="AG79"/>
  <c r="AC79"/>
  <c r="Z79"/>
  <c r="T79"/>
  <c r="P79"/>
  <c r="AL78"/>
  <c r="AG78"/>
  <c r="AC78"/>
  <c r="Z78"/>
  <c r="T78"/>
  <c r="P78"/>
  <c r="AL77"/>
  <c r="AG77"/>
  <c r="AC77"/>
  <c r="Z77"/>
  <c r="T77"/>
  <c r="P77"/>
  <c r="AL76"/>
  <c r="AG76"/>
  <c r="AC76"/>
  <c r="Z76"/>
  <c r="T76"/>
  <c r="P76"/>
  <c r="AL75"/>
  <c r="AG75"/>
  <c r="AC75"/>
  <c r="Z75"/>
  <c r="T75"/>
  <c r="P75"/>
  <c r="AL74"/>
  <c r="AG74"/>
  <c r="AC74"/>
  <c r="Z74"/>
  <c r="T74"/>
  <c r="P74"/>
  <c r="AL73"/>
  <c r="AG73"/>
  <c r="AC73"/>
  <c r="Z73"/>
  <c r="T73"/>
  <c r="P73"/>
  <c r="AL72"/>
  <c r="AG72"/>
  <c r="AC72"/>
  <c r="Z72"/>
  <c r="T72"/>
  <c r="P72"/>
  <c r="AL71"/>
  <c r="AG71"/>
  <c r="AC71"/>
  <c r="Z71"/>
  <c r="T71"/>
  <c r="P71"/>
  <c r="AL70"/>
  <c r="AG70"/>
  <c r="AC70"/>
  <c r="Z70"/>
  <c r="T70"/>
  <c r="P70"/>
  <c r="AL69"/>
  <c r="AG69"/>
  <c r="AC69"/>
  <c r="Z69"/>
  <c r="T69"/>
  <c r="P69"/>
  <c r="AL68"/>
  <c r="AG68"/>
  <c r="AC68"/>
  <c r="Z68"/>
  <c r="T68"/>
  <c r="P68"/>
  <c r="AL67"/>
  <c r="AG67"/>
  <c r="AC67"/>
  <c r="Z67"/>
  <c r="T67"/>
  <c r="P67"/>
  <c r="AL66"/>
  <c r="AG66"/>
  <c r="AC66"/>
  <c r="Z66"/>
  <c r="T66"/>
  <c r="P66"/>
  <c r="AL65"/>
  <c r="AG65"/>
  <c r="AC65"/>
  <c r="Z65"/>
  <c r="T65"/>
  <c r="P65"/>
  <c r="AL64"/>
  <c r="AG64"/>
  <c r="AC64"/>
  <c r="Z64"/>
  <c r="T64"/>
  <c r="P64"/>
  <c r="AL63"/>
  <c r="AG63"/>
  <c r="AC63"/>
  <c r="Z63"/>
  <c r="T63"/>
  <c r="P63"/>
  <c r="AL62"/>
  <c r="AG62"/>
  <c r="AC62"/>
  <c r="Z62"/>
  <c r="T62"/>
  <c r="P62"/>
  <c r="AL61"/>
  <c r="AG61"/>
  <c r="AC61"/>
  <c r="Z61"/>
  <c r="T61"/>
  <c r="P61"/>
  <c r="AL60"/>
  <c r="AG60"/>
  <c r="AC60"/>
  <c r="Z60"/>
  <c r="T60"/>
  <c r="P60"/>
  <c r="AL59"/>
  <c r="AG59"/>
  <c r="AC59"/>
  <c r="Z59"/>
  <c r="T59"/>
  <c r="P59"/>
  <c r="AL58"/>
  <c r="AG58"/>
  <c r="AC58"/>
  <c r="Z58"/>
  <c r="T58"/>
  <c r="P58"/>
  <c r="AL57"/>
  <c r="AG57"/>
  <c r="AC57"/>
  <c r="Z57"/>
  <c r="T57"/>
  <c r="P57"/>
  <c r="AL56"/>
  <c r="AG56"/>
  <c r="AC56"/>
  <c r="Z56"/>
  <c r="T56"/>
  <c r="P56"/>
  <c r="AL55"/>
  <c r="AG55"/>
  <c r="AC55"/>
  <c r="Z55"/>
  <c r="T55"/>
  <c r="P55"/>
  <c r="AL54"/>
  <c r="AG54"/>
  <c r="AC54"/>
  <c r="Z54"/>
  <c r="T54"/>
  <c r="P54"/>
  <c r="AL53"/>
  <c r="AG53"/>
  <c r="AC53"/>
  <c r="Z53"/>
  <c r="T53"/>
  <c r="P53"/>
  <c r="AL52"/>
  <c r="AG52"/>
  <c r="AC52"/>
  <c r="Z52"/>
  <c r="T52"/>
  <c r="P52"/>
  <c r="AL51"/>
  <c r="AG51"/>
  <c r="AC51"/>
  <c r="Z51"/>
  <c r="T51"/>
  <c r="P51"/>
  <c r="AL50"/>
  <c r="AG50"/>
  <c r="AC50"/>
  <c r="Z50"/>
  <c r="T50"/>
  <c r="P50"/>
  <c r="AL49"/>
  <c r="AL114" s="1"/>
  <c r="AG49"/>
  <c r="AG114" s="1"/>
  <c r="AC49"/>
  <c r="AC114" s="1"/>
  <c r="Z49"/>
  <c r="Z114" s="1"/>
  <c r="T49"/>
  <c r="T114" s="1"/>
  <c r="P49"/>
  <c r="P114" s="1"/>
  <c r="AM47"/>
  <c r="AK47"/>
  <c r="AJ47"/>
  <c r="AI47"/>
  <c r="AH47"/>
  <c r="AF47"/>
  <c r="AE47"/>
  <c r="AD47"/>
  <c r="AB47"/>
  <c r="AA47"/>
  <c r="Y47"/>
  <c r="X47"/>
  <c r="W47"/>
  <c r="V47"/>
  <c r="U47"/>
  <c r="S47"/>
  <c r="R47"/>
  <c r="Q47"/>
  <c r="O47"/>
  <c r="N47"/>
  <c r="M47"/>
  <c r="L47"/>
  <c r="K47"/>
  <c r="J47"/>
  <c r="I47"/>
  <c r="H47"/>
  <c r="G47"/>
  <c r="F47"/>
  <c r="E47"/>
  <c r="D47"/>
  <c r="C47"/>
  <c r="AL46"/>
  <c r="AG46"/>
  <c r="AC46"/>
  <c r="Z46"/>
  <c r="T46"/>
  <c r="P46"/>
  <c r="AL45"/>
  <c r="AG45"/>
  <c r="AC45"/>
  <c r="Z45"/>
  <c r="T45"/>
  <c r="P45"/>
  <c r="AL44"/>
  <c r="AG44"/>
  <c r="AC44"/>
  <c r="Z44"/>
  <c r="T44"/>
  <c r="P44"/>
  <c r="AL43"/>
  <c r="AG43"/>
  <c r="AC43"/>
  <c r="Z43"/>
  <c r="T43"/>
  <c r="P43"/>
  <c r="AL42"/>
  <c r="AG42"/>
  <c r="AC42"/>
  <c r="Z42"/>
  <c r="T42"/>
  <c r="P42"/>
  <c r="AL41"/>
  <c r="AG41"/>
  <c r="AC41"/>
  <c r="Z41"/>
  <c r="T41"/>
  <c r="P41"/>
  <c r="AL40"/>
  <c r="AG40"/>
  <c r="AC40"/>
  <c r="Z40"/>
  <c r="T40"/>
  <c r="P40"/>
  <c r="AL39"/>
  <c r="AG39"/>
  <c r="AC39"/>
  <c r="Z39"/>
  <c r="T39"/>
  <c r="P39"/>
  <c r="AL38"/>
  <c r="AG38"/>
  <c r="AC38"/>
  <c r="Z38"/>
  <c r="T38"/>
  <c r="P38"/>
  <c r="AL37"/>
  <c r="AG37"/>
  <c r="AC37"/>
  <c r="Z37"/>
  <c r="T37"/>
  <c r="P37"/>
  <c r="AL36"/>
  <c r="AG36"/>
  <c r="AC36"/>
  <c r="Z36"/>
  <c r="T36"/>
  <c r="P36"/>
  <c r="AL35"/>
  <c r="AG35"/>
  <c r="AC35"/>
  <c r="Z35"/>
  <c r="T35"/>
  <c r="P35"/>
  <c r="AL34"/>
  <c r="AG34"/>
  <c r="AC34"/>
  <c r="Z34"/>
  <c r="T34"/>
  <c r="P34"/>
  <c r="AL33"/>
  <c r="AG33"/>
  <c r="AC33"/>
  <c r="Z33"/>
  <c r="T33"/>
  <c r="P33"/>
  <c r="AL32"/>
  <c r="AG32"/>
  <c r="AC32"/>
  <c r="Z32"/>
  <c r="T32"/>
  <c r="P32"/>
  <c r="AL31"/>
  <c r="AG31"/>
  <c r="AC31"/>
  <c r="Z31"/>
  <c r="T31"/>
  <c r="P31"/>
  <c r="AL30"/>
  <c r="AG30"/>
  <c r="AC30"/>
  <c r="Z30"/>
  <c r="T30"/>
  <c r="P30"/>
  <c r="AL29"/>
  <c r="AG29"/>
  <c r="AC29"/>
  <c r="Z29"/>
  <c r="T29"/>
  <c r="P29"/>
  <c r="AL28"/>
  <c r="AG28"/>
  <c r="AC28"/>
  <c r="Z28"/>
  <c r="T28"/>
  <c r="P28"/>
  <c r="AL27"/>
  <c r="AG27"/>
  <c r="AC27"/>
  <c r="Z27"/>
  <c r="T27"/>
  <c r="P27"/>
  <c r="AL26"/>
  <c r="AG26"/>
  <c r="AC26"/>
  <c r="Z26"/>
  <c r="T26"/>
  <c r="P26"/>
  <c r="AL25"/>
  <c r="AG25"/>
  <c r="AC25"/>
  <c r="Z25"/>
  <c r="T25"/>
  <c r="P25"/>
  <c r="AL24"/>
  <c r="AG24"/>
  <c r="AC24"/>
  <c r="Z24"/>
  <c r="T24"/>
  <c r="P24"/>
  <c r="AL23"/>
  <c r="AG23"/>
  <c r="AC23"/>
  <c r="Z23"/>
  <c r="T23"/>
  <c r="P23"/>
  <c r="AL22"/>
  <c r="AG22"/>
  <c r="AC22"/>
  <c r="Z22"/>
  <c r="T22"/>
  <c r="P22"/>
  <c r="AL21"/>
  <c r="AG21"/>
  <c r="AC21"/>
  <c r="Z21"/>
  <c r="T21"/>
  <c r="P21"/>
  <c r="AL20"/>
  <c r="AG20"/>
  <c r="AC20"/>
  <c r="Z20"/>
  <c r="T20"/>
  <c r="P20"/>
  <c r="AL19"/>
  <c r="AG19"/>
  <c r="AC19"/>
  <c r="Z19"/>
  <c r="T19"/>
  <c r="P19"/>
  <c r="AL18"/>
  <c r="AG18"/>
  <c r="AC18"/>
  <c r="Z18"/>
  <c r="T18"/>
  <c r="P18"/>
  <c r="AL17"/>
  <c r="AG17"/>
  <c r="AC17"/>
  <c r="Z17"/>
  <c r="T17"/>
  <c r="P17"/>
  <c r="AL16"/>
  <c r="AG16"/>
  <c r="AC16"/>
  <c r="Z16"/>
  <c r="T16"/>
  <c r="P16"/>
  <c r="AL15"/>
  <c r="AG15"/>
  <c r="AC15"/>
  <c r="Z15"/>
  <c r="T15"/>
  <c r="P15"/>
  <c r="AL14"/>
  <c r="AG14"/>
  <c r="AC14"/>
  <c r="Z14"/>
  <c r="T14"/>
  <c r="P14"/>
  <c r="AL13"/>
  <c r="AG13"/>
  <c r="AC13"/>
  <c r="Z13"/>
  <c r="T13"/>
  <c r="P13"/>
  <c r="AL12"/>
  <c r="AG12"/>
  <c r="AC12"/>
  <c r="Z12"/>
  <c r="T12"/>
  <c r="P12"/>
  <c r="AL11"/>
  <c r="AG11"/>
  <c r="AC11"/>
  <c r="Z11"/>
  <c r="T11"/>
  <c r="P11"/>
  <c r="AL10"/>
  <c r="AG10"/>
  <c r="AC10"/>
  <c r="Z10"/>
  <c r="T10"/>
  <c r="P10"/>
  <c r="AL9"/>
  <c r="AG9"/>
  <c r="AC9"/>
  <c r="Z9"/>
  <c r="T9"/>
  <c r="P9"/>
  <c r="AL8"/>
  <c r="AG8"/>
  <c r="AC8"/>
  <c r="Z8"/>
  <c r="T8"/>
  <c r="P8"/>
  <c r="AL7"/>
  <c r="AL47" s="1"/>
  <c r="AG7"/>
  <c r="AG47" s="1"/>
  <c r="AC7"/>
  <c r="AC47" s="1"/>
  <c r="Z7"/>
  <c r="Z47" s="1"/>
  <c r="T7"/>
  <c r="T47" s="1"/>
  <c r="P7"/>
  <c r="P47" s="1"/>
  <c r="L51" i="3"/>
  <c r="L53" s="1"/>
  <c r="K51"/>
  <c r="K53" s="1"/>
  <c r="J51"/>
  <c r="J53" s="1"/>
  <c r="I51"/>
  <c r="I53" s="1"/>
  <c r="G51"/>
  <c r="G53" s="1"/>
  <c r="E51"/>
  <c r="E53" s="1"/>
  <c r="F51"/>
  <c r="F53" s="1"/>
  <c r="C51"/>
  <c r="C53" s="1"/>
  <c r="P115" i="8" l="1"/>
  <c r="T115"/>
  <c r="Z115"/>
  <c r="AC115"/>
  <c r="AG115"/>
  <c r="AL115"/>
  <c r="D51" i="3"/>
  <c r="D53" s="1"/>
  <c r="M51" l="1"/>
  <c r="M53" s="1"/>
</calcChain>
</file>

<file path=xl/sharedStrings.xml><?xml version="1.0" encoding="utf-8"?>
<sst xmlns="http://schemas.openxmlformats.org/spreadsheetml/2006/main" count="819" uniqueCount="385">
  <si>
    <t>Local Education Agencies</t>
  </si>
  <si>
    <t>INSTRUCTION</t>
  </si>
  <si>
    <t>SUPPORT</t>
  </si>
  <si>
    <t>CLASSROOM TEACHERS</t>
  </si>
  <si>
    <t>Instructional Aides</t>
  </si>
  <si>
    <t>Instructional Coordinators and Supervisors</t>
  </si>
  <si>
    <t>Elementary Guidance Counselors</t>
  </si>
  <si>
    <t>Secondary Guidance Counselors</t>
  </si>
  <si>
    <t>Librarians and Media Specialists</t>
  </si>
  <si>
    <t>Library and Media Support Staff</t>
  </si>
  <si>
    <t>Kindergarten</t>
  </si>
  <si>
    <t>Elementary</t>
  </si>
  <si>
    <t>Secondary</t>
  </si>
  <si>
    <t>Special Education</t>
  </si>
  <si>
    <t>Regular</t>
  </si>
  <si>
    <t>Special</t>
  </si>
  <si>
    <t>CACTUS Database</t>
  </si>
  <si>
    <t>Classified Personnel Report</t>
  </si>
  <si>
    <t>DISTRICT</t>
  </si>
  <si>
    <t>Alpine</t>
  </si>
  <si>
    <t>Beaver</t>
  </si>
  <si>
    <t>Box Elder</t>
  </si>
  <si>
    <t>Cache</t>
  </si>
  <si>
    <t>Carbon</t>
  </si>
  <si>
    <t>Daggett</t>
  </si>
  <si>
    <t>Davis</t>
  </si>
  <si>
    <t>Duchesne</t>
  </si>
  <si>
    <t>Emery</t>
  </si>
  <si>
    <t>Garfield</t>
  </si>
  <si>
    <t>Grand</t>
  </si>
  <si>
    <t>Granite</t>
  </si>
  <si>
    <t>Iron</t>
  </si>
  <si>
    <t>Jordan</t>
  </si>
  <si>
    <t>Juab</t>
  </si>
  <si>
    <t>Kane</t>
  </si>
  <si>
    <t>Millard</t>
  </si>
  <si>
    <t>Morgan</t>
  </si>
  <si>
    <t>Nebo</t>
  </si>
  <si>
    <t>North Sanpete</t>
  </si>
  <si>
    <t>North Summit</t>
  </si>
  <si>
    <t>Park City</t>
  </si>
  <si>
    <t>Piute</t>
  </si>
  <si>
    <t>Rich</t>
  </si>
  <si>
    <t>San Juan</t>
  </si>
  <si>
    <t>Sevier</t>
  </si>
  <si>
    <t>South Sanpete</t>
  </si>
  <si>
    <t>South Summit</t>
  </si>
  <si>
    <t>Tintic</t>
  </si>
  <si>
    <t>Tooele</t>
  </si>
  <si>
    <t>Uintah</t>
  </si>
  <si>
    <t>Wasatch</t>
  </si>
  <si>
    <t>Washington</t>
  </si>
  <si>
    <t>Wayne</t>
  </si>
  <si>
    <t>Weber</t>
  </si>
  <si>
    <t>Salt Lake</t>
  </si>
  <si>
    <t>Ogden</t>
  </si>
  <si>
    <t>Provo</t>
  </si>
  <si>
    <t>Logan</t>
  </si>
  <si>
    <t>Murray</t>
  </si>
  <si>
    <t>DISTRICT TOTAL</t>
  </si>
  <si>
    <t>CHARTER TOTAL</t>
  </si>
  <si>
    <t>GRAND TOTAL</t>
  </si>
  <si>
    <t>TOTAL FTEs</t>
  </si>
  <si>
    <t>LEA Administrators</t>
  </si>
  <si>
    <t>School Administrators</t>
  </si>
  <si>
    <t>District</t>
  </si>
  <si>
    <t>Charter School</t>
  </si>
  <si>
    <t>8B</t>
  </si>
  <si>
    <t>AMES</t>
  </si>
  <si>
    <t>3B</t>
  </si>
  <si>
    <t>BSTA</t>
  </si>
  <si>
    <t>9D</t>
  </si>
  <si>
    <t>Canyon Rim Academy</t>
  </si>
  <si>
    <t>CBA Center</t>
  </si>
  <si>
    <t>2D</t>
  </si>
  <si>
    <t>Channing Hall</t>
  </si>
  <si>
    <t>City Academy</t>
  </si>
  <si>
    <t>3E</t>
  </si>
  <si>
    <t>CS Lewis Academy</t>
  </si>
  <si>
    <t>A3</t>
  </si>
  <si>
    <t>4E</t>
  </si>
  <si>
    <t>Dual Immersion Academy</t>
  </si>
  <si>
    <t>A8</t>
  </si>
  <si>
    <t>5E</t>
  </si>
  <si>
    <t>Edith Bowen Lab School</t>
  </si>
  <si>
    <t>3C</t>
  </si>
  <si>
    <t>5D</t>
  </si>
  <si>
    <t>George Washington</t>
  </si>
  <si>
    <t>1E</t>
  </si>
  <si>
    <t>Guadalupe</t>
  </si>
  <si>
    <t>2C</t>
  </si>
  <si>
    <t>Intech</t>
  </si>
  <si>
    <t>A5</t>
  </si>
  <si>
    <t>Itineris</t>
  </si>
  <si>
    <t>John Hancock</t>
  </si>
  <si>
    <t>4C</t>
  </si>
  <si>
    <t>5C</t>
  </si>
  <si>
    <t>6C</t>
  </si>
  <si>
    <t>2B</t>
  </si>
  <si>
    <t>2E</t>
  </si>
  <si>
    <t>A7</t>
  </si>
  <si>
    <t>7C</t>
  </si>
  <si>
    <t>Monticello Acad</t>
  </si>
  <si>
    <t>8C</t>
  </si>
  <si>
    <t>Mountainville Acad</t>
  </si>
  <si>
    <t>9B</t>
  </si>
  <si>
    <t>Navigator Pointe</t>
  </si>
  <si>
    <t>6D</t>
  </si>
  <si>
    <t>Noah Webster</t>
  </si>
  <si>
    <t>A6</t>
  </si>
  <si>
    <t>North Davis Prep</t>
  </si>
  <si>
    <t>5B</t>
  </si>
  <si>
    <t>North Star Acad</t>
  </si>
  <si>
    <t>A1</t>
  </si>
  <si>
    <t>NUAMES</t>
  </si>
  <si>
    <t>1C</t>
  </si>
  <si>
    <t>Odyssey</t>
  </si>
  <si>
    <t>Ogden Prep</t>
  </si>
  <si>
    <t>8D</t>
  </si>
  <si>
    <t>Open Classroom</t>
  </si>
  <si>
    <t>9C</t>
  </si>
  <si>
    <t>Paradigm High School</t>
  </si>
  <si>
    <t>Pinnacle Canyon</t>
  </si>
  <si>
    <t>A2</t>
  </si>
  <si>
    <t>Ranches</t>
  </si>
  <si>
    <t>7B</t>
  </si>
  <si>
    <t>Reagan Acad</t>
  </si>
  <si>
    <t>1D</t>
  </si>
  <si>
    <t>Renaissance Acad</t>
  </si>
  <si>
    <t>Salt Lake Arts Acad</t>
  </si>
  <si>
    <t>7D</t>
  </si>
  <si>
    <t>Salt Lake School for Perf. Arts</t>
  </si>
  <si>
    <t>Soldier Hollow</t>
  </si>
  <si>
    <t>3D</t>
  </si>
  <si>
    <t>Spectrum Acad</t>
  </si>
  <si>
    <t>A9</t>
  </si>
  <si>
    <t>SUCCESS Acad</t>
  </si>
  <si>
    <t>Success School</t>
  </si>
  <si>
    <t>A4</t>
  </si>
  <si>
    <t>Summit Acad</t>
  </si>
  <si>
    <t>4D</t>
  </si>
  <si>
    <t>Syracuse Arts</t>
  </si>
  <si>
    <t>Thomas Edison North</t>
  </si>
  <si>
    <t>Timpanogos Acad.</t>
  </si>
  <si>
    <t>Tuacahn High</t>
  </si>
  <si>
    <t>1B</t>
  </si>
  <si>
    <t>UCAS</t>
  </si>
  <si>
    <t>Uintah River</t>
  </si>
  <si>
    <t>Walden</t>
  </si>
  <si>
    <t>4B</t>
  </si>
  <si>
    <t>Wasatch Peak</t>
  </si>
  <si>
    <t>CHARTER SCHOOL TOTAL</t>
  </si>
  <si>
    <t>STATE TOTAL</t>
  </si>
  <si>
    <t>CLASSIFIED PERSONNEL FTEs</t>
  </si>
  <si>
    <t>1000 Instruction</t>
  </si>
  <si>
    <t>2000 Support Services</t>
  </si>
  <si>
    <t>3100 School Food Services</t>
  </si>
  <si>
    <t>4000                                                Facilities Acquistion/ Construction</t>
  </si>
  <si>
    <t>TOTAL CLASSIFIED PERSONNEL</t>
  </si>
  <si>
    <t>2100 Students</t>
  </si>
  <si>
    <t>2200 Instructional Staff</t>
  </si>
  <si>
    <t>2300 District Gen. Admin.</t>
  </si>
  <si>
    <t>2400       Sch. Admin.</t>
  </si>
  <si>
    <t>2500 Business</t>
  </si>
  <si>
    <t>2600 Maintenance &amp; Operation</t>
  </si>
  <si>
    <t>2700 Student Transportation</t>
  </si>
  <si>
    <t>2900 Other</t>
  </si>
  <si>
    <t>Tchr. Aides &amp; Para- professional</t>
  </si>
  <si>
    <t>Health Services Personnel</t>
  </si>
  <si>
    <t>Secretary/ Clerical</t>
  </si>
  <si>
    <t>Media Center Aides</t>
  </si>
  <si>
    <t>Supv. and Directors</t>
  </si>
  <si>
    <t>School Business Admin.</t>
  </si>
  <si>
    <t>Accounting Personnel</t>
  </si>
  <si>
    <t>Other Personnel</t>
  </si>
  <si>
    <t>TOTAL BUSINESS</t>
  </si>
  <si>
    <t>Supervisors</t>
  </si>
  <si>
    <t>Custodians/ Maintenance</t>
  </si>
  <si>
    <t>TOTAL M&amp;O</t>
  </si>
  <si>
    <t>Bus Drivers</t>
  </si>
  <si>
    <t>Mechanics/ Garage Personnel</t>
  </si>
  <si>
    <t>TOTAL TRANS.</t>
  </si>
  <si>
    <t>TOTAL OTHER</t>
  </si>
  <si>
    <t>Food Service Personnel</t>
  </si>
  <si>
    <t>TOTAL SCHOOL FOODS</t>
  </si>
  <si>
    <t>Building/ Construction</t>
  </si>
  <si>
    <t>TOTAL FACILITY/ CONSTR.</t>
  </si>
  <si>
    <t>LEA Administrative Support Staff</t>
  </si>
  <si>
    <t>School Administrative Support Staff</t>
  </si>
  <si>
    <t>Student Support Services Staff</t>
  </si>
  <si>
    <t>Other Support Staff</t>
  </si>
  <si>
    <t>School Nurses</t>
  </si>
  <si>
    <t>Student Transportation Supervisors</t>
  </si>
  <si>
    <t>School Food Services Supervisors</t>
  </si>
  <si>
    <t>CHARTER SCHOOL</t>
  </si>
  <si>
    <t>American Leadership Academy</t>
  </si>
  <si>
    <t>American Preparatory Academy</t>
  </si>
  <si>
    <t>DaVinci Academy</t>
  </si>
  <si>
    <t>East Hollywood High</t>
  </si>
  <si>
    <t>Entheos Academy</t>
  </si>
  <si>
    <t>Fast Forward High</t>
  </si>
  <si>
    <t>Freedom Academy</t>
  </si>
  <si>
    <t>George Washington Academy</t>
  </si>
  <si>
    <t>Guadalupe School</t>
  </si>
  <si>
    <t>Intech Collegiate High</t>
  </si>
  <si>
    <t>Itineris Early College High</t>
  </si>
  <si>
    <t>Karl G Maeser Prep Academy</t>
  </si>
  <si>
    <t>Lakeview Academy</t>
  </si>
  <si>
    <t>Legacy Prep Academy</t>
  </si>
  <si>
    <t>Liberty Academy</t>
  </si>
  <si>
    <t>Lincoln Academy</t>
  </si>
  <si>
    <t>Moab Community School</t>
  </si>
  <si>
    <t>Monticello Academy</t>
  </si>
  <si>
    <t>Mountainville Academy</t>
  </si>
  <si>
    <t>Navigator Pointe Academy</t>
  </si>
  <si>
    <t>Noah Webster Academy</t>
  </si>
  <si>
    <t>North Davis Prep Academy</t>
  </si>
  <si>
    <t>North Star Academy</t>
  </si>
  <si>
    <t>Ogden Prep Academy</t>
  </si>
  <si>
    <t>Pinnacle Canyon Academy</t>
  </si>
  <si>
    <t>Ranches Academy</t>
  </si>
  <si>
    <t>Reagan Academy</t>
  </si>
  <si>
    <t>Renaissance Academy</t>
  </si>
  <si>
    <t>Salt Lake Arts Academy</t>
  </si>
  <si>
    <t>Spectrum Academy</t>
  </si>
  <si>
    <t>SUCCESS Academy</t>
  </si>
  <si>
    <t>Summit Academy</t>
  </si>
  <si>
    <t>Syracuse Arts Academy</t>
  </si>
  <si>
    <t>Timpanogos Academy</t>
  </si>
  <si>
    <t>Uintah River High</t>
  </si>
  <si>
    <t>Walden School of Liberal Arts</t>
  </si>
  <si>
    <t>Wasatch Peak Academy</t>
  </si>
  <si>
    <t>CLASSROOM TEACHERS</t>
  </si>
  <si>
    <t>Instructional Coordinators and Supervisors</t>
  </si>
  <si>
    <t>Elementary Guidance Counselors</t>
  </si>
  <si>
    <t>Secondary Guidance Counselors</t>
  </si>
  <si>
    <t>Librarians and Media Specialists</t>
  </si>
  <si>
    <t>LEA Administrators</t>
  </si>
  <si>
    <t>School Administrators</t>
  </si>
  <si>
    <t>Student Support Services</t>
  </si>
  <si>
    <t>TOTAL FTEs</t>
  </si>
  <si>
    <t>PreKindergarten</t>
  </si>
  <si>
    <t>Special Education</t>
  </si>
  <si>
    <t>School-Based Specialists</t>
  </si>
  <si>
    <t>ALPINE DISTRICT</t>
  </si>
  <si>
    <t>BEAVER DISTRICT</t>
  </si>
  <si>
    <t>BOX ELDER DISTRICT</t>
  </si>
  <si>
    <t>CACHE DISTRICT</t>
  </si>
  <si>
    <t>CARBON DISTRICT</t>
  </si>
  <si>
    <t>DAGGETT DISTRICT</t>
  </si>
  <si>
    <t>DAVIS DISTRICT</t>
  </si>
  <si>
    <t>DUCHESNE DISTRICT</t>
  </si>
  <si>
    <t>EMERY DISTRICT</t>
  </si>
  <si>
    <t>GARFIELD DISTRICT</t>
  </si>
  <si>
    <t>GRAND DISTRICT</t>
  </si>
  <si>
    <t>GRANITE DISTRICT</t>
  </si>
  <si>
    <t>IRON DISTRICT</t>
  </si>
  <si>
    <t>JORDAN DISTRICT</t>
  </si>
  <si>
    <t>JUAB DISTRICT</t>
  </si>
  <si>
    <t>KANE DISTRICT</t>
  </si>
  <si>
    <t>LOGAN DISTRICT</t>
  </si>
  <si>
    <t>MILLARD DISTRICT</t>
  </si>
  <si>
    <t>MORGAN DISTRICT</t>
  </si>
  <si>
    <t>MURRAY DISTRICT</t>
  </si>
  <si>
    <t>NEBO DISTRICT</t>
  </si>
  <si>
    <t>NORTH SANPETE DISTRICT</t>
  </si>
  <si>
    <t>NORTH SUMMIT DISTRICT</t>
  </si>
  <si>
    <t>OGDEN DISTRICT</t>
  </si>
  <si>
    <t>PARK CITY DISTRICT</t>
  </si>
  <si>
    <t>PIUTE DISTRICT</t>
  </si>
  <si>
    <t>PROVO DISTRICT</t>
  </si>
  <si>
    <t>RICH DISTRICT</t>
  </si>
  <si>
    <t>SALT LAKE DISTRICT</t>
  </si>
  <si>
    <t>SAN JUAN DISTRICT</t>
  </si>
  <si>
    <t>SEVIER DISTRICT</t>
  </si>
  <si>
    <t>SOUTH SANPETE DISTRICT</t>
  </si>
  <si>
    <t>SOUTH SUMMIT DISTRICT</t>
  </si>
  <si>
    <t>TINTIC DISTRICT</t>
  </si>
  <si>
    <t>TOOELE DISTRICT</t>
  </si>
  <si>
    <t>UINTAH DISTRICT</t>
  </si>
  <si>
    <t>WASATCH DISTRICT</t>
  </si>
  <si>
    <t>WASHINGTON DISTRICT</t>
  </si>
  <si>
    <t>WAYNE DISTRICT</t>
  </si>
  <si>
    <t>WEBER DISTRICT</t>
  </si>
  <si>
    <t>UTAH SCHOOLS FOR DEAF &amp; BLIND</t>
  </si>
  <si>
    <t>ACADEMY FOR MATH ENGINEERING &amp; SCIENCE (AMES)</t>
  </si>
  <si>
    <t>AMERICAN LEADERSHIP ACADEMY</t>
  </si>
  <si>
    <t>AMERICAN PREPARATORY ACADEMY</t>
  </si>
  <si>
    <t>BEEHIVE SCIENCE &amp; TECHNOLOGY ACADEMY (BSTA)</t>
  </si>
  <si>
    <t>CANYON RIM ACADEMY</t>
  </si>
  <si>
    <t>CHANNING HALL</t>
  </si>
  <si>
    <t>CITY ACADEMY</t>
  </si>
  <si>
    <t>CS LEWIS ACADEMY</t>
  </si>
  <si>
    <t>DAVINCI ACADEMY</t>
  </si>
  <si>
    <t>DUAL IMMERSION ACADEMY</t>
  </si>
  <si>
    <t>EAST HOLLYWOOD HIGH</t>
  </si>
  <si>
    <t>EDITH BOWEN LABORATORY SCHOOL</t>
  </si>
  <si>
    <t>ENTHEOS ACADEMY</t>
  </si>
  <si>
    <t>FAST FORWARD HIGH</t>
  </si>
  <si>
    <t>FREEDOM ACADEMY</t>
  </si>
  <si>
    <t>7E</t>
  </si>
  <si>
    <t>GATEWAY PREPARATORY ACADEMY</t>
  </si>
  <si>
    <t>GEORGE WASHINGTON ACADEMY</t>
  </si>
  <si>
    <t>GUADALUPE SCHOOL</t>
  </si>
  <si>
    <t>INTECH COLLEGIATE HIGH SCHOOL</t>
  </si>
  <si>
    <t>ITINERIS EARLY COLLEGE HIGH</t>
  </si>
  <si>
    <t>JOHN HANCOCK CHARTER SCHOOL</t>
  </si>
  <si>
    <t>KARL G MAESER PREPARATORY ACADEMY</t>
  </si>
  <si>
    <t>LAKEVIEW ACADEMY</t>
  </si>
  <si>
    <t>LEGACY PREPARATORY ACADEMY</t>
  </si>
  <si>
    <t>LIBERTY ACADEMY</t>
  </si>
  <si>
    <t>LINCOLN ACADEMY</t>
  </si>
  <si>
    <t>8E</t>
  </si>
  <si>
    <t>MERIT COLLEGE PREPARATORY ACADEMY</t>
  </si>
  <si>
    <t>MOAB COMMUNITY SCHOOL</t>
  </si>
  <si>
    <t>MONTICELLO ACADEMY</t>
  </si>
  <si>
    <t>MOUNTAINVILLE ACADEMY</t>
  </si>
  <si>
    <t>NAVIGATOR POINTE ACADEMY</t>
  </si>
  <si>
    <t>NO UT ACAD FOR MATH ENGINEERING &amp; SCIENCE (NUAMES)</t>
  </si>
  <si>
    <t>NOAH WEBSTER ACADEMY</t>
  </si>
  <si>
    <t>NORTH DAVIS PREPARATORY ACADEMY</t>
  </si>
  <si>
    <t>NORTH STAR ACADEMY</t>
  </si>
  <si>
    <t>ODYSSEY CHARTER SCHOOL</t>
  </si>
  <si>
    <t>OGDEN PREPARATORY ACADEMY</t>
  </si>
  <si>
    <t>OPEN CLASSROOM</t>
  </si>
  <si>
    <t>PARADIGM HIGH SCHOOL</t>
  </si>
  <si>
    <t>PINNACLE CANYON ACADEMY</t>
  </si>
  <si>
    <t>9E</t>
  </si>
  <si>
    <t>PROVIDENCE HALL</t>
  </si>
  <si>
    <t>1F</t>
  </si>
  <si>
    <t>QUEST ACADEMY</t>
  </si>
  <si>
    <t>RANCHES ACADEMY</t>
  </si>
  <si>
    <t>REAGAN ACADEMY</t>
  </si>
  <si>
    <t>RENAISSANCE ACADEMY</t>
  </si>
  <si>
    <t>2F</t>
  </si>
  <si>
    <t>ROCKWELL CHARTER HIGH SCHOOL</t>
  </si>
  <si>
    <t>SALT LAKE ARTS ACADEMY</t>
  </si>
  <si>
    <t>4F</t>
  </si>
  <si>
    <t>SALT LAKE CENTER FOR SCIENCE EDUCATION</t>
  </si>
  <si>
    <t>SALT LAKE SCHOOL FOR THE PERFORMING ARTS</t>
  </si>
  <si>
    <t>SOLDIER HOLLOW CHARTER SCHOOL</t>
  </si>
  <si>
    <t>SPECTRUM ACADEMY</t>
  </si>
  <si>
    <t>SUCCESS ACADEMY</t>
  </si>
  <si>
    <t>SUCCESS SCHOOL</t>
  </si>
  <si>
    <t>SUMMIT ACADEMY</t>
  </si>
  <si>
    <t>SYRACUSE ARTS ACADEMY</t>
  </si>
  <si>
    <t>THOMAS EDISON - NORTH</t>
  </si>
  <si>
    <t>TIMPANOGOS ACADEMY</t>
  </si>
  <si>
    <t>TUACAHN HIGH SCHOOL FOR THE PERFORMING ARTS</t>
  </si>
  <si>
    <t>UINTAH RIVER HIGH</t>
  </si>
  <si>
    <t>UTAH COUNTY ACADEMY OF SCIENCE (UCAS)</t>
  </si>
  <si>
    <t>5F</t>
  </si>
  <si>
    <t>UTAH VIRTUAL ACADEMY</t>
  </si>
  <si>
    <t>3F</t>
  </si>
  <si>
    <t>VENTURE ACADEMY</t>
  </si>
  <si>
    <t>WALDEN SCHOOL OF LIBERAL ARTS</t>
  </si>
  <si>
    <t>WASATCH PEAK ACADEMY</t>
  </si>
  <si>
    <t>Distric Total</t>
  </si>
  <si>
    <t>Charter School Total</t>
  </si>
  <si>
    <t>State Total</t>
  </si>
  <si>
    <t>FY 2009</t>
  </si>
  <si>
    <t>3300                Community Services</t>
  </si>
  <si>
    <t>American Leadership Acad</t>
  </si>
  <si>
    <t>American Prep Academy</t>
  </si>
  <si>
    <t>East Hollywood High School</t>
  </si>
  <si>
    <t>Fast Forward High School</t>
  </si>
  <si>
    <t>Gateway Prep Academy</t>
  </si>
  <si>
    <t>Merit College Prep Academy</t>
  </si>
  <si>
    <t>Providence Hall</t>
  </si>
  <si>
    <t>Quest Academy</t>
  </si>
  <si>
    <t>Rockwell</t>
  </si>
  <si>
    <t>Salt Lake Center for Science Ed</t>
  </si>
  <si>
    <t>Utah Virtual Academy</t>
  </si>
  <si>
    <t>Venture Academy</t>
  </si>
  <si>
    <t>CBA</t>
  </si>
  <si>
    <t>Gateway Preparatory Academy</t>
  </si>
  <si>
    <t>Rockwell Charter High</t>
  </si>
  <si>
    <t>Salt Lake Center for Science Ed.</t>
  </si>
  <si>
    <t>Student Support Services</t>
  </si>
  <si>
    <t>Full-Time Equivalents (FTEs) by Position</t>
  </si>
  <si>
    <t>Licensed and Classified Personnel</t>
  </si>
  <si>
    <t>Note:  School-Based Specialists were added as a new Educator Category in FY09.  They are included with Instructional Coordinators and Supervisors, but some had been counted as Classroom Teachers in previous years.</t>
  </si>
  <si>
    <t>Pre-Kindergarten</t>
  </si>
  <si>
    <t>C.S. Lewis Academy</t>
  </si>
  <si>
    <t>Karl G. Maeser Prep Academy</t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</si>
</sst>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,##0.000_);\(#,##0.000\)"/>
  </numFmts>
  <fonts count="20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Helvetica"/>
      <family val="2"/>
    </font>
    <font>
      <sz val="10"/>
      <name val="Arial"/>
      <family val="2"/>
    </font>
    <font>
      <sz val="9"/>
      <name val="Helvetica"/>
      <family val="2"/>
    </font>
    <font>
      <b/>
      <sz val="10"/>
      <name val="Helvetica"/>
      <family val="2"/>
    </font>
    <font>
      <sz val="10"/>
      <color theme="1"/>
      <name val="Helvetica"/>
      <family val="2"/>
    </font>
    <font>
      <sz val="10"/>
      <name val="Helvetica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Helvetica"/>
    </font>
    <font>
      <b/>
      <sz val="10"/>
      <name val="Helvetica"/>
    </font>
    <font>
      <b/>
      <sz val="14"/>
      <color theme="1"/>
      <name val="Arial"/>
      <family val="2"/>
    </font>
    <font>
      <b/>
      <sz val="14"/>
      <color indexed="8"/>
      <name val="Arial"/>
      <family val="2"/>
    </font>
    <font>
      <b/>
      <sz val="12"/>
      <color theme="1"/>
      <name val="Arial"/>
      <family val="2"/>
    </font>
    <font>
      <b/>
      <sz val="12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4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5" xfId="0" applyBorder="1"/>
    <xf numFmtId="0" fontId="0" fillId="0" borderId="9" xfId="0" applyBorder="1"/>
    <xf numFmtId="0" fontId="0" fillId="0" borderId="13" xfId="0" applyBorder="1"/>
    <xf numFmtId="0" fontId="0" fillId="0" borderId="9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12" xfId="0" applyBorder="1"/>
    <xf numFmtId="0" fontId="0" fillId="0" borderId="19" xfId="0" applyBorder="1"/>
    <xf numFmtId="0" fontId="0" fillId="0" borderId="0" xfId="0" applyBorder="1"/>
    <xf numFmtId="0" fontId="5" fillId="0" borderId="13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165" fontId="1" fillId="0" borderId="0" xfId="0" applyNumberFormat="1" applyFont="1" applyFill="1" applyBorder="1" applyAlignment="1">
      <alignment horizontal="center"/>
    </xf>
    <xf numFmtId="165" fontId="9" fillId="0" borderId="0" xfId="0" applyNumberFormat="1" applyFont="1"/>
    <xf numFmtId="165" fontId="7" fillId="0" borderId="0" xfId="0" applyNumberFormat="1" applyFont="1"/>
    <xf numFmtId="165" fontId="1" fillId="0" borderId="7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165" fontId="1" fillId="0" borderId="13" xfId="0" applyNumberFormat="1" applyFont="1" applyBorder="1" applyAlignment="1">
      <alignment horizontal="center" wrapText="1"/>
    </xf>
    <xf numFmtId="165" fontId="1" fillId="0" borderId="4" xfId="0" applyNumberFormat="1" applyFont="1" applyBorder="1" applyAlignment="1">
      <alignment horizontal="center" wrapText="1"/>
    </xf>
    <xf numFmtId="165" fontId="1" fillId="0" borderId="1" xfId="0" applyNumberFormat="1" applyFont="1" applyBorder="1" applyAlignment="1"/>
    <xf numFmtId="165" fontId="10" fillId="0" borderId="5" xfId="0" applyNumberFormat="1" applyFont="1" applyBorder="1"/>
    <xf numFmtId="165" fontId="10" fillId="0" borderId="0" xfId="0" applyNumberFormat="1" applyFont="1" applyBorder="1"/>
    <xf numFmtId="165" fontId="10" fillId="0" borderId="8" xfId="0" applyNumberFormat="1" applyFont="1" applyBorder="1"/>
    <xf numFmtId="165" fontId="1" fillId="0" borderId="5" xfId="0" quotePrefix="1" applyNumberFormat="1" applyFont="1" applyFill="1" applyBorder="1" applyAlignment="1">
      <alignment horizontal="left" indent="1"/>
    </xf>
    <xf numFmtId="165" fontId="1" fillId="0" borderId="15" xfId="0" quotePrefix="1" applyNumberFormat="1" applyFont="1" applyFill="1" applyBorder="1" applyAlignment="1">
      <alignment horizontal="left" indent="1"/>
    </xf>
    <xf numFmtId="165" fontId="1" fillId="0" borderId="14" xfId="0" quotePrefix="1" applyNumberFormat="1" applyFont="1" applyFill="1" applyBorder="1" applyAlignment="1">
      <alignment horizontal="left" indent="1"/>
    </xf>
    <xf numFmtId="165" fontId="1" fillId="0" borderId="5" xfId="0" applyNumberFormat="1" applyFont="1" applyFill="1" applyBorder="1" applyAlignment="1">
      <alignment horizontal="left" indent="1"/>
    </xf>
    <xf numFmtId="165" fontId="1" fillId="0" borderId="14" xfId="0" applyNumberFormat="1" applyFont="1" applyFill="1" applyBorder="1" applyAlignment="1">
      <alignment horizontal="left" indent="1"/>
    </xf>
    <xf numFmtId="165" fontId="1" fillId="0" borderId="15" xfId="0" applyNumberFormat="1" applyFont="1" applyFill="1" applyBorder="1" applyAlignment="1">
      <alignment horizontal="left" indent="1"/>
    </xf>
    <xf numFmtId="165" fontId="1" fillId="0" borderId="2" xfId="0" applyNumberFormat="1" applyFont="1" applyFill="1" applyBorder="1" applyAlignment="1">
      <alignment horizontal="left"/>
    </xf>
    <xf numFmtId="165" fontId="1" fillId="0" borderId="9" xfId="0" applyNumberFormat="1" applyFont="1" applyBorder="1" applyAlignment="1"/>
    <xf numFmtId="165" fontId="1" fillId="0" borderId="0" xfId="0" applyNumberFormat="1" applyFont="1" applyBorder="1" applyAlignment="1">
      <alignment horizontal="center" wrapText="1"/>
    </xf>
    <xf numFmtId="165" fontId="1" fillId="0" borderId="13" xfId="0" applyNumberFormat="1" applyFont="1" applyFill="1" applyBorder="1" applyAlignment="1">
      <alignment horizontal="left"/>
    </xf>
    <xf numFmtId="165" fontId="1" fillId="0" borderId="2" xfId="0" applyNumberFormat="1" applyFont="1" applyBorder="1" applyAlignment="1">
      <alignment horizontal="center" wrapText="1"/>
    </xf>
    <xf numFmtId="165" fontId="1" fillId="0" borderId="13" xfId="0" applyNumberFormat="1" applyFont="1" applyFill="1" applyBorder="1" applyAlignment="1">
      <alignment horizontal="center" wrapText="1"/>
    </xf>
    <xf numFmtId="165" fontId="1" fillId="0" borderId="0" xfId="0" applyNumberFormat="1" applyFont="1" applyFill="1" applyBorder="1" applyAlignment="1">
      <alignment horizontal="center" wrapText="1"/>
    </xf>
    <xf numFmtId="3" fontId="10" fillId="0" borderId="0" xfId="0" applyNumberFormat="1" applyFont="1" applyBorder="1"/>
    <xf numFmtId="165" fontId="11" fillId="0" borderId="0" xfId="0" applyNumberFormat="1" applyFont="1" applyBorder="1" applyAlignment="1">
      <alignment horizontal="center"/>
    </xf>
    <xf numFmtId="165" fontId="9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165" fontId="9" fillId="0" borderId="0" xfId="0" applyNumberFormat="1" applyFont="1" applyBorder="1"/>
    <xf numFmtId="0" fontId="8" fillId="0" borderId="0" xfId="0" applyFont="1" applyBorder="1" applyAlignment="1">
      <alignment horizontal="right"/>
    </xf>
    <xf numFmtId="0" fontId="8" fillId="0" borderId="0" xfId="0" applyFont="1" applyBorder="1"/>
    <xf numFmtId="165" fontId="6" fillId="0" borderId="7" xfId="0" applyNumberFormat="1" applyFont="1" applyBorder="1" applyAlignment="1"/>
    <xf numFmtId="165" fontId="1" fillId="0" borderId="9" xfId="0" applyNumberFormat="1" applyFont="1" applyBorder="1" applyAlignment="1">
      <alignment horizontal="center" wrapText="1"/>
    </xf>
    <xf numFmtId="165" fontId="1" fillId="0" borderId="11" xfId="0" applyNumberFormat="1" applyFont="1" applyBorder="1" applyAlignment="1">
      <alignment horizontal="center" wrapText="1"/>
    </xf>
    <xf numFmtId="0" fontId="0" fillId="0" borderId="34" xfId="0" applyBorder="1" applyAlignment="1">
      <alignment wrapText="1"/>
    </xf>
    <xf numFmtId="0" fontId="13" fillId="0" borderId="34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right" wrapText="1"/>
    </xf>
    <xf numFmtId="4" fontId="9" fillId="0" borderId="34" xfId="0" applyNumberFormat="1" applyFont="1" applyBorder="1" applyAlignment="1">
      <alignment horizontal="right" wrapText="1"/>
    </xf>
    <xf numFmtId="0" fontId="9" fillId="0" borderId="34" xfId="0" applyFont="1" applyBorder="1" applyAlignment="1">
      <alignment wrapText="1"/>
    </xf>
    <xf numFmtId="0" fontId="9" fillId="0" borderId="35" xfId="0" applyFont="1" applyBorder="1" applyAlignment="1">
      <alignment wrapText="1"/>
    </xf>
    <xf numFmtId="0" fontId="9" fillId="0" borderId="33" xfId="0" applyFont="1" applyBorder="1" applyAlignment="1">
      <alignment wrapText="1"/>
    </xf>
    <xf numFmtId="4" fontId="9" fillId="0" borderId="35" xfId="0" applyNumberFormat="1" applyFont="1" applyBorder="1" applyAlignment="1">
      <alignment horizontal="right" wrapText="1"/>
    </xf>
    <xf numFmtId="0" fontId="9" fillId="0" borderId="35" xfId="0" applyFont="1" applyBorder="1" applyAlignment="1">
      <alignment horizontal="right" wrapText="1"/>
    </xf>
    <xf numFmtId="0" fontId="12" fillId="0" borderId="34" xfId="0" applyFont="1" applyBorder="1" applyAlignment="1">
      <alignment wrapText="1"/>
    </xf>
    <xf numFmtId="0" fontId="13" fillId="0" borderId="34" xfId="0" applyFont="1" applyBorder="1" applyAlignment="1">
      <alignment horizontal="right" wrapText="1"/>
    </xf>
    <xf numFmtId="4" fontId="13" fillId="0" borderId="34" xfId="0" applyNumberFormat="1" applyFont="1" applyBorder="1" applyAlignment="1">
      <alignment horizontal="right" wrapText="1"/>
    </xf>
    <xf numFmtId="4" fontId="13" fillId="0" borderId="35" xfId="0" applyNumberFormat="1" applyFont="1" applyBorder="1" applyAlignment="1">
      <alignment horizontal="right" wrapText="1"/>
    </xf>
    <xf numFmtId="0" fontId="12" fillId="0" borderId="0" xfId="0" applyFont="1"/>
    <xf numFmtId="0" fontId="13" fillId="0" borderId="35" xfId="0" applyFont="1" applyBorder="1" applyAlignment="1">
      <alignment horizontal="right" wrapText="1"/>
    </xf>
    <xf numFmtId="0" fontId="3" fillId="0" borderId="25" xfId="0" applyFont="1" applyBorder="1" applyAlignment="1">
      <alignment horizontal="center" wrapText="1"/>
    </xf>
    <xf numFmtId="0" fontId="14" fillId="0" borderId="1" xfId="0" applyFont="1" applyBorder="1" applyAlignment="1">
      <alignment horizontal="centerContinuous"/>
    </xf>
    <xf numFmtId="0" fontId="3" fillId="0" borderId="24" xfId="0" applyFont="1" applyBorder="1" applyAlignment="1">
      <alignment horizontal="center" wrapText="1"/>
    </xf>
    <xf numFmtId="0" fontId="3" fillId="0" borderId="25" xfId="0" applyFont="1" applyFill="1" applyBorder="1" applyAlignment="1">
      <alignment horizontal="center" wrapText="1"/>
    </xf>
    <xf numFmtId="0" fontId="3" fillId="0" borderId="26" xfId="0" applyFont="1" applyBorder="1" applyAlignment="1">
      <alignment horizontal="center" wrapText="1"/>
    </xf>
    <xf numFmtId="0" fontId="14" fillId="0" borderId="5" xfId="0" quotePrefix="1" applyFont="1" applyFill="1" applyBorder="1" applyAlignment="1">
      <alignment horizontal="left"/>
    </xf>
    <xf numFmtId="0" fontId="0" fillId="0" borderId="8" xfId="0" applyBorder="1"/>
    <xf numFmtId="0" fontId="1" fillId="0" borderId="8" xfId="0" applyFont="1" applyBorder="1"/>
    <xf numFmtId="0" fontId="14" fillId="2" borderId="5" xfId="0" quotePrefix="1" applyFont="1" applyFill="1" applyBorder="1" applyAlignment="1">
      <alignment horizontal="left"/>
    </xf>
    <xf numFmtId="0" fontId="1" fillId="0" borderId="2" xfId="0" applyFont="1" applyBorder="1"/>
    <xf numFmtId="0" fontId="15" fillId="0" borderId="2" xfId="0" applyFont="1" applyFill="1" applyBorder="1" applyAlignment="1">
      <alignment horizontal="left"/>
    </xf>
    <xf numFmtId="0" fontId="3" fillId="0" borderId="13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4" xfId="0" applyFont="1" applyFill="1" applyBorder="1"/>
    <xf numFmtId="164" fontId="15" fillId="0" borderId="2" xfId="0" applyNumberFormat="1" applyFont="1" applyFill="1" applyBorder="1" applyAlignment="1">
      <alignment horizontal="center"/>
    </xf>
    <xf numFmtId="0" fontId="14" fillId="0" borderId="5" xfId="0" applyFont="1" applyFill="1" applyBorder="1" applyAlignment="1">
      <alignment horizontal="left"/>
    </xf>
    <xf numFmtId="0" fontId="4" fillId="0" borderId="9" xfId="0" applyFont="1" applyBorder="1" applyAlignment="1">
      <alignment horizontal="right"/>
    </xf>
    <xf numFmtId="0" fontId="14" fillId="0" borderId="2" xfId="0" applyFont="1" applyFill="1" applyBorder="1" applyAlignment="1">
      <alignment horizontal="left"/>
    </xf>
    <xf numFmtId="0" fontId="14" fillId="0" borderId="13" xfId="0" applyFont="1" applyBorder="1"/>
    <xf numFmtId="0" fontId="14" fillId="0" borderId="2" xfId="0" applyFont="1" applyBorder="1"/>
    <xf numFmtId="0" fontId="14" fillId="0" borderId="3" xfId="0" applyFont="1" applyBorder="1"/>
    <xf numFmtId="0" fontId="14" fillId="0" borderId="4" xfId="0" applyFont="1" applyBorder="1"/>
    <xf numFmtId="0" fontId="14" fillId="0" borderId="12" xfId="0" applyFont="1" applyFill="1" applyBorder="1" applyAlignment="1">
      <alignment horizontal="left"/>
    </xf>
    <xf numFmtId="0" fontId="3" fillId="0" borderId="11" xfId="0" applyFont="1" applyBorder="1"/>
    <xf numFmtId="0" fontId="3" fillId="0" borderId="0" xfId="0" applyFont="1" applyBorder="1"/>
    <xf numFmtId="0" fontId="13" fillId="0" borderId="35" xfId="0" applyFont="1" applyBorder="1" applyAlignment="1">
      <alignment wrapText="1"/>
    </xf>
    <xf numFmtId="165" fontId="1" fillId="0" borderId="12" xfId="0" applyNumberFormat="1" applyFont="1" applyBorder="1" applyAlignment="1">
      <alignment horizontal="center" wrapText="1"/>
    </xf>
    <xf numFmtId="0" fontId="1" fillId="3" borderId="9" xfId="0" applyFont="1" applyFill="1" applyBorder="1" applyAlignment="1">
      <alignment horizontal="left"/>
    </xf>
    <xf numFmtId="0" fontId="1" fillId="0" borderId="9" xfId="0" applyFont="1" applyFill="1" applyBorder="1"/>
    <xf numFmtId="0" fontId="1" fillId="0" borderId="9" xfId="0" applyFont="1" applyBorder="1"/>
    <xf numFmtId="164" fontId="1" fillId="0" borderId="9" xfId="0" applyNumberFormat="1" applyFont="1" applyBorder="1"/>
    <xf numFmtId="165" fontId="1" fillId="0" borderId="4" xfId="0" applyNumberFormat="1" applyFont="1" applyFill="1" applyBorder="1" applyAlignment="1">
      <alignment horizontal="center" wrapText="1"/>
    </xf>
    <xf numFmtId="0" fontId="1" fillId="0" borderId="43" xfId="0" applyFont="1" applyFill="1" applyBorder="1"/>
    <xf numFmtId="0" fontId="3" fillId="0" borderId="23" xfId="0" applyFont="1" applyFill="1" applyBorder="1" applyAlignment="1">
      <alignment horizontal="center" wrapText="1"/>
    </xf>
    <xf numFmtId="0" fontId="3" fillId="0" borderId="24" xfId="0" applyFont="1" applyFill="1" applyBorder="1" applyAlignment="1">
      <alignment horizontal="center" wrapText="1"/>
    </xf>
    <xf numFmtId="0" fontId="3" fillId="0" borderId="26" xfId="0" applyFont="1" applyFill="1" applyBorder="1" applyAlignment="1">
      <alignment horizontal="center" wrapText="1"/>
    </xf>
    <xf numFmtId="165" fontId="1" fillId="0" borderId="7" xfId="0" applyNumberFormat="1" applyFont="1" applyBorder="1" applyAlignment="1">
      <alignment horizontal="center" wrapText="1"/>
    </xf>
    <xf numFmtId="165" fontId="1" fillId="0" borderId="8" xfId="0" applyNumberFormat="1" applyFont="1" applyBorder="1" applyAlignment="1">
      <alignment horizontal="center" wrapText="1"/>
    </xf>
    <xf numFmtId="165" fontId="1" fillId="0" borderId="7" xfId="0" applyNumberFormat="1" applyFont="1" applyBorder="1" applyAlignment="1">
      <alignment horizontal="center"/>
    </xf>
    <xf numFmtId="165" fontId="10" fillId="0" borderId="8" xfId="0" applyNumberFormat="1" applyFont="1" applyBorder="1"/>
    <xf numFmtId="165" fontId="1" fillId="0" borderId="6" xfId="0" applyNumberFormat="1" applyFont="1" applyBorder="1" applyAlignment="1">
      <alignment horizontal="center"/>
    </xf>
    <xf numFmtId="165" fontId="1" fillId="0" borderId="5" xfId="0" applyNumberFormat="1" applyFont="1" applyBorder="1" applyAlignment="1">
      <alignment horizontal="center" wrapText="1"/>
    </xf>
    <xf numFmtId="165" fontId="1" fillId="0" borderId="12" xfId="0" applyNumberFormat="1" applyFont="1" applyBorder="1" applyAlignment="1">
      <alignment horizontal="center" wrapText="1"/>
    </xf>
    <xf numFmtId="165" fontId="7" fillId="0" borderId="0" xfId="0" applyNumberFormat="1" applyFont="1" applyBorder="1"/>
    <xf numFmtId="0" fontId="1" fillId="0" borderId="42" xfId="0" applyFont="1" applyFill="1" applyBorder="1"/>
    <xf numFmtId="164" fontId="1" fillId="0" borderId="42" xfId="0" applyNumberFormat="1" applyFont="1" applyBorder="1"/>
    <xf numFmtId="165" fontId="10" fillId="0" borderId="5" xfId="0" applyNumberFormat="1" applyFont="1" applyBorder="1" applyAlignment="1">
      <alignment horizontal="right"/>
    </xf>
    <xf numFmtId="165" fontId="10" fillId="0" borderId="0" xfId="0" applyNumberFormat="1" applyFont="1" applyBorder="1" applyAlignment="1">
      <alignment horizontal="right"/>
    </xf>
    <xf numFmtId="165" fontId="10" fillId="0" borderId="8" xfId="0" applyNumberFormat="1" applyFont="1" applyBorder="1" applyAlignment="1">
      <alignment horizontal="right"/>
    </xf>
    <xf numFmtId="165" fontId="4" fillId="0" borderId="0" xfId="0" applyNumberFormat="1" applyFont="1" applyBorder="1" applyAlignment="1">
      <alignment horizontal="right"/>
    </xf>
    <xf numFmtId="165" fontId="4" fillId="0" borderId="8" xfId="0" applyNumberFormat="1" applyFont="1" applyBorder="1" applyAlignment="1">
      <alignment horizontal="right"/>
    </xf>
    <xf numFmtId="165" fontId="10" fillId="0" borderId="14" xfId="0" applyNumberFormat="1" applyFont="1" applyBorder="1" applyAlignment="1">
      <alignment horizontal="right"/>
    </xf>
    <xf numFmtId="165" fontId="10" fillId="0" borderId="30" xfId="0" applyNumberFormat="1" applyFont="1" applyBorder="1" applyAlignment="1">
      <alignment horizontal="right"/>
    </xf>
    <xf numFmtId="165" fontId="10" fillId="0" borderId="28" xfId="0" applyNumberFormat="1" applyFont="1" applyBorder="1" applyAlignment="1">
      <alignment horizontal="right"/>
    </xf>
    <xf numFmtId="165" fontId="10" fillId="0" borderId="29" xfId="0" applyNumberFormat="1" applyFont="1" applyBorder="1" applyAlignment="1">
      <alignment horizontal="right"/>
    </xf>
    <xf numFmtId="165" fontId="4" fillId="0" borderId="28" xfId="0" applyNumberFormat="1" applyFont="1" applyBorder="1" applyAlignment="1">
      <alignment horizontal="right"/>
    </xf>
    <xf numFmtId="165" fontId="10" fillId="0" borderId="15" xfId="0" applyNumberFormat="1" applyFont="1" applyBorder="1" applyAlignment="1">
      <alignment horizontal="right"/>
    </xf>
    <xf numFmtId="165" fontId="4" fillId="0" borderId="29" xfId="0" applyNumberFormat="1" applyFont="1" applyBorder="1" applyAlignment="1">
      <alignment horizontal="right"/>
    </xf>
    <xf numFmtId="165" fontId="10" fillId="0" borderId="31" xfId="0" applyNumberFormat="1" applyFont="1" applyBorder="1" applyAlignment="1">
      <alignment horizontal="right"/>
    </xf>
    <xf numFmtId="165" fontId="4" fillId="0" borderId="30" xfId="0" applyNumberFormat="1" applyFont="1" applyBorder="1" applyAlignment="1">
      <alignment horizontal="right"/>
    </xf>
    <xf numFmtId="165" fontId="4" fillId="0" borderId="31" xfId="0" applyNumberFormat="1" applyFont="1" applyBorder="1" applyAlignment="1">
      <alignment horizontal="right"/>
    </xf>
    <xf numFmtId="165" fontId="11" fillId="0" borderId="2" xfId="0" applyNumberFormat="1" applyFont="1" applyBorder="1" applyAlignment="1">
      <alignment horizontal="right"/>
    </xf>
    <xf numFmtId="165" fontId="11" fillId="0" borderId="3" xfId="0" applyNumberFormat="1" applyFont="1" applyBorder="1" applyAlignment="1">
      <alignment horizontal="right"/>
    </xf>
    <xf numFmtId="165" fontId="11" fillId="0" borderId="4" xfId="0" applyNumberFormat="1" applyFont="1" applyBorder="1" applyAlignment="1">
      <alignment horizontal="right"/>
    </xf>
    <xf numFmtId="165" fontId="4" fillId="0" borderId="8" xfId="0" applyNumberFormat="1" applyFont="1" applyFill="1" applyBorder="1" applyAlignment="1">
      <alignment horizontal="right"/>
    </xf>
    <xf numFmtId="165" fontId="11" fillId="0" borderId="5" xfId="0" applyNumberFormat="1" applyFont="1" applyBorder="1" applyAlignment="1">
      <alignment horizontal="right"/>
    </xf>
    <xf numFmtId="165" fontId="11" fillId="0" borderId="0" xfId="0" applyNumberFormat="1" applyFont="1" applyBorder="1" applyAlignment="1">
      <alignment horizontal="right"/>
    </xf>
    <xf numFmtId="165" fontId="11" fillId="0" borderId="8" xfId="0" applyNumberFormat="1" applyFont="1" applyBorder="1" applyAlignment="1">
      <alignment horizontal="right"/>
    </xf>
    <xf numFmtId="165" fontId="4" fillId="0" borderId="0" xfId="0" applyNumberFormat="1" applyFont="1" applyFill="1" applyBorder="1" applyAlignment="1">
      <alignment horizontal="right"/>
    </xf>
    <xf numFmtId="165" fontId="11" fillId="0" borderId="12" xfId="0" applyNumberFormat="1" applyFont="1" applyBorder="1" applyAlignment="1">
      <alignment horizontal="right"/>
    </xf>
    <xf numFmtId="165" fontId="11" fillId="0" borderId="20" xfId="0" applyNumberFormat="1" applyFont="1" applyBorder="1" applyAlignment="1">
      <alignment horizontal="right"/>
    </xf>
    <xf numFmtId="165" fontId="11" fillId="0" borderId="10" xfId="0" applyNumberFormat="1" applyFont="1" applyBorder="1" applyAlignment="1">
      <alignment horizontal="right"/>
    </xf>
    <xf numFmtId="165" fontId="1" fillId="0" borderId="8" xfId="0" applyNumberFormat="1" applyFont="1" applyFill="1" applyBorder="1" applyAlignment="1">
      <alignment horizontal="center" wrapText="1"/>
    </xf>
    <xf numFmtId="165" fontId="1" fillId="0" borderId="7" xfId="0" applyNumberFormat="1" applyFont="1" applyBorder="1" applyAlignment="1">
      <alignment horizontal="center"/>
    </xf>
    <xf numFmtId="165" fontId="1" fillId="0" borderId="9" xfId="0" applyNumberFormat="1" applyFont="1" applyBorder="1" applyAlignment="1">
      <alignment horizontal="center"/>
    </xf>
    <xf numFmtId="165" fontId="1" fillId="0" borderId="7" xfId="0" applyNumberFormat="1" applyFont="1" applyBorder="1" applyAlignment="1">
      <alignment horizontal="center" wrapText="1"/>
    </xf>
    <xf numFmtId="165" fontId="1" fillId="0" borderId="9" xfId="0" applyNumberFormat="1" applyFont="1" applyBorder="1" applyAlignment="1">
      <alignment horizontal="center" wrapText="1"/>
    </xf>
    <xf numFmtId="165" fontId="16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165" fontId="1" fillId="0" borderId="1" xfId="0" applyNumberFormat="1" applyFont="1" applyBorder="1" applyAlignment="1">
      <alignment horizontal="center" wrapText="1"/>
    </xf>
    <xf numFmtId="165" fontId="4" fillId="0" borderId="5" xfId="0" applyNumberFormat="1" applyFont="1" applyBorder="1" applyAlignment="1"/>
    <xf numFmtId="165" fontId="4" fillId="0" borderId="12" xfId="0" applyNumberFormat="1" applyFont="1" applyBorder="1" applyAlignment="1"/>
    <xf numFmtId="165" fontId="1" fillId="0" borderId="2" xfId="0" applyNumberFormat="1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165" fontId="10" fillId="0" borderId="3" xfId="0" applyNumberFormat="1" applyFont="1" applyBorder="1" applyAlignment="1">
      <alignment horizontal="center"/>
    </xf>
    <xf numFmtId="165" fontId="10" fillId="0" borderId="4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 wrapText="1"/>
    </xf>
    <xf numFmtId="165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 wrapText="1"/>
    </xf>
    <xf numFmtId="165" fontId="1" fillId="0" borderId="10" xfId="0" applyNumberFormat="1" applyFont="1" applyBorder="1" applyAlignment="1">
      <alignment horizontal="center" wrapText="1"/>
    </xf>
    <xf numFmtId="165" fontId="10" fillId="0" borderId="9" xfId="0" applyNumberFormat="1" applyFont="1" applyBorder="1" applyAlignment="1">
      <alignment horizontal="center" wrapText="1"/>
    </xf>
    <xf numFmtId="165" fontId="10" fillId="0" borderId="11" xfId="0" applyNumberFormat="1" applyFont="1" applyBorder="1" applyAlignment="1">
      <alignment horizontal="center" wrapText="1"/>
    </xf>
    <xf numFmtId="165" fontId="1" fillId="0" borderId="11" xfId="0" applyNumberFormat="1" applyFont="1" applyBorder="1" applyAlignment="1">
      <alignment horizontal="center" wrapText="1"/>
    </xf>
    <xf numFmtId="165" fontId="17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165" fontId="19" fillId="0" borderId="0" xfId="0" applyNumberFormat="1" applyFont="1" applyAlignment="1">
      <alignment horizontal="center"/>
    </xf>
    <xf numFmtId="165" fontId="4" fillId="0" borderId="9" xfId="0" applyNumberFormat="1" applyFont="1" applyBorder="1" applyAlignment="1"/>
    <xf numFmtId="165" fontId="4" fillId="0" borderId="11" xfId="0" applyNumberFormat="1" applyFont="1" applyBorder="1" applyAlignment="1"/>
    <xf numFmtId="165" fontId="1" fillId="0" borderId="5" xfId="0" applyNumberFormat="1" applyFont="1" applyBorder="1" applyAlignment="1">
      <alignment horizontal="center"/>
    </xf>
    <xf numFmtId="165" fontId="1" fillId="0" borderId="6" xfId="0" applyNumberFormat="1" applyFont="1" applyFill="1" applyBorder="1" applyAlignment="1">
      <alignment horizontal="center"/>
    </xf>
    <xf numFmtId="165" fontId="10" fillId="0" borderId="8" xfId="0" applyNumberFormat="1" applyFont="1" applyBorder="1"/>
    <xf numFmtId="165" fontId="10" fillId="0" borderId="10" xfId="0" applyNumberFormat="1" applyFont="1" applyBorder="1"/>
    <xf numFmtId="165" fontId="10" fillId="0" borderId="6" xfId="0" applyNumberFormat="1" applyFont="1" applyBorder="1" applyAlignment="1">
      <alignment horizontal="center" wrapText="1"/>
    </xf>
    <xf numFmtId="165" fontId="10" fillId="0" borderId="5" xfId="0" applyNumberFormat="1" applyFont="1" applyBorder="1" applyAlignment="1">
      <alignment horizontal="center" wrapText="1"/>
    </xf>
    <xf numFmtId="165" fontId="10" fillId="0" borderId="8" xfId="0" applyNumberFormat="1" applyFont="1" applyBorder="1" applyAlignment="1">
      <alignment horizontal="center" wrapText="1"/>
    </xf>
    <xf numFmtId="165" fontId="10" fillId="0" borderId="12" xfId="0" applyNumberFormat="1" applyFont="1" applyBorder="1" applyAlignment="1">
      <alignment horizontal="center" wrapText="1"/>
    </xf>
    <xf numFmtId="165" fontId="10" fillId="0" borderId="10" xfId="0" applyNumberFormat="1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/>
    </xf>
    <xf numFmtId="165" fontId="1" fillId="0" borderId="19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165" fontId="1" fillId="0" borderId="12" xfId="0" applyNumberFormat="1" applyFont="1" applyBorder="1" applyAlignment="1">
      <alignment horizontal="center"/>
    </xf>
    <xf numFmtId="165" fontId="1" fillId="0" borderId="20" xfId="0" applyNumberFormat="1" applyFont="1" applyBorder="1" applyAlignment="1">
      <alignment horizontal="center"/>
    </xf>
    <xf numFmtId="165" fontId="1" fillId="0" borderId="10" xfId="0" applyNumberFormat="1" applyFont="1" applyBorder="1" applyAlignment="1">
      <alignment horizontal="center"/>
    </xf>
    <xf numFmtId="165" fontId="6" fillId="0" borderId="7" xfId="0" applyNumberFormat="1" applyFont="1" applyBorder="1" applyAlignment="1">
      <alignment horizontal="center" wrapText="1"/>
    </xf>
    <xf numFmtId="165" fontId="8" fillId="0" borderId="9" xfId="0" applyNumberFormat="1" applyFont="1" applyBorder="1" applyAlignment="1"/>
    <xf numFmtId="165" fontId="10" fillId="0" borderId="6" xfId="0" applyNumberFormat="1" applyFont="1" applyBorder="1" applyAlignment="1"/>
    <xf numFmtId="165" fontId="10" fillId="0" borderId="10" xfId="0" applyNumberFormat="1" applyFont="1" applyBorder="1" applyAlignment="1"/>
    <xf numFmtId="0" fontId="9" fillId="0" borderId="35" xfId="0" applyFont="1" applyBorder="1" applyAlignment="1">
      <alignment wrapText="1"/>
    </xf>
    <xf numFmtId="0" fontId="9" fillId="0" borderId="33" xfId="0" applyFont="1" applyBorder="1" applyAlignment="1">
      <alignment wrapText="1"/>
    </xf>
    <xf numFmtId="0" fontId="13" fillId="0" borderId="35" xfId="0" applyFont="1" applyBorder="1" applyAlignment="1">
      <alignment wrapText="1"/>
    </xf>
    <xf numFmtId="0" fontId="13" fillId="0" borderId="32" xfId="0" applyFont="1" applyBorder="1" applyAlignment="1">
      <alignment wrapText="1"/>
    </xf>
    <xf numFmtId="0" fontId="13" fillId="0" borderId="33" xfId="0" applyFont="1" applyBorder="1" applyAlignment="1">
      <alignment wrapText="1"/>
    </xf>
    <xf numFmtId="0" fontId="13" fillId="0" borderId="36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0" fontId="3" fillId="0" borderId="24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3" fillId="0" borderId="26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31" xfId="0" applyFont="1" applyBorder="1" applyAlignment="1">
      <alignment horizontal="center" wrapText="1"/>
    </xf>
    <xf numFmtId="0" fontId="3" fillId="0" borderId="22" xfId="0" applyFont="1" applyBorder="1" applyAlignment="1">
      <alignment horizontal="center" wrapText="1"/>
    </xf>
    <xf numFmtId="0" fontId="3" fillId="0" borderId="27" xfId="0" applyFont="1" applyBorder="1" applyAlignment="1">
      <alignment horizontal="center" wrapText="1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5" fillId="0" borderId="25" xfId="0" applyFont="1" applyBorder="1" applyAlignment="1"/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69"/>
  <sheetViews>
    <sheetView tabSelected="1" workbookViewId="0">
      <pane ySplit="9" topLeftCell="A10" activePane="bottomLeft" state="frozen"/>
      <selection activeCell="Q1" sqref="Q1:Q1048576"/>
      <selection pane="bottomLeft" activeCell="Q1" sqref="Q1:Q1048576"/>
    </sheetView>
  </sheetViews>
  <sheetFormatPr defaultRowHeight="12.75"/>
  <cols>
    <col min="1" max="1" width="3.42578125" style="17" customWidth="1"/>
    <col min="2" max="2" width="24.85546875" style="17" customWidth="1"/>
    <col min="3" max="4" width="11.7109375" style="17" customWidth="1"/>
    <col min="5" max="5" width="13.85546875" style="17" customWidth="1"/>
    <col min="6" max="6" width="13" style="17" customWidth="1"/>
    <col min="7" max="7" width="13.7109375" style="17" customWidth="1"/>
    <col min="8" max="8" width="12.28515625" style="17" customWidth="1"/>
    <col min="9" max="9" width="15.140625" style="17" customWidth="1"/>
    <col min="10" max="10" width="15" style="17" customWidth="1"/>
    <col min="11" max="12" width="15.140625" style="17" customWidth="1"/>
    <col min="13" max="13" width="14.42578125" style="17" customWidth="1"/>
    <col min="14" max="14" width="14.7109375" style="17" customWidth="1"/>
    <col min="15" max="16384" width="9.140625" style="17"/>
  </cols>
  <sheetData>
    <row r="1" spans="1:15" ht="18">
      <c r="B1" s="143" t="s">
        <v>379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2" spans="1:15" ht="15.75">
      <c r="B2" s="144" t="s">
        <v>380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</row>
    <row r="3" spans="1:15" ht="15.75">
      <c r="B3" s="144" t="s">
        <v>360</v>
      </c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</row>
    <row r="4" spans="1:15" ht="13.5" thickBot="1"/>
    <row r="5" spans="1:15" ht="17.25" customHeight="1" thickBot="1">
      <c r="B5" s="146" t="s">
        <v>0</v>
      </c>
      <c r="C5" s="149" t="s">
        <v>1</v>
      </c>
      <c r="D5" s="150"/>
      <c r="E5" s="150"/>
      <c r="F5" s="150"/>
      <c r="G5" s="150"/>
      <c r="H5" s="150"/>
      <c r="I5" s="150"/>
      <c r="J5" s="151"/>
      <c r="K5" s="150" t="s">
        <v>2</v>
      </c>
      <c r="L5" s="150"/>
      <c r="M5" s="152"/>
      <c r="N5" s="153"/>
    </row>
    <row r="6" spans="1:15" ht="15.75" customHeight="1" thickBot="1">
      <c r="B6" s="147"/>
      <c r="C6" s="149" t="s">
        <v>3</v>
      </c>
      <c r="D6" s="150"/>
      <c r="E6" s="150"/>
      <c r="F6" s="150"/>
      <c r="G6" s="150"/>
      <c r="H6" s="151"/>
      <c r="I6" s="154" t="s">
        <v>4</v>
      </c>
      <c r="J6" s="141" t="s">
        <v>5</v>
      </c>
      <c r="K6" s="154" t="s">
        <v>6</v>
      </c>
      <c r="L6" s="141" t="s">
        <v>7</v>
      </c>
      <c r="M6" s="141" t="s">
        <v>8</v>
      </c>
      <c r="N6" s="141" t="s">
        <v>9</v>
      </c>
    </row>
    <row r="7" spans="1:15" ht="16.5" customHeight="1" thickBot="1">
      <c r="B7" s="147"/>
      <c r="C7" s="149" t="s">
        <v>382</v>
      </c>
      <c r="D7" s="150"/>
      <c r="E7" s="139" t="s">
        <v>10</v>
      </c>
      <c r="F7" s="139" t="s">
        <v>11</v>
      </c>
      <c r="G7" s="139" t="s">
        <v>12</v>
      </c>
      <c r="H7" s="141" t="s">
        <v>13</v>
      </c>
      <c r="I7" s="155"/>
      <c r="J7" s="140"/>
      <c r="K7" s="156"/>
      <c r="L7" s="158"/>
      <c r="M7" s="142"/>
      <c r="N7" s="142"/>
    </row>
    <row r="8" spans="1:15" ht="27.75" customHeight="1" thickBot="1">
      <c r="B8" s="147"/>
      <c r="C8" s="18" t="s">
        <v>14</v>
      </c>
      <c r="D8" s="19" t="s">
        <v>15</v>
      </c>
      <c r="E8" s="140"/>
      <c r="F8" s="140"/>
      <c r="G8" s="140"/>
      <c r="H8" s="142"/>
      <c r="I8" s="155"/>
      <c r="J8" s="140"/>
      <c r="K8" s="157"/>
      <c r="L8" s="159"/>
      <c r="M8" s="160"/>
      <c r="N8" s="160"/>
    </row>
    <row r="9" spans="1:15" ht="42" customHeight="1" thickBot="1">
      <c r="B9" s="148"/>
      <c r="C9" s="20" t="s">
        <v>16</v>
      </c>
      <c r="D9" s="20" t="s">
        <v>16</v>
      </c>
      <c r="E9" s="20" t="s">
        <v>16</v>
      </c>
      <c r="F9" s="20" t="s">
        <v>16</v>
      </c>
      <c r="G9" s="20" t="s">
        <v>16</v>
      </c>
      <c r="H9" s="20" t="s">
        <v>16</v>
      </c>
      <c r="I9" s="97" t="s">
        <v>17</v>
      </c>
      <c r="J9" s="20" t="s">
        <v>16</v>
      </c>
      <c r="K9" s="21" t="s">
        <v>16</v>
      </c>
      <c r="L9" s="21" t="s">
        <v>16</v>
      </c>
      <c r="M9" s="20" t="s">
        <v>16</v>
      </c>
      <c r="N9" s="37" t="s">
        <v>17</v>
      </c>
    </row>
    <row r="10" spans="1:15">
      <c r="B10" s="22" t="s">
        <v>18</v>
      </c>
      <c r="C10" s="23"/>
      <c r="D10" s="24"/>
      <c r="E10" s="24"/>
      <c r="F10" s="24"/>
      <c r="G10" s="24"/>
      <c r="H10" s="25"/>
      <c r="I10" s="24"/>
      <c r="J10" s="25"/>
      <c r="K10" s="24"/>
      <c r="L10" s="24"/>
      <c r="M10" s="24"/>
      <c r="N10" s="25"/>
    </row>
    <row r="11" spans="1:15">
      <c r="A11" s="39">
        <v>1</v>
      </c>
      <c r="B11" s="26" t="s">
        <v>19</v>
      </c>
      <c r="C11" s="112">
        <v>8</v>
      </c>
      <c r="D11" s="113">
        <v>16.53</v>
      </c>
      <c r="E11" s="113">
        <v>105.12</v>
      </c>
      <c r="F11" s="113">
        <v>1203.71</v>
      </c>
      <c r="G11" s="113">
        <v>966.72</v>
      </c>
      <c r="H11" s="114">
        <v>222.86</v>
      </c>
      <c r="I11" s="115">
        <v>599.19000000000005</v>
      </c>
      <c r="J11" s="114">
        <f>'Licensed FTEs'!K5+'Licensed FTEs'!L5</f>
        <v>108.34</v>
      </c>
      <c r="K11" s="113">
        <v>0</v>
      </c>
      <c r="L11" s="113">
        <v>66.88</v>
      </c>
      <c r="M11" s="113">
        <v>18.5</v>
      </c>
      <c r="N11" s="116">
        <v>57.16</v>
      </c>
      <c r="O11" s="42"/>
    </row>
    <row r="12" spans="1:15">
      <c r="A12" s="39">
        <v>2</v>
      </c>
      <c r="B12" s="26" t="s">
        <v>20</v>
      </c>
      <c r="C12" s="112">
        <v>0.5</v>
      </c>
      <c r="D12" s="113">
        <v>0</v>
      </c>
      <c r="E12" s="113">
        <v>3</v>
      </c>
      <c r="F12" s="113">
        <v>37.450000000000003</v>
      </c>
      <c r="G12" s="113">
        <v>30.28</v>
      </c>
      <c r="H12" s="114">
        <v>7.35</v>
      </c>
      <c r="I12" s="115">
        <v>36.020000000000003</v>
      </c>
      <c r="J12" s="114">
        <f>'Licensed FTEs'!K6+'Licensed FTEs'!L6</f>
        <v>1.6</v>
      </c>
      <c r="K12" s="113">
        <v>0</v>
      </c>
      <c r="L12" s="113">
        <v>2.0099999999999998</v>
      </c>
      <c r="M12" s="113">
        <v>0</v>
      </c>
      <c r="N12" s="116">
        <v>2.86</v>
      </c>
      <c r="O12" s="42"/>
    </row>
    <row r="13" spans="1:15">
      <c r="A13" s="39">
        <v>3</v>
      </c>
      <c r="B13" s="26" t="s">
        <v>21</v>
      </c>
      <c r="C13" s="112">
        <v>1</v>
      </c>
      <c r="D13" s="113">
        <v>8</v>
      </c>
      <c r="E13" s="113">
        <v>24.03</v>
      </c>
      <c r="F13" s="113">
        <v>168.39</v>
      </c>
      <c r="G13" s="113">
        <v>220.33</v>
      </c>
      <c r="H13" s="114">
        <v>44.82</v>
      </c>
      <c r="I13" s="115">
        <v>213</v>
      </c>
      <c r="J13" s="114">
        <f>'Licensed FTEs'!K7+'Licensed FTEs'!L7</f>
        <v>9.0599999999999987</v>
      </c>
      <c r="K13" s="113">
        <v>0.5</v>
      </c>
      <c r="L13" s="113">
        <v>15</v>
      </c>
      <c r="M13" s="113">
        <v>5</v>
      </c>
      <c r="N13" s="116">
        <v>12</v>
      </c>
      <c r="O13" s="42"/>
    </row>
    <row r="14" spans="1:15">
      <c r="A14" s="39">
        <v>4</v>
      </c>
      <c r="B14" s="26" t="s">
        <v>22</v>
      </c>
      <c r="C14" s="112">
        <v>0</v>
      </c>
      <c r="D14" s="113">
        <v>5</v>
      </c>
      <c r="E14" s="113">
        <v>26.5</v>
      </c>
      <c r="F14" s="113">
        <v>235.68</v>
      </c>
      <c r="G14" s="113">
        <v>271.31</v>
      </c>
      <c r="H14" s="114">
        <v>56.85</v>
      </c>
      <c r="I14" s="115">
        <v>301.56</v>
      </c>
      <c r="J14" s="114">
        <f>'Licensed FTEs'!K8+'Licensed FTEs'!L8</f>
        <v>33.69</v>
      </c>
      <c r="K14" s="113">
        <v>0</v>
      </c>
      <c r="L14" s="113">
        <v>18.88</v>
      </c>
      <c r="M14" s="113">
        <v>20</v>
      </c>
      <c r="N14" s="116">
        <v>0</v>
      </c>
      <c r="O14" s="42"/>
    </row>
    <row r="15" spans="1:15">
      <c r="A15" s="39">
        <v>5</v>
      </c>
      <c r="B15" s="26" t="s">
        <v>23</v>
      </c>
      <c r="C15" s="112">
        <v>0</v>
      </c>
      <c r="D15" s="113">
        <v>2</v>
      </c>
      <c r="E15" s="113">
        <v>11</v>
      </c>
      <c r="F15" s="113">
        <v>67.010000000000005</v>
      </c>
      <c r="G15" s="113">
        <v>65.13</v>
      </c>
      <c r="H15" s="114">
        <v>20.74</v>
      </c>
      <c r="I15" s="115">
        <v>80.86</v>
      </c>
      <c r="J15" s="114">
        <f>'Licensed FTEs'!K9+'Licensed FTEs'!L9</f>
        <v>16.03</v>
      </c>
      <c r="K15" s="113">
        <v>1</v>
      </c>
      <c r="L15" s="113">
        <v>6.24</v>
      </c>
      <c r="M15" s="113">
        <v>0.83</v>
      </c>
      <c r="N15" s="116">
        <v>3.43</v>
      </c>
      <c r="O15" s="42"/>
    </row>
    <row r="16" spans="1:15">
      <c r="A16" s="39">
        <v>6</v>
      </c>
      <c r="B16" s="27" t="s">
        <v>24</v>
      </c>
      <c r="C16" s="122">
        <v>0</v>
      </c>
      <c r="D16" s="119">
        <v>0</v>
      </c>
      <c r="E16" s="119">
        <v>1</v>
      </c>
      <c r="F16" s="119">
        <v>4.9000000000000004</v>
      </c>
      <c r="G16" s="119">
        <v>6.29</v>
      </c>
      <c r="H16" s="120">
        <v>0.57999999999999996</v>
      </c>
      <c r="I16" s="121">
        <v>5.13</v>
      </c>
      <c r="J16" s="120">
        <f>'Licensed FTEs'!K10+'Licensed FTEs'!L10</f>
        <v>2.96</v>
      </c>
      <c r="K16" s="119">
        <v>0</v>
      </c>
      <c r="L16" s="119">
        <v>0</v>
      </c>
      <c r="M16" s="119">
        <v>0.25</v>
      </c>
      <c r="N16" s="123">
        <v>0</v>
      </c>
      <c r="O16" s="42"/>
    </row>
    <row r="17" spans="1:15">
      <c r="A17" s="39">
        <v>7</v>
      </c>
      <c r="B17" s="26" t="s">
        <v>25</v>
      </c>
      <c r="C17" s="112">
        <v>2.67</v>
      </c>
      <c r="D17" s="113">
        <v>15.83</v>
      </c>
      <c r="E17" s="113">
        <v>129.09</v>
      </c>
      <c r="F17" s="113">
        <v>1204.1400000000001</v>
      </c>
      <c r="G17" s="113">
        <v>1143.0899999999999</v>
      </c>
      <c r="H17" s="114">
        <v>286.5</v>
      </c>
      <c r="I17" s="115">
        <v>1131.55</v>
      </c>
      <c r="J17" s="114">
        <f>'Licensed FTEs'!K11+'Licensed FTEs'!L11</f>
        <v>158.85999999999999</v>
      </c>
      <c r="K17" s="113">
        <v>37.65</v>
      </c>
      <c r="L17" s="113">
        <v>87.3</v>
      </c>
      <c r="M17" s="113">
        <v>17.5</v>
      </c>
      <c r="N17" s="116">
        <v>60.27</v>
      </c>
      <c r="O17" s="42"/>
    </row>
    <row r="18" spans="1:15">
      <c r="A18" s="39">
        <v>8</v>
      </c>
      <c r="B18" s="26" t="s">
        <v>26</v>
      </c>
      <c r="C18" s="112">
        <v>0</v>
      </c>
      <c r="D18" s="113">
        <v>1</v>
      </c>
      <c r="E18" s="113">
        <v>11.5</v>
      </c>
      <c r="F18" s="113">
        <v>94.64</v>
      </c>
      <c r="G18" s="113">
        <v>85.74</v>
      </c>
      <c r="H18" s="114">
        <v>24.86</v>
      </c>
      <c r="I18" s="115">
        <v>88.76</v>
      </c>
      <c r="J18" s="114">
        <f>'Licensed FTEs'!K12+'Licensed FTEs'!L12</f>
        <v>2.98</v>
      </c>
      <c r="K18" s="113">
        <v>0</v>
      </c>
      <c r="L18" s="113">
        <v>3.85</v>
      </c>
      <c r="M18" s="113">
        <v>6</v>
      </c>
      <c r="N18" s="116">
        <v>4.93</v>
      </c>
      <c r="O18" s="42"/>
    </row>
    <row r="19" spans="1:15">
      <c r="A19" s="39">
        <v>9</v>
      </c>
      <c r="B19" s="26" t="s">
        <v>27</v>
      </c>
      <c r="C19" s="112">
        <v>0</v>
      </c>
      <c r="D19" s="113">
        <v>1</v>
      </c>
      <c r="E19" s="113">
        <v>6.51</v>
      </c>
      <c r="F19" s="113">
        <v>49</v>
      </c>
      <c r="G19" s="113">
        <v>50.55</v>
      </c>
      <c r="H19" s="114">
        <v>12.02</v>
      </c>
      <c r="I19" s="115">
        <v>35.51</v>
      </c>
      <c r="J19" s="114">
        <f>'Licensed FTEs'!K13+'Licensed FTEs'!L13</f>
        <v>2.67</v>
      </c>
      <c r="K19" s="113">
        <v>0</v>
      </c>
      <c r="L19" s="113">
        <v>0.5</v>
      </c>
      <c r="M19" s="113">
        <v>1.1000000000000001</v>
      </c>
      <c r="N19" s="116">
        <v>8.52</v>
      </c>
      <c r="O19" s="42"/>
    </row>
    <row r="20" spans="1:15">
      <c r="A20" s="39">
        <v>10</v>
      </c>
      <c r="B20" s="28" t="s">
        <v>28</v>
      </c>
      <c r="C20" s="117">
        <v>0.5</v>
      </c>
      <c r="D20" s="118">
        <v>0</v>
      </c>
      <c r="E20" s="118">
        <v>3.66</v>
      </c>
      <c r="F20" s="118">
        <v>23.84</v>
      </c>
      <c r="G20" s="118">
        <v>31.18</v>
      </c>
      <c r="H20" s="124">
        <v>5.93</v>
      </c>
      <c r="I20" s="125">
        <v>24.71</v>
      </c>
      <c r="J20" s="124">
        <f>'Licensed FTEs'!K14+'Licensed FTEs'!L14</f>
        <v>4.8199999999999994</v>
      </c>
      <c r="K20" s="118">
        <v>0.8</v>
      </c>
      <c r="L20" s="118">
        <v>1.7</v>
      </c>
      <c r="M20" s="118">
        <v>0</v>
      </c>
      <c r="N20" s="126">
        <v>4.49</v>
      </c>
      <c r="O20" s="42"/>
    </row>
    <row r="21" spans="1:15">
      <c r="A21" s="39">
        <v>11</v>
      </c>
      <c r="B21" s="26" t="s">
        <v>29</v>
      </c>
      <c r="C21" s="112">
        <v>0</v>
      </c>
      <c r="D21" s="113">
        <v>1</v>
      </c>
      <c r="E21" s="113">
        <v>5</v>
      </c>
      <c r="F21" s="113">
        <v>30.54</v>
      </c>
      <c r="G21" s="113">
        <v>39.47</v>
      </c>
      <c r="H21" s="114">
        <v>8.5</v>
      </c>
      <c r="I21" s="115">
        <v>45.5</v>
      </c>
      <c r="J21" s="114">
        <f>'Licensed FTEs'!K15+'Licensed FTEs'!L15</f>
        <v>2.83</v>
      </c>
      <c r="K21" s="113">
        <v>0</v>
      </c>
      <c r="L21" s="113">
        <v>2</v>
      </c>
      <c r="M21" s="113">
        <v>2</v>
      </c>
      <c r="N21" s="116">
        <v>0</v>
      </c>
      <c r="O21" s="42"/>
    </row>
    <row r="22" spans="1:15">
      <c r="A22" s="39">
        <v>12</v>
      </c>
      <c r="B22" s="26" t="s">
        <v>30</v>
      </c>
      <c r="C22" s="112">
        <v>11</v>
      </c>
      <c r="D22" s="113">
        <v>26.25</v>
      </c>
      <c r="E22" s="113">
        <v>142.91999999999999</v>
      </c>
      <c r="F22" s="113">
        <v>1221.27</v>
      </c>
      <c r="G22" s="113">
        <v>1142.42</v>
      </c>
      <c r="H22" s="114">
        <v>310.2</v>
      </c>
      <c r="I22" s="115">
        <v>616.92999999999995</v>
      </c>
      <c r="J22" s="114">
        <f>'Licensed FTEs'!K16+'Licensed FTEs'!L16</f>
        <v>278.21999999999997</v>
      </c>
      <c r="K22" s="113">
        <v>1</v>
      </c>
      <c r="L22" s="113">
        <v>83.18</v>
      </c>
      <c r="M22" s="113">
        <v>20.58</v>
      </c>
      <c r="N22" s="116">
        <v>32.97</v>
      </c>
      <c r="O22" s="42"/>
    </row>
    <row r="23" spans="1:15">
      <c r="A23" s="39">
        <v>13</v>
      </c>
      <c r="B23" s="26" t="s">
        <v>31</v>
      </c>
      <c r="C23" s="112">
        <v>2</v>
      </c>
      <c r="D23" s="113">
        <v>6.5</v>
      </c>
      <c r="E23" s="113">
        <v>22</v>
      </c>
      <c r="F23" s="113">
        <v>163.61000000000001</v>
      </c>
      <c r="G23" s="113">
        <v>160.59</v>
      </c>
      <c r="H23" s="114">
        <v>46.57</v>
      </c>
      <c r="I23" s="115">
        <v>234.1</v>
      </c>
      <c r="J23" s="114">
        <f>'Licensed FTEs'!K17+'Licensed FTEs'!L17</f>
        <v>8.9</v>
      </c>
      <c r="K23" s="113">
        <v>4</v>
      </c>
      <c r="L23" s="113">
        <v>11.5</v>
      </c>
      <c r="M23" s="113">
        <v>3</v>
      </c>
      <c r="N23" s="116">
        <v>10.1</v>
      </c>
      <c r="O23" s="42"/>
    </row>
    <row r="24" spans="1:15">
      <c r="A24" s="39">
        <v>14</v>
      </c>
      <c r="B24" s="26" t="s">
        <v>32</v>
      </c>
      <c r="C24" s="112">
        <v>7.9</v>
      </c>
      <c r="D24" s="113">
        <v>34.18</v>
      </c>
      <c r="E24" s="113">
        <v>131.27000000000001</v>
      </c>
      <c r="F24" s="113">
        <v>1494.6</v>
      </c>
      <c r="G24" s="113">
        <v>1231.96</v>
      </c>
      <c r="H24" s="114">
        <v>321.25</v>
      </c>
      <c r="I24" s="115">
        <v>917.92</v>
      </c>
      <c r="J24" s="114">
        <f>'Licensed FTEs'!K18+'Licensed FTEs'!L18</f>
        <v>243.41</v>
      </c>
      <c r="K24" s="113">
        <v>1.71</v>
      </c>
      <c r="L24" s="113">
        <v>76.06</v>
      </c>
      <c r="M24" s="113">
        <v>29.72</v>
      </c>
      <c r="N24" s="116">
        <v>77.83</v>
      </c>
      <c r="O24" s="42"/>
    </row>
    <row r="25" spans="1:15">
      <c r="A25" s="39">
        <v>15</v>
      </c>
      <c r="B25" s="26" t="s">
        <v>33</v>
      </c>
      <c r="C25" s="112">
        <v>0</v>
      </c>
      <c r="D25" s="113">
        <v>1</v>
      </c>
      <c r="E25" s="113">
        <v>5</v>
      </c>
      <c r="F25" s="113">
        <v>44.04</v>
      </c>
      <c r="G25" s="113">
        <v>35.700000000000003</v>
      </c>
      <c r="H25" s="114">
        <v>11.8</v>
      </c>
      <c r="I25" s="115">
        <v>42.83</v>
      </c>
      <c r="J25" s="114">
        <f>'Licensed FTEs'!K19+'Licensed FTEs'!L19</f>
        <v>2.08</v>
      </c>
      <c r="K25" s="113">
        <v>1</v>
      </c>
      <c r="L25" s="113">
        <v>2</v>
      </c>
      <c r="M25" s="113">
        <v>0</v>
      </c>
      <c r="N25" s="116">
        <v>3.65</v>
      </c>
      <c r="O25" s="42"/>
    </row>
    <row r="26" spans="1:15">
      <c r="A26" s="39">
        <v>16</v>
      </c>
      <c r="B26" s="27" t="s">
        <v>34</v>
      </c>
      <c r="C26" s="122">
        <v>1.5</v>
      </c>
      <c r="D26" s="119">
        <v>0</v>
      </c>
      <c r="E26" s="119">
        <v>3.59</v>
      </c>
      <c r="F26" s="119">
        <v>25.57</v>
      </c>
      <c r="G26" s="119">
        <v>35.700000000000003</v>
      </c>
      <c r="H26" s="120">
        <v>5.9</v>
      </c>
      <c r="I26" s="121">
        <v>33.24</v>
      </c>
      <c r="J26" s="120">
        <f>'Licensed FTEs'!K20+'Licensed FTEs'!L20</f>
        <v>0.34</v>
      </c>
      <c r="K26" s="119">
        <v>0</v>
      </c>
      <c r="L26" s="119">
        <v>1.2</v>
      </c>
      <c r="M26" s="119">
        <v>0.36</v>
      </c>
      <c r="N26" s="123">
        <v>3.25</v>
      </c>
      <c r="O26" s="42"/>
    </row>
    <row r="27" spans="1:15">
      <c r="A27" s="39">
        <v>39</v>
      </c>
      <c r="B27" s="26" t="s">
        <v>57</v>
      </c>
      <c r="C27" s="112">
        <v>0.56999999999999995</v>
      </c>
      <c r="D27" s="113">
        <v>3</v>
      </c>
      <c r="E27" s="113">
        <v>15.29</v>
      </c>
      <c r="F27" s="113">
        <v>100.33</v>
      </c>
      <c r="G27" s="113">
        <v>119.91</v>
      </c>
      <c r="H27" s="114">
        <v>27.12</v>
      </c>
      <c r="I27" s="115">
        <v>151.75</v>
      </c>
      <c r="J27" s="114">
        <f>'Licensed FTEs'!K21+'Licensed FTEs'!L21</f>
        <v>26.99</v>
      </c>
      <c r="K27" s="113">
        <v>1</v>
      </c>
      <c r="L27" s="113">
        <v>6.41</v>
      </c>
      <c r="M27" s="113">
        <v>2</v>
      </c>
      <c r="N27" s="116">
        <v>7.5</v>
      </c>
      <c r="O27" s="42"/>
    </row>
    <row r="28" spans="1:15">
      <c r="A28" s="39">
        <v>17</v>
      </c>
      <c r="B28" s="26" t="s">
        <v>35</v>
      </c>
      <c r="C28" s="112">
        <v>0</v>
      </c>
      <c r="D28" s="113">
        <v>3.5</v>
      </c>
      <c r="E28" s="113">
        <v>6.33</v>
      </c>
      <c r="F28" s="113">
        <v>51.73</v>
      </c>
      <c r="G28" s="113">
        <v>70.53</v>
      </c>
      <c r="H28" s="114">
        <v>9.7799999999999994</v>
      </c>
      <c r="I28" s="115">
        <v>60.88</v>
      </c>
      <c r="J28" s="114">
        <f>'Licensed FTEs'!K22+'Licensed FTEs'!L22</f>
        <v>6.38</v>
      </c>
      <c r="K28" s="113">
        <v>0.55000000000000004</v>
      </c>
      <c r="L28" s="113">
        <v>1.96</v>
      </c>
      <c r="M28" s="113">
        <v>1</v>
      </c>
      <c r="N28" s="116">
        <v>4.5</v>
      </c>
      <c r="O28" s="42"/>
    </row>
    <row r="29" spans="1:15">
      <c r="A29" s="39">
        <v>18</v>
      </c>
      <c r="B29" s="26" t="s">
        <v>36</v>
      </c>
      <c r="C29" s="112">
        <v>0</v>
      </c>
      <c r="D29" s="113">
        <v>1</v>
      </c>
      <c r="E29" s="113">
        <v>5</v>
      </c>
      <c r="F29" s="113">
        <v>46.33</v>
      </c>
      <c r="G29" s="113">
        <v>46.25</v>
      </c>
      <c r="H29" s="114">
        <v>8.8000000000000007</v>
      </c>
      <c r="I29" s="115">
        <v>30.46</v>
      </c>
      <c r="J29" s="114">
        <f>'Licensed FTEs'!K23+'Licensed FTEs'!L23</f>
        <v>1.67</v>
      </c>
      <c r="K29" s="113">
        <v>0</v>
      </c>
      <c r="L29" s="113">
        <v>3</v>
      </c>
      <c r="M29" s="113">
        <v>1.2</v>
      </c>
      <c r="N29" s="116">
        <v>4</v>
      </c>
      <c r="O29" s="42"/>
    </row>
    <row r="30" spans="1:15">
      <c r="A30" s="39">
        <v>40</v>
      </c>
      <c r="B30" s="28" t="s">
        <v>58</v>
      </c>
      <c r="C30" s="117">
        <v>0</v>
      </c>
      <c r="D30" s="118">
        <v>1.5</v>
      </c>
      <c r="E30" s="118">
        <v>12.33</v>
      </c>
      <c r="F30" s="118">
        <v>116.93</v>
      </c>
      <c r="G30" s="118">
        <v>126.68</v>
      </c>
      <c r="H30" s="124">
        <v>26.1</v>
      </c>
      <c r="I30" s="125">
        <v>103.68</v>
      </c>
      <c r="J30" s="124">
        <f>'Licensed FTEs'!K24+'Licensed FTEs'!L24</f>
        <v>9.61</v>
      </c>
      <c r="K30" s="118">
        <v>1</v>
      </c>
      <c r="L30" s="118">
        <v>8.33</v>
      </c>
      <c r="M30" s="118">
        <v>2</v>
      </c>
      <c r="N30" s="126">
        <v>6.75</v>
      </c>
      <c r="O30" s="42"/>
    </row>
    <row r="31" spans="1:15">
      <c r="A31" s="39">
        <v>19</v>
      </c>
      <c r="B31" s="26" t="s">
        <v>37</v>
      </c>
      <c r="C31" s="112">
        <v>4</v>
      </c>
      <c r="D31" s="113">
        <v>14</v>
      </c>
      <c r="E31" s="113">
        <v>60</v>
      </c>
      <c r="F31" s="113">
        <v>510.22</v>
      </c>
      <c r="G31" s="113">
        <v>408.81</v>
      </c>
      <c r="H31" s="114">
        <v>115.92</v>
      </c>
      <c r="I31" s="115">
        <v>399.88</v>
      </c>
      <c r="J31" s="114">
        <f>'Licensed FTEs'!K25+'Licensed FTEs'!L25</f>
        <v>93.38</v>
      </c>
      <c r="K31" s="113">
        <v>10.9</v>
      </c>
      <c r="L31" s="113">
        <v>28.99</v>
      </c>
      <c r="M31" s="113">
        <v>8.08</v>
      </c>
      <c r="N31" s="116">
        <v>17.88</v>
      </c>
      <c r="O31" s="42"/>
    </row>
    <row r="32" spans="1:15">
      <c r="A32" s="39">
        <v>20</v>
      </c>
      <c r="B32" s="29" t="s">
        <v>38</v>
      </c>
      <c r="C32" s="112">
        <v>0</v>
      </c>
      <c r="D32" s="113">
        <v>1</v>
      </c>
      <c r="E32" s="113">
        <v>5</v>
      </c>
      <c r="F32" s="113">
        <v>53</v>
      </c>
      <c r="G32" s="113">
        <v>51.33</v>
      </c>
      <c r="H32" s="114">
        <v>9.83</v>
      </c>
      <c r="I32" s="115">
        <v>58.41</v>
      </c>
      <c r="J32" s="114">
        <f>'Licensed FTEs'!K26+'Licensed FTEs'!L26</f>
        <v>2.17</v>
      </c>
      <c r="K32" s="113">
        <v>0</v>
      </c>
      <c r="L32" s="113">
        <v>0</v>
      </c>
      <c r="M32" s="113">
        <v>1</v>
      </c>
      <c r="N32" s="116">
        <v>3.5</v>
      </c>
      <c r="O32" s="42"/>
    </row>
    <row r="33" spans="1:15">
      <c r="A33" s="39">
        <v>21</v>
      </c>
      <c r="B33" s="29" t="s">
        <v>39</v>
      </c>
      <c r="C33" s="112">
        <v>0.5</v>
      </c>
      <c r="D33" s="113">
        <v>0</v>
      </c>
      <c r="E33" s="113">
        <v>2.06</v>
      </c>
      <c r="F33" s="113">
        <v>18.84</v>
      </c>
      <c r="G33" s="113">
        <v>22.84</v>
      </c>
      <c r="H33" s="114">
        <v>6.34</v>
      </c>
      <c r="I33" s="115">
        <v>19.25</v>
      </c>
      <c r="J33" s="114">
        <f>'Licensed FTEs'!K27+'Licensed FTEs'!L27</f>
        <v>3.51</v>
      </c>
      <c r="K33" s="113">
        <v>0.25</v>
      </c>
      <c r="L33" s="113">
        <v>1.75</v>
      </c>
      <c r="M33" s="113">
        <v>0.83</v>
      </c>
      <c r="N33" s="130">
        <v>1.67</v>
      </c>
      <c r="O33" s="42"/>
    </row>
    <row r="34" spans="1:15">
      <c r="A34" s="39">
        <v>37</v>
      </c>
      <c r="B34" s="26" t="s">
        <v>55</v>
      </c>
      <c r="C34" s="112">
        <v>0</v>
      </c>
      <c r="D34" s="113">
        <v>4.5</v>
      </c>
      <c r="E34" s="113">
        <v>37.6</v>
      </c>
      <c r="F34" s="113">
        <v>225.07</v>
      </c>
      <c r="G34" s="113">
        <v>177.65</v>
      </c>
      <c r="H34" s="114">
        <v>58.99</v>
      </c>
      <c r="I34" s="115">
        <v>200.35</v>
      </c>
      <c r="J34" s="114">
        <f>'Licensed FTEs'!K28+'Licensed FTEs'!L28</f>
        <v>64</v>
      </c>
      <c r="K34" s="113">
        <v>11.13</v>
      </c>
      <c r="L34" s="113">
        <v>14.32</v>
      </c>
      <c r="M34" s="113">
        <v>17.329999999999998</v>
      </c>
      <c r="N34" s="116">
        <v>3.5</v>
      </c>
      <c r="O34" s="42"/>
    </row>
    <row r="35" spans="1:15">
      <c r="A35" s="39">
        <v>22</v>
      </c>
      <c r="B35" s="26" t="s">
        <v>40</v>
      </c>
      <c r="C35" s="112">
        <v>0</v>
      </c>
      <c r="D35" s="113">
        <v>0</v>
      </c>
      <c r="E35" s="113">
        <v>9</v>
      </c>
      <c r="F35" s="113">
        <v>78.31</v>
      </c>
      <c r="G35" s="113">
        <v>122.95</v>
      </c>
      <c r="H35" s="114">
        <v>21.74</v>
      </c>
      <c r="I35" s="115">
        <v>74.48</v>
      </c>
      <c r="J35" s="114">
        <f>'Licensed FTEs'!K29+'Licensed FTEs'!L29</f>
        <v>21.41</v>
      </c>
      <c r="K35" s="113">
        <v>4.55</v>
      </c>
      <c r="L35" s="113">
        <v>6.83</v>
      </c>
      <c r="M35" s="113">
        <v>6.84</v>
      </c>
      <c r="N35" s="116">
        <v>1.99</v>
      </c>
      <c r="O35" s="42"/>
    </row>
    <row r="36" spans="1:15">
      <c r="A36" s="39">
        <v>23</v>
      </c>
      <c r="B36" s="27" t="s">
        <v>41</v>
      </c>
      <c r="C36" s="122">
        <v>0</v>
      </c>
      <c r="D36" s="119">
        <v>0.75</v>
      </c>
      <c r="E36" s="119">
        <v>1.34</v>
      </c>
      <c r="F36" s="119">
        <v>8.82</v>
      </c>
      <c r="G36" s="119">
        <v>13.9</v>
      </c>
      <c r="H36" s="120">
        <v>1.92</v>
      </c>
      <c r="I36" s="121">
        <v>10.7</v>
      </c>
      <c r="J36" s="120">
        <f>'Licensed FTEs'!K30+'Licensed FTEs'!L30</f>
        <v>0.2</v>
      </c>
      <c r="K36" s="119">
        <v>0.5</v>
      </c>
      <c r="L36" s="119">
        <v>0.5</v>
      </c>
      <c r="M36" s="119">
        <v>0</v>
      </c>
      <c r="N36" s="123">
        <v>0.8</v>
      </c>
      <c r="O36" s="42"/>
    </row>
    <row r="37" spans="1:15">
      <c r="A37" s="39">
        <v>38</v>
      </c>
      <c r="B37" s="26" t="s">
        <v>56</v>
      </c>
      <c r="C37" s="112">
        <v>1</v>
      </c>
      <c r="D37" s="113">
        <v>1</v>
      </c>
      <c r="E37" s="113">
        <v>23.75</v>
      </c>
      <c r="F37" s="113">
        <v>228.12</v>
      </c>
      <c r="G37" s="113">
        <v>216.44</v>
      </c>
      <c r="H37" s="114">
        <v>75.02</v>
      </c>
      <c r="I37" s="115">
        <v>250.72</v>
      </c>
      <c r="J37" s="114">
        <f>'Licensed FTEs'!K31+'Licensed FTEs'!L31</f>
        <v>45.52</v>
      </c>
      <c r="K37" s="113">
        <v>0</v>
      </c>
      <c r="L37" s="113">
        <v>13</v>
      </c>
      <c r="M37" s="113">
        <v>4.33</v>
      </c>
      <c r="N37" s="116">
        <v>11.42</v>
      </c>
      <c r="O37" s="42"/>
    </row>
    <row r="38" spans="1:15">
      <c r="A38" s="39">
        <v>24</v>
      </c>
      <c r="B38" s="26" t="s">
        <v>42</v>
      </c>
      <c r="C38" s="112">
        <v>0</v>
      </c>
      <c r="D38" s="113">
        <v>0</v>
      </c>
      <c r="E38" s="113">
        <v>2</v>
      </c>
      <c r="F38" s="113">
        <v>10</v>
      </c>
      <c r="G38" s="113">
        <v>17.850000000000001</v>
      </c>
      <c r="H38" s="114">
        <v>2</v>
      </c>
      <c r="I38" s="115">
        <v>7.26</v>
      </c>
      <c r="J38" s="114">
        <f>'Licensed FTEs'!K32+'Licensed FTEs'!L32</f>
        <v>1.43</v>
      </c>
      <c r="K38" s="113">
        <v>0.5</v>
      </c>
      <c r="L38" s="113">
        <v>0.45</v>
      </c>
      <c r="M38" s="113">
        <v>0</v>
      </c>
      <c r="N38" s="116">
        <v>1.5</v>
      </c>
      <c r="O38" s="42"/>
    </row>
    <row r="39" spans="1:15">
      <c r="A39" s="39">
        <v>36</v>
      </c>
      <c r="B39" s="26" t="s">
        <v>54</v>
      </c>
      <c r="C39" s="112">
        <v>0</v>
      </c>
      <c r="D39" s="113">
        <v>7.56</v>
      </c>
      <c r="E39" s="113">
        <v>79.290000000000006</v>
      </c>
      <c r="F39" s="113">
        <v>467.88</v>
      </c>
      <c r="G39" s="113">
        <v>395.42</v>
      </c>
      <c r="H39" s="114">
        <v>147.80000000000001</v>
      </c>
      <c r="I39" s="115">
        <v>478.32</v>
      </c>
      <c r="J39" s="114">
        <f>'Licensed FTEs'!K33+'Licensed FTEs'!L33</f>
        <v>99.91</v>
      </c>
      <c r="K39" s="113">
        <v>14</v>
      </c>
      <c r="L39" s="113">
        <v>21.5</v>
      </c>
      <c r="M39" s="113">
        <v>38</v>
      </c>
      <c r="N39" s="116">
        <v>6.06</v>
      </c>
      <c r="O39" s="42"/>
    </row>
    <row r="40" spans="1:15">
      <c r="A40" s="39">
        <v>25</v>
      </c>
      <c r="B40" s="30" t="s">
        <v>43</v>
      </c>
      <c r="C40" s="117">
        <v>1</v>
      </c>
      <c r="D40" s="118">
        <v>3.25</v>
      </c>
      <c r="E40" s="118">
        <v>7.75</v>
      </c>
      <c r="F40" s="118">
        <v>52.04</v>
      </c>
      <c r="G40" s="118">
        <v>80.64</v>
      </c>
      <c r="H40" s="124">
        <v>13.52</v>
      </c>
      <c r="I40" s="125">
        <v>51.29</v>
      </c>
      <c r="J40" s="124">
        <f>'Licensed FTEs'!K34+'Licensed FTEs'!L34</f>
        <v>21</v>
      </c>
      <c r="K40" s="118">
        <v>3</v>
      </c>
      <c r="L40" s="118">
        <v>4.16</v>
      </c>
      <c r="M40" s="118">
        <v>2.5</v>
      </c>
      <c r="N40" s="126">
        <v>7.82</v>
      </c>
      <c r="O40" s="42"/>
    </row>
    <row r="41" spans="1:15">
      <c r="A41" s="39">
        <v>26</v>
      </c>
      <c r="B41" s="31" t="s">
        <v>44</v>
      </c>
      <c r="C41" s="122">
        <v>0</v>
      </c>
      <c r="D41" s="119">
        <v>3.5</v>
      </c>
      <c r="E41" s="119">
        <v>11</v>
      </c>
      <c r="F41" s="119">
        <v>74.8</v>
      </c>
      <c r="G41" s="119">
        <v>99.56</v>
      </c>
      <c r="H41" s="120">
        <v>31.84</v>
      </c>
      <c r="I41" s="121">
        <v>69.81</v>
      </c>
      <c r="J41" s="120">
        <f>'Licensed FTEs'!K35+'Licensed FTEs'!L35</f>
        <v>4.68</v>
      </c>
      <c r="K41" s="119">
        <v>0</v>
      </c>
      <c r="L41" s="119">
        <v>5.46</v>
      </c>
      <c r="M41" s="119">
        <v>0</v>
      </c>
      <c r="N41" s="123">
        <v>8.61</v>
      </c>
      <c r="O41" s="42"/>
    </row>
    <row r="42" spans="1:15">
      <c r="A42" s="39">
        <v>27</v>
      </c>
      <c r="B42" s="29" t="s">
        <v>45</v>
      </c>
      <c r="C42" s="112">
        <v>0</v>
      </c>
      <c r="D42" s="113">
        <v>1.71</v>
      </c>
      <c r="E42" s="113">
        <v>7.5</v>
      </c>
      <c r="F42" s="113">
        <v>63.19</v>
      </c>
      <c r="G42" s="113">
        <v>75.42</v>
      </c>
      <c r="H42" s="114">
        <v>13.93</v>
      </c>
      <c r="I42" s="115">
        <v>110</v>
      </c>
      <c r="J42" s="114">
        <f>'Licensed FTEs'!K36+'Licensed FTEs'!L36</f>
        <v>4.25</v>
      </c>
      <c r="K42" s="113">
        <v>0</v>
      </c>
      <c r="L42" s="113">
        <v>6.45</v>
      </c>
      <c r="M42" s="113">
        <v>0</v>
      </c>
      <c r="N42" s="116">
        <v>8</v>
      </c>
      <c r="O42" s="42"/>
    </row>
    <row r="43" spans="1:15">
      <c r="A43" s="39">
        <v>28</v>
      </c>
      <c r="B43" s="29" t="s">
        <v>46</v>
      </c>
      <c r="C43" s="112">
        <v>0</v>
      </c>
      <c r="D43" s="113">
        <v>0.13</v>
      </c>
      <c r="E43" s="113">
        <v>2</v>
      </c>
      <c r="F43" s="113">
        <v>33.840000000000003</v>
      </c>
      <c r="G43" s="113">
        <v>31.41</v>
      </c>
      <c r="H43" s="114">
        <v>5.87</v>
      </c>
      <c r="I43" s="115">
        <v>25.25</v>
      </c>
      <c r="J43" s="114">
        <f>'Licensed FTEs'!K37+'Licensed FTEs'!L37</f>
        <v>4.3100000000000005</v>
      </c>
      <c r="K43" s="113">
        <v>1</v>
      </c>
      <c r="L43" s="113">
        <v>1</v>
      </c>
      <c r="M43" s="113">
        <v>1.5</v>
      </c>
      <c r="N43" s="116">
        <v>1.5</v>
      </c>
      <c r="O43" s="42"/>
    </row>
    <row r="44" spans="1:15">
      <c r="A44" s="39">
        <v>29</v>
      </c>
      <c r="B44" s="26" t="s">
        <v>47</v>
      </c>
      <c r="C44" s="112">
        <v>0</v>
      </c>
      <c r="D44" s="113">
        <v>0.25</v>
      </c>
      <c r="E44" s="113">
        <v>0.75</v>
      </c>
      <c r="F44" s="113">
        <v>8.4</v>
      </c>
      <c r="G44" s="113">
        <v>10.41</v>
      </c>
      <c r="H44" s="114">
        <v>1.67</v>
      </c>
      <c r="I44" s="115">
        <v>7.25</v>
      </c>
      <c r="J44" s="114">
        <f>'Licensed FTEs'!K38+'Licensed FTEs'!L38</f>
        <v>0.7</v>
      </c>
      <c r="K44" s="113">
        <v>0.17</v>
      </c>
      <c r="L44" s="113">
        <v>0.41</v>
      </c>
      <c r="M44" s="113">
        <v>0.5</v>
      </c>
      <c r="N44" s="116">
        <v>1.26</v>
      </c>
      <c r="O44" s="42"/>
    </row>
    <row r="45" spans="1:15">
      <c r="A45" s="39">
        <v>30</v>
      </c>
      <c r="B45" s="28" t="s">
        <v>48</v>
      </c>
      <c r="C45" s="117">
        <v>1.5</v>
      </c>
      <c r="D45" s="118">
        <v>7.11</v>
      </c>
      <c r="E45" s="118">
        <v>27.75</v>
      </c>
      <c r="F45" s="118">
        <v>256.2</v>
      </c>
      <c r="G45" s="118">
        <v>242.15</v>
      </c>
      <c r="H45" s="124">
        <v>70.06</v>
      </c>
      <c r="I45" s="125">
        <v>178.97</v>
      </c>
      <c r="J45" s="124">
        <f>'Licensed FTEs'!K39+'Licensed FTEs'!L39</f>
        <v>32.269999999999996</v>
      </c>
      <c r="K45" s="118">
        <v>4.2699999999999996</v>
      </c>
      <c r="L45" s="118">
        <v>16.329999999999998</v>
      </c>
      <c r="M45" s="118">
        <v>2.1</v>
      </c>
      <c r="N45" s="126">
        <v>20.54</v>
      </c>
      <c r="O45" s="42"/>
    </row>
    <row r="46" spans="1:15">
      <c r="A46" s="39">
        <v>31</v>
      </c>
      <c r="B46" s="26" t="s">
        <v>49</v>
      </c>
      <c r="C46" s="112">
        <v>0</v>
      </c>
      <c r="D46" s="113">
        <v>3</v>
      </c>
      <c r="E46" s="113">
        <v>16.54</v>
      </c>
      <c r="F46" s="113">
        <v>111.85</v>
      </c>
      <c r="G46" s="113">
        <v>96.86</v>
      </c>
      <c r="H46" s="114">
        <v>27.41</v>
      </c>
      <c r="I46" s="115">
        <v>94.25</v>
      </c>
      <c r="J46" s="114">
        <f>'Licensed FTEs'!K40+'Licensed FTEs'!L40</f>
        <v>12.4</v>
      </c>
      <c r="K46" s="113">
        <v>1</v>
      </c>
      <c r="L46" s="113">
        <v>6.31</v>
      </c>
      <c r="M46" s="113">
        <v>0.96</v>
      </c>
      <c r="N46" s="116">
        <v>10</v>
      </c>
      <c r="O46" s="42"/>
    </row>
    <row r="47" spans="1:15">
      <c r="A47" s="39">
        <v>32</v>
      </c>
      <c r="B47" s="26" t="s">
        <v>50</v>
      </c>
      <c r="C47" s="112">
        <v>0</v>
      </c>
      <c r="D47" s="113">
        <v>3</v>
      </c>
      <c r="E47" s="113">
        <v>8.5</v>
      </c>
      <c r="F47" s="113">
        <v>85</v>
      </c>
      <c r="G47" s="113">
        <v>87.47</v>
      </c>
      <c r="H47" s="114">
        <v>26</v>
      </c>
      <c r="I47" s="115">
        <v>88.92</v>
      </c>
      <c r="J47" s="114">
        <f>'Licensed FTEs'!K41+'Licensed FTEs'!L41</f>
        <v>23.82</v>
      </c>
      <c r="K47" s="113">
        <v>3.25</v>
      </c>
      <c r="L47" s="113">
        <v>6.35</v>
      </c>
      <c r="M47" s="113">
        <v>6.83</v>
      </c>
      <c r="N47" s="116">
        <v>1.5</v>
      </c>
      <c r="O47" s="42"/>
    </row>
    <row r="48" spans="1:15">
      <c r="A48" s="39">
        <v>33</v>
      </c>
      <c r="B48" s="29" t="s">
        <v>51</v>
      </c>
      <c r="C48" s="112">
        <v>0</v>
      </c>
      <c r="D48" s="113">
        <v>8.6999999999999993</v>
      </c>
      <c r="E48" s="113">
        <v>61.91</v>
      </c>
      <c r="F48" s="113">
        <v>452.69</v>
      </c>
      <c r="G48" s="113">
        <v>504.44</v>
      </c>
      <c r="H48" s="114">
        <v>105.38</v>
      </c>
      <c r="I48" s="115">
        <v>250.39</v>
      </c>
      <c r="J48" s="114">
        <f>'Licensed FTEs'!K42+'Licensed FTEs'!L42</f>
        <v>84.45</v>
      </c>
      <c r="K48" s="113">
        <v>12.3</v>
      </c>
      <c r="L48" s="113">
        <v>32.75</v>
      </c>
      <c r="M48" s="113">
        <v>15.01</v>
      </c>
      <c r="N48" s="116">
        <v>36.54</v>
      </c>
      <c r="O48" s="42"/>
    </row>
    <row r="49" spans="1:15">
      <c r="A49" s="39">
        <v>34</v>
      </c>
      <c r="B49" s="29" t="s">
        <v>52</v>
      </c>
      <c r="C49" s="112">
        <v>0</v>
      </c>
      <c r="D49" s="113">
        <v>0.5</v>
      </c>
      <c r="E49" s="113">
        <v>1.63</v>
      </c>
      <c r="F49" s="113">
        <v>13.28</v>
      </c>
      <c r="G49" s="113">
        <v>18.059999999999999</v>
      </c>
      <c r="H49" s="114">
        <v>2.85</v>
      </c>
      <c r="I49" s="115">
        <v>9.17</v>
      </c>
      <c r="J49" s="114">
        <f>'Licensed FTEs'!K43+'Licensed FTEs'!L43</f>
        <v>1.42</v>
      </c>
      <c r="K49" s="113">
        <v>0</v>
      </c>
      <c r="L49" s="113">
        <v>0.86</v>
      </c>
      <c r="M49" s="113">
        <v>0</v>
      </c>
      <c r="N49" s="116">
        <v>1.86</v>
      </c>
      <c r="O49" s="42"/>
    </row>
    <row r="50" spans="1:15" ht="13.5" thickBot="1">
      <c r="A50" s="39">
        <v>35</v>
      </c>
      <c r="B50" s="26" t="s">
        <v>53</v>
      </c>
      <c r="C50" s="112">
        <v>0</v>
      </c>
      <c r="D50" s="113">
        <v>9</v>
      </c>
      <c r="E50" s="113">
        <v>58.5</v>
      </c>
      <c r="F50" s="113">
        <v>545.17999999999995</v>
      </c>
      <c r="G50" s="113">
        <v>502.18</v>
      </c>
      <c r="H50" s="114">
        <v>154.02000000000001</v>
      </c>
      <c r="I50" s="115">
        <v>332.98</v>
      </c>
      <c r="J50" s="114">
        <f>'Licensed FTEs'!K44+'Licensed FTEs'!L44</f>
        <v>44.07</v>
      </c>
      <c r="K50" s="113">
        <v>16.149999999999999</v>
      </c>
      <c r="L50" s="113">
        <v>38.15</v>
      </c>
      <c r="M50" s="113">
        <v>12.83</v>
      </c>
      <c r="N50" s="116">
        <v>27.2</v>
      </c>
      <c r="O50" s="42"/>
    </row>
    <row r="51" spans="1:15" ht="13.5" thickBot="1">
      <c r="B51" s="32" t="s">
        <v>59</v>
      </c>
      <c r="C51" s="127">
        <f>SUM(C11:C50)</f>
        <v>43.64</v>
      </c>
      <c r="D51" s="128">
        <f t="shared" ref="D51:N51" si="0">SUM(D11:D50)</f>
        <v>196.25</v>
      </c>
      <c r="E51" s="128">
        <f t="shared" si="0"/>
        <v>1094.0100000000002</v>
      </c>
      <c r="F51" s="128">
        <f t="shared" si="0"/>
        <v>9680.4400000000023</v>
      </c>
      <c r="G51" s="128">
        <f t="shared" si="0"/>
        <v>9055.619999999999</v>
      </c>
      <c r="H51" s="129">
        <f t="shared" si="0"/>
        <v>2350.6399999999994</v>
      </c>
      <c r="I51" s="127">
        <f t="shared" si="0"/>
        <v>7471.2300000000014</v>
      </c>
      <c r="J51" s="129">
        <f t="shared" si="0"/>
        <v>1486.3400000000004</v>
      </c>
      <c r="K51" s="128">
        <f t="shared" si="0"/>
        <v>133.17999999999998</v>
      </c>
      <c r="L51" s="128">
        <f t="shared" si="0"/>
        <v>603.56999999999994</v>
      </c>
      <c r="M51" s="128">
        <f t="shared" si="0"/>
        <v>249.68000000000006</v>
      </c>
      <c r="N51" s="129">
        <f t="shared" si="0"/>
        <v>477.36000000000007</v>
      </c>
      <c r="O51" s="42"/>
    </row>
    <row r="52" spans="1:15" ht="13.5" thickBot="1">
      <c r="B52" s="32" t="s">
        <v>60</v>
      </c>
      <c r="C52" s="131">
        <v>3.5</v>
      </c>
      <c r="D52" s="132">
        <v>0</v>
      </c>
      <c r="E52" s="132">
        <v>54.3</v>
      </c>
      <c r="F52" s="132">
        <v>583.68999999999994</v>
      </c>
      <c r="G52" s="132">
        <v>506.81000000000023</v>
      </c>
      <c r="H52" s="133">
        <v>85.24</v>
      </c>
      <c r="I52" s="132">
        <v>461.21000000000009</v>
      </c>
      <c r="J52" s="133">
        <v>39.469999999999992</v>
      </c>
      <c r="K52" s="132">
        <v>4.58</v>
      </c>
      <c r="L52" s="132">
        <v>22</v>
      </c>
      <c r="M52" s="132">
        <v>11.97</v>
      </c>
      <c r="N52" s="133">
        <v>24.5</v>
      </c>
      <c r="O52" s="42"/>
    </row>
    <row r="53" spans="1:15" ht="13.5" thickBot="1">
      <c r="B53" s="32" t="s">
        <v>61</v>
      </c>
      <c r="C53" s="127">
        <f>C51+C52</f>
        <v>47.14</v>
      </c>
      <c r="D53" s="128">
        <f t="shared" ref="D53:N53" si="1">D51+D52</f>
        <v>196.25</v>
      </c>
      <c r="E53" s="128">
        <f t="shared" si="1"/>
        <v>1148.3100000000002</v>
      </c>
      <c r="F53" s="128">
        <f t="shared" si="1"/>
        <v>10264.130000000003</v>
      </c>
      <c r="G53" s="128">
        <f t="shared" si="1"/>
        <v>9562.4299999999985</v>
      </c>
      <c r="H53" s="129">
        <f t="shared" si="1"/>
        <v>2435.8799999999992</v>
      </c>
      <c r="I53" s="128">
        <f t="shared" si="1"/>
        <v>7932.4400000000014</v>
      </c>
      <c r="J53" s="129">
        <f t="shared" si="1"/>
        <v>1525.8100000000004</v>
      </c>
      <c r="K53" s="128">
        <f t="shared" si="1"/>
        <v>137.76</v>
      </c>
      <c r="L53" s="128">
        <f t="shared" si="1"/>
        <v>625.56999999999994</v>
      </c>
      <c r="M53" s="128">
        <f t="shared" si="1"/>
        <v>261.65000000000009</v>
      </c>
      <c r="N53" s="129">
        <f t="shared" si="1"/>
        <v>501.86000000000007</v>
      </c>
      <c r="O53" s="42"/>
    </row>
    <row r="54" spans="1:15"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</row>
    <row r="55" spans="1:15">
      <c r="B55" s="17" t="s">
        <v>381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</row>
    <row r="56" spans="1:15"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</row>
    <row r="57" spans="1:15"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</row>
    <row r="58" spans="1:15"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</row>
    <row r="59" spans="1:15"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</row>
    <row r="60" spans="1:15"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</row>
    <row r="61" spans="1:15"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</row>
    <row r="62" spans="1:15"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</row>
    <row r="63" spans="1:15"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</row>
    <row r="64" spans="1:15"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</row>
    <row r="65" spans="3:15"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</row>
    <row r="66" spans="3:15"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</row>
    <row r="67" spans="3:15"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</row>
    <row r="68" spans="3:15"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</row>
    <row r="69" spans="3:15"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</row>
  </sheetData>
  <sortState ref="A7:O46">
    <sortCondition ref="B7:B46"/>
  </sortState>
  <mergeCells count="18">
    <mergeCell ref="N6:N8"/>
    <mergeCell ref="C7:D7"/>
    <mergeCell ref="E7:E8"/>
    <mergeCell ref="F7:F8"/>
    <mergeCell ref="G7:G8"/>
    <mergeCell ref="H7:H8"/>
    <mergeCell ref="B1:N1"/>
    <mergeCell ref="B2:N2"/>
    <mergeCell ref="B3:N3"/>
    <mergeCell ref="B5:B9"/>
    <mergeCell ref="C5:J5"/>
    <mergeCell ref="K5:N5"/>
    <mergeCell ref="C6:H6"/>
    <mergeCell ref="I6:I8"/>
    <mergeCell ref="J6:J8"/>
    <mergeCell ref="K6:K8"/>
    <mergeCell ref="L6:L8"/>
    <mergeCell ref="M6:M8"/>
  </mergeCells>
  <printOptions horizontalCentered="1" verticalCentered="1"/>
  <pageMargins left="0.7" right="0.7" top="0.75" bottom="0.6" header="0.65" footer="0.3"/>
  <pageSetup scale="63" orientation="landscape" r:id="rId1"/>
  <headerFooter>
    <oddFooter>&amp;L&amp;"Arial,Regular"&amp;8DATA SOURCE:  CACTUS Database June 30, 2009
Year-End Web Survey FY 2009
COMPILED BY:  USOE/Finance and Statistics/Emily Eyre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77"/>
  <sheetViews>
    <sheetView workbookViewId="0">
      <selection activeCell="Q1" sqref="Q1:Q1048576"/>
    </sheetView>
  </sheetViews>
  <sheetFormatPr defaultRowHeight="12.75"/>
  <cols>
    <col min="1" max="1" width="4.140625" style="16" customWidth="1"/>
    <col min="2" max="2" width="31.42578125" style="16" customWidth="1"/>
    <col min="3" max="4" width="11.7109375" style="16" customWidth="1"/>
    <col min="5" max="5" width="14.28515625" style="16" customWidth="1"/>
    <col min="6" max="6" width="13" style="16" customWidth="1"/>
    <col min="7" max="7" width="13.7109375" style="16" customWidth="1"/>
    <col min="8" max="8" width="12.28515625" style="16" customWidth="1"/>
    <col min="9" max="9" width="15.140625" style="16" customWidth="1"/>
    <col min="10" max="10" width="15" style="16" customWidth="1"/>
    <col min="11" max="12" width="15.140625" style="16" customWidth="1"/>
    <col min="13" max="13" width="14.42578125" style="16" customWidth="1"/>
    <col min="14" max="14" width="14.7109375" style="16" customWidth="1"/>
    <col min="15" max="16384" width="9.140625" style="16"/>
  </cols>
  <sheetData>
    <row r="1" spans="1:15" ht="18">
      <c r="B1" s="161" t="s">
        <v>379</v>
      </c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</row>
    <row r="2" spans="1:15" ht="15.75">
      <c r="B2" s="144" t="s">
        <v>380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</row>
    <row r="3" spans="1:15" ht="15.75">
      <c r="B3" s="163" t="s">
        <v>360</v>
      </c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</row>
    <row r="4" spans="1:15" ht="13.5" thickBot="1"/>
    <row r="5" spans="1:15" ht="18" customHeight="1" thickBot="1">
      <c r="A5" s="43"/>
      <c r="B5" s="141" t="s">
        <v>0</v>
      </c>
      <c r="C5" s="150" t="s">
        <v>1</v>
      </c>
      <c r="D5" s="150"/>
      <c r="E5" s="150"/>
      <c r="F5" s="150"/>
      <c r="G5" s="150"/>
      <c r="H5" s="150"/>
      <c r="I5" s="150"/>
      <c r="J5" s="150"/>
      <c r="K5" s="149" t="s">
        <v>2</v>
      </c>
      <c r="L5" s="150"/>
      <c r="M5" s="152"/>
      <c r="N5" s="153"/>
    </row>
    <row r="6" spans="1:15" ht="17.25" customHeight="1" thickBot="1">
      <c r="A6" s="43"/>
      <c r="B6" s="164"/>
      <c r="C6" s="149" t="s">
        <v>3</v>
      </c>
      <c r="D6" s="150"/>
      <c r="E6" s="150"/>
      <c r="F6" s="150"/>
      <c r="G6" s="150"/>
      <c r="H6" s="151"/>
      <c r="I6" s="154" t="s">
        <v>4</v>
      </c>
      <c r="J6" s="146" t="s">
        <v>5</v>
      </c>
      <c r="K6" s="141" t="s">
        <v>6</v>
      </c>
      <c r="L6" s="141" t="s">
        <v>7</v>
      </c>
      <c r="M6" s="141" t="s">
        <v>8</v>
      </c>
      <c r="N6" s="141" t="s">
        <v>9</v>
      </c>
    </row>
    <row r="7" spans="1:15" ht="13.5" thickBot="1">
      <c r="A7" s="43"/>
      <c r="B7" s="164"/>
      <c r="C7" s="149" t="s">
        <v>382</v>
      </c>
      <c r="D7" s="150"/>
      <c r="E7" s="139" t="s">
        <v>10</v>
      </c>
      <c r="F7" s="139" t="s">
        <v>11</v>
      </c>
      <c r="G7" s="139" t="s">
        <v>12</v>
      </c>
      <c r="H7" s="141" t="s">
        <v>13</v>
      </c>
      <c r="I7" s="155"/>
      <c r="J7" s="166"/>
      <c r="K7" s="142"/>
      <c r="L7" s="158"/>
      <c r="M7" s="142"/>
      <c r="N7" s="142"/>
    </row>
    <row r="8" spans="1:15" ht="29.25" customHeight="1" thickBot="1">
      <c r="A8" s="43"/>
      <c r="B8" s="164"/>
      <c r="C8" s="104" t="s">
        <v>14</v>
      </c>
      <c r="D8" s="106" t="s">
        <v>15</v>
      </c>
      <c r="E8" s="140"/>
      <c r="F8" s="140"/>
      <c r="G8" s="140"/>
      <c r="H8" s="142"/>
      <c r="I8" s="155"/>
      <c r="J8" s="166"/>
      <c r="K8" s="160"/>
      <c r="L8" s="159"/>
      <c r="M8" s="160"/>
      <c r="N8" s="160"/>
    </row>
    <row r="9" spans="1:15" ht="47.25" customHeight="1" thickBot="1">
      <c r="A9" s="43"/>
      <c r="B9" s="165"/>
      <c r="C9" s="20" t="s">
        <v>16</v>
      </c>
      <c r="D9" s="20" t="s">
        <v>16</v>
      </c>
      <c r="E9" s="20" t="s">
        <v>16</v>
      </c>
      <c r="F9" s="20" t="s">
        <v>16</v>
      </c>
      <c r="G9" s="20" t="s">
        <v>16</v>
      </c>
      <c r="H9" s="20" t="s">
        <v>16</v>
      </c>
      <c r="I9" s="21" t="s">
        <v>17</v>
      </c>
      <c r="J9" s="36" t="s">
        <v>16</v>
      </c>
      <c r="K9" s="20" t="s">
        <v>16</v>
      </c>
      <c r="L9" s="21" t="s">
        <v>16</v>
      </c>
      <c r="M9" s="20" t="s">
        <v>16</v>
      </c>
      <c r="N9" s="20" t="s">
        <v>17</v>
      </c>
    </row>
    <row r="10" spans="1:15">
      <c r="A10" s="43"/>
      <c r="B10" s="33" t="s">
        <v>194</v>
      </c>
      <c r="C10" s="107"/>
      <c r="D10" s="34"/>
      <c r="E10" s="34"/>
      <c r="F10" s="34"/>
      <c r="G10" s="34"/>
      <c r="H10" s="103"/>
      <c r="I10" s="34"/>
      <c r="J10" s="34"/>
      <c r="K10" s="107"/>
      <c r="L10" s="34"/>
      <c r="M10" s="34"/>
      <c r="N10" s="103"/>
    </row>
    <row r="11" spans="1:15">
      <c r="A11" s="44" t="s">
        <v>67</v>
      </c>
      <c r="B11" s="93" t="s">
        <v>195</v>
      </c>
      <c r="C11" s="112">
        <v>2</v>
      </c>
      <c r="D11" s="113">
        <v>0</v>
      </c>
      <c r="E11" s="113">
        <v>1</v>
      </c>
      <c r="F11" s="113">
        <v>26.5</v>
      </c>
      <c r="G11" s="113">
        <v>37.29</v>
      </c>
      <c r="H11" s="114">
        <v>6.5</v>
      </c>
      <c r="I11" s="115">
        <f>'Classified FTEs'!C49</f>
        <v>14.73</v>
      </c>
      <c r="J11" s="113">
        <f>'Licensed FTEs'!K46+'Licensed FTEs'!L46</f>
        <v>7.12</v>
      </c>
      <c r="K11" s="112">
        <v>0.5</v>
      </c>
      <c r="L11" s="113">
        <v>1</v>
      </c>
      <c r="M11" s="113">
        <v>0</v>
      </c>
      <c r="N11" s="116">
        <f>'Classified FTEs'!G49</f>
        <v>1</v>
      </c>
      <c r="O11" s="41"/>
    </row>
    <row r="12" spans="1:15">
      <c r="A12" s="44">
        <v>74</v>
      </c>
      <c r="B12" s="94" t="s">
        <v>196</v>
      </c>
      <c r="C12" s="112">
        <v>0</v>
      </c>
      <c r="D12" s="113">
        <v>0</v>
      </c>
      <c r="E12" s="113">
        <v>1</v>
      </c>
      <c r="F12" s="113">
        <v>12.6</v>
      </c>
      <c r="G12" s="113">
        <v>10.47</v>
      </c>
      <c r="H12" s="114">
        <v>1</v>
      </c>
      <c r="I12" s="115">
        <f>'Classified FTEs'!C50</f>
        <v>14.9</v>
      </c>
      <c r="J12" s="113">
        <f>'Licensed FTEs'!K47+'Licensed FTEs'!L47</f>
        <v>0.5</v>
      </c>
      <c r="K12" s="112">
        <v>0.13</v>
      </c>
      <c r="L12" s="113">
        <v>0.09</v>
      </c>
      <c r="M12" s="113">
        <v>0</v>
      </c>
      <c r="N12" s="116">
        <f>'Classified FTEs'!G50</f>
        <v>0</v>
      </c>
      <c r="O12" s="41"/>
    </row>
    <row r="13" spans="1:15">
      <c r="A13" s="44">
        <v>83</v>
      </c>
      <c r="B13" s="94" t="s">
        <v>68</v>
      </c>
      <c r="C13" s="112">
        <v>0</v>
      </c>
      <c r="D13" s="113">
        <v>0</v>
      </c>
      <c r="E13" s="113">
        <v>0</v>
      </c>
      <c r="F13" s="113">
        <v>0</v>
      </c>
      <c r="G13" s="113">
        <v>19.760000000000002</v>
      </c>
      <c r="H13" s="114">
        <v>0.5</v>
      </c>
      <c r="I13" s="115">
        <f>'Classified FTEs'!C51</f>
        <v>4.13</v>
      </c>
      <c r="J13" s="113">
        <f>'Licensed FTEs'!K48+'Licensed FTEs'!L48</f>
        <v>0.16</v>
      </c>
      <c r="K13" s="112">
        <v>0</v>
      </c>
      <c r="L13" s="113">
        <v>1.5</v>
      </c>
      <c r="M13" s="113">
        <v>0</v>
      </c>
      <c r="N13" s="116">
        <f>'Classified FTEs'!G51</f>
        <v>0</v>
      </c>
      <c r="O13" s="41"/>
    </row>
    <row r="14" spans="1:15">
      <c r="A14" s="44" t="s">
        <v>69</v>
      </c>
      <c r="B14" s="94" t="s">
        <v>70</v>
      </c>
      <c r="C14" s="112">
        <v>0</v>
      </c>
      <c r="D14" s="113">
        <v>0</v>
      </c>
      <c r="E14" s="113">
        <v>0</v>
      </c>
      <c r="F14" s="113">
        <v>0</v>
      </c>
      <c r="G14" s="113">
        <v>13.67</v>
      </c>
      <c r="H14" s="114">
        <v>1.2</v>
      </c>
      <c r="I14" s="115">
        <f>'Classified FTEs'!C52</f>
        <v>0</v>
      </c>
      <c r="J14" s="113">
        <f>'Licensed FTEs'!K49+'Licensed FTEs'!L49</f>
        <v>0</v>
      </c>
      <c r="K14" s="112">
        <v>0</v>
      </c>
      <c r="L14" s="113">
        <v>0</v>
      </c>
      <c r="M14" s="113">
        <v>0</v>
      </c>
      <c r="N14" s="116">
        <f>'Classified FTEs'!G52</f>
        <v>0</v>
      </c>
      <c r="O14" s="41"/>
    </row>
    <row r="15" spans="1:15">
      <c r="A15" s="44" t="s">
        <v>71</v>
      </c>
      <c r="B15" s="98" t="s">
        <v>72</v>
      </c>
      <c r="C15" s="117">
        <v>0</v>
      </c>
      <c r="D15" s="118">
        <v>0</v>
      </c>
      <c r="E15" s="113">
        <v>2</v>
      </c>
      <c r="F15" s="113">
        <v>18</v>
      </c>
      <c r="G15" s="113">
        <v>0</v>
      </c>
      <c r="H15" s="114">
        <v>1</v>
      </c>
      <c r="I15" s="115">
        <f>'Classified FTEs'!C53</f>
        <v>8.65</v>
      </c>
      <c r="J15" s="113">
        <f>'Licensed FTEs'!K50+'Licensed FTEs'!L50</f>
        <v>0</v>
      </c>
      <c r="K15" s="112">
        <v>0</v>
      </c>
      <c r="L15" s="113">
        <v>0</v>
      </c>
      <c r="M15" s="113">
        <v>0</v>
      </c>
      <c r="N15" s="116">
        <f>'Classified FTEs'!G53</f>
        <v>0</v>
      </c>
      <c r="O15" s="41"/>
    </row>
    <row r="16" spans="1:15">
      <c r="A16" s="44">
        <v>84</v>
      </c>
      <c r="B16" s="94" t="s">
        <v>73</v>
      </c>
      <c r="C16" s="112">
        <v>0</v>
      </c>
      <c r="D16" s="113">
        <v>0</v>
      </c>
      <c r="E16" s="119">
        <v>0</v>
      </c>
      <c r="F16" s="119">
        <v>0</v>
      </c>
      <c r="G16" s="119">
        <v>0</v>
      </c>
      <c r="H16" s="120">
        <v>0</v>
      </c>
      <c r="I16" s="121">
        <f>'Classified FTEs'!C54</f>
        <v>1.25</v>
      </c>
      <c r="J16" s="119">
        <f>'Licensed FTEs'!K51+'Licensed FTEs'!L51</f>
        <v>0</v>
      </c>
      <c r="K16" s="122">
        <v>0</v>
      </c>
      <c r="L16" s="119">
        <v>0</v>
      </c>
      <c r="M16" s="119">
        <v>0</v>
      </c>
      <c r="N16" s="123">
        <f>'Classified FTEs'!G54</f>
        <v>0</v>
      </c>
      <c r="O16" s="41"/>
    </row>
    <row r="17" spans="1:15">
      <c r="A17" s="44" t="s">
        <v>74</v>
      </c>
      <c r="B17" s="94" t="s">
        <v>75</v>
      </c>
      <c r="C17" s="112">
        <v>0</v>
      </c>
      <c r="D17" s="113">
        <v>0</v>
      </c>
      <c r="E17" s="113">
        <v>2</v>
      </c>
      <c r="F17" s="113">
        <v>14.7</v>
      </c>
      <c r="G17" s="113">
        <v>10.039999999999999</v>
      </c>
      <c r="H17" s="114">
        <v>1.1000000000000001</v>
      </c>
      <c r="I17" s="115">
        <f>'Classified FTEs'!C55</f>
        <v>11.1</v>
      </c>
      <c r="J17" s="113">
        <f>'Licensed FTEs'!K52+'Licensed FTEs'!L52</f>
        <v>1.1100000000000001</v>
      </c>
      <c r="K17" s="112">
        <v>0</v>
      </c>
      <c r="L17" s="113">
        <v>0</v>
      </c>
      <c r="M17" s="113">
        <v>0</v>
      </c>
      <c r="N17" s="116">
        <f>'Classified FTEs'!G55</f>
        <v>1.47</v>
      </c>
      <c r="O17" s="41"/>
    </row>
    <row r="18" spans="1:15">
      <c r="A18" s="44">
        <v>87</v>
      </c>
      <c r="B18" s="94" t="s">
        <v>76</v>
      </c>
      <c r="C18" s="112">
        <v>0</v>
      </c>
      <c r="D18" s="113">
        <v>0</v>
      </c>
      <c r="E18" s="113">
        <v>0</v>
      </c>
      <c r="F18" s="113">
        <v>0</v>
      </c>
      <c r="G18" s="113">
        <v>13.71</v>
      </c>
      <c r="H18" s="114">
        <v>0.11</v>
      </c>
      <c r="I18" s="115">
        <f>'Classified FTEs'!C56</f>
        <v>6.66</v>
      </c>
      <c r="J18" s="113">
        <f>'Licensed FTEs'!K53+'Licensed FTEs'!L53</f>
        <v>2.08</v>
      </c>
      <c r="K18" s="112">
        <v>0</v>
      </c>
      <c r="L18" s="113">
        <v>1</v>
      </c>
      <c r="M18" s="113">
        <v>0</v>
      </c>
      <c r="N18" s="116">
        <f>'Classified FTEs'!G56</f>
        <v>0.69</v>
      </c>
      <c r="O18" s="41"/>
    </row>
    <row r="19" spans="1:15">
      <c r="A19" s="44" t="s">
        <v>77</v>
      </c>
      <c r="B19" s="94" t="s">
        <v>383</v>
      </c>
      <c r="C19" s="112">
        <v>0</v>
      </c>
      <c r="D19" s="113">
        <v>0</v>
      </c>
      <c r="E19" s="113">
        <v>2</v>
      </c>
      <c r="F19" s="113">
        <v>13.75</v>
      </c>
      <c r="G19" s="113">
        <v>1</v>
      </c>
      <c r="H19" s="114">
        <v>1.5</v>
      </c>
      <c r="I19" s="115">
        <f>'Classified FTEs'!C57</f>
        <v>3</v>
      </c>
      <c r="J19" s="113">
        <f>'Licensed FTEs'!K54+'Licensed FTEs'!L54</f>
        <v>0.25</v>
      </c>
      <c r="K19" s="112">
        <v>0</v>
      </c>
      <c r="L19" s="113">
        <v>0</v>
      </c>
      <c r="M19" s="113">
        <v>0</v>
      </c>
      <c r="N19" s="116">
        <f>'Classified FTEs'!G57</f>
        <v>0</v>
      </c>
      <c r="O19" s="41"/>
    </row>
    <row r="20" spans="1:15">
      <c r="A20" s="44" t="s">
        <v>79</v>
      </c>
      <c r="B20" s="98" t="s">
        <v>197</v>
      </c>
      <c r="C20" s="117">
        <v>0</v>
      </c>
      <c r="D20" s="118">
        <v>0</v>
      </c>
      <c r="E20" s="118">
        <v>0</v>
      </c>
      <c r="F20" s="118">
        <v>0</v>
      </c>
      <c r="G20" s="118">
        <v>15.62</v>
      </c>
      <c r="H20" s="124">
        <v>1.67</v>
      </c>
      <c r="I20" s="125">
        <f>'Classified FTEs'!C58</f>
        <v>2.8</v>
      </c>
      <c r="J20" s="118">
        <f>'Licensed FTEs'!K55+'Licensed FTEs'!L55</f>
        <v>0</v>
      </c>
      <c r="K20" s="117">
        <v>0</v>
      </c>
      <c r="L20" s="118">
        <v>1</v>
      </c>
      <c r="M20" s="118">
        <v>0.5</v>
      </c>
      <c r="N20" s="126">
        <f>'Classified FTEs'!G58</f>
        <v>0</v>
      </c>
      <c r="O20" s="41"/>
    </row>
    <row r="21" spans="1:15">
      <c r="A21" s="44" t="s">
        <v>80</v>
      </c>
      <c r="B21" s="94" t="s">
        <v>81</v>
      </c>
      <c r="C21" s="112">
        <v>0</v>
      </c>
      <c r="D21" s="113">
        <v>0</v>
      </c>
      <c r="E21" s="113">
        <v>4</v>
      </c>
      <c r="F21" s="113">
        <v>8</v>
      </c>
      <c r="G21" s="113">
        <v>0</v>
      </c>
      <c r="H21" s="114">
        <v>1</v>
      </c>
      <c r="I21" s="115">
        <f>'Classified FTEs'!C59</f>
        <v>7</v>
      </c>
      <c r="J21" s="113">
        <f>'Licensed FTEs'!K56+'Licensed FTEs'!L56</f>
        <v>0</v>
      </c>
      <c r="K21" s="112">
        <v>0</v>
      </c>
      <c r="L21" s="113">
        <v>0</v>
      </c>
      <c r="M21" s="113">
        <v>0</v>
      </c>
      <c r="N21" s="116">
        <f>'Classified FTEs'!G59</f>
        <v>0</v>
      </c>
      <c r="O21" s="41"/>
    </row>
    <row r="22" spans="1:15">
      <c r="A22" s="44" t="s">
        <v>82</v>
      </c>
      <c r="B22" s="94" t="s">
        <v>198</v>
      </c>
      <c r="C22" s="112">
        <v>0</v>
      </c>
      <c r="D22" s="113">
        <v>0</v>
      </c>
      <c r="E22" s="113">
        <v>0</v>
      </c>
      <c r="F22" s="113">
        <v>0</v>
      </c>
      <c r="G22" s="113">
        <v>17.149999999999999</v>
      </c>
      <c r="H22" s="114">
        <v>0</v>
      </c>
      <c r="I22" s="115">
        <f>'Classified FTEs'!C60</f>
        <v>2.5</v>
      </c>
      <c r="J22" s="113">
        <f>'Licensed FTEs'!K57+'Licensed FTEs'!L57</f>
        <v>1.25</v>
      </c>
      <c r="K22" s="112">
        <v>0</v>
      </c>
      <c r="L22" s="113">
        <v>1</v>
      </c>
      <c r="M22" s="113">
        <v>0.13</v>
      </c>
      <c r="N22" s="116">
        <f>'Classified FTEs'!G60</f>
        <v>0.75</v>
      </c>
      <c r="O22" s="41"/>
    </row>
    <row r="23" spans="1:15">
      <c r="A23" s="44" t="s">
        <v>83</v>
      </c>
      <c r="B23" s="94" t="s">
        <v>84</v>
      </c>
      <c r="C23" s="112">
        <v>0</v>
      </c>
      <c r="D23" s="113">
        <v>0</v>
      </c>
      <c r="E23" s="113">
        <v>0</v>
      </c>
      <c r="F23" s="113">
        <v>14.5</v>
      </c>
      <c r="G23" s="113">
        <v>0</v>
      </c>
      <c r="H23" s="114">
        <v>1</v>
      </c>
      <c r="I23" s="115">
        <f>'Classified FTEs'!C61</f>
        <v>0.38</v>
      </c>
      <c r="J23" s="113">
        <f>'Licensed FTEs'!K58+'Licensed FTEs'!L58</f>
        <v>0</v>
      </c>
      <c r="K23" s="112">
        <v>0</v>
      </c>
      <c r="L23" s="113">
        <v>0</v>
      </c>
      <c r="M23" s="113">
        <v>2.6</v>
      </c>
      <c r="N23" s="116">
        <f>'Classified FTEs'!G61</f>
        <v>0</v>
      </c>
      <c r="O23" s="41"/>
    </row>
    <row r="24" spans="1:15">
      <c r="A24" s="44" t="s">
        <v>85</v>
      </c>
      <c r="B24" s="94" t="s">
        <v>199</v>
      </c>
      <c r="C24" s="112">
        <v>0</v>
      </c>
      <c r="D24" s="113">
        <v>0</v>
      </c>
      <c r="E24" s="113">
        <v>1</v>
      </c>
      <c r="F24" s="113">
        <v>10.220000000000001</v>
      </c>
      <c r="G24" s="113">
        <v>6</v>
      </c>
      <c r="H24" s="114">
        <v>0.91</v>
      </c>
      <c r="I24" s="115">
        <f>'Classified FTEs'!C62</f>
        <v>6.6</v>
      </c>
      <c r="J24" s="113">
        <f>'Licensed FTEs'!K59+'Licensed FTEs'!L59</f>
        <v>0</v>
      </c>
      <c r="K24" s="112">
        <v>0</v>
      </c>
      <c r="L24" s="113">
        <v>0</v>
      </c>
      <c r="M24" s="113">
        <v>0</v>
      </c>
      <c r="N24" s="116">
        <f>'Classified FTEs'!G62</f>
        <v>0.6</v>
      </c>
      <c r="O24" s="41"/>
    </row>
    <row r="25" spans="1:15">
      <c r="A25" s="44">
        <v>98</v>
      </c>
      <c r="B25" s="98" t="s">
        <v>200</v>
      </c>
      <c r="C25" s="117">
        <v>0</v>
      </c>
      <c r="D25" s="118">
        <v>0</v>
      </c>
      <c r="E25" s="113">
        <v>0</v>
      </c>
      <c r="F25" s="113">
        <v>0</v>
      </c>
      <c r="G25" s="113">
        <v>13</v>
      </c>
      <c r="H25" s="114">
        <v>0.9</v>
      </c>
      <c r="I25" s="115">
        <f>'Classified FTEs'!C63</f>
        <v>2.5</v>
      </c>
      <c r="J25" s="113">
        <f>'Licensed FTEs'!K60+'Licensed FTEs'!L60</f>
        <v>0.1</v>
      </c>
      <c r="K25" s="112">
        <v>0</v>
      </c>
      <c r="L25" s="113">
        <v>1.1000000000000001</v>
      </c>
      <c r="M25" s="113">
        <v>0</v>
      </c>
      <c r="N25" s="116">
        <f>'Classified FTEs'!G63</f>
        <v>0.5</v>
      </c>
      <c r="O25" s="41"/>
    </row>
    <row r="26" spans="1:15">
      <c r="A26" s="44">
        <v>82</v>
      </c>
      <c r="B26" s="94" t="s">
        <v>201</v>
      </c>
      <c r="C26" s="112">
        <v>0</v>
      </c>
      <c r="D26" s="113">
        <v>0</v>
      </c>
      <c r="E26" s="119">
        <v>2.5</v>
      </c>
      <c r="F26" s="119">
        <v>18.510000000000002</v>
      </c>
      <c r="G26" s="119">
        <v>6.46</v>
      </c>
      <c r="H26" s="120">
        <v>2.5</v>
      </c>
      <c r="I26" s="121">
        <f>'Classified FTEs'!C64</f>
        <v>9.75</v>
      </c>
      <c r="J26" s="119">
        <f>'Licensed FTEs'!K61+'Licensed FTEs'!L61</f>
        <v>1.65</v>
      </c>
      <c r="K26" s="122">
        <v>0</v>
      </c>
      <c r="L26" s="119">
        <v>0</v>
      </c>
      <c r="M26" s="119">
        <v>0</v>
      </c>
      <c r="N26" s="123">
        <f>'Classified FTEs'!G64</f>
        <v>0.5</v>
      </c>
      <c r="O26" s="41"/>
    </row>
    <row r="27" spans="1:15">
      <c r="A27" s="44" t="s">
        <v>300</v>
      </c>
      <c r="B27" s="94" t="s">
        <v>375</v>
      </c>
      <c r="C27" s="112">
        <v>0</v>
      </c>
      <c r="D27" s="113">
        <v>0</v>
      </c>
      <c r="E27" s="113">
        <v>1</v>
      </c>
      <c r="F27" s="113">
        <v>19.5</v>
      </c>
      <c r="G27" s="113">
        <v>4.75</v>
      </c>
      <c r="H27" s="114">
        <v>1</v>
      </c>
      <c r="I27" s="115">
        <f>'Classified FTEs'!C65</f>
        <v>21.75</v>
      </c>
      <c r="J27" s="113">
        <f>'Licensed FTEs'!K62+'Licensed FTEs'!L62</f>
        <v>1.5</v>
      </c>
      <c r="K27" s="112">
        <v>0</v>
      </c>
      <c r="L27" s="113">
        <v>0</v>
      </c>
      <c r="M27" s="113">
        <v>0</v>
      </c>
      <c r="N27" s="116">
        <f>'Classified FTEs'!G65</f>
        <v>1.43</v>
      </c>
      <c r="O27" s="41"/>
    </row>
    <row r="28" spans="1:15">
      <c r="A28" s="44" t="s">
        <v>86</v>
      </c>
      <c r="B28" s="94" t="s">
        <v>202</v>
      </c>
      <c r="C28" s="112">
        <v>0</v>
      </c>
      <c r="D28" s="113">
        <v>0</v>
      </c>
      <c r="E28" s="113">
        <v>2</v>
      </c>
      <c r="F28" s="113">
        <v>16.45</v>
      </c>
      <c r="G28" s="113">
        <v>0.55000000000000004</v>
      </c>
      <c r="H28" s="114">
        <v>1</v>
      </c>
      <c r="I28" s="115">
        <f>'Classified FTEs'!C66</f>
        <v>4.95</v>
      </c>
      <c r="J28" s="113">
        <f>'Licensed FTEs'!K63+'Licensed FTEs'!L63</f>
        <v>0.5</v>
      </c>
      <c r="K28" s="112">
        <v>0</v>
      </c>
      <c r="L28" s="113">
        <v>0</v>
      </c>
      <c r="M28" s="113">
        <v>0</v>
      </c>
      <c r="N28" s="116">
        <f>'Classified FTEs'!G66</f>
        <v>0.18</v>
      </c>
      <c r="O28" s="41"/>
    </row>
    <row r="29" spans="1:15">
      <c r="A29" s="44" t="s">
        <v>88</v>
      </c>
      <c r="B29" s="94" t="s">
        <v>203</v>
      </c>
      <c r="C29" s="112">
        <v>0</v>
      </c>
      <c r="D29" s="113">
        <v>0</v>
      </c>
      <c r="E29" s="113">
        <v>0</v>
      </c>
      <c r="F29" s="113">
        <v>3</v>
      </c>
      <c r="G29" s="113">
        <v>0</v>
      </c>
      <c r="H29" s="114">
        <v>0.39</v>
      </c>
      <c r="I29" s="115">
        <f>'Classified FTEs'!C67</f>
        <v>4.5</v>
      </c>
      <c r="J29" s="113">
        <f>'Licensed FTEs'!K64+'Licensed FTEs'!L64</f>
        <v>0.51</v>
      </c>
      <c r="K29" s="112">
        <v>0</v>
      </c>
      <c r="L29" s="113">
        <v>0</v>
      </c>
      <c r="M29" s="113">
        <v>0</v>
      </c>
      <c r="N29" s="116">
        <f>'Classified FTEs'!G67</f>
        <v>0.5</v>
      </c>
      <c r="O29" s="41"/>
    </row>
    <row r="30" spans="1:15">
      <c r="A30" s="44" t="s">
        <v>90</v>
      </c>
      <c r="B30" s="94" t="s">
        <v>204</v>
      </c>
      <c r="C30" s="112">
        <v>0</v>
      </c>
      <c r="D30" s="113">
        <v>0</v>
      </c>
      <c r="E30" s="113">
        <v>0</v>
      </c>
      <c r="F30" s="113">
        <v>0</v>
      </c>
      <c r="G30" s="113">
        <v>6</v>
      </c>
      <c r="H30" s="114">
        <v>0</v>
      </c>
      <c r="I30" s="115">
        <f>'Classified FTEs'!C68</f>
        <v>1.63</v>
      </c>
      <c r="J30" s="113">
        <f>'Licensed FTEs'!K65+'Licensed FTEs'!L65</f>
        <v>0.59</v>
      </c>
      <c r="K30" s="112">
        <v>0</v>
      </c>
      <c r="L30" s="113">
        <v>0.65</v>
      </c>
      <c r="M30" s="113">
        <v>0</v>
      </c>
      <c r="N30" s="116">
        <f>'Classified FTEs'!G68</f>
        <v>0</v>
      </c>
      <c r="O30" s="41"/>
    </row>
    <row r="31" spans="1:15">
      <c r="A31" s="44" t="s">
        <v>92</v>
      </c>
      <c r="B31" s="110" t="s">
        <v>205</v>
      </c>
      <c r="C31" s="122">
        <v>0</v>
      </c>
      <c r="D31" s="119">
        <v>0</v>
      </c>
      <c r="E31" s="119">
        <v>0</v>
      </c>
      <c r="F31" s="119">
        <v>0</v>
      </c>
      <c r="G31" s="119">
        <v>10.38</v>
      </c>
      <c r="H31" s="120">
        <v>0</v>
      </c>
      <c r="I31" s="121">
        <f>'Classified FTEs'!C69</f>
        <v>0</v>
      </c>
      <c r="J31" s="119">
        <f>'Licensed FTEs'!K66+'Licensed FTEs'!L66</f>
        <v>0</v>
      </c>
      <c r="K31" s="122">
        <v>0</v>
      </c>
      <c r="L31" s="119">
        <v>2</v>
      </c>
      <c r="M31" s="119">
        <v>0</v>
      </c>
      <c r="N31" s="123">
        <f>'Classified FTEs'!G69</f>
        <v>0</v>
      </c>
      <c r="O31" s="41"/>
    </row>
    <row r="32" spans="1:15">
      <c r="A32" s="44">
        <v>93</v>
      </c>
      <c r="B32" s="94" t="s">
        <v>94</v>
      </c>
      <c r="C32" s="112">
        <v>0</v>
      </c>
      <c r="D32" s="113">
        <v>0</v>
      </c>
      <c r="E32" s="113">
        <v>0.72</v>
      </c>
      <c r="F32" s="113">
        <v>8</v>
      </c>
      <c r="G32" s="113">
        <v>2.33</v>
      </c>
      <c r="H32" s="114">
        <v>1</v>
      </c>
      <c r="I32" s="115">
        <f>'Classified FTEs'!C70</f>
        <v>5.12</v>
      </c>
      <c r="J32" s="113">
        <f>'Licensed FTEs'!K67+'Licensed FTEs'!L67</f>
        <v>0</v>
      </c>
      <c r="K32" s="112">
        <v>0</v>
      </c>
      <c r="L32" s="113">
        <v>0</v>
      </c>
      <c r="M32" s="113">
        <v>0</v>
      </c>
      <c r="N32" s="116">
        <f>'Classified FTEs'!G70</f>
        <v>0.09</v>
      </c>
      <c r="O32" s="41"/>
    </row>
    <row r="33" spans="1:15">
      <c r="A33" s="44" t="s">
        <v>99</v>
      </c>
      <c r="B33" s="94" t="s">
        <v>384</v>
      </c>
      <c r="C33" s="112">
        <v>0</v>
      </c>
      <c r="D33" s="113">
        <v>0</v>
      </c>
      <c r="E33" s="113">
        <v>0</v>
      </c>
      <c r="F33" s="113">
        <v>0</v>
      </c>
      <c r="G33" s="113">
        <v>13.25</v>
      </c>
      <c r="H33" s="114">
        <v>0.66</v>
      </c>
      <c r="I33" s="115">
        <f>'Classified FTEs'!C71</f>
        <v>0</v>
      </c>
      <c r="J33" s="113">
        <f>'Licensed FTEs'!K68+'Licensed FTEs'!L68</f>
        <v>0.66</v>
      </c>
      <c r="K33" s="112">
        <v>0</v>
      </c>
      <c r="L33" s="113">
        <v>0</v>
      </c>
      <c r="M33" s="113">
        <v>0.5</v>
      </c>
      <c r="N33" s="116">
        <f>'Classified FTEs'!G71</f>
        <v>0</v>
      </c>
      <c r="O33" s="41"/>
    </row>
    <row r="34" spans="1:15">
      <c r="A34" s="44" t="s">
        <v>95</v>
      </c>
      <c r="B34" s="94" t="s">
        <v>207</v>
      </c>
      <c r="C34" s="112">
        <v>0</v>
      </c>
      <c r="D34" s="113">
        <v>0</v>
      </c>
      <c r="E34" s="113">
        <v>1</v>
      </c>
      <c r="F34" s="113">
        <v>22</v>
      </c>
      <c r="G34" s="113">
        <v>8.64</v>
      </c>
      <c r="H34" s="114">
        <v>3.29</v>
      </c>
      <c r="I34" s="115">
        <f>'Classified FTEs'!C72</f>
        <v>19.75</v>
      </c>
      <c r="J34" s="113">
        <f>'Licensed FTEs'!K69+'Licensed FTEs'!L69</f>
        <v>1</v>
      </c>
      <c r="K34" s="112">
        <v>0</v>
      </c>
      <c r="L34" s="113">
        <v>0.3</v>
      </c>
      <c r="M34" s="113">
        <v>1</v>
      </c>
      <c r="N34" s="116">
        <f>'Classified FTEs'!G72</f>
        <v>0</v>
      </c>
      <c r="O34" s="41"/>
    </row>
    <row r="35" spans="1:15">
      <c r="A35" s="44" t="s">
        <v>96</v>
      </c>
      <c r="B35" s="98" t="s">
        <v>208</v>
      </c>
      <c r="C35" s="117">
        <v>0</v>
      </c>
      <c r="D35" s="118">
        <v>0</v>
      </c>
      <c r="E35" s="118">
        <v>0</v>
      </c>
      <c r="F35" s="118">
        <v>11.31</v>
      </c>
      <c r="G35" s="118">
        <v>8.1300000000000008</v>
      </c>
      <c r="H35" s="124">
        <v>1.17</v>
      </c>
      <c r="I35" s="125">
        <f>'Classified FTEs'!C73</f>
        <v>23.76</v>
      </c>
      <c r="J35" s="118">
        <f>'Licensed FTEs'!K70+'Licensed FTEs'!L70</f>
        <v>0</v>
      </c>
      <c r="K35" s="117">
        <v>1</v>
      </c>
      <c r="L35" s="118">
        <v>0</v>
      </c>
      <c r="M35" s="118">
        <v>0</v>
      </c>
      <c r="N35" s="126">
        <f>'Classified FTEs'!G73</f>
        <v>1</v>
      </c>
      <c r="O35" s="41"/>
    </row>
    <row r="36" spans="1:15">
      <c r="A36" s="44" t="s">
        <v>97</v>
      </c>
      <c r="B36" s="94" t="s">
        <v>209</v>
      </c>
      <c r="C36" s="112">
        <v>0</v>
      </c>
      <c r="D36" s="113">
        <v>0</v>
      </c>
      <c r="E36" s="113">
        <v>2</v>
      </c>
      <c r="F36" s="113">
        <v>7.56</v>
      </c>
      <c r="G36" s="113">
        <v>1</v>
      </c>
      <c r="H36" s="114">
        <v>0.63</v>
      </c>
      <c r="I36" s="115">
        <f>'Classified FTEs'!C74</f>
        <v>13</v>
      </c>
      <c r="J36" s="113">
        <f>'Licensed FTEs'!K71+'Licensed FTEs'!L71</f>
        <v>0.88</v>
      </c>
      <c r="K36" s="112">
        <v>0</v>
      </c>
      <c r="L36" s="113">
        <v>0</v>
      </c>
      <c r="M36" s="113">
        <v>0</v>
      </c>
      <c r="N36" s="116">
        <f>'Classified FTEs'!G74</f>
        <v>0.88</v>
      </c>
      <c r="O36" s="41"/>
    </row>
    <row r="37" spans="1:15">
      <c r="A37" s="44" t="s">
        <v>98</v>
      </c>
      <c r="B37" s="94" t="s">
        <v>210</v>
      </c>
      <c r="C37" s="112">
        <v>0.5</v>
      </c>
      <c r="D37" s="113">
        <v>0</v>
      </c>
      <c r="E37" s="113">
        <v>0.5</v>
      </c>
      <c r="F37" s="113">
        <v>11</v>
      </c>
      <c r="G37" s="113">
        <v>6.5</v>
      </c>
      <c r="H37" s="114">
        <v>2</v>
      </c>
      <c r="I37" s="115">
        <f>'Classified FTEs'!C75</f>
        <v>22.34</v>
      </c>
      <c r="J37" s="113">
        <f>'Licensed FTEs'!K72+'Licensed FTEs'!L72</f>
        <v>0</v>
      </c>
      <c r="K37" s="112">
        <v>0</v>
      </c>
      <c r="L37" s="113">
        <v>0.5</v>
      </c>
      <c r="M37" s="113">
        <v>0</v>
      </c>
      <c r="N37" s="116">
        <f>'Classified FTEs'!G75</f>
        <v>1</v>
      </c>
      <c r="O37" s="41"/>
    </row>
    <row r="38" spans="1:15">
      <c r="A38" s="44" t="s">
        <v>312</v>
      </c>
      <c r="B38" s="94" t="s">
        <v>367</v>
      </c>
      <c r="C38" s="112">
        <v>0</v>
      </c>
      <c r="D38" s="113">
        <v>0</v>
      </c>
      <c r="E38" s="113">
        <v>0</v>
      </c>
      <c r="F38" s="113">
        <v>0</v>
      </c>
      <c r="G38" s="113">
        <v>18.25</v>
      </c>
      <c r="H38" s="114">
        <v>2</v>
      </c>
      <c r="I38" s="115">
        <f>'Classified FTEs'!C76</f>
        <v>0</v>
      </c>
      <c r="J38" s="113">
        <f>'Licensed FTEs'!K73+'Licensed FTEs'!L73</f>
        <v>0</v>
      </c>
      <c r="K38" s="112">
        <v>0</v>
      </c>
      <c r="L38" s="113">
        <v>1</v>
      </c>
      <c r="M38" s="113">
        <v>0</v>
      </c>
      <c r="N38" s="116">
        <f>'Classified FTEs'!G76</f>
        <v>0</v>
      </c>
      <c r="O38" s="41"/>
    </row>
    <row r="39" spans="1:15">
      <c r="A39" s="44" t="s">
        <v>100</v>
      </c>
      <c r="B39" s="94" t="s">
        <v>211</v>
      </c>
      <c r="C39" s="112">
        <v>0</v>
      </c>
      <c r="D39" s="113">
        <v>0</v>
      </c>
      <c r="E39" s="113">
        <v>0.31</v>
      </c>
      <c r="F39" s="113">
        <v>3.05</v>
      </c>
      <c r="G39" s="113">
        <v>0</v>
      </c>
      <c r="H39" s="114">
        <v>1</v>
      </c>
      <c r="I39" s="115">
        <f>'Classified FTEs'!C77</f>
        <v>1.76</v>
      </c>
      <c r="J39" s="113">
        <f>'Licensed FTEs'!K74+'Licensed FTEs'!L74</f>
        <v>0</v>
      </c>
      <c r="K39" s="112">
        <v>0</v>
      </c>
      <c r="L39" s="113">
        <v>0</v>
      </c>
      <c r="M39" s="113">
        <v>0</v>
      </c>
      <c r="N39" s="116">
        <f>'Classified FTEs'!G77</f>
        <v>0</v>
      </c>
      <c r="O39" s="41"/>
    </row>
    <row r="40" spans="1:15">
      <c r="A40" s="44" t="s">
        <v>101</v>
      </c>
      <c r="B40" s="94" t="s">
        <v>212</v>
      </c>
      <c r="C40" s="112">
        <v>0</v>
      </c>
      <c r="D40" s="113">
        <v>0</v>
      </c>
      <c r="E40" s="113">
        <v>2.02</v>
      </c>
      <c r="F40" s="113">
        <v>13.29</v>
      </c>
      <c r="G40" s="113">
        <v>15.39</v>
      </c>
      <c r="H40" s="114">
        <v>1.1399999999999999</v>
      </c>
      <c r="I40" s="115">
        <f>'Classified FTEs'!C78</f>
        <v>6.24</v>
      </c>
      <c r="J40" s="113">
        <f>'Licensed FTEs'!K75+'Licensed FTEs'!L75</f>
        <v>0.15</v>
      </c>
      <c r="K40" s="112">
        <v>0</v>
      </c>
      <c r="L40" s="113">
        <v>0.32</v>
      </c>
      <c r="M40" s="113">
        <v>0</v>
      </c>
      <c r="N40" s="116">
        <f>'Classified FTEs'!G78</f>
        <v>1</v>
      </c>
      <c r="O40" s="41"/>
    </row>
    <row r="41" spans="1:15">
      <c r="A41" s="44" t="s">
        <v>103</v>
      </c>
      <c r="B41" s="110" t="s">
        <v>213</v>
      </c>
      <c r="C41" s="122">
        <v>0</v>
      </c>
      <c r="D41" s="119">
        <v>0</v>
      </c>
      <c r="E41" s="119">
        <v>1.5</v>
      </c>
      <c r="F41" s="119">
        <v>15.63</v>
      </c>
      <c r="G41" s="119">
        <v>4.04</v>
      </c>
      <c r="H41" s="120">
        <v>0</v>
      </c>
      <c r="I41" s="121">
        <f>'Classified FTEs'!C79</f>
        <v>12</v>
      </c>
      <c r="J41" s="119">
        <f>'Licensed FTEs'!K76+'Licensed FTEs'!L76</f>
        <v>1</v>
      </c>
      <c r="K41" s="122">
        <v>0</v>
      </c>
      <c r="L41" s="119">
        <v>0</v>
      </c>
      <c r="M41" s="119">
        <v>1</v>
      </c>
      <c r="N41" s="123">
        <f>'Classified FTEs'!G79</f>
        <v>0</v>
      </c>
      <c r="O41" s="41"/>
    </row>
    <row r="42" spans="1:15">
      <c r="A42" s="44" t="s">
        <v>105</v>
      </c>
      <c r="B42" s="94" t="s">
        <v>214</v>
      </c>
      <c r="C42" s="112">
        <v>0</v>
      </c>
      <c r="D42" s="113">
        <v>0</v>
      </c>
      <c r="E42" s="113">
        <v>1</v>
      </c>
      <c r="F42" s="113">
        <v>11.3</v>
      </c>
      <c r="G42" s="113">
        <v>11.81</v>
      </c>
      <c r="H42" s="114">
        <v>3</v>
      </c>
      <c r="I42" s="115">
        <f>'Classified FTEs'!C80</f>
        <v>11.94</v>
      </c>
      <c r="J42" s="113">
        <f>'Licensed FTEs'!K77+'Licensed FTEs'!L77</f>
        <v>0.21</v>
      </c>
      <c r="K42" s="112">
        <v>0.2</v>
      </c>
      <c r="L42" s="113">
        <v>0.2</v>
      </c>
      <c r="M42" s="113">
        <v>0</v>
      </c>
      <c r="N42" s="116">
        <f>'Classified FTEs'!G80</f>
        <v>0</v>
      </c>
      <c r="O42" s="41"/>
    </row>
    <row r="43" spans="1:15">
      <c r="A43" s="44" t="s">
        <v>107</v>
      </c>
      <c r="B43" s="94" t="s">
        <v>215</v>
      </c>
      <c r="C43" s="112">
        <v>0</v>
      </c>
      <c r="D43" s="113">
        <v>0</v>
      </c>
      <c r="E43" s="113">
        <v>1</v>
      </c>
      <c r="F43" s="113">
        <v>15</v>
      </c>
      <c r="G43" s="113">
        <v>0.75</v>
      </c>
      <c r="H43" s="114">
        <v>2</v>
      </c>
      <c r="I43" s="115">
        <f>'Classified FTEs'!C81</f>
        <v>10.68</v>
      </c>
      <c r="J43" s="113">
        <f>'Licensed FTEs'!K78+'Licensed FTEs'!L78</f>
        <v>1</v>
      </c>
      <c r="K43" s="112">
        <v>0</v>
      </c>
      <c r="L43" s="113">
        <v>0</v>
      </c>
      <c r="M43" s="113">
        <v>0</v>
      </c>
      <c r="N43" s="116">
        <f>'Classified FTEs'!G81</f>
        <v>1</v>
      </c>
      <c r="O43" s="41"/>
    </row>
    <row r="44" spans="1:15">
      <c r="A44" s="44" t="s">
        <v>109</v>
      </c>
      <c r="B44" s="94" t="s">
        <v>216</v>
      </c>
      <c r="C44" s="112">
        <v>0</v>
      </c>
      <c r="D44" s="113">
        <v>0</v>
      </c>
      <c r="E44" s="113">
        <v>2</v>
      </c>
      <c r="F44" s="113">
        <v>16.07</v>
      </c>
      <c r="G44" s="113">
        <v>9.83</v>
      </c>
      <c r="H44" s="114">
        <v>2.5</v>
      </c>
      <c r="I44" s="115">
        <f>'Classified FTEs'!C82</f>
        <v>10.43</v>
      </c>
      <c r="J44" s="113">
        <f>'Licensed FTEs'!K79+'Licensed FTEs'!L79</f>
        <v>1.25</v>
      </c>
      <c r="K44" s="112">
        <v>0.25</v>
      </c>
      <c r="L44" s="113">
        <v>0.75</v>
      </c>
      <c r="M44" s="113">
        <v>1</v>
      </c>
      <c r="N44" s="116">
        <f>'Classified FTEs'!G82</f>
        <v>0.23</v>
      </c>
      <c r="O44" s="41"/>
    </row>
    <row r="45" spans="1:15">
      <c r="A45" s="44" t="s">
        <v>111</v>
      </c>
      <c r="B45" s="98" t="s">
        <v>217</v>
      </c>
      <c r="C45" s="117">
        <v>0</v>
      </c>
      <c r="D45" s="118">
        <v>0</v>
      </c>
      <c r="E45" s="118">
        <v>1</v>
      </c>
      <c r="F45" s="118">
        <v>11.25</v>
      </c>
      <c r="G45" s="118">
        <v>6.47</v>
      </c>
      <c r="H45" s="124">
        <v>1</v>
      </c>
      <c r="I45" s="125">
        <f>'Classified FTEs'!C83</f>
        <v>11.66</v>
      </c>
      <c r="J45" s="118">
        <f>'Licensed FTEs'!K80+'Licensed FTEs'!L80</f>
        <v>1</v>
      </c>
      <c r="K45" s="117">
        <v>0.25</v>
      </c>
      <c r="L45" s="118">
        <v>0.75</v>
      </c>
      <c r="M45" s="118">
        <v>1</v>
      </c>
      <c r="N45" s="126">
        <f>'Classified FTEs'!G83</f>
        <v>0.31</v>
      </c>
      <c r="O45" s="41"/>
    </row>
    <row r="46" spans="1:15">
      <c r="A46" s="44" t="s">
        <v>113</v>
      </c>
      <c r="B46" s="94" t="s">
        <v>114</v>
      </c>
      <c r="C46" s="112">
        <v>0</v>
      </c>
      <c r="D46" s="113">
        <v>0</v>
      </c>
      <c r="E46" s="113">
        <v>0</v>
      </c>
      <c r="F46" s="113">
        <v>0</v>
      </c>
      <c r="G46" s="113">
        <v>12.25</v>
      </c>
      <c r="H46" s="114">
        <v>0</v>
      </c>
      <c r="I46" s="115">
        <f>'Classified FTEs'!C84</f>
        <v>1</v>
      </c>
      <c r="J46" s="113">
        <f>'Licensed FTEs'!K81+'Licensed FTEs'!L81</f>
        <v>0</v>
      </c>
      <c r="K46" s="112">
        <v>0</v>
      </c>
      <c r="L46" s="113">
        <v>1</v>
      </c>
      <c r="M46" s="113">
        <v>0</v>
      </c>
      <c r="N46" s="116">
        <f>'Classified FTEs'!G84</f>
        <v>0</v>
      </c>
      <c r="O46" s="41"/>
    </row>
    <row r="47" spans="1:15">
      <c r="A47" s="44" t="s">
        <v>115</v>
      </c>
      <c r="B47" s="94" t="s">
        <v>116</v>
      </c>
      <c r="C47" s="112">
        <v>0</v>
      </c>
      <c r="D47" s="113">
        <v>0</v>
      </c>
      <c r="E47" s="113">
        <v>1.02</v>
      </c>
      <c r="F47" s="113">
        <v>15.11</v>
      </c>
      <c r="G47" s="113">
        <v>3.22</v>
      </c>
      <c r="H47" s="114">
        <v>0.01</v>
      </c>
      <c r="I47" s="115">
        <f>'Classified FTEs'!C85</f>
        <v>8.64</v>
      </c>
      <c r="J47" s="113">
        <f>'Licensed FTEs'!K82+'Licensed FTEs'!L82</f>
        <v>1</v>
      </c>
      <c r="K47" s="112">
        <v>0</v>
      </c>
      <c r="L47" s="113">
        <v>0</v>
      </c>
      <c r="M47" s="113">
        <v>0</v>
      </c>
      <c r="N47" s="116">
        <f>'Classified FTEs'!G85</f>
        <v>0.5</v>
      </c>
      <c r="O47" s="41"/>
    </row>
    <row r="48" spans="1:15">
      <c r="A48" s="44">
        <v>68</v>
      </c>
      <c r="B48" s="94" t="s">
        <v>218</v>
      </c>
      <c r="C48" s="112">
        <v>0</v>
      </c>
      <c r="D48" s="113">
        <v>0</v>
      </c>
      <c r="E48" s="113">
        <v>0</v>
      </c>
      <c r="F48" s="113">
        <v>11.69</v>
      </c>
      <c r="G48" s="113">
        <v>11.91</v>
      </c>
      <c r="H48" s="114">
        <v>2</v>
      </c>
      <c r="I48" s="115">
        <f>'Classified FTEs'!C86</f>
        <v>13.11</v>
      </c>
      <c r="J48" s="113">
        <f>'Licensed FTEs'!K83+'Licensed FTEs'!L83</f>
        <v>0.41</v>
      </c>
      <c r="K48" s="112">
        <v>0.5</v>
      </c>
      <c r="L48" s="113">
        <v>0.5</v>
      </c>
      <c r="M48" s="113">
        <v>1</v>
      </c>
      <c r="N48" s="116">
        <f>'Classified FTEs'!G86</f>
        <v>1</v>
      </c>
      <c r="O48" s="41"/>
    </row>
    <row r="49" spans="1:15">
      <c r="A49" s="44" t="s">
        <v>118</v>
      </c>
      <c r="B49" s="94" t="s">
        <v>119</v>
      </c>
      <c r="C49" s="112">
        <v>0</v>
      </c>
      <c r="D49" s="113">
        <v>0</v>
      </c>
      <c r="E49" s="113">
        <v>2</v>
      </c>
      <c r="F49" s="113">
        <v>13</v>
      </c>
      <c r="G49" s="113">
        <v>1</v>
      </c>
      <c r="H49" s="114">
        <v>1</v>
      </c>
      <c r="I49" s="115">
        <f>'Classified FTEs'!C87</f>
        <v>4.5</v>
      </c>
      <c r="J49" s="113">
        <f>'Licensed FTEs'!K84+'Licensed FTEs'!L84</f>
        <v>1</v>
      </c>
      <c r="K49" s="112">
        <v>0.5</v>
      </c>
      <c r="L49" s="113">
        <v>0</v>
      </c>
      <c r="M49" s="113">
        <v>0</v>
      </c>
      <c r="N49" s="116">
        <f>'Classified FTEs'!G87</f>
        <v>0</v>
      </c>
      <c r="O49" s="41"/>
    </row>
    <row r="50" spans="1:15">
      <c r="A50" s="44" t="s">
        <v>120</v>
      </c>
      <c r="B50" s="94" t="s">
        <v>121</v>
      </c>
      <c r="C50" s="112">
        <v>0</v>
      </c>
      <c r="D50" s="113">
        <v>0</v>
      </c>
      <c r="E50" s="113">
        <v>0</v>
      </c>
      <c r="F50" s="113">
        <v>0</v>
      </c>
      <c r="G50" s="113">
        <v>21.12</v>
      </c>
      <c r="H50" s="114">
        <v>1</v>
      </c>
      <c r="I50" s="115">
        <f>'Classified FTEs'!C88</f>
        <v>0</v>
      </c>
      <c r="J50" s="113">
        <f>'Licensed FTEs'!K85+'Licensed FTEs'!L85</f>
        <v>3.65</v>
      </c>
      <c r="K50" s="112">
        <v>0</v>
      </c>
      <c r="L50" s="113">
        <v>0</v>
      </c>
      <c r="M50" s="113">
        <v>0</v>
      </c>
      <c r="N50" s="116">
        <f>'Classified FTEs'!G88</f>
        <v>2</v>
      </c>
      <c r="O50" s="41"/>
    </row>
    <row r="51" spans="1:15">
      <c r="A51" s="44">
        <v>86</v>
      </c>
      <c r="B51" s="110" t="s">
        <v>219</v>
      </c>
      <c r="C51" s="122">
        <v>0</v>
      </c>
      <c r="D51" s="119">
        <v>0</v>
      </c>
      <c r="E51" s="119">
        <v>2.11</v>
      </c>
      <c r="F51" s="119">
        <v>13.26</v>
      </c>
      <c r="G51" s="119">
        <v>15.04</v>
      </c>
      <c r="H51" s="120">
        <v>1.17</v>
      </c>
      <c r="I51" s="121">
        <f>'Classified FTEs'!C89</f>
        <v>18.82</v>
      </c>
      <c r="J51" s="119">
        <f>'Licensed FTEs'!K86+'Licensed FTEs'!L86</f>
        <v>1.31</v>
      </c>
      <c r="K51" s="122">
        <v>0</v>
      </c>
      <c r="L51" s="119">
        <v>0</v>
      </c>
      <c r="M51" s="119">
        <v>0.89</v>
      </c>
      <c r="N51" s="123">
        <f>'Classified FTEs'!G89</f>
        <v>0</v>
      </c>
      <c r="O51" s="41"/>
    </row>
    <row r="52" spans="1:15">
      <c r="A52" s="44" t="s">
        <v>327</v>
      </c>
      <c r="B52" s="94" t="s">
        <v>368</v>
      </c>
      <c r="C52" s="112">
        <v>0</v>
      </c>
      <c r="D52" s="113">
        <v>0</v>
      </c>
      <c r="E52" s="113">
        <v>1</v>
      </c>
      <c r="F52" s="113">
        <v>22.2</v>
      </c>
      <c r="G52" s="113">
        <v>0</v>
      </c>
      <c r="H52" s="114">
        <v>1.5</v>
      </c>
      <c r="I52" s="115">
        <f>'Classified FTEs'!C90</f>
        <v>16.53</v>
      </c>
      <c r="J52" s="113">
        <f>'Licensed FTEs'!K87+'Licensed FTEs'!L87</f>
        <v>1</v>
      </c>
      <c r="K52" s="112">
        <v>1</v>
      </c>
      <c r="L52" s="113">
        <v>0</v>
      </c>
      <c r="M52" s="113">
        <v>0</v>
      </c>
      <c r="N52" s="116">
        <f>'Classified FTEs'!G90</f>
        <v>0.87</v>
      </c>
      <c r="O52" s="41"/>
    </row>
    <row r="53" spans="1:15">
      <c r="A53" s="44" t="s">
        <v>329</v>
      </c>
      <c r="B53" s="94" t="s">
        <v>369</v>
      </c>
      <c r="C53" s="112">
        <v>0</v>
      </c>
      <c r="D53" s="113">
        <v>0</v>
      </c>
      <c r="E53" s="113">
        <v>2</v>
      </c>
      <c r="F53" s="113">
        <v>11.96</v>
      </c>
      <c r="G53" s="113">
        <v>0</v>
      </c>
      <c r="H53" s="114">
        <v>1</v>
      </c>
      <c r="I53" s="115">
        <f>'Classified FTEs'!C91</f>
        <v>6.65</v>
      </c>
      <c r="J53" s="113">
        <f>'Licensed FTEs'!K88+'Licensed FTEs'!L88</f>
        <v>0</v>
      </c>
      <c r="K53" s="112">
        <v>0</v>
      </c>
      <c r="L53" s="113">
        <v>0</v>
      </c>
      <c r="M53" s="113">
        <v>0</v>
      </c>
      <c r="N53" s="116">
        <f>'Classified FTEs'!G91</f>
        <v>1</v>
      </c>
      <c r="O53" s="41"/>
    </row>
    <row r="54" spans="1:15">
      <c r="A54" s="44" t="s">
        <v>123</v>
      </c>
      <c r="B54" s="94" t="s">
        <v>220</v>
      </c>
      <c r="C54" s="112">
        <v>0</v>
      </c>
      <c r="D54" s="113">
        <v>0</v>
      </c>
      <c r="E54" s="113">
        <v>1</v>
      </c>
      <c r="F54" s="113">
        <v>10.5</v>
      </c>
      <c r="G54" s="113">
        <v>1</v>
      </c>
      <c r="H54" s="114">
        <v>0.25</v>
      </c>
      <c r="I54" s="115">
        <f>'Classified FTEs'!C92</f>
        <v>13.19</v>
      </c>
      <c r="J54" s="113">
        <f>'Licensed FTEs'!K89+'Licensed FTEs'!L89</f>
        <v>0</v>
      </c>
      <c r="K54" s="112">
        <v>0</v>
      </c>
      <c r="L54" s="113">
        <v>0</v>
      </c>
      <c r="M54" s="113">
        <v>0</v>
      </c>
      <c r="N54" s="116">
        <f>'Classified FTEs'!G92</f>
        <v>1.86</v>
      </c>
      <c r="O54" s="41"/>
    </row>
    <row r="55" spans="1:15">
      <c r="A55" s="44" t="s">
        <v>125</v>
      </c>
      <c r="B55" s="98" t="s">
        <v>221</v>
      </c>
      <c r="C55" s="117">
        <v>0</v>
      </c>
      <c r="D55" s="118">
        <v>0</v>
      </c>
      <c r="E55" s="118">
        <v>2</v>
      </c>
      <c r="F55" s="118">
        <v>18.77</v>
      </c>
      <c r="G55" s="118">
        <v>6.98</v>
      </c>
      <c r="H55" s="124">
        <v>3</v>
      </c>
      <c r="I55" s="125">
        <f>'Classified FTEs'!C93</f>
        <v>16.3</v>
      </c>
      <c r="J55" s="118">
        <f>'Licensed FTEs'!K90+'Licensed FTEs'!L90</f>
        <v>0.5</v>
      </c>
      <c r="K55" s="117">
        <v>0</v>
      </c>
      <c r="L55" s="118">
        <v>0</v>
      </c>
      <c r="M55" s="118">
        <v>0</v>
      </c>
      <c r="N55" s="126">
        <f>'Classified FTEs'!G93</f>
        <v>0.5</v>
      </c>
      <c r="O55" s="41"/>
    </row>
    <row r="56" spans="1:15">
      <c r="A56" s="44" t="s">
        <v>127</v>
      </c>
      <c r="B56" s="94" t="s">
        <v>222</v>
      </c>
      <c r="C56" s="112">
        <v>0</v>
      </c>
      <c r="D56" s="113">
        <v>0</v>
      </c>
      <c r="E56" s="113">
        <v>2</v>
      </c>
      <c r="F56" s="113">
        <v>17.690000000000001</v>
      </c>
      <c r="G56" s="113">
        <v>8.98</v>
      </c>
      <c r="H56" s="114">
        <v>2</v>
      </c>
      <c r="I56" s="115">
        <f>'Classified FTEs'!C94</f>
        <v>9.42</v>
      </c>
      <c r="J56" s="113">
        <f>'Licensed FTEs'!K91+'Licensed FTEs'!L91</f>
        <v>0.3</v>
      </c>
      <c r="K56" s="112">
        <v>0</v>
      </c>
      <c r="L56" s="113">
        <v>0</v>
      </c>
      <c r="M56" s="113">
        <v>0.35</v>
      </c>
      <c r="N56" s="116">
        <f>'Classified FTEs'!G94</f>
        <v>0</v>
      </c>
      <c r="O56" s="41"/>
    </row>
    <row r="57" spans="1:15">
      <c r="A57" s="44" t="s">
        <v>334</v>
      </c>
      <c r="B57" s="94" t="s">
        <v>376</v>
      </c>
      <c r="C57" s="112">
        <v>0</v>
      </c>
      <c r="D57" s="113">
        <v>0</v>
      </c>
      <c r="E57" s="113">
        <v>0</v>
      </c>
      <c r="F57" s="113">
        <v>0</v>
      </c>
      <c r="G57" s="113">
        <v>24.06</v>
      </c>
      <c r="H57" s="114">
        <v>1.44</v>
      </c>
      <c r="I57" s="115">
        <f>'Classified FTEs'!C95</f>
        <v>1.0900000000000001</v>
      </c>
      <c r="J57" s="113">
        <f>'Licensed FTEs'!K92+'Licensed FTEs'!L92</f>
        <v>0</v>
      </c>
      <c r="K57" s="112">
        <v>0</v>
      </c>
      <c r="L57" s="113">
        <v>0</v>
      </c>
      <c r="M57" s="113">
        <v>0</v>
      </c>
      <c r="N57" s="116">
        <f>'Classified FTEs'!G95</f>
        <v>0.5</v>
      </c>
      <c r="O57" s="41"/>
    </row>
    <row r="58" spans="1:15">
      <c r="A58" s="44">
        <v>97</v>
      </c>
      <c r="B58" s="94" t="s">
        <v>223</v>
      </c>
      <c r="C58" s="112">
        <v>0</v>
      </c>
      <c r="D58" s="113">
        <v>0</v>
      </c>
      <c r="E58" s="113">
        <v>0</v>
      </c>
      <c r="F58" s="113">
        <v>2</v>
      </c>
      <c r="G58" s="113">
        <v>10.32</v>
      </c>
      <c r="H58" s="114">
        <v>1</v>
      </c>
      <c r="I58" s="115">
        <f>'Classified FTEs'!C96</f>
        <v>2.25</v>
      </c>
      <c r="J58" s="113">
        <f>'Licensed FTEs'!K93+'Licensed FTEs'!L93</f>
        <v>0</v>
      </c>
      <c r="K58" s="112">
        <v>0</v>
      </c>
      <c r="L58" s="113">
        <v>0</v>
      </c>
      <c r="M58" s="113">
        <v>0</v>
      </c>
      <c r="N58" s="116">
        <f>'Classified FTEs'!G96</f>
        <v>0</v>
      </c>
      <c r="O58" s="41"/>
    </row>
    <row r="59" spans="1:15">
      <c r="A59" s="44" t="s">
        <v>337</v>
      </c>
      <c r="B59" s="94" t="s">
        <v>377</v>
      </c>
      <c r="C59" s="112">
        <v>0</v>
      </c>
      <c r="D59" s="113">
        <v>0</v>
      </c>
      <c r="E59" s="113">
        <v>0</v>
      </c>
      <c r="F59" s="113">
        <v>1</v>
      </c>
      <c r="G59" s="113">
        <v>6.49</v>
      </c>
      <c r="H59" s="114">
        <v>1.5</v>
      </c>
      <c r="I59" s="115">
        <f>'Classified FTEs'!C97</f>
        <v>1.38</v>
      </c>
      <c r="J59" s="113">
        <f>'Licensed FTEs'!K94+'Licensed FTEs'!L94</f>
        <v>0.51</v>
      </c>
      <c r="K59" s="112">
        <v>0</v>
      </c>
      <c r="L59" s="113">
        <v>0</v>
      </c>
      <c r="M59" s="113">
        <v>0</v>
      </c>
      <c r="N59" s="116">
        <f>'Classified FTEs'!G97</f>
        <v>0</v>
      </c>
      <c r="O59" s="41"/>
    </row>
    <row r="60" spans="1:15">
      <c r="A60" s="44" t="s">
        <v>130</v>
      </c>
      <c r="B60" s="94" t="s">
        <v>131</v>
      </c>
      <c r="C60" s="112">
        <v>0</v>
      </c>
      <c r="D60" s="113">
        <v>0</v>
      </c>
      <c r="E60" s="113">
        <v>0</v>
      </c>
      <c r="F60" s="113">
        <v>0</v>
      </c>
      <c r="G60" s="113">
        <v>3.56</v>
      </c>
      <c r="H60" s="114">
        <v>0</v>
      </c>
      <c r="I60" s="115">
        <f>'Classified FTEs'!C98</f>
        <v>0.55000000000000004</v>
      </c>
      <c r="J60" s="113">
        <f>'Licensed FTEs'!K95+'Licensed FTEs'!L95</f>
        <v>0</v>
      </c>
      <c r="K60" s="112">
        <v>0</v>
      </c>
      <c r="L60" s="113">
        <v>1</v>
      </c>
      <c r="M60" s="113">
        <v>0</v>
      </c>
      <c r="N60" s="116">
        <f>'Classified FTEs'!G98</f>
        <v>0</v>
      </c>
      <c r="O60" s="41"/>
    </row>
    <row r="61" spans="1:15">
      <c r="A61" s="44">
        <v>89</v>
      </c>
      <c r="B61" s="110" t="s">
        <v>132</v>
      </c>
      <c r="C61" s="122">
        <v>1</v>
      </c>
      <c r="D61" s="119">
        <v>0</v>
      </c>
      <c r="E61" s="119">
        <v>0</v>
      </c>
      <c r="F61" s="119">
        <v>6.5</v>
      </c>
      <c r="G61" s="119">
        <v>0.2</v>
      </c>
      <c r="H61" s="120">
        <v>1</v>
      </c>
      <c r="I61" s="121">
        <f>'Classified FTEs'!C99</f>
        <v>0</v>
      </c>
      <c r="J61" s="119">
        <f>'Licensed FTEs'!K96+'Licensed FTEs'!L96</f>
        <v>0</v>
      </c>
      <c r="K61" s="122">
        <v>0</v>
      </c>
      <c r="L61" s="119">
        <v>0</v>
      </c>
      <c r="M61" s="119">
        <v>0</v>
      </c>
      <c r="N61" s="123">
        <f>'Classified FTEs'!G99</f>
        <v>0</v>
      </c>
      <c r="O61" s="41"/>
    </row>
    <row r="62" spans="1:15">
      <c r="A62" s="44" t="s">
        <v>133</v>
      </c>
      <c r="B62" s="94" t="s">
        <v>224</v>
      </c>
      <c r="C62" s="112">
        <v>0</v>
      </c>
      <c r="D62" s="113">
        <v>0</v>
      </c>
      <c r="E62" s="113">
        <v>0</v>
      </c>
      <c r="F62" s="113">
        <v>0</v>
      </c>
      <c r="G62" s="113">
        <v>0</v>
      </c>
      <c r="H62" s="114">
        <v>11</v>
      </c>
      <c r="I62" s="115">
        <f>'Classified FTEs'!C100</f>
        <v>6</v>
      </c>
      <c r="J62" s="113">
        <f>'Licensed FTEs'!K97+'Licensed FTEs'!L97</f>
        <v>0</v>
      </c>
      <c r="K62" s="112">
        <v>0</v>
      </c>
      <c r="L62" s="113">
        <v>0</v>
      </c>
      <c r="M62" s="113">
        <v>0</v>
      </c>
      <c r="N62" s="116">
        <f>'Classified FTEs'!G100</f>
        <v>0</v>
      </c>
      <c r="O62" s="41"/>
    </row>
    <row r="63" spans="1:15">
      <c r="A63" s="44" t="s">
        <v>135</v>
      </c>
      <c r="B63" s="94" t="s">
        <v>225</v>
      </c>
      <c r="C63" s="112">
        <v>0</v>
      </c>
      <c r="D63" s="113">
        <v>0</v>
      </c>
      <c r="E63" s="113">
        <v>0</v>
      </c>
      <c r="F63" s="113">
        <v>0</v>
      </c>
      <c r="G63" s="113">
        <v>4.42</v>
      </c>
      <c r="H63" s="114">
        <v>0</v>
      </c>
      <c r="I63" s="115">
        <f>'Classified FTEs'!C101</f>
        <v>0.34</v>
      </c>
      <c r="J63" s="113">
        <f>'Licensed FTEs'!K98+'Licensed FTEs'!L98</f>
        <v>0</v>
      </c>
      <c r="K63" s="112">
        <v>0</v>
      </c>
      <c r="L63" s="113">
        <v>1</v>
      </c>
      <c r="M63" s="113">
        <v>0</v>
      </c>
      <c r="N63" s="116">
        <f>'Classified FTEs'!G101</f>
        <v>0</v>
      </c>
      <c r="O63" s="41"/>
    </row>
    <row r="64" spans="1:15">
      <c r="A64" s="44">
        <v>88</v>
      </c>
      <c r="B64" s="94" t="s">
        <v>137</v>
      </c>
      <c r="C64" s="112">
        <v>0</v>
      </c>
      <c r="D64" s="113">
        <v>0</v>
      </c>
      <c r="E64" s="113">
        <v>0</v>
      </c>
      <c r="F64" s="113">
        <v>0</v>
      </c>
      <c r="G64" s="113">
        <v>0</v>
      </c>
      <c r="H64" s="114">
        <v>0</v>
      </c>
      <c r="I64" s="115">
        <f>'Classified FTEs'!C102</f>
        <v>0</v>
      </c>
      <c r="J64" s="113">
        <f>'Licensed FTEs'!K99+'Licensed FTEs'!L99</f>
        <v>2</v>
      </c>
      <c r="K64" s="112">
        <v>0</v>
      </c>
      <c r="L64" s="113">
        <v>0</v>
      </c>
      <c r="M64" s="113">
        <v>0</v>
      </c>
      <c r="N64" s="116">
        <f>'Classified FTEs'!G102</f>
        <v>0</v>
      </c>
      <c r="O64" s="41"/>
    </row>
    <row r="65" spans="1:15">
      <c r="A65" s="44" t="s">
        <v>138</v>
      </c>
      <c r="B65" s="98" t="s">
        <v>226</v>
      </c>
      <c r="C65" s="117">
        <v>0</v>
      </c>
      <c r="D65" s="118">
        <v>0</v>
      </c>
      <c r="E65" s="118">
        <v>2</v>
      </c>
      <c r="F65" s="118">
        <v>27.3</v>
      </c>
      <c r="G65" s="118">
        <v>11.17</v>
      </c>
      <c r="H65" s="124">
        <v>2.75</v>
      </c>
      <c r="I65" s="125">
        <f>'Classified FTEs'!C103</f>
        <v>18.75</v>
      </c>
      <c r="J65" s="118">
        <f>'Licensed FTEs'!K100+'Licensed FTEs'!L100</f>
        <v>0.54</v>
      </c>
      <c r="K65" s="117">
        <v>0</v>
      </c>
      <c r="L65" s="118">
        <v>0.5</v>
      </c>
      <c r="M65" s="118">
        <v>0</v>
      </c>
      <c r="N65" s="126">
        <f>'Classified FTEs'!G103</f>
        <v>0.5</v>
      </c>
      <c r="O65" s="41"/>
    </row>
    <row r="66" spans="1:15">
      <c r="A66" s="44" t="s">
        <v>140</v>
      </c>
      <c r="B66" s="94" t="s">
        <v>227</v>
      </c>
      <c r="C66" s="112">
        <v>0</v>
      </c>
      <c r="D66" s="113">
        <v>0</v>
      </c>
      <c r="E66" s="113">
        <v>2</v>
      </c>
      <c r="F66" s="113">
        <v>19.11</v>
      </c>
      <c r="G66" s="113">
        <v>0.18</v>
      </c>
      <c r="H66" s="114">
        <v>1</v>
      </c>
      <c r="I66" s="115">
        <f>'Classified FTEs'!C104</f>
        <v>4.91</v>
      </c>
      <c r="J66" s="113">
        <f>'Licensed FTEs'!K101+'Licensed FTEs'!L101</f>
        <v>0</v>
      </c>
      <c r="K66" s="112">
        <v>0</v>
      </c>
      <c r="L66" s="113">
        <v>0</v>
      </c>
      <c r="M66" s="113">
        <v>0</v>
      </c>
      <c r="N66" s="116">
        <f>'Classified FTEs'!G104</f>
        <v>0.74</v>
      </c>
      <c r="O66" s="41"/>
    </row>
    <row r="67" spans="1:15">
      <c r="A67" s="44">
        <v>94</v>
      </c>
      <c r="B67" s="94" t="s">
        <v>142</v>
      </c>
      <c r="C67" s="112">
        <v>0</v>
      </c>
      <c r="D67" s="113">
        <v>0</v>
      </c>
      <c r="E67" s="113">
        <v>3</v>
      </c>
      <c r="F67" s="113">
        <v>19</v>
      </c>
      <c r="G67" s="113">
        <v>13.55</v>
      </c>
      <c r="H67" s="114">
        <v>2</v>
      </c>
      <c r="I67" s="115">
        <f>'Classified FTEs'!C105</f>
        <v>15</v>
      </c>
      <c r="J67" s="113">
        <f>'Licensed FTEs'!K102+'Licensed FTEs'!L102</f>
        <v>1</v>
      </c>
      <c r="K67" s="112">
        <v>0</v>
      </c>
      <c r="L67" s="113">
        <v>0</v>
      </c>
      <c r="M67" s="113">
        <v>1</v>
      </c>
      <c r="N67" s="116">
        <f>'Classified FTEs'!G105</f>
        <v>1.5</v>
      </c>
      <c r="O67" s="41"/>
    </row>
    <row r="68" spans="1:15">
      <c r="A68" s="45">
        <v>95</v>
      </c>
      <c r="B68" s="95" t="s">
        <v>228</v>
      </c>
      <c r="C68" s="112">
        <v>0</v>
      </c>
      <c r="D68" s="113">
        <v>0</v>
      </c>
      <c r="E68" s="113">
        <v>1</v>
      </c>
      <c r="F68" s="113">
        <v>17.39</v>
      </c>
      <c r="G68" s="113">
        <v>3</v>
      </c>
      <c r="H68" s="114">
        <v>1</v>
      </c>
      <c r="I68" s="115">
        <f>'Classified FTEs'!C106</f>
        <v>4</v>
      </c>
      <c r="J68" s="113">
        <f>'Licensed FTEs'!K103+'Licensed FTEs'!L103</f>
        <v>0</v>
      </c>
      <c r="K68" s="112">
        <v>0</v>
      </c>
      <c r="L68" s="113">
        <v>0</v>
      </c>
      <c r="M68" s="113">
        <v>0</v>
      </c>
      <c r="N68" s="116">
        <f>'Classified FTEs'!G106</f>
        <v>0</v>
      </c>
      <c r="O68" s="41"/>
    </row>
    <row r="69" spans="1:15">
      <c r="A69" s="45">
        <v>90</v>
      </c>
      <c r="B69" s="96" t="s">
        <v>144</v>
      </c>
      <c r="C69" s="112">
        <v>0</v>
      </c>
      <c r="D69" s="113">
        <v>0</v>
      </c>
      <c r="E69" s="113">
        <v>0</v>
      </c>
      <c r="F69" s="113">
        <v>0</v>
      </c>
      <c r="G69" s="113">
        <v>12.84</v>
      </c>
      <c r="H69" s="114">
        <v>0</v>
      </c>
      <c r="I69" s="115">
        <f>'Classified FTEs'!C107</f>
        <v>0.5</v>
      </c>
      <c r="J69" s="113">
        <f>'Licensed FTEs'!K104+'Licensed FTEs'!L104</f>
        <v>0.34</v>
      </c>
      <c r="K69" s="112">
        <v>0</v>
      </c>
      <c r="L69" s="113">
        <v>1</v>
      </c>
      <c r="M69" s="113">
        <v>1</v>
      </c>
      <c r="N69" s="116">
        <f>'Classified FTEs'!G107</f>
        <v>0</v>
      </c>
      <c r="O69" s="41"/>
    </row>
    <row r="70" spans="1:15">
      <c r="A70" s="44" t="s">
        <v>145</v>
      </c>
      <c r="B70" s="96" t="s">
        <v>146</v>
      </c>
      <c r="C70" s="112">
        <v>0</v>
      </c>
      <c r="D70" s="113">
        <v>0</v>
      </c>
      <c r="E70" s="113">
        <v>0</v>
      </c>
      <c r="F70" s="113">
        <v>0</v>
      </c>
      <c r="G70" s="113">
        <v>9.9600000000000009</v>
      </c>
      <c r="H70" s="114">
        <v>0.2</v>
      </c>
      <c r="I70" s="115">
        <f>'Classified FTEs'!C108</f>
        <v>0.31</v>
      </c>
      <c r="J70" s="113">
        <f>'Licensed FTEs'!K105+'Licensed FTEs'!L105</f>
        <v>1.44</v>
      </c>
      <c r="K70" s="112">
        <v>0</v>
      </c>
      <c r="L70" s="113">
        <v>2.59</v>
      </c>
      <c r="M70" s="113">
        <v>0</v>
      </c>
      <c r="N70" s="116">
        <f>'Classified FTEs'!G108</f>
        <v>0</v>
      </c>
      <c r="O70" s="41"/>
    </row>
    <row r="71" spans="1:15">
      <c r="A71" s="45">
        <v>92</v>
      </c>
      <c r="B71" s="111" t="s">
        <v>229</v>
      </c>
      <c r="C71" s="122">
        <v>0</v>
      </c>
      <c r="D71" s="119">
        <v>0</v>
      </c>
      <c r="E71" s="119">
        <v>0</v>
      </c>
      <c r="F71" s="119">
        <v>0</v>
      </c>
      <c r="G71" s="119">
        <v>6.17</v>
      </c>
      <c r="H71" s="120">
        <v>1</v>
      </c>
      <c r="I71" s="121">
        <f>'Classified FTEs'!C109</f>
        <v>0</v>
      </c>
      <c r="J71" s="119">
        <f>'Licensed FTEs'!K106+'Licensed FTEs'!L106</f>
        <v>0</v>
      </c>
      <c r="K71" s="122">
        <v>0</v>
      </c>
      <c r="L71" s="119">
        <v>1</v>
      </c>
      <c r="M71" s="119">
        <v>0</v>
      </c>
      <c r="N71" s="123">
        <f>'Classified FTEs'!G109</f>
        <v>0</v>
      </c>
      <c r="O71" s="41"/>
    </row>
    <row r="72" spans="1:15">
      <c r="A72" s="44" t="s">
        <v>351</v>
      </c>
      <c r="B72" s="96" t="s">
        <v>372</v>
      </c>
      <c r="C72" s="112">
        <v>0</v>
      </c>
      <c r="D72" s="113">
        <v>0</v>
      </c>
      <c r="E72" s="113">
        <v>0.12</v>
      </c>
      <c r="F72" s="113">
        <v>5.38</v>
      </c>
      <c r="G72" s="113">
        <v>6</v>
      </c>
      <c r="H72" s="114">
        <v>1</v>
      </c>
      <c r="I72" s="115">
        <f>'Classified FTEs'!C110</f>
        <v>0</v>
      </c>
      <c r="J72" s="113">
        <f>'Licensed FTEs'!K107+'Licensed FTEs'!L107</f>
        <v>0</v>
      </c>
      <c r="K72" s="112">
        <v>0</v>
      </c>
      <c r="L72" s="113">
        <v>0</v>
      </c>
      <c r="M72" s="113">
        <v>0</v>
      </c>
      <c r="N72" s="116">
        <f>'Classified FTEs'!G110</f>
        <v>0</v>
      </c>
      <c r="O72" s="41"/>
    </row>
    <row r="73" spans="1:15">
      <c r="A73" s="44" t="s">
        <v>353</v>
      </c>
      <c r="B73" s="96" t="s">
        <v>373</v>
      </c>
      <c r="C73" s="112">
        <v>0</v>
      </c>
      <c r="D73" s="113">
        <v>0</v>
      </c>
      <c r="E73" s="113">
        <v>0.5</v>
      </c>
      <c r="F73" s="113">
        <v>11.5</v>
      </c>
      <c r="G73" s="113">
        <v>7.05</v>
      </c>
      <c r="H73" s="114">
        <v>1</v>
      </c>
      <c r="I73" s="115">
        <f>'Classified FTEs'!C111</f>
        <v>3.8</v>
      </c>
      <c r="J73" s="113">
        <f>'Licensed FTEs'!K108+'Licensed FTEs'!L108</f>
        <v>0</v>
      </c>
      <c r="K73" s="112">
        <v>0</v>
      </c>
      <c r="L73" s="113">
        <v>0</v>
      </c>
      <c r="M73" s="113">
        <v>0</v>
      </c>
      <c r="N73" s="116">
        <f>'Classified FTEs'!G111</f>
        <v>0</v>
      </c>
      <c r="O73" s="41"/>
    </row>
    <row r="74" spans="1:15">
      <c r="A74" s="45">
        <v>81</v>
      </c>
      <c r="B74" s="95" t="s">
        <v>230</v>
      </c>
      <c r="C74" s="112">
        <v>0</v>
      </c>
      <c r="D74" s="113">
        <v>0</v>
      </c>
      <c r="E74" s="113">
        <v>0</v>
      </c>
      <c r="F74" s="113">
        <v>5.14</v>
      </c>
      <c r="G74" s="113">
        <v>14.1</v>
      </c>
      <c r="H74" s="114">
        <v>0.25</v>
      </c>
      <c r="I74" s="115">
        <f>'Classified FTEs'!C112</f>
        <v>7.98</v>
      </c>
      <c r="J74" s="113">
        <f>'Licensed FTEs'!K109+'Licensed FTEs'!L109</f>
        <v>0</v>
      </c>
      <c r="K74" s="112">
        <v>0.25</v>
      </c>
      <c r="L74" s="113">
        <v>0.25</v>
      </c>
      <c r="M74" s="113">
        <v>0</v>
      </c>
      <c r="N74" s="116">
        <f>'Classified FTEs'!G112</f>
        <v>0</v>
      </c>
      <c r="O74" s="41"/>
    </row>
    <row r="75" spans="1:15" ht="13.5" thickBot="1">
      <c r="A75" s="44" t="s">
        <v>149</v>
      </c>
      <c r="B75" s="95" t="s">
        <v>231</v>
      </c>
      <c r="C75" s="112">
        <v>0</v>
      </c>
      <c r="D75" s="113">
        <v>0</v>
      </c>
      <c r="E75" s="113">
        <v>1</v>
      </c>
      <c r="F75" s="113">
        <v>14</v>
      </c>
      <c r="G75" s="113">
        <v>0</v>
      </c>
      <c r="H75" s="114">
        <v>1.5</v>
      </c>
      <c r="I75" s="115">
        <f>'Classified FTEs'!C113</f>
        <v>8.73</v>
      </c>
      <c r="J75" s="113">
        <f>'Licensed FTEs'!K110+'Licensed FTEs'!L110</f>
        <v>0</v>
      </c>
      <c r="K75" s="112">
        <v>0</v>
      </c>
      <c r="L75" s="113">
        <v>0</v>
      </c>
      <c r="M75" s="113">
        <v>0</v>
      </c>
      <c r="N75" s="116">
        <f>'Classified FTEs'!G113</f>
        <v>0.4</v>
      </c>
      <c r="O75" s="41"/>
    </row>
    <row r="76" spans="1:15" ht="13.5" thickBot="1">
      <c r="B76" s="35" t="s">
        <v>151</v>
      </c>
      <c r="C76" s="127">
        <f>SUM(C11:C75)</f>
        <v>3.5</v>
      </c>
      <c r="D76" s="128">
        <f t="shared" ref="D76:N76" si="0">SUM(D11:D75)</f>
        <v>0</v>
      </c>
      <c r="E76" s="128">
        <f t="shared" si="0"/>
        <v>54.3</v>
      </c>
      <c r="F76" s="128">
        <f t="shared" si="0"/>
        <v>583.68999999999994</v>
      </c>
      <c r="G76" s="128">
        <f t="shared" si="0"/>
        <v>506.81000000000023</v>
      </c>
      <c r="H76" s="129">
        <f t="shared" si="0"/>
        <v>85.24</v>
      </c>
      <c r="I76" s="128">
        <f t="shared" si="0"/>
        <v>461.21000000000009</v>
      </c>
      <c r="J76" s="128">
        <f t="shared" si="0"/>
        <v>39.469999999999992</v>
      </c>
      <c r="K76" s="127">
        <f t="shared" si="0"/>
        <v>4.58</v>
      </c>
      <c r="L76" s="128">
        <f t="shared" si="0"/>
        <v>22</v>
      </c>
      <c r="M76" s="128">
        <f t="shared" si="0"/>
        <v>11.97</v>
      </c>
      <c r="N76" s="129">
        <f t="shared" si="0"/>
        <v>24.5</v>
      </c>
      <c r="O76" s="41"/>
    </row>
    <row r="77" spans="1:15"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1"/>
    </row>
  </sheetData>
  <sortState ref="B7:O64">
    <sortCondition ref="B7:B64"/>
  </sortState>
  <mergeCells count="18">
    <mergeCell ref="N6:N8"/>
    <mergeCell ref="C7:D7"/>
    <mergeCell ref="E7:E8"/>
    <mergeCell ref="F7:F8"/>
    <mergeCell ref="G7:G8"/>
    <mergeCell ref="H7:H8"/>
    <mergeCell ref="B1:N1"/>
    <mergeCell ref="B2:N2"/>
    <mergeCell ref="B3:N3"/>
    <mergeCell ref="B5:B9"/>
    <mergeCell ref="C5:J5"/>
    <mergeCell ref="K5:N5"/>
    <mergeCell ref="C6:H6"/>
    <mergeCell ref="I6:I8"/>
    <mergeCell ref="J6:J8"/>
    <mergeCell ref="K6:K8"/>
    <mergeCell ref="L6:L8"/>
    <mergeCell ref="M6:M8"/>
  </mergeCells>
  <printOptions horizontalCentered="1" verticalCentered="1"/>
  <pageMargins left="0.7" right="0.7" top="0.75" bottom="0.6" header="0.65" footer="0.3"/>
  <pageSetup scale="51" orientation="landscape" r:id="rId1"/>
  <headerFooter>
    <oddFooter>&amp;L&amp;"Arial,Regular"&amp;8DATA SOURCE:  CACTUS Database June 30, 2009
Year-End Web Survey FY 2009
COMPILED BY:  USOE/Finance and Statistics/Emily Eyre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69"/>
  <sheetViews>
    <sheetView showWhiteSpace="0" zoomScaleNormal="100" workbookViewId="0">
      <selection activeCell="Q1" sqref="Q1:Q1048576"/>
    </sheetView>
  </sheetViews>
  <sheetFormatPr defaultRowHeight="12.75"/>
  <cols>
    <col min="1" max="1" width="3.7109375" style="16" customWidth="1"/>
    <col min="2" max="2" width="24.85546875" style="16" customWidth="1"/>
    <col min="3" max="4" width="12.28515625" style="16" customWidth="1"/>
    <col min="5" max="5" width="14.140625" style="16" customWidth="1"/>
    <col min="6" max="6" width="14.28515625" style="16" customWidth="1"/>
    <col min="7" max="7" width="15.7109375" style="16" customWidth="1"/>
    <col min="8" max="8" width="13" style="16" customWidth="1"/>
    <col min="9" max="9" width="14.42578125" style="16" customWidth="1"/>
    <col min="10" max="10" width="15" style="16" customWidth="1"/>
    <col min="11" max="11" width="13.28515625" style="16" customWidth="1"/>
    <col min="12" max="12" width="13.7109375" style="16" customWidth="1"/>
    <col min="13" max="13" width="18.140625" style="16" customWidth="1"/>
    <col min="14" max="14" width="9.7109375" style="16" bestFit="1" customWidth="1"/>
    <col min="15" max="16384" width="9.140625" style="16"/>
  </cols>
  <sheetData>
    <row r="1" spans="1:14" ht="18">
      <c r="B1" s="161" t="s">
        <v>379</v>
      </c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</row>
    <row r="2" spans="1:14" ht="15.75">
      <c r="B2" s="144" t="s">
        <v>380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</row>
    <row r="3" spans="1:14" ht="15.75">
      <c r="B3" s="163" t="s">
        <v>360</v>
      </c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</row>
    <row r="4" spans="1:14" ht="13.5" thickBot="1"/>
    <row r="5" spans="1:14" ht="16.5" customHeight="1" thickBot="1">
      <c r="B5" s="146" t="s">
        <v>0</v>
      </c>
      <c r="C5" s="149" t="s">
        <v>2</v>
      </c>
      <c r="D5" s="150"/>
      <c r="E5" s="150"/>
      <c r="F5" s="150"/>
      <c r="G5" s="150"/>
      <c r="H5" s="150"/>
      <c r="I5" s="150"/>
      <c r="J5" s="150"/>
      <c r="K5" s="150"/>
      <c r="L5" s="151"/>
      <c r="M5" s="167" t="s">
        <v>62</v>
      </c>
      <c r="N5" s="15"/>
    </row>
    <row r="6" spans="1:14" ht="15" customHeight="1">
      <c r="B6" s="147"/>
      <c r="C6" s="146" t="s">
        <v>63</v>
      </c>
      <c r="D6" s="170"/>
      <c r="E6" s="141" t="s">
        <v>187</v>
      </c>
      <c r="F6" s="141" t="s">
        <v>64</v>
      </c>
      <c r="G6" s="141" t="s">
        <v>188</v>
      </c>
      <c r="H6" s="175" t="s">
        <v>189</v>
      </c>
      <c r="I6" s="176"/>
      <c r="J6" s="176"/>
      <c r="K6" s="177"/>
      <c r="L6" s="141" t="s">
        <v>190</v>
      </c>
      <c r="M6" s="168"/>
      <c r="N6" s="15"/>
    </row>
    <row r="7" spans="1:14" ht="13.5" customHeight="1" thickBot="1">
      <c r="B7" s="147"/>
      <c r="C7" s="171"/>
      <c r="D7" s="172"/>
      <c r="E7" s="142"/>
      <c r="F7" s="158"/>
      <c r="G7" s="158"/>
      <c r="H7" s="178"/>
      <c r="I7" s="179"/>
      <c r="J7" s="179"/>
      <c r="K7" s="180"/>
      <c r="L7" s="142"/>
      <c r="M7" s="168"/>
      <c r="N7" s="15"/>
    </row>
    <row r="8" spans="1:14" ht="57" customHeight="1" thickBot="1">
      <c r="B8" s="147"/>
      <c r="C8" s="173"/>
      <c r="D8" s="174"/>
      <c r="E8" s="160"/>
      <c r="F8" s="159"/>
      <c r="G8" s="159"/>
      <c r="H8" s="92" t="s">
        <v>378</v>
      </c>
      <c r="I8" s="48" t="s">
        <v>192</v>
      </c>
      <c r="J8" s="92" t="s">
        <v>193</v>
      </c>
      <c r="K8" s="47" t="s">
        <v>191</v>
      </c>
      <c r="L8" s="160"/>
      <c r="M8" s="168"/>
      <c r="N8" s="15"/>
    </row>
    <row r="9" spans="1:14" ht="43.5" customHeight="1" thickBot="1">
      <c r="B9" s="148"/>
      <c r="C9" s="20" t="s">
        <v>16</v>
      </c>
      <c r="D9" s="37" t="s">
        <v>17</v>
      </c>
      <c r="E9" s="37" t="s">
        <v>17</v>
      </c>
      <c r="F9" s="20" t="s">
        <v>16</v>
      </c>
      <c r="G9" s="37" t="s">
        <v>17</v>
      </c>
      <c r="H9" s="20" t="s">
        <v>16</v>
      </c>
      <c r="I9" s="37" t="s">
        <v>17</v>
      </c>
      <c r="J9" s="37" t="s">
        <v>17</v>
      </c>
      <c r="K9" s="37" t="s">
        <v>17</v>
      </c>
      <c r="L9" s="37" t="s">
        <v>17</v>
      </c>
      <c r="M9" s="169"/>
      <c r="N9" s="15"/>
    </row>
    <row r="10" spans="1:14">
      <c r="B10" s="22" t="s">
        <v>18</v>
      </c>
      <c r="C10" s="23"/>
      <c r="D10" s="24"/>
      <c r="E10" s="24"/>
      <c r="F10" s="24"/>
      <c r="G10" s="24"/>
      <c r="H10" s="24"/>
      <c r="I10" s="24"/>
      <c r="J10" s="24"/>
      <c r="K10" s="24"/>
      <c r="L10" s="25"/>
      <c r="M10" s="25"/>
    </row>
    <row r="11" spans="1:14">
      <c r="A11" s="39">
        <v>1</v>
      </c>
      <c r="B11" s="26" t="s">
        <v>19</v>
      </c>
      <c r="C11" s="112">
        <v>22</v>
      </c>
      <c r="D11" s="113">
        <f>'Classified FTEs'!H7+'Classified FTEs'!K7</f>
        <v>1</v>
      </c>
      <c r="E11" s="113">
        <f>'Classified FTEs'!I7+'Classified FTEs'!L7+'Classified FTEs'!M7+'Classified FTEs'!N7+'Classified FTEs'!O7</f>
        <v>101.12</v>
      </c>
      <c r="F11" s="113">
        <v>107</v>
      </c>
      <c r="G11" s="113">
        <f>'Classified FTEs'!E7+'Classified FTEs'!F7+'Classified FTEs'!J7</f>
        <v>214.45999999999998</v>
      </c>
      <c r="H11" s="113">
        <v>75.150000000000006</v>
      </c>
      <c r="I11" s="115">
        <f>'Classified FTEs'!V7</f>
        <v>4</v>
      </c>
      <c r="J11" s="113">
        <f>'Classified FTEs'!AD7</f>
        <v>5</v>
      </c>
      <c r="K11" s="113">
        <f>'Classified FTEs'!D7</f>
        <v>0</v>
      </c>
      <c r="L11" s="114">
        <f>'Classified FTEs'!T7+'Classified FTEs'!U7+'Classified FTEs'!W7+'Classified FTEs'!X7+'Classified FTEs'!Y7+'Classified FTEs'!AC7+'Classified FTEs'!AE7+'Classified FTEs'!AF7+'Classified FTEs'!AL7</f>
        <v>835.81</v>
      </c>
      <c r="M11" s="114">
        <f>SUM(C11:L11)+SUM('instruction-districts'!C11:N11)</f>
        <v>4738.55</v>
      </c>
      <c r="N11" s="17"/>
    </row>
    <row r="12" spans="1:14">
      <c r="A12" s="39">
        <v>2</v>
      </c>
      <c r="B12" s="26" t="s">
        <v>20</v>
      </c>
      <c r="C12" s="112">
        <v>2.75</v>
      </c>
      <c r="D12" s="113">
        <f>'Classified FTEs'!H8+'Classified FTEs'!K8</f>
        <v>0</v>
      </c>
      <c r="E12" s="113">
        <f>'Classified FTEs'!I8+'Classified FTEs'!L8+'Classified FTEs'!M8+'Classified FTEs'!N8+'Classified FTEs'!O8</f>
        <v>2.4299999999999997</v>
      </c>
      <c r="F12" s="113">
        <v>2.78</v>
      </c>
      <c r="G12" s="113">
        <f>'Classified FTEs'!E8+'Classified FTEs'!F8+'Classified FTEs'!J8</f>
        <v>5.89</v>
      </c>
      <c r="H12" s="113">
        <v>0.75</v>
      </c>
      <c r="I12" s="115">
        <f>'Classified FTEs'!V8</f>
        <v>0</v>
      </c>
      <c r="J12" s="113">
        <f>'Classified FTEs'!AD8</f>
        <v>0</v>
      </c>
      <c r="K12" s="113">
        <f>'Classified FTEs'!D8</f>
        <v>0.2</v>
      </c>
      <c r="L12" s="114">
        <f>'Classified FTEs'!T8+'Classified FTEs'!U8+'Classified FTEs'!W8+'Classified FTEs'!X8+'Classified FTEs'!Y8+'Classified FTEs'!AC8+'Classified FTEs'!AE8+'Classified FTEs'!AF8+'Classified FTEs'!AL8</f>
        <v>27.78</v>
      </c>
      <c r="M12" s="114">
        <f>SUM(C12:L12)+SUM('instruction-districts'!C12:N12)</f>
        <v>163.64999999999998</v>
      </c>
      <c r="N12" s="17"/>
    </row>
    <row r="13" spans="1:14">
      <c r="A13" s="39">
        <v>3</v>
      </c>
      <c r="B13" s="26" t="s">
        <v>21</v>
      </c>
      <c r="C13" s="112">
        <v>4.5</v>
      </c>
      <c r="D13" s="113">
        <f>'Classified FTEs'!H9+'Classified FTEs'!K9</f>
        <v>5</v>
      </c>
      <c r="E13" s="113">
        <f>'Classified FTEs'!I9+'Classified FTEs'!L9+'Classified FTEs'!M9+'Classified FTEs'!N9+'Classified FTEs'!O9</f>
        <v>7</v>
      </c>
      <c r="F13" s="113">
        <v>26.3</v>
      </c>
      <c r="G13" s="113">
        <f>'Classified FTEs'!E9+'Classified FTEs'!F9+'Classified FTEs'!J9</f>
        <v>46</v>
      </c>
      <c r="H13" s="113">
        <v>20.73</v>
      </c>
      <c r="I13" s="115">
        <f>'Classified FTEs'!V9</f>
        <v>1</v>
      </c>
      <c r="J13" s="113">
        <f>'Classified FTEs'!AD9</f>
        <v>1</v>
      </c>
      <c r="K13" s="113">
        <f>'Classified FTEs'!D9</f>
        <v>3</v>
      </c>
      <c r="L13" s="114">
        <f>'Classified FTEs'!T9+'Classified FTEs'!U9+'Classified FTEs'!W9+'Classified FTEs'!X9+'Classified FTEs'!Y9+'Classified FTEs'!AC9+'Classified FTEs'!AE9+'Classified FTEs'!AF9+'Classified FTEs'!AL9</f>
        <v>249</v>
      </c>
      <c r="M13" s="114">
        <f>SUM(C13:L13)+SUM('instruction-districts'!C13:N13)</f>
        <v>1084.6599999999999</v>
      </c>
      <c r="N13" s="17"/>
    </row>
    <row r="14" spans="1:14">
      <c r="A14" s="39">
        <v>4</v>
      </c>
      <c r="B14" s="26" t="s">
        <v>22</v>
      </c>
      <c r="C14" s="112">
        <v>3.33</v>
      </c>
      <c r="D14" s="113">
        <f>'Classified FTEs'!H10+'Classified FTEs'!K10</f>
        <v>1</v>
      </c>
      <c r="E14" s="113">
        <f>'Classified FTEs'!I10+'Classified FTEs'!L10+'Classified FTEs'!M10+'Classified FTEs'!N10+'Classified FTEs'!O10</f>
        <v>18.79</v>
      </c>
      <c r="F14" s="113">
        <v>27.27</v>
      </c>
      <c r="G14" s="113">
        <f>'Classified FTEs'!E10+'Classified FTEs'!F10+'Classified FTEs'!J10</f>
        <v>36.24</v>
      </c>
      <c r="H14" s="113">
        <v>33.92</v>
      </c>
      <c r="I14" s="115">
        <f>'Classified FTEs'!V10</f>
        <v>3.66</v>
      </c>
      <c r="J14" s="113">
        <f>'Classified FTEs'!AD10</f>
        <v>23</v>
      </c>
      <c r="K14" s="113">
        <f>'Classified FTEs'!D10</f>
        <v>2.5</v>
      </c>
      <c r="L14" s="114">
        <f>'Classified FTEs'!T10+'Classified FTEs'!U10+'Classified FTEs'!W10+'Classified FTEs'!X10+'Classified FTEs'!Y10+'Classified FTEs'!AC10+'Classified FTEs'!AE10+'Classified FTEs'!AF10+'Classified FTEs'!AL10</f>
        <v>256.37</v>
      </c>
      <c r="M14" s="114">
        <f>SUM(C14:L14)+SUM('instruction-districts'!C14:N14)</f>
        <v>1375.5500000000002</v>
      </c>
      <c r="N14" s="17"/>
    </row>
    <row r="15" spans="1:14">
      <c r="A15" s="39">
        <v>5</v>
      </c>
      <c r="B15" s="26" t="s">
        <v>23</v>
      </c>
      <c r="C15" s="112">
        <v>6</v>
      </c>
      <c r="D15" s="113">
        <f>'Classified FTEs'!H11+'Classified FTEs'!K11</f>
        <v>3</v>
      </c>
      <c r="E15" s="113">
        <f>'Classified FTEs'!I11+'Classified FTEs'!L11+'Classified FTEs'!M11+'Classified FTEs'!N11+'Classified FTEs'!O11</f>
        <v>16.919999999999998</v>
      </c>
      <c r="F15" s="113">
        <v>11</v>
      </c>
      <c r="G15" s="113">
        <f>'Classified FTEs'!E11+'Classified FTEs'!F11+'Classified FTEs'!J11</f>
        <v>15.52</v>
      </c>
      <c r="H15" s="113">
        <v>4.5</v>
      </c>
      <c r="I15" s="115">
        <f>'Classified FTEs'!V11</f>
        <v>1</v>
      </c>
      <c r="J15" s="113">
        <f>'Classified FTEs'!AD11</f>
        <v>0.5</v>
      </c>
      <c r="K15" s="113">
        <f>'Classified FTEs'!D11</f>
        <v>0</v>
      </c>
      <c r="L15" s="114">
        <f>'Classified FTEs'!T11+'Classified FTEs'!U11+'Classified FTEs'!W11+'Classified FTEs'!X11+'Classified FTEs'!Y11+'Classified FTEs'!AC11+'Classified FTEs'!AE11+'Classified FTEs'!AF11+'Classified FTEs'!AL11</f>
        <v>66.95</v>
      </c>
      <c r="M15" s="114">
        <f>SUM(C15:L15)+SUM('instruction-districts'!C15:N15)</f>
        <v>399.65999999999997</v>
      </c>
      <c r="N15" s="17"/>
    </row>
    <row r="16" spans="1:14">
      <c r="A16" s="39">
        <v>6</v>
      </c>
      <c r="B16" s="27" t="s">
        <v>24</v>
      </c>
      <c r="C16" s="122">
        <v>0.88</v>
      </c>
      <c r="D16" s="119">
        <f>'Classified FTEs'!H12+'Classified FTEs'!K12</f>
        <v>0.85</v>
      </c>
      <c r="E16" s="119">
        <f>'Classified FTEs'!I12+'Classified FTEs'!L12+'Classified FTEs'!M12+'Classified FTEs'!N12+'Classified FTEs'!O12</f>
        <v>1</v>
      </c>
      <c r="F16" s="119">
        <v>0.76</v>
      </c>
      <c r="G16" s="119">
        <f>'Classified FTEs'!E12+'Classified FTEs'!F12+'Classified FTEs'!J12</f>
        <v>1.5</v>
      </c>
      <c r="H16" s="119">
        <v>0</v>
      </c>
      <c r="I16" s="121">
        <f>'Classified FTEs'!V12</f>
        <v>0</v>
      </c>
      <c r="J16" s="119">
        <f>'Classified FTEs'!AD12</f>
        <v>0</v>
      </c>
      <c r="K16" s="119">
        <f>'Classified FTEs'!D12</f>
        <v>0</v>
      </c>
      <c r="L16" s="120">
        <f>'Classified FTEs'!T12+'Classified FTEs'!U12+'Classified FTEs'!W12+'Classified FTEs'!X12+'Classified FTEs'!Y12+'Classified FTEs'!AC12+'Classified FTEs'!AE12+'Classified FTEs'!AF12+'Classified FTEs'!AL12</f>
        <v>8.6999999999999993</v>
      </c>
      <c r="M16" s="120">
        <f>SUM(C16:L16)+SUM('instruction-districts'!C16:N16)</f>
        <v>34.800000000000004</v>
      </c>
      <c r="N16" s="17"/>
    </row>
    <row r="17" spans="1:14">
      <c r="A17" s="39">
        <v>7</v>
      </c>
      <c r="B17" s="26" t="s">
        <v>25</v>
      </c>
      <c r="C17" s="112">
        <v>26</v>
      </c>
      <c r="D17" s="113">
        <f>'Classified FTEs'!H13+'Classified FTEs'!K13</f>
        <v>13</v>
      </c>
      <c r="E17" s="113">
        <f>'Classified FTEs'!I13+'Classified FTEs'!L13+'Classified FTEs'!M13+'Classified FTEs'!N13+'Classified FTEs'!O13</f>
        <v>131.20999999999998</v>
      </c>
      <c r="F17" s="113">
        <v>174.52</v>
      </c>
      <c r="G17" s="113">
        <f>'Classified FTEs'!E13+'Classified FTEs'!F13+'Classified FTEs'!J13</f>
        <v>259.27</v>
      </c>
      <c r="H17" s="113">
        <v>98.69</v>
      </c>
      <c r="I17" s="115">
        <f>'Classified FTEs'!V13</f>
        <v>2</v>
      </c>
      <c r="J17" s="113">
        <f>'Classified FTEs'!AD13</f>
        <v>6.45</v>
      </c>
      <c r="K17" s="113">
        <f>'Classified FTEs'!D13</f>
        <v>0</v>
      </c>
      <c r="L17" s="114">
        <f>'Classified FTEs'!T13+'Classified FTEs'!U13+'Classified FTEs'!W13+'Classified FTEs'!X13+'Classified FTEs'!Y13+'Classified FTEs'!AC13+'Classified FTEs'!AE13+'Classified FTEs'!AF13+'Classified FTEs'!AL13</f>
        <v>1057.92</v>
      </c>
      <c r="M17" s="114">
        <f>SUM(C17:L17)+SUM('instruction-districts'!C17:N17)</f>
        <v>6043.5100000000011</v>
      </c>
      <c r="N17" s="17"/>
    </row>
    <row r="18" spans="1:14">
      <c r="A18" s="39">
        <v>8</v>
      </c>
      <c r="B18" s="26" t="s">
        <v>26</v>
      </c>
      <c r="C18" s="112">
        <v>3</v>
      </c>
      <c r="D18" s="113">
        <f>'Classified FTEs'!H14+'Classified FTEs'!K14</f>
        <v>1</v>
      </c>
      <c r="E18" s="113">
        <f>'Classified FTEs'!I14+'Classified FTEs'!L14+'Classified FTEs'!M14+'Classified FTEs'!N14+'Classified FTEs'!O14</f>
        <v>10.5</v>
      </c>
      <c r="F18" s="113">
        <v>12.65</v>
      </c>
      <c r="G18" s="113">
        <f>'Classified FTEs'!E14+'Classified FTEs'!F14+'Classified FTEs'!J14</f>
        <v>19.73</v>
      </c>
      <c r="H18" s="113">
        <v>2</v>
      </c>
      <c r="I18" s="115">
        <f>'Classified FTEs'!V14</f>
        <v>1</v>
      </c>
      <c r="J18" s="113">
        <f>'Classified FTEs'!AD14</f>
        <v>1</v>
      </c>
      <c r="K18" s="113">
        <f>'Classified FTEs'!D14</f>
        <v>1</v>
      </c>
      <c r="L18" s="114">
        <f>'Classified FTEs'!T14+'Classified FTEs'!U14+'Classified FTEs'!W14+'Classified FTEs'!X14+'Classified FTEs'!Y14+'Classified FTEs'!AC14+'Classified FTEs'!AE14+'Classified FTEs'!AF14+'Classified FTEs'!AL14</f>
        <v>93.69</v>
      </c>
      <c r="M18" s="114">
        <f>SUM(C18:L18)+SUM('instruction-districts'!C18:N18)</f>
        <v>469.83000000000004</v>
      </c>
      <c r="N18" s="17"/>
    </row>
    <row r="19" spans="1:14">
      <c r="A19" s="39">
        <v>9</v>
      </c>
      <c r="B19" s="26" t="s">
        <v>27</v>
      </c>
      <c r="C19" s="112">
        <v>4</v>
      </c>
      <c r="D19" s="113">
        <f>'Classified FTEs'!H15+'Classified FTEs'!K15</f>
        <v>1</v>
      </c>
      <c r="E19" s="113">
        <f>'Classified FTEs'!I15+'Classified FTEs'!L15+'Classified FTEs'!M15+'Classified FTEs'!N15+'Classified FTEs'!O15</f>
        <v>3</v>
      </c>
      <c r="F19" s="113">
        <v>9.49</v>
      </c>
      <c r="G19" s="113">
        <f>'Classified FTEs'!E15+'Classified FTEs'!F15+'Classified FTEs'!J15</f>
        <v>11.88</v>
      </c>
      <c r="H19" s="113">
        <v>2</v>
      </c>
      <c r="I19" s="115">
        <f>'Classified FTEs'!V15</f>
        <v>1</v>
      </c>
      <c r="J19" s="113">
        <f>'Classified FTEs'!AD15</f>
        <v>1</v>
      </c>
      <c r="K19" s="113">
        <f>'Classified FTEs'!D15</f>
        <v>0</v>
      </c>
      <c r="L19" s="114">
        <f>'Classified FTEs'!T15+'Classified FTEs'!U15+'Classified FTEs'!W15+'Classified FTEs'!X15+'Classified FTEs'!Y15+'Classified FTEs'!AC15+'Classified FTEs'!AE15+'Classified FTEs'!AF15+'Classified FTEs'!AL15</f>
        <v>56.95</v>
      </c>
      <c r="M19" s="114">
        <f>SUM(C19:L19)+SUM('instruction-districts'!C19:N19)</f>
        <v>257.7</v>
      </c>
      <c r="N19" s="17"/>
    </row>
    <row r="20" spans="1:14">
      <c r="A20" s="39">
        <v>10</v>
      </c>
      <c r="B20" s="28" t="s">
        <v>28</v>
      </c>
      <c r="C20" s="117">
        <v>2.4700000000000002</v>
      </c>
      <c r="D20" s="118">
        <f>'Classified FTEs'!H16+'Classified FTEs'!K16</f>
        <v>2</v>
      </c>
      <c r="E20" s="118">
        <f>'Classified FTEs'!I16+'Classified FTEs'!L16+'Classified FTEs'!M16+'Classified FTEs'!N16+'Classified FTEs'!O16</f>
        <v>2</v>
      </c>
      <c r="F20" s="118">
        <v>5.44</v>
      </c>
      <c r="G20" s="118">
        <f>'Classified FTEs'!E16+'Classified FTEs'!F16+'Classified FTEs'!J16</f>
        <v>7</v>
      </c>
      <c r="H20" s="118">
        <v>1</v>
      </c>
      <c r="I20" s="125">
        <f>'Classified FTEs'!V16</f>
        <v>1</v>
      </c>
      <c r="J20" s="118">
        <f>'Classified FTEs'!AD16</f>
        <v>1</v>
      </c>
      <c r="K20" s="118">
        <f>'Classified FTEs'!D16</f>
        <v>0.5</v>
      </c>
      <c r="L20" s="124">
        <f>'Classified FTEs'!T16+'Classified FTEs'!U16+'Classified FTEs'!W16+'Classified FTEs'!X16+'Classified FTEs'!Y16+'Classified FTEs'!AC16+'Classified FTEs'!AE16+'Classified FTEs'!AF16+'Classified FTEs'!AL16</f>
        <v>20.57</v>
      </c>
      <c r="M20" s="124">
        <f>SUM(C20:L20)+SUM('instruction-districts'!C20:N20)</f>
        <v>144.60999999999999</v>
      </c>
      <c r="N20" s="17"/>
    </row>
    <row r="21" spans="1:14">
      <c r="A21" s="39">
        <v>11</v>
      </c>
      <c r="B21" s="26" t="s">
        <v>29</v>
      </c>
      <c r="C21" s="112">
        <v>1</v>
      </c>
      <c r="D21" s="113">
        <f>'Classified FTEs'!H17+'Classified FTEs'!K17</f>
        <v>1</v>
      </c>
      <c r="E21" s="113">
        <f>'Classified FTEs'!I17+'Classified FTEs'!L17+'Classified FTEs'!M17+'Classified FTEs'!N17+'Classified FTEs'!O17</f>
        <v>4</v>
      </c>
      <c r="F21" s="113">
        <v>6</v>
      </c>
      <c r="G21" s="113">
        <f>'Classified FTEs'!E17+'Classified FTEs'!F17+'Classified FTEs'!J17</f>
        <v>9</v>
      </c>
      <c r="H21" s="113">
        <v>2</v>
      </c>
      <c r="I21" s="115">
        <f>'Classified FTEs'!V17</f>
        <v>1</v>
      </c>
      <c r="J21" s="113">
        <f>'Classified FTEs'!AD17</f>
        <v>1</v>
      </c>
      <c r="K21" s="113">
        <f>'Classified FTEs'!D17</f>
        <v>0</v>
      </c>
      <c r="L21" s="114">
        <f>'Classified FTEs'!T17+'Classified FTEs'!U17+'Classified FTEs'!W17+'Classified FTEs'!X17+'Classified FTEs'!Y17+'Classified FTEs'!AC17+'Classified FTEs'!AE17+'Classified FTEs'!AF17+'Classified FTEs'!AL17</f>
        <v>39.5</v>
      </c>
      <c r="M21" s="114">
        <f>SUM(C21:L21)+SUM('instruction-districts'!C21:N21)</f>
        <v>201.34</v>
      </c>
      <c r="N21" s="17"/>
    </row>
    <row r="22" spans="1:14">
      <c r="A22" s="39">
        <v>12</v>
      </c>
      <c r="B22" s="26" t="s">
        <v>30</v>
      </c>
      <c r="C22" s="112">
        <v>37.71</v>
      </c>
      <c r="D22" s="113">
        <f>'Classified FTEs'!H18+'Classified FTEs'!K18</f>
        <v>1</v>
      </c>
      <c r="E22" s="113">
        <f>'Classified FTEs'!I18+'Classified FTEs'!L18+'Classified FTEs'!M18+'Classified FTEs'!N18+'Classified FTEs'!O18</f>
        <v>102.6</v>
      </c>
      <c r="F22" s="113">
        <v>136.22999999999999</v>
      </c>
      <c r="G22" s="113">
        <f>'Classified FTEs'!E18+'Classified FTEs'!F18+'Classified FTEs'!J18</f>
        <v>306.25</v>
      </c>
      <c r="H22" s="113">
        <v>146.08000000000001</v>
      </c>
      <c r="I22" s="115">
        <f>'Classified FTEs'!V18</f>
        <v>2</v>
      </c>
      <c r="J22" s="113">
        <f>'Classified FTEs'!AD18</f>
        <v>34.56</v>
      </c>
      <c r="K22" s="113">
        <f>'Classified FTEs'!D18</f>
        <v>20.83</v>
      </c>
      <c r="L22" s="114">
        <f>'Classified FTEs'!T18+'Classified FTEs'!U18+'Classified FTEs'!W18+'Classified FTEs'!X18+'Classified FTEs'!Y18+'Classified FTEs'!AC18+'Classified FTEs'!AE18+'Classified FTEs'!AF18+'Classified FTEs'!AL18</f>
        <v>1115.52</v>
      </c>
      <c r="M22" s="114">
        <f>SUM(C22:L22)+SUM('instruction-districts'!C22:N22)</f>
        <v>5789.7199999999993</v>
      </c>
      <c r="N22" s="17"/>
    </row>
    <row r="23" spans="1:14">
      <c r="A23" s="39">
        <v>13</v>
      </c>
      <c r="B23" s="26" t="s">
        <v>31</v>
      </c>
      <c r="C23" s="112">
        <v>3</v>
      </c>
      <c r="D23" s="113">
        <f>'Classified FTEs'!H19+'Classified FTEs'!K19</f>
        <v>1</v>
      </c>
      <c r="E23" s="113">
        <f>'Classified FTEs'!I19+'Classified FTEs'!L19+'Classified FTEs'!M19+'Classified FTEs'!N19+'Classified FTEs'!O19</f>
        <v>14.2</v>
      </c>
      <c r="F23" s="113">
        <v>18</v>
      </c>
      <c r="G23" s="113">
        <f>'Classified FTEs'!E19+'Classified FTEs'!F19+'Classified FTEs'!J19</f>
        <v>34.200000000000003</v>
      </c>
      <c r="H23" s="113">
        <v>8.85</v>
      </c>
      <c r="I23" s="115">
        <f>'Classified FTEs'!V19</f>
        <v>1</v>
      </c>
      <c r="J23" s="113">
        <f>'Classified FTEs'!AD19</f>
        <v>1</v>
      </c>
      <c r="K23" s="113">
        <f>'Classified FTEs'!D19</f>
        <v>2.8</v>
      </c>
      <c r="L23" s="114">
        <f>'Classified FTEs'!T19+'Classified FTEs'!U19+'Classified FTEs'!W19+'Classified FTEs'!X19+'Classified FTEs'!Y19+'Classified FTEs'!AC19+'Classified FTEs'!AE19+'Classified FTEs'!AF19+'Classified FTEs'!AL19</f>
        <v>153.39999999999998</v>
      </c>
      <c r="M23" s="114">
        <f>SUM(C23:L23)+SUM('instruction-districts'!C23:N23)</f>
        <v>910.31999999999994</v>
      </c>
      <c r="N23" s="17"/>
    </row>
    <row r="24" spans="1:14">
      <c r="A24" s="39">
        <v>14</v>
      </c>
      <c r="B24" s="26" t="s">
        <v>32</v>
      </c>
      <c r="C24" s="112">
        <v>19.86</v>
      </c>
      <c r="D24" s="113">
        <f>'Classified FTEs'!H20+'Classified FTEs'!K20</f>
        <v>1</v>
      </c>
      <c r="E24" s="113">
        <f>'Classified FTEs'!I20+'Classified FTEs'!L20+'Classified FTEs'!M20+'Classified FTEs'!N20+'Classified FTEs'!O20</f>
        <v>44.36</v>
      </c>
      <c r="F24" s="113">
        <v>163.58000000000001</v>
      </c>
      <c r="G24" s="113">
        <f>'Classified FTEs'!E20+'Classified FTEs'!F20+'Classified FTEs'!J20</f>
        <v>384.01</v>
      </c>
      <c r="H24" s="113">
        <v>168.3</v>
      </c>
      <c r="I24" s="115">
        <f>'Classified FTEs'!V20</f>
        <v>5</v>
      </c>
      <c r="J24" s="113">
        <f>'Classified FTEs'!AD20</f>
        <v>1</v>
      </c>
      <c r="K24" s="113">
        <f>'Classified FTEs'!D20</f>
        <v>11.5</v>
      </c>
      <c r="L24" s="114">
        <f>'Classified FTEs'!T20+'Classified FTEs'!U20+'Classified FTEs'!W20+'Classified FTEs'!X20+'Classified FTEs'!Y20+'Classified FTEs'!AC20+'Classified FTEs'!AE20+'Classified FTEs'!AF20+'Classified FTEs'!AL20</f>
        <v>1185.8399999999999</v>
      </c>
      <c r="M24" s="114">
        <f>SUM(C24:L24)+SUM('instruction-districts'!C24:N24)</f>
        <v>6552.26</v>
      </c>
      <c r="N24" s="17"/>
    </row>
    <row r="25" spans="1:14">
      <c r="A25" s="39">
        <v>15</v>
      </c>
      <c r="B25" s="26" t="s">
        <v>33</v>
      </c>
      <c r="C25" s="112">
        <v>1</v>
      </c>
      <c r="D25" s="113">
        <f>'Classified FTEs'!H21+'Classified FTEs'!K21</f>
        <v>1</v>
      </c>
      <c r="E25" s="113">
        <f>'Classified FTEs'!I21+'Classified FTEs'!L21+'Classified FTEs'!M21+'Classified FTEs'!N21+'Classified FTEs'!O21</f>
        <v>2.1399999999999997</v>
      </c>
      <c r="F25" s="113">
        <v>6</v>
      </c>
      <c r="G25" s="113">
        <f>'Classified FTEs'!E21+'Classified FTEs'!F21+'Classified FTEs'!J21</f>
        <v>7.33</v>
      </c>
      <c r="H25" s="113">
        <v>1.22</v>
      </c>
      <c r="I25" s="115">
        <f>'Classified FTEs'!V21</f>
        <v>0.25</v>
      </c>
      <c r="J25" s="113">
        <f>'Classified FTEs'!AD21</f>
        <v>5</v>
      </c>
      <c r="K25" s="113">
        <f>'Classified FTEs'!D21</f>
        <v>0.48</v>
      </c>
      <c r="L25" s="114">
        <f>'Classified FTEs'!T21+'Classified FTEs'!U21+'Classified FTEs'!W21+'Classified FTEs'!X21+'Classified FTEs'!Y21+'Classified FTEs'!AC21+'Classified FTEs'!AE21+'Classified FTEs'!AF21+'Classified FTEs'!AL21</f>
        <v>37.31</v>
      </c>
      <c r="M25" s="114">
        <f>SUM(C25:L25)+SUM('instruction-districts'!C25:N25)</f>
        <v>210.83000000000004</v>
      </c>
      <c r="N25" s="17"/>
    </row>
    <row r="26" spans="1:14">
      <c r="A26" s="39">
        <v>16</v>
      </c>
      <c r="B26" s="27" t="s">
        <v>34</v>
      </c>
      <c r="C26" s="122">
        <v>1</v>
      </c>
      <c r="D26" s="119">
        <f>'Classified FTEs'!H22+'Classified FTEs'!K22</f>
        <v>2</v>
      </c>
      <c r="E26" s="119">
        <f>'Classified FTEs'!I22+'Classified FTEs'!L22+'Classified FTEs'!M22+'Classified FTEs'!N22+'Classified FTEs'!O22</f>
        <v>2.75</v>
      </c>
      <c r="F26" s="119">
        <v>3.6</v>
      </c>
      <c r="G26" s="119">
        <f>'Classified FTEs'!E22+'Classified FTEs'!F22+'Classified FTEs'!J22</f>
        <v>7.9</v>
      </c>
      <c r="H26" s="119">
        <v>1</v>
      </c>
      <c r="I26" s="121">
        <f>'Classified FTEs'!V22</f>
        <v>0.75</v>
      </c>
      <c r="J26" s="119">
        <f>'Classified FTEs'!AD22</f>
        <v>0.25</v>
      </c>
      <c r="K26" s="119">
        <f>'Classified FTEs'!D22</f>
        <v>0</v>
      </c>
      <c r="L26" s="120">
        <f>'Classified FTEs'!T22+'Classified FTEs'!U22+'Classified FTEs'!W22+'Classified FTEs'!X22+'Classified FTEs'!Y22+'Classified FTEs'!AC22+'Classified FTEs'!AE22+'Classified FTEs'!AF22+'Classified FTEs'!AL22</f>
        <v>29.32</v>
      </c>
      <c r="M26" s="120">
        <f>SUM(C26:L26)+SUM('instruction-districts'!C26:N26)</f>
        <v>159.22</v>
      </c>
      <c r="N26" s="17"/>
    </row>
    <row r="27" spans="1:14">
      <c r="A27" s="39">
        <v>39</v>
      </c>
      <c r="B27" s="26" t="s">
        <v>57</v>
      </c>
      <c r="C27" s="112">
        <v>5</v>
      </c>
      <c r="D27" s="113">
        <f>'Classified FTEs'!H23+'Classified FTEs'!K23</f>
        <v>1</v>
      </c>
      <c r="E27" s="113">
        <f>'Classified FTEs'!I23+'Classified FTEs'!L23+'Classified FTEs'!M23+'Classified FTEs'!N23+'Classified FTEs'!O23</f>
        <v>10</v>
      </c>
      <c r="F27" s="113">
        <v>9.9</v>
      </c>
      <c r="G27" s="113">
        <f>'Classified FTEs'!E23+'Classified FTEs'!F23+'Classified FTEs'!J23</f>
        <v>19</v>
      </c>
      <c r="H27" s="113">
        <v>11.7</v>
      </c>
      <c r="I27" s="115">
        <f>'Classified FTEs'!V23</f>
        <v>0</v>
      </c>
      <c r="J27" s="113">
        <f>'Classified FTEs'!AD23</f>
        <v>1</v>
      </c>
      <c r="K27" s="113">
        <f>'Classified FTEs'!D23</f>
        <v>1</v>
      </c>
      <c r="L27" s="114">
        <f>'Classified FTEs'!T23+'Classified FTEs'!U23+'Classified FTEs'!W23+'Classified FTEs'!X23+'Classified FTEs'!Y23+'Classified FTEs'!AC23+'Classified FTEs'!AE23+'Classified FTEs'!AF23+'Classified FTEs'!AL23</f>
        <v>91</v>
      </c>
      <c r="M27" s="114">
        <f>SUM(C27:L27)+SUM('instruction-districts'!C27:N27)</f>
        <v>611.47</v>
      </c>
      <c r="N27" s="17"/>
    </row>
    <row r="28" spans="1:14">
      <c r="A28" s="39">
        <v>17</v>
      </c>
      <c r="B28" s="26" t="s">
        <v>35</v>
      </c>
      <c r="C28" s="112">
        <v>2</v>
      </c>
      <c r="D28" s="113">
        <f>'Classified FTEs'!H24+'Classified FTEs'!K24</f>
        <v>1</v>
      </c>
      <c r="E28" s="113">
        <f>'Classified FTEs'!I24+'Classified FTEs'!L24+'Classified FTEs'!M24+'Classified FTEs'!N24+'Classified FTEs'!O24</f>
        <v>3.75</v>
      </c>
      <c r="F28" s="113">
        <v>6.44</v>
      </c>
      <c r="G28" s="113">
        <f>'Classified FTEs'!E24+'Classified FTEs'!F24+'Classified FTEs'!J24</f>
        <v>10</v>
      </c>
      <c r="H28" s="113">
        <v>4</v>
      </c>
      <c r="I28" s="115">
        <f>'Classified FTEs'!V24</f>
        <v>1</v>
      </c>
      <c r="J28" s="113">
        <f>'Classified FTEs'!AD24</f>
        <v>1</v>
      </c>
      <c r="K28" s="113">
        <f>'Classified FTEs'!D24</f>
        <v>0</v>
      </c>
      <c r="L28" s="114">
        <f>'Classified FTEs'!T24+'Classified FTEs'!U24+'Classified FTEs'!W24+'Classified FTEs'!X24+'Classified FTEs'!Y24+'Classified FTEs'!AC24+'Classified FTEs'!AE24+'Classified FTEs'!AF24+'Classified FTEs'!AL24</f>
        <v>70.53</v>
      </c>
      <c r="M28" s="114">
        <f>SUM(C28:L28)+SUM('instruction-districts'!C28:N28)</f>
        <v>316.86</v>
      </c>
      <c r="N28" s="17"/>
    </row>
    <row r="29" spans="1:14">
      <c r="A29" s="39">
        <v>18</v>
      </c>
      <c r="B29" s="26" t="s">
        <v>36</v>
      </c>
      <c r="C29" s="112">
        <v>1</v>
      </c>
      <c r="D29" s="113">
        <f>'Classified FTEs'!H25+'Classified FTEs'!K25</f>
        <v>1</v>
      </c>
      <c r="E29" s="113">
        <f>'Classified FTEs'!I25+'Classified FTEs'!L25+'Classified FTEs'!M25+'Classified FTEs'!N25+'Classified FTEs'!O25</f>
        <v>4.25</v>
      </c>
      <c r="F29" s="113">
        <v>5.86</v>
      </c>
      <c r="G29" s="113">
        <f>'Classified FTEs'!E25+'Classified FTEs'!F25+'Classified FTEs'!J25</f>
        <v>7</v>
      </c>
      <c r="H29" s="113">
        <v>1</v>
      </c>
      <c r="I29" s="115">
        <f>'Classified FTEs'!V25</f>
        <v>0.7</v>
      </c>
      <c r="J29" s="113">
        <f>'Classified FTEs'!AD25</f>
        <v>0.75</v>
      </c>
      <c r="K29" s="113">
        <f>'Classified FTEs'!D25</f>
        <v>0</v>
      </c>
      <c r="L29" s="114">
        <f>'Classified FTEs'!T25+'Classified FTEs'!U25+'Classified FTEs'!W25+'Classified FTEs'!X25+'Classified FTEs'!Y25+'Classified FTEs'!AC25+'Classified FTEs'!AE25+'Classified FTEs'!AF25+'Classified FTEs'!AL25</f>
        <v>33.330000000000005</v>
      </c>
      <c r="M29" s="114">
        <f>SUM(C29:L29)+SUM('instruction-districts'!C29:N29)</f>
        <v>202.59999999999997</v>
      </c>
      <c r="N29" s="17"/>
    </row>
    <row r="30" spans="1:14">
      <c r="A30" s="39">
        <v>40</v>
      </c>
      <c r="B30" s="28" t="s">
        <v>58</v>
      </c>
      <c r="C30" s="117">
        <v>3.5</v>
      </c>
      <c r="D30" s="118">
        <f>'Classified FTEs'!H26+'Classified FTEs'!K26</f>
        <v>1</v>
      </c>
      <c r="E30" s="118">
        <f>'Classified FTEs'!I26+'Classified FTEs'!L26+'Classified FTEs'!M26+'Classified FTEs'!N26+'Classified FTEs'!O26</f>
        <v>13.75</v>
      </c>
      <c r="F30" s="118">
        <v>14</v>
      </c>
      <c r="G30" s="118">
        <f>'Classified FTEs'!E26+'Classified FTEs'!F26+'Classified FTEs'!J26</f>
        <v>22</v>
      </c>
      <c r="H30" s="118">
        <v>12.3</v>
      </c>
      <c r="I30" s="125">
        <f>'Classified FTEs'!V26</f>
        <v>0.4</v>
      </c>
      <c r="J30" s="118">
        <f>'Classified FTEs'!AD26</f>
        <v>3</v>
      </c>
      <c r="K30" s="118">
        <f>'Classified FTEs'!D26</f>
        <v>2.35</v>
      </c>
      <c r="L30" s="124">
        <f>'Classified FTEs'!T26+'Classified FTEs'!U26+'Classified FTEs'!W26+'Classified FTEs'!X26+'Classified FTEs'!Y26+'Classified FTEs'!AC26+'Classified FTEs'!AE26+'Classified FTEs'!AF26+'Classified FTEs'!AL26</f>
        <v>100.9</v>
      </c>
      <c r="M30" s="124">
        <f>SUM(C30:L30)+SUM('instruction-districts'!C30:N30)</f>
        <v>588.11000000000013</v>
      </c>
      <c r="N30" s="17"/>
    </row>
    <row r="31" spans="1:14">
      <c r="A31" s="39">
        <v>19</v>
      </c>
      <c r="B31" s="26" t="s">
        <v>37</v>
      </c>
      <c r="C31" s="112">
        <v>13</v>
      </c>
      <c r="D31" s="113">
        <f>'Classified FTEs'!H27+'Classified FTEs'!K27</f>
        <v>1</v>
      </c>
      <c r="E31" s="113">
        <f>'Classified FTEs'!I27+'Classified FTEs'!L27+'Classified FTEs'!M27+'Classified FTEs'!N27+'Classified FTEs'!O27</f>
        <v>24.2</v>
      </c>
      <c r="F31" s="113">
        <v>54</v>
      </c>
      <c r="G31" s="113">
        <f>'Classified FTEs'!E27+'Classified FTEs'!F27+'Classified FTEs'!J27</f>
        <v>110.11000000000001</v>
      </c>
      <c r="H31" s="113">
        <v>61.88</v>
      </c>
      <c r="I31" s="115">
        <f>'Classified FTEs'!V27</f>
        <v>2</v>
      </c>
      <c r="J31" s="113">
        <f>'Classified FTEs'!AD27</f>
        <v>1.6</v>
      </c>
      <c r="K31" s="113">
        <f>'Classified FTEs'!D27</f>
        <v>0</v>
      </c>
      <c r="L31" s="114">
        <f>'Classified FTEs'!T27+'Classified FTEs'!U27+'Classified FTEs'!W27+'Classified FTEs'!X27+'Classified FTEs'!Y27+'Classified FTEs'!AC27+'Classified FTEs'!AE27+'Classified FTEs'!AF27+'Classified FTEs'!AL27</f>
        <v>482.28000000000003</v>
      </c>
      <c r="M31" s="114">
        <f>SUM(C31:L31)+SUM('instruction-districts'!C31:N31)</f>
        <v>2422.13</v>
      </c>
      <c r="N31" s="17"/>
    </row>
    <row r="32" spans="1:14">
      <c r="A32" s="39">
        <v>20</v>
      </c>
      <c r="B32" s="29" t="s">
        <v>38</v>
      </c>
      <c r="C32" s="112">
        <v>3</v>
      </c>
      <c r="D32" s="113">
        <f>'Classified FTEs'!H28+'Classified FTEs'!K28</f>
        <v>1</v>
      </c>
      <c r="E32" s="113">
        <f>'Classified FTEs'!I28+'Classified FTEs'!L28+'Classified FTEs'!M28+'Classified FTEs'!N28+'Classified FTEs'!O28</f>
        <v>2</v>
      </c>
      <c r="F32" s="113">
        <v>7</v>
      </c>
      <c r="G32" s="113">
        <f>'Classified FTEs'!E28+'Classified FTEs'!F28+'Classified FTEs'!J28</f>
        <v>7.71</v>
      </c>
      <c r="H32" s="113">
        <v>1</v>
      </c>
      <c r="I32" s="115">
        <f>'Classified FTEs'!V28</f>
        <v>0</v>
      </c>
      <c r="J32" s="113">
        <f>'Classified FTEs'!AD28</f>
        <v>1</v>
      </c>
      <c r="K32" s="113">
        <f>'Classified FTEs'!D28</f>
        <v>0</v>
      </c>
      <c r="L32" s="114">
        <f>'Classified FTEs'!T28+'Classified FTEs'!U28+'Classified FTEs'!W28+'Classified FTEs'!X28+'Classified FTEs'!Y28+'Classified FTEs'!AC28+'Classified FTEs'!AE28+'Classified FTEs'!AF28+'Classified FTEs'!AL28</f>
        <v>47.29</v>
      </c>
      <c r="M32" s="114">
        <f>SUM(C32:L32)+SUM('instruction-districts'!C32:N32)</f>
        <v>255.23999999999998</v>
      </c>
      <c r="N32" s="17"/>
    </row>
    <row r="33" spans="1:14">
      <c r="A33" s="39">
        <v>21</v>
      </c>
      <c r="B33" s="29" t="s">
        <v>39</v>
      </c>
      <c r="C33" s="112">
        <v>1</v>
      </c>
      <c r="D33" s="113">
        <f>'Classified FTEs'!H29+'Classified FTEs'!K29</f>
        <v>1</v>
      </c>
      <c r="E33" s="113">
        <f>'Classified FTEs'!I29+'Classified FTEs'!L29+'Classified FTEs'!M29+'Classified FTEs'!N29+'Classified FTEs'!O29</f>
        <v>1</v>
      </c>
      <c r="F33" s="113">
        <v>3.33</v>
      </c>
      <c r="G33" s="113">
        <f>'Classified FTEs'!E29+'Classified FTEs'!F29+'Classified FTEs'!J29</f>
        <v>4.33</v>
      </c>
      <c r="H33" s="113">
        <v>0</v>
      </c>
      <c r="I33" s="134">
        <f>'Classified FTEs'!V29</f>
        <v>0.5</v>
      </c>
      <c r="J33" s="113">
        <f>'Classified FTEs'!AD29</f>
        <v>0.5</v>
      </c>
      <c r="K33" s="113">
        <f>'Classified FTEs'!D29</f>
        <v>0.5</v>
      </c>
      <c r="L33" s="114">
        <f>'Classified FTEs'!T29+'Classified FTEs'!U29+'Classified FTEs'!W29+'Classified FTEs'!X29+'Classified FTEs'!Y29+'Classified FTEs'!AC29+'Classified FTEs'!AE29+'Classified FTEs'!AF29+'Classified FTEs'!AL29</f>
        <v>33.75</v>
      </c>
      <c r="M33" s="114">
        <f>SUM(C33:L33)+SUM('instruction-districts'!C33:N33)</f>
        <v>123.75</v>
      </c>
      <c r="N33" s="17"/>
    </row>
    <row r="34" spans="1:14">
      <c r="A34" s="39">
        <v>37</v>
      </c>
      <c r="B34" s="26" t="s">
        <v>55</v>
      </c>
      <c r="C34" s="112">
        <v>8</v>
      </c>
      <c r="D34" s="113">
        <f>'Classified FTEs'!H30+'Classified FTEs'!K30</f>
        <v>2</v>
      </c>
      <c r="E34" s="113">
        <f>'Classified FTEs'!I30+'Classified FTEs'!L30+'Classified FTEs'!M30+'Classified FTEs'!N30+'Classified FTEs'!O30</f>
        <v>13.25</v>
      </c>
      <c r="F34" s="113">
        <v>27</v>
      </c>
      <c r="G34" s="113">
        <f>'Classified FTEs'!E30+'Classified FTEs'!F30+'Classified FTEs'!J30</f>
        <v>63.61</v>
      </c>
      <c r="H34" s="113">
        <v>15.16</v>
      </c>
      <c r="I34" s="115">
        <f>'Classified FTEs'!V30</f>
        <v>0</v>
      </c>
      <c r="J34" s="113">
        <f>'Classified FTEs'!AD30</f>
        <v>0</v>
      </c>
      <c r="K34" s="113">
        <f>'Classified FTEs'!D30</f>
        <v>1.49</v>
      </c>
      <c r="L34" s="114">
        <f>'Classified FTEs'!T30+'Classified FTEs'!U30+'Classified FTEs'!W30+'Classified FTEs'!X30+'Classified FTEs'!Y30+'Classified FTEs'!AC30+'Classified FTEs'!AE30+'Classified FTEs'!AF30+'Classified FTEs'!AL30</f>
        <v>163.48000000000002</v>
      </c>
      <c r="M34" s="114">
        <f>SUM(C34:L34)+SUM('instruction-districts'!C34:N34)</f>
        <v>1108.4300000000003</v>
      </c>
      <c r="N34" s="17"/>
    </row>
    <row r="35" spans="1:14">
      <c r="A35" s="39">
        <v>22</v>
      </c>
      <c r="B35" s="26" t="s">
        <v>40</v>
      </c>
      <c r="C35" s="112">
        <v>2</v>
      </c>
      <c r="D35" s="113">
        <f>'Classified FTEs'!H31+'Classified FTEs'!K31</f>
        <v>5</v>
      </c>
      <c r="E35" s="113">
        <f>'Classified FTEs'!I31+'Classified FTEs'!L31+'Classified FTEs'!M31+'Classified FTEs'!N31+'Classified FTEs'!O31</f>
        <v>10</v>
      </c>
      <c r="F35" s="113">
        <v>12.15</v>
      </c>
      <c r="G35" s="113">
        <f>'Classified FTEs'!E31+'Classified FTEs'!F31+'Classified FTEs'!J31</f>
        <v>14</v>
      </c>
      <c r="H35" s="113">
        <v>6</v>
      </c>
      <c r="I35" s="115">
        <f>'Classified FTEs'!V31</f>
        <v>1</v>
      </c>
      <c r="J35" s="113">
        <f>'Classified FTEs'!AD31</f>
        <v>2</v>
      </c>
      <c r="K35" s="113">
        <f>'Classified FTEs'!D31</f>
        <v>2</v>
      </c>
      <c r="L35" s="114">
        <f>'Classified FTEs'!T31+'Classified FTEs'!U31+'Classified FTEs'!W31+'Classified FTEs'!X31+'Classified FTEs'!Y31+'Classified FTEs'!AC31+'Classified FTEs'!AE31+'Classified FTEs'!AF31+'Classified FTEs'!AL31</f>
        <v>77.16</v>
      </c>
      <c r="M35" s="114">
        <f>SUM(C35:L35)+SUM('instruction-districts'!C35:N35)</f>
        <v>479.41</v>
      </c>
      <c r="N35" s="17"/>
    </row>
    <row r="36" spans="1:14">
      <c r="A36" s="39">
        <v>23</v>
      </c>
      <c r="B36" s="27" t="s">
        <v>41</v>
      </c>
      <c r="C36" s="122">
        <v>1</v>
      </c>
      <c r="D36" s="119">
        <f>'Classified FTEs'!H32+'Classified FTEs'!K32</f>
        <v>1</v>
      </c>
      <c r="E36" s="119">
        <f>'Classified FTEs'!I32+'Classified FTEs'!L32+'Classified FTEs'!M32+'Classified FTEs'!N32+'Classified FTEs'!O32</f>
        <v>1</v>
      </c>
      <c r="F36" s="119">
        <v>1.32</v>
      </c>
      <c r="G36" s="119">
        <f>'Classified FTEs'!E32+'Classified FTEs'!F32+'Classified FTEs'!J32</f>
        <v>0</v>
      </c>
      <c r="H36" s="119">
        <v>0</v>
      </c>
      <c r="I36" s="121">
        <f>'Classified FTEs'!V32</f>
        <v>0</v>
      </c>
      <c r="J36" s="119">
        <f>'Classified FTEs'!AD32</f>
        <v>1</v>
      </c>
      <c r="K36" s="119">
        <f>'Classified FTEs'!D32</f>
        <v>0</v>
      </c>
      <c r="L36" s="120">
        <f>'Classified FTEs'!T32+'Classified FTEs'!U32+'Classified FTEs'!W32+'Classified FTEs'!X32+'Classified FTEs'!Y32+'Classified FTEs'!AC32+'Classified FTEs'!AE32+'Classified FTEs'!AF32+'Classified FTEs'!AL32</f>
        <v>11</v>
      </c>
      <c r="M36" s="120">
        <f>SUM(C36:L36)+SUM('instruction-districts'!C36:N36)</f>
        <v>55.750000000000007</v>
      </c>
      <c r="N36" s="17"/>
    </row>
    <row r="37" spans="1:14">
      <c r="A37" s="39">
        <v>38</v>
      </c>
      <c r="B37" s="26" t="s">
        <v>56</v>
      </c>
      <c r="C37" s="112">
        <v>6</v>
      </c>
      <c r="D37" s="113">
        <f>'Classified FTEs'!H33+'Classified FTEs'!K33</f>
        <v>4</v>
      </c>
      <c r="E37" s="113">
        <f>'Classified FTEs'!I33+'Classified FTEs'!L33+'Classified FTEs'!M33+'Classified FTEs'!N33+'Classified FTEs'!O33</f>
        <v>20.9</v>
      </c>
      <c r="F37" s="113">
        <v>26</v>
      </c>
      <c r="G37" s="113">
        <f>'Classified FTEs'!E33+'Classified FTEs'!F33+'Classified FTEs'!J33</f>
        <v>52.879999999999995</v>
      </c>
      <c r="H37" s="113">
        <v>28.9</v>
      </c>
      <c r="I37" s="115">
        <f>'Classified FTEs'!V33</f>
        <v>0</v>
      </c>
      <c r="J37" s="113">
        <f>'Classified FTEs'!AD33</f>
        <v>1</v>
      </c>
      <c r="K37" s="113">
        <f>'Classified FTEs'!D33</f>
        <v>0.87</v>
      </c>
      <c r="L37" s="114">
        <f>'Classified FTEs'!T33+'Classified FTEs'!U33+'Classified FTEs'!W33+'Classified FTEs'!X33+'Classified FTEs'!Y33+'Classified FTEs'!AC33+'Classified FTEs'!AE33+'Classified FTEs'!AF33+'Classified FTEs'!AL33</f>
        <v>166.36</v>
      </c>
      <c r="M37" s="114">
        <f>SUM(C37:L37)+SUM('instruction-districts'!C37:N37)</f>
        <v>1177.23</v>
      </c>
      <c r="N37" s="17"/>
    </row>
    <row r="38" spans="1:14">
      <c r="A38" s="39">
        <v>24</v>
      </c>
      <c r="B38" s="26" t="s">
        <v>42</v>
      </c>
      <c r="C38" s="112">
        <v>0.8</v>
      </c>
      <c r="D38" s="113">
        <f>'Classified FTEs'!H34+'Classified FTEs'!K34</f>
        <v>0.95</v>
      </c>
      <c r="E38" s="113">
        <f>'Classified FTEs'!I34+'Classified FTEs'!L34+'Classified FTEs'!M34+'Classified FTEs'!N34+'Classified FTEs'!O34</f>
        <v>0.8</v>
      </c>
      <c r="F38" s="113">
        <v>1.97</v>
      </c>
      <c r="G38" s="113">
        <f>'Classified FTEs'!E34+'Classified FTEs'!F34+'Classified FTEs'!J34</f>
        <v>2.2000000000000002</v>
      </c>
      <c r="H38" s="113">
        <v>1</v>
      </c>
      <c r="I38" s="115">
        <f>'Classified FTEs'!V34</f>
        <v>0.5</v>
      </c>
      <c r="J38" s="113">
        <f>'Classified FTEs'!AD34</f>
        <v>0.5</v>
      </c>
      <c r="K38" s="113">
        <f>'Classified FTEs'!D34</f>
        <v>0</v>
      </c>
      <c r="L38" s="114">
        <f>'Classified FTEs'!T34+'Classified FTEs'!U34+'Classified FTEs'!W34+'Classified FTEs'!X34+'Classified FTEs'!Y34+'Classified FTEs'!AC34+'Classified FTEs'!AE34+'Classified FTEs'!AF34+'Classified FTEs'!AL34</f>
        <v>10.3</v>
      </c>
      <c r="M38" s="114">
        <f>SUM(C38:L38)+SUM('instruction-districts'!C38:N38)</f>
        <v>62.010000000000005</v>
      </c>
      <c r="N38" s="17"/>
    </row>
    <row r="39" spans="1:14">
      <c r="A39" s="39">
        <v>36</v>
      </c>
      <c r="B39" s="26" t="s">
        <v>54</v>
      </c>
      <c r="C39" s="112">
        <v>16.66</v>
      </c>
      <c r="D39" s="113">
        <f>'Classified FTEs'!H35+'Classified FTEs'!K35</f>
        <v>3</v>
      </c>
      <c r="E39" s="113">
        <f>'Classified FTEs'!I35+'Classified FTEs'!L35+'Classified FTEs'!M35+'Classified FTEs'!N35+'Classified FTEs'!O35</f>
        <v>77.48</v>
      </c>
      <c r="F39" s="113">
        <v>58.5</v>
      </c>
      <c r="G39" s="113">
        <f>'Classified FTEs'!E35+'Classified FTEs'!F35+'Classified FTEs'!J35</f>
        <v>125.06</v>
      </c>
      <c r="H39" s="113">
        <v>41.5</v>
      </c>
      <c r="I39" s="115">
        <f>'Classified FTEs'!V35</f>
        <v>2</v>
      </c>
      <c r="J39" s="113">
        <f>'Classified FTEs'!AD35</f>
        <v>4</v>
      </c>
      <c r="K39" s="113">
        <f>'Classified FTEs'!D35</f>
        <v>5.6</v>
      </c>
      <c r="L39" s="114">
        <f>'Classified FTEs'!T35+'Classified FTEs'!U35+'Classified FTEs'!W35+'Classified FTEs'!X35+'Classified FTEs'!Y35+'Classified FTEs'!AC35+'Classified FTEs'!AE35+'Classified FTEs'!AF35+'Classified FTEs'!AL35</f>
        <v>396.24</v>
      </c>
      <c r="M39" s="114">
        <f>SUM(C39:L39)+SUM('instruction-districts'!C39:N39)</f>
        <v>2485.7799999999997</v>
      </c>
      <c r="N39" s="17"/>
    </row>
    <row r="40" spans="1:14">
      <c r="A40" s="39">
        <v>25</v>
      </c>
      <c r="B40" s="30" t="s">
        <v>43</v>
      </c>
      <c r="C40" s="117">
        <v>4</v>
      </c>
      <c r="D40" s="118">
        <f>'Classified FTEs'!H36+'Classified FTEs'!K36</f>
        <v>1</v>
      </c>
      <c r="E40" s="118">
        <f>'Classified FTEs'!I36+'Classified FTEs'!L36+'Classified FTEs'!M36+'Classified FTEs'!N36+'Classified FTEs'!O36</f>
        <v>7.63</v>
      </c>
      <c r="F40" s="118">
        <v>14.97</v>
      </c>
      <c r="G40" s="118">
        <f>'Classified FTEs'!E36+'Classified FTEs'!F36+'Classified FTEs'!J36</f>
        <v>18.260000000000002</v>
      </c>
      <c r="H40" s="118">
        <v>5</v>
      </c>
      <c r="I40" s="125">
        <f>'Classified FTEs'!V36</f>
        <v>1</v>
      </c>
      <c r="J40" s="118">
        <f>'Classified FTEs'!AD36</f>
        <v>0</v>
      </c>
      <c r="K40" s="118">
        <f>'Classified FTEs'!D36</f>
        <v>2</v>
      </c>
      <c r="L40" s="124">
        <f>'Classified FTEs'!T36+'Classified FTEs'!U36+'Classified FTEs'!W36+'Classified FTEs'!X36+'Classified FTEs'!Y36+'Classified FTEs'!AC36+'Classified FTEs'!AE36+'Classified FTEs'!AF36+'Classified FTEs'!AL36</f>
        <v>96.53</v>
      </c>
      <c r="M40" s="124">
        <f>SUM(C40:L40)+SUM('instruction-districts'!C40:N40)</f>
        <v>398.36</v>
      </c>
      <c r="N40" s="17"/>
    </row>
    <row r="41" spans="1:14">
      <c r="A41" s="39">
        <v>26</v>
      </c>
      <c r="B41" s="31" t="s">
        <v>44</v>
      </c>
      <c r="C41" s="122">
        <v>2</v>
      </c>
      <c r="D41" s="119">
        <f>'Classified FTEs'!H37+'Classified FTEs'!K37</f>
        <v>0.1</v>
      </c>
      <c r="E41" s="119">
        <f>'Classified FTEs'!I37+'Classified FTEs'!L37+'Classified FTEs'!M37+'Classified FTEs'!N37+'Classified FTEs'!O37</f>
        <v>11.150000000000002</v>
      </c>
      <c r="F41" s="119">
        <v>10.68</v>
      </c>
      <c r="G41" s="119">
        <f>'Classified FTEs'!E37+'Classified FTEs'!F37+'Classified FTEs'!J37</f>
        <v>11.86</v>
      </c>
      <c r="H41" s="119">
        <v>2.27</v>
      </c>
      <c r="I41" s="121">
        <f>'Classified FTEs'!V37</f>
        <v>1</v>
      </c>
      <c r="J41" s="119">
        <f>'Classified FTEs'!AD37</f>
        <v>1</v>
      </c>
      <c r="K41" s="119">
        <f>'Classified FTEs'!D37</f>
        <v>1</v>
      </c>
      <c r="L41" s="120">
        <f>'Classified FTEs'!T37+'Classified FTEs'!U37+'Classified FTEs'!W37+'Classified FTEs'!X37+'Classified FTEs'!Y37+'Classified FTEs'!AC37+'Classified FTEs'!AE37+'Classified FTEs'!AF37+'Classified FTEs'!AL37</f>
        <v>92.86999999999999</v>
      </c>
      <c r="M41" s="120">
        <f>SUM(C41:L41)+SUM('instruction-districts'!C41:N41)</f>
        <v>443.19</v>
      </c>
      <c r="N41" s="17"/>
    </row>
    <row r="42" spans="1:14">
      <c r="A42" s="39">
        <v>27</v>
      </c>
      <c r="B42" s="29" t="s">
        <v>45</v>
      </c>
      <c r="C42" s="112">
        <v>4</v>
      </c>
      <c r="D42" s="113">
        <f>'Classified FTEs'!H38+'Classified FTEs'!K38</f>
        <v>3</v>
      </c>
      <c r="E42" s="113">
        <f>'Classified FTEs'!I38+'Classified FTEs'!L38+'Classified FTEs'!M38+'Classified FTEs'!N38+'Classified FTEs'!O38</f>
        <v>2.25</v>
      </c>
      <c r="F42" s="113">
        <v>11.62</v>
      </c>
      <c r="G42" s="113">
        <f>'Classified FTEs'!E38+'Classified FTEs'!F38+'Classified FTEs'!J38</f>
        <v>24.5</v>
      </c>
      <c r="H42" s="113">
        <v>2.35</v>
      </c>
      <c r="I42" s="115">
        <f>'Classified FTEs'!V38</f>
        <v>0.5</v>
      </c>
      <c r="J42" s="113">
        <f>'Classified FTEs'!AD38</f>
        <v>0.75</v>
      </c>
      <c r="K42" s="113">
        <f>'Classified FTEs'!D38</f>
        <v>1.25</v>
      </c>
      <c r="L42" s="114">
        <f>'Classified FTEs'!T38+'Classified FTEs'!U38+'Classified FTEs'!W38+'Classified FTEs'!X38+'Classified FTEs'!Y38+'Classified FTEs'!AC38+'Classified FTEs'!AE38+'Classified FTEs'!AF38+'Classified FTEs'!AL38</f>
        <v>66.25</v>
      </c>
      <c r="M42" s="114">
        <f>SUM(C42:L42)+SUM('instruction-districts'!C42:N42)</f>
        <v>406.91999999999996</v>
      </c>
      <c r="N42" s="17"/>
    </row>
    <row r="43" spans="1:14">
      <c r="A43" s="39">
        <v>28</v>
      </c>
      <c r="B43" s="29" t="s">
        <v>46</v>
      </c>
      <c r="C43" s="112">
        <v>1</v>
      </c>
      <c r="D43" s="113">
        <f>'Classified FTEs'!H39+'Classified FTEs'!K39</f>
        <v>1</v>
      </c>
      <c r="E43" s="113">
        <f>'Classified FTEs'!I39+'Classified FTEs'!L39+'Classified FTEs'!M39+'Classified FTEs'!N39+'Classified FTEs'!O39</f>
        <v>2.5</v>
      </c>
      <c r="F43" s="113">
        <v>4</v>
      </c>
      <c r="G43" s="113">
        <f>'Classified FTEs'!E39+'Classified FTEs'!F39+'Classified FTEs'!J39</f>
        <v>5.5</v>
      </c>
      <c r="H43" s="113">
        <v>1.6</v>
      </c>
      <c r="I43" s="115">
        <f>'Classified FTEs'!V39</f>
        <v>0.5</v>
      </c>
      <c r="J43" s="113">
        <f>'Classified FTEs'!AD39</f>
        <v>1</v>
      </c>
      <c r="K43" s="113">
        <f>'Classified FTEs'!D39</f>
        <v>1</v>
      </c>
      <c r="L43" s="114">
        <f>'Classified FTEs'!T39+'Classified FTEs'!U39+'Classified FTEs'!W39+'Classified FTEs'!X39+'Classified FTEs'!Y39+'Classified FTEs'!AC39+'Classified FTEs'!AE39+'Classified FTEs'!AF39+'Classified FTEs'!AL39</f>
        <v>32.29</v>
      </c>
      <c r="M43" s="114">
        <f>SUM(C43:L43)+SUM('instruction-districts'!C43:N43)</f>
        <v>158.20000000000002</v>
      </c>
      <c r="N43" s="17"/>
    </row>
    <row r="44" spans="1:14">
      <c r="A44" s="39">
        <v>29</v>
      </c>
      <c r="B44" s="26" t="s">
        <v>47</v>
      </c>
      <c r="C44" s="112">
        <v>1</v>
      </c>
      <c r="D44" s="113">
        <f>'Classified FTEs'!H40+'Classified FTEs'!K40</f>
        <v>0.88</v>
      </c>
      <c r="E44" s="113">
        <f>'Classified FTEs'!I40+'Classified FTEs'!L40+'Classified FTEs'!M40+'Classified FTEs'!N40+'Classified FTEs'!O40</f>
        <v>0.88</v>
      </c>
      <c r="F44" s="113">
        <v>1.31</v>
      </c>
      <c r="G44" s="113">
        <f>'Classified FTEs'!E40+'Classified FTEs'!F40+'Classified FTEs'!J40</f>
        <v>2.1100000000000003</v>
      </c>
      <c r="H44" s="113">
        <v>0</v>
      </c>
      <c r="I44" s="115">
        <f>'Classified FTEs'!V40</f>
        <v>0.12</v>
      </c>
      <c r="J44" s="113">
        <f>'Classified FTEs'!AD40</f>
        <v>0.94</v>
      </c>
      <c r="K44" s="113">
        <f>'Classified FTEs'!D40</f>
        <v>0</v>
      </c>
      <c r="L44" s="114">
        <f>'Classified FTEs'!T40+'Classified FTEs'!U40+'Classified FTEs'!W40+'Classified FTEs'!X40+'Classified FTEs'!Y40+'Classified FTEs'!AC40+'Classified FTEs'!AE40+'Classified FTEs'!AF40+'Classified FTEs'!AL40</f>
        <v>4.6399999999999997</v>
      </c>
      <c r="M44" s="114">
        <f>SUM(C44:L44)+SUM('instruction-districts'!C44:N44)</f>
        <v>43.650000000000006</v>
      </c>
      <c r="N44" s="17"/>
    </row>
    <row r="45" spans="1:14">
      <c r="A45" s="39">
        <v>30</v>
      </c>
      <c r="B45" s="28" t="s">
        <v>48</v>
      </c>
      <c r="C45" s="117">
        <v>4</v>
      </c>
      <c r="D45" s="118">
        <f>'Classified FTEs'!H41+'Classified FTEs'!K41</f>
        <v>1</v>
      </c>
      <c r="E45" s="118">
        <f>'Classified FTEs'!I41+'Classified FTEs'!L41+'Classified FTEs'!M41+'Classified FTEs'!N41+'Classified FTEs'!O41</f>
        <v>7.5</v>
      </c>
      <c r="F45" s="118">
        <v>30.17</v>
      </c>
      <c r="G45" s="118">
        <f>'Classified FTEs'!E41+'Classified FTEs'!F41+'Classified FTEs'!J41</f>
        <v>50.19</v>
      </c>
      <c r="H45" s="118">
        <v>15.33</v>
      </c>
      <c r="I45" s="125">
        <f>'Classified FTEs'!V41</f>
        <v>1</v>
      </c>
      <c r="J45" s="118">
        <f>'Classified FTEs'!AD41</f>
        <v>1</v>
      </c>
      <c r="K45" s="118">
        <f>'Classified FTEs'!D41</f>
        <v>4.45</v>
      </c>
      <c r="L45" s="124">
        <f>'Classified FTEs'!T41+'Classified FTEs'!U41+'Classified FTEs'!W41+'Classified FTEs'!X41+'Classified FTEs'!Y41+'Classified FTEs'!AC41+'Classified FTEs'!AE41+'Classified FTEs'!AF41+'Classified FTEs'!AL41</f>
        <v>183.22000000000003</v>
      </c>
      <c r="M45" s="124">
        <f>SUM(C45:L45)+SUM('instruction-districts'!C45:N45)</f>
        <v>1157.1100000000001</v>
      </c>
      <c r="N45" s="17"/>
    </row>
    <row r="46" spans="1:14">
      <c r="A46" s="39">
        <v>31</v>
      </c>
      <c r="B46" s="26" t="s">
        <v>49</v>
      </c>
      <c r="C46" s="112">
        <v>3</v>
      </c>
      <c r="D46" s="113">
        <f>'Classified FTEs'!H42+'Classified FTEs'!K42</f>
        <v>2</v>
      </c>
      <c r="E46" s="113">
        <f>'Classified FTEs'!I42+'Classified FTEs'!L42+'Classified FTEs'!M42+'Classified FTEs'!N42+'Classified FTEs'!O42</f>
        <v>9.2800000000000011</v>
      </c>
      <c r="F46" s="113">
        <v>14.86</v>
      </c>
      <c r="G46" s="113">
        <f>'Classified FTEs'!E42+'Classified FTEs'!F42+'Classified FTEs'!J42</f>
        <v>22.73</v>
      </c>
      <c r="H46" s="113">
        <v>1.81</v>
      </c>
      <c r="I46" s="115">
        <f>'Classified FTEs'!V42</f>
        <v>1</v>
      </c>
      <c r="J46" s="113">
        <f>'Classified FTEs'!AD42</f>
        <v>1</v>
      </c>
      <c r="K46" s="113">
        <f>'Classified FTEs'!D42</f>
        <v>4.37</v>
      </c>
      <c r="L46" s="114">
        <f>'Classified FTEs'!T42+'Classified FTEs'!U42+'Classified FTEs'!W42+'Classified FTEs'!X42+'Classified FTEs'!Y42+'Classified FTEs'!AC42+'Classified FTEs'!AE42+'Classified FTEs'!AF42+'Classified FTEs'!AL42</f>
        <v>140.21</v>
      </c>
      <c r="M46" s="114">
        <f>SUM(C46:L46)+SUM('instruction-districts'!C46:N46)</f>
        <v>580.83999999999992</v>
      </c>
      <c r="N46" s="17"/>
    </row>
    <row r="47" spans="1:14">
      <c r="A47" s="39">
        <v>32</v>
      </c>
      <c r="B47" s="26" t="s">
        <v>50</v>
      </c>
      <c r="C47" s="112">
        <v>2</v>
      </c>
      <c r="D47" s="113">
        <f>'Classified FTEs'!H43+'Classified FTEs'!K43</f>
        <v>1.5</v>
      </c>
      <c r="E47" s="113">
        <f>'Classified FTEs'!I43+'Classified FTEs'!L43+'Classified FTEs'!M43+'Classified FTEs'!N43+'Classified FTEs'!O43</f>
        <v>13</v>
      </c>
      <c r="F47" s="113">
        <v>11</v>
      </c>
      <c r="G47" s="113">
        <f>'Classified FTEs'!E43+'Classified FTEs'!F43+'Classified FTEs'!J43</f>
        <v>18.059999999999999</v>
      </c>
      <c r="H47" s="113">
        <v>6.49</v>
      </c>
      <c r="I47" s="115">
        <f>'Classified FTEs'!V43</f>
        <v>1</v>
      </c>
      <c r="J47" s="113">
        <f>'Classified FTEs'!AD43</f>
        <v>1</v>
      </c>
      <c r="K47" s="113">
        <f>'Classified FTEs'!D43</f>
        <v>0.75</v>
      </c>
      <c r="L47" s="114">
        <f>'Classified FTEs'!T43+'Classified FTEs'!U43+'Classified FTEs'!W43+'Classified FTEs'!X43+'Classified FTEs'!Y43+'Classified FTEs'!AC43+'Classified FTEs'!AE43+'Classified FTEs'!AF43+'Classified FTEs'!AL43</f>
        <v>81.23</v>
      </c>
      <c r="M47" s="114">
        <f>SUM(C47:L47)+SUM('instruction-districts'!C47:N47)</f>
        <v>476.66999999999996</v>
      </c>
      <c r="N47" s="17"/>
    </row>
    <row r="48" spans="1:14">
      <c r="A48" s="39">
        <v>33</v>
      </c>
      <c r="B48" s="29" t="s">
        <v>51</v>
      </c>
      <c r="C48" s="112">
        <v>12</v>
      </c>
      <c r="D48" s="113">
        <f>'Classified FTEs'!H44+'Classified FTEs'!K44</f>
        <v>2</v>
      </c>
      <c r="E48" s="113">
        <f>'Classified FTEs'!I44+'Classified FTEs'!L44+'Classified FTEs'!M44+'Classified FTEs'!N44+'Classified FTEs'!O44</f>
        <v>24.759999999999998</v>
      </c>
      <c r="F48" s="113">
        <v>55</v>
      </c>
      <c r="G48" s="113">
        <f>'Classified FTEs'!E44+'Classified FTEs'!F44+'Classified FTEs'!J44</f>
        <v>126</v>
      </c>
      <c r="H48" s="113">
        <v>20.04</v>
      </c>
      <c r="I48" s="115">
        <f>'Classified FTEs'!V44</f>
        <v>2</v>
      </c>
      <c r="J48" s="113">
        <f>'Classified FTEs'!AD44</f>
        <v>1</v>
      </c>
      <c r="K48" s="113">
        <f>'Classified FTEs'!D44</f>
        <v>11.5</v>
      </c>
      <c r="L48" s="114">
        <f>'Classified FTEs'!T44+'Classified FTEs'!U44+'Classified FTEs'!W44+'Classified FTEs'!X44+'Classified FTEs'!Y44+'Classified FTEs'!AC44+'Classified FTEs'!AE44+'Classified FTEs'!AF44+'Classified FTEs'!AL44</f>
        <v>358.84999999999997</v>
      </c>
      <c r="M48" s="114">
        <f>SUM(C48:L48)+SUM('instruction-districts'!C48:N48)</f>
        <v>2177.7099999999996</v>
      </c>
      <c r="N48" s="17"/>
    </row>
    <row r="49" spans="1:14">
      <c r="A49" s="39">
        <v>34</v>
      </c>
      <c r="B49" s="29" t="s">
        <v>52</v>
      </c>
      <c r="C49" s="112">
        <v>0.75</v>
      </c>
      <c r="D49" s="113">
        <f>'Classified FTEs'!H45+'Classified FTEs'!K45</f>
        <v>2</v>
      </c>
      <c r="E49" s="113">
        <f>'Classified FTEs'!I45+'Classified FTEs'!L45+'Classified FTEs'!M45+'Classified FTEs'!N45+'Classified FTEs'!O45</f>
        <v>1.34</v>
      </c>
      <c r="F49" s="113">
        <v>2.75</v>
      </c>
      <c r="G49" s="113">
        <f>'Classified FTEs'!E45+'Classified FTEs'!F45+'Classified FTEs'!J45</f>
        <v>3.5</v>
      </c>
      <c r="H49" s="113">
        <v>0</v>
      </c>
      <c r="I49" s="115">
        <f>'Classified FTEs'!V45</f>
        <v>0.33</v>
      </c>
      <c r="J49" s="113">
        <f>'Classified FTEs'!AD45</f>
        <v>0.33</v>
      </c>
      <c r="K49" s="113">
        <f>'Classified FTEs'!D45</f>
        <v>0</v>
      </c>
      <c r="L49" s="114">
        <f>'Classified FTEs'!T45+'Classified FTEs'!U45+'Classified FTEs'!W45+'Classified FTEs'!X45+'Classified FTEs'!Y45+'Classified FTEs'!AC45+'Classified FTEs'!AE45+'Classified FTEs'!AF45+'Classified FTEs'!AL45</f>
        <v>10.430000000000001</v>
      </c>
      <c r="M49" s="114">
        <f>SUM(C49:L49)+SUM('instruction-districts'!C49:N49)</f>
        <v>71.06</v>
      </c>
      <c r="N49" s="17"/>
    </row>
    <row r="50" spans="1:14" ht="13.5" thickBot="1">
      <c r="A50" s="39">
        <v>35</v>
      </c>
      <c r="B50" s="26" t="s">
        <v>53</v>
      </c>
      <c r="C50" s="112">
        <v>21</v>
      </c>
      <c r="D50" s="113">
        <f>'Classified FTEs'!H46+'Classified FTEs'!K46</f>
        <v>1</v>
      </c>
      <c r="E50" s="113">
        <f>'Classified FTEs'!I46+'Classified FTEs'!L46+'Classified FTEs'!M46+'Classified FTEs'!N46+'Classified FTEs'!O46</f>
        <v>47.7</v>
      </c>
      <c r="F50" s="113">
        <v>61</v>
      </c>
      <c r="G50" s="113">
        <f>'Classified FTEs'!E46+'Classified FTEs'!F46+'Classified FTEs'!J46</f>
        <v>93.789999999999992</v>
      </c>
      <c r="H50" s="113">
        <v>45.02</v>
      </c>
      <c r="I50" s="115">
        <f>'Classified FTEs'!V46</f>
        <v>2</v>
      </c>
      <c r="J50" s="113">
        <f>'Classified FTEs'!AD46</f>
        <v>3</v>
      </c>
      <c r="K50" s="113">
        <f>'Classified FTEs'!D46</f>
        <v>14.33</v>
      </c>
      <c r="L50" s="114">
        <f>'Classified FTEs'!T46+'Classified FTEs'!U46+'Classified FTEs'!W46+'Classified FTEs'!X46+'Classified FTEs'!Y46+'Classified FTEs'!AC46+'Classified FTEs'!AE46+'Classified FTEs'!AF46+'Classified FTEs'!AL46</f>
        <v>450.40999999999997</v>
      </c>
      <c r="M50" s="114">
        <f>SUM(C50:L50)+SUM('instruction-districts'!C50:N50)</f>
        <v>2479.5100000000002</v>
      </c>
      <c r="N50" s="17"/>
    </row>
    <row r="51" spans="1:14" ht="13.5" thickBot="1">
      <c r="B51" s="32" t="s">
        <v>59</v>
      </c>
      <c r="C51" s="127">
        <f t="shared" ref="C51:M51" si="0">SUM(C11:C50)</f>
        <v>256.21000000000004</v>
      </c>
      <c r="D51" s="128">
        <f t="shared" si="0"/>
        <v>73.28</v>
      </c>
      <c r="E51" s="128">
        <f t="shared" si="0"/>
        <v>774.38999999999987</v>
      </c>
      <c r="F51" s="128">
        <f t="shared" si="0"/>
        <v>1155.45</v>
      </c>
      <c r="G51" s="128">
        <f t="shared" si="0"/>
        <v>2180.5799999999995</v>
      </c>
      <c r="H51" s="128">
        <f t="shared" si="0"/>
        <v>850.54</v>
      </c>
      <c r="I51" s="128">
        <f t="shared" si="0"/>
        <v>43.209999999999994</v>
      </c>
      <c r="J51" s="128">
        <f t="shared" si="0"/>
        <v>110.13</v>
      </c>
      <c r="K51" s="128">
        <f t="shared" si="0"/>
        <v>97.27</v>
      </c>
      <c r="L51" s="129">
        <f t="shared" si="0"/>
        <v>8435.1799999999985</v>
      </c>
      <c r="M51" s="129">
        <f t="shared" si="0"/>
        <v>46818.200000000012</v>
      </c>
      <c r="N51" s="17"/>
    </row>
    <row r="52" spans="1:14" ht="13.5" thickBot="1">
      <c r="B52" s="32" t="s">
        <v>60</v>
      </c>
      <c r="C52" s="127">
        <v>12.229999999999999</v>
      </c>
      <c r="D52" s="128">
        <v>39.560000000000009</v>
      </c>
      <c r="E52" s="128">
        <v>33.790000000000006</v>
      </c>
      <c r="F52" s="128">
        <v>66.59999999999998</v>
      </c>
      <c r="G52" s="128">
        <v>124.25999999999998</v>
      </c>
      <c r="H52" s="128">
        <v>8.67</v>
      </c>
      <c r="I52" s="128">
        <v>0</v>
      </c>
      <c r="J52" s="128">
        <v>12.19</v>
      </c>
      <c r="K52" s="128">
        <v>6.12</v>
      </c>
      <c r="L52" s="129">
        <v>129.57</v>
      </c>
      <c r="M52" s="129">
        <v>2230.2599999999993</v>
      </c>
    </row>
    <row r="53" spans="1:14" ht="13.5" thickBot="1">
      <c r="B53" s="32" t="s">
        <v>61</v>
      </c>
      <c r="C53" s="135">
        <f>C51+C52</f>
        <v>268.44000000000005</v>
      </c>
      <c r="D53" s="136">
        <f t="shared" ref="D53:M53" si="1">D51+D52</f>
        <v>112.84</v>
      </c>
      <c r="E53" s="136">
        <f t="shared" si="1"/>
        <v>808.17999999999984</v>
      </c>
      <c r="F53" s="136">
        <f t="shared" si="1"/>
        <v>1222.05</v>
      </c>
      <c r="G53" s="136">
        <f t="shared" si="1"/>
        <v>2304.8399999999992</v>
      </c>
      <c r="H53" s="136">
        <f t="shared" si="1"/>
        <v>859.20999999999992</v>
      </c>
      <c r="I53" s="136">
        <f t="shared" si="1"/>
        <v>43.209999999999994</v>
      </c>
      <c r="J53" s="136">
        <f t="shared" si="1"/>
        <v>122.32</v>
      </c>
      <c r="K53" s="136">
        <f t="shared" si="1"/>
        <v>103.39</v>
      </c>
      <c r="L53" s="137">
        <f t="shared" si="1"/>
        <v>8564.7499999999982</v>
      </c>
      <c r="M53" s="137">
        <f t="shared" si="1"/>
        <v>49048.460000000014</v>
      </c>
    </row>
    <row r="54" spans="1:14"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</row>
    <row r="55" spans="1:14"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</row>
    <row r="56" spans="1:14"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</row>
    <row r="57" spans="1:14"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</row>
    <row r="58" spans="1:14"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</row>
    <row r="59" spans="1:14"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</row>
    <row r="60" spans="1:14"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</row>
    <row r="61" spans="1:14"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</row>
    <row r="62" spans="1:14"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</row>
    <row r="63" spans="1:14"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</row>
    <row r="64" spans="1:14"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</row>
    <row r="65" spans="3:13"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</row>
    <row r="66" spans="3:13"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</row>
    <row r="67" spans="3:13"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</row>
    <row r="68" spans="3:13"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</row>
    <row r="69" spans="3:13"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</row>
  </sheetData>
  <sortState ref="A7:N46">
    <sortCondition ref="B7:B46"/>
  </sortState>
  <mergeCells count="12">
    <mergeCell ref="B1:N1"/>
    <mergeCell ref="B2:N2"/>
    <mergeCell ref="B3:N3"/>
    <mergeCell ref="B5:B9"/>
    <mergeCell ref="C5:L5"/>
    <mergeCell ref="M5:M9"/>
    <mergeCell ref="C6:D8"/>
    <mergeCell ref="E6:E8"/>
    <mergeCell ref="F6:F8"/>
    <mergeCell ref="G6:G8"/>
    <mergeCell ref="L6:L8"/>
    <mergeCell ref="H6:K7"/>
  </mergeCells>
  <printOptions horizontalCentered="1" verticalCentered="1"/>
  <pageMargins left="0.7" right="0.7" top="0.75" bottom="0.6" header="0.65" footer="0.3"/>
  <pageSetup scale="62" orientation="landscape" r:id="rId1"/>
  <headerFooter>
    <oddFooter>&amp;L&amp;"Arial,Regular"&amp;8DATA SOURCE:  CACTUS Database June 30, 2009
Year-End Web Survey FY 2009
COMPILED BY:  USOE/Finance and Statistics/Emily Eyre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79"/>
  <sheetViews>
    <sheetView workbookViewId="0">
      <selection activeCell="Q1" sqref="Q1:Q1048576"/>
    </sheetView>
  </sheetViews>
  <sheetFormatPr defaultRowHeight="12.75"/>
  <cols>
    <col min="1" max="1" width="4.140625" style="16" customWidth="1"/>
    <col min="2" max="2" width="31.28515625" style="16" customWidth="1"/>
    <col min="3" max="4" width="12.28515625" style="16" customWidth="1"/>
    <col min="5" max="5" width="14.140625" style="16" customWidth="1"/>
    <col min="6" max="6" width="14.28515625" style="16" customWidth="1"/>
    <col min="7" max="7" width="15.7109375" style="16" customWidth="1"/>
    <col min="8" max="8" width="13" style="16" customWidth="1"/>
    <col min="9" max="9" width="14.42578125" style="16" customWidth="1"/>
    <col min="10" max="10" width="15" style="16" customWidth="1"/>
    <col min="11" max="11" width="13.28515625" style="16" customWidth="1"/>
    <col min="12" max="12" width="13.7109375" style="16" customWidth="1"/>
    <col min="13" max="13" width="18.140625" style="16" customWidth="1"/>
    <col min="14" max="14" width="9.7109375" style="16" bestFit="1" customWidth="1"/>
    <col min="15" max="16384" width="9.140625" style="16"/>
  </cols>
  <sheetData>
    <row r="1" spans="1:15" ht="18">
      <c r="B1" s="161" t="s">
        <v>379</v>
      </c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</row>
    <row r="2" spans="1:15" ht="15.75">
      <c r="B2" s="144" t="s">
        <v>380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</row>
    <row r="3" spans="1:15" ht="15.75">
      <c r="B3" s="163" t="s">
        <v>360</v>
      </c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</row>
    <row r="4" spans="1:15" ht="13.5" thickBot="1"/>
    <row r="5" spans="1:15" ht="18" customHeight="1" thickBot="1">
      <c r="B5" s="181" t="s">
        <v>0</v>
      </c>
      <c r="C5" s="149" t="s">
        <v>2</v>
      </c>
      <c r="D5" s="150"/>
      <c r="E5" s="150"/>
      <c r="F5" s="150"/>
      <c r="G5" s="150"/>
      <c r="H5" s="150"/>
      <c r="I5" s="150"/>
      <c r="J5" s="150"/>
      <c r="K5" s="150"/>
      <c r="L5" s="151"/>
      <c r="M5" s="167" t="s">
        <v>62</v>
      </c>
      <c r="N5" s="15"/>
    </row>
    <row r="6" spans="1:15">
      <c r="B6" s="182"/>
      <c r="C6" s="146" t="s">
        <v>63</v>
      </c>
      <c r="D6" s="170"/>
      <c r="E6" s="141" t="s">
        <v>187</v>
      </c>
      <c r="F6" s="141" t="s">
        <v>64</v>
      </c>
      <c r="G6" s="141" t="s">
        <v>188</v>
      </c>
      <c r="H6" s="175" t="s">
        <v>189</v>
      </c>
      <c r="I6" s="176"/>
      <c r="J6" s="176"/>
      <c r="K6" s="183"/>
      <c r="L6" s="141" t="s">
        <v>190</v>
      </c>
      <c r="M6" s="168"/>
      <c r="N6" s="15"/>
    </row>
    <row r="7" spans="1:15" ht="13.5" customHeight="1" thickBot="1">
      <c r="B7" s="182"/>
      <c r="C7" s="171"/>
      <c r="D7" s="172"/>
      <c r="E7" s="142"/>
      <c r="F7" s="158"/>
      <c r="G7" s="158"/>
      <c r="H7" s="178"/>
      <c r="I7" s="179"/>
      <c r="J7" s="179"/>
      <c r="K7" s="184"/>
      <c r="L7" s="142"/>
      <c r="M7" s="168"/>
      <c r="N7" s="15"/>
    </row>
    <row r="8" spans="1:15" ht="54" customHeight="1" thickBot="1">
      <c r="B8" s="182"/>
      <c r="C8" s="173"/>
      <c r="D8" s="174"/>
      <c r="E8" s="160"/>
      <c r="F8" s="159"/>
      <c r="G8" s="159"/>
      <c r="H8" s="108" t="s">
        <v>378</v>
      </c>
      <c r="I8" s="20" t="s">
        <v>192</v>
      </c>
      <c r="J8" s="36" t="s">
        <v>193</v>
      </c>
      <c r="K8" s="102" t="s">
        <v>191</v>
      </c>
      <c r="L8" s="160"/>
      <c r="M8" s="168"/>
      <c r="N8" s="15"/>
    </row>
    <row r="9" spans="1:15" ht="44.25" customHeight="1" thickBot="1">
      <c r="B9" s="182"/>
      <c r="C9" s="20" t="s">
        <v>16</v>
      </c>
      <c r="D9" s="37" t="s">
        <v>17</v>
      </c>
      <c r="E9" s="37" t="s">
        <v>17</v>
      </c>
      <c r="F9" s="20" t="s">
        <v>16</v>
      </c>
      <c r="G9" s="37" t="s">
        <v>17</v>
      </c>
      <c r="H9" s="20" t="s">
        <v>16</v>
      </c>
      <c r="I9" s="20" t="s">
        <v>17</v>
      </c>
      <c r="J9" s="20" t="s">
        <v>17</v>
      </c>
      <c r="K9" s="20" t="s">
        <v>17</v>
      </c>
      <c r="L9" s="37" t="s">
        <v>17</v>
      </c>
      <c r="M9" s="169"/>
      <c r="N9" s="15"/>
    </row>
    <row r="10" spans="1:15" ht="17.25" customHeight="1">
      <c r="A10" s="43"/>
      <c r="B10" s="46" t="s">
        <v>194</v>
      </c>
      <c r="C10" s="107"/>
      <c r="D10" s="38"/>
      <c r="E10" s="38"/>
      <c r="F10" s="34"/>
      <c r="G10" s="38"/>
      <c r="H10" s="34"/>
      <c r="I10" s="34"/>
      <c r="J10" s="34"/>
      <c r="K10" s="34"/>
      <c r="L10" s="138"/>
      <c r="M10" s="105"/>
      <c r="N10" s="15"/>
    </row>
    <row r="11" spans="1:15">
      <c r="A11" s="44" t="s">
        <v>67</v>
      </c>
      <c r="B11" s="93" t="s">
        <v>195</v>
      </c>
      <c r="C11" s="112">
        <v>0</v>
      </c>
      <c r="D11" s="113">
        <f>'Classified FTEs'!H49+'Classified FTEs'!K49</f>
        <v>0</v>
      </c>
      <c r="E11" s="113">
        <f>'Classified FTEs'!I49+'Classified FTEs'!L49+'Classified FTEs'!M49+'Classified FTEs'!N49+'Classified FTEs'!O49</f>
        <v>0.5</v>
      </c>
      <c r="F11" s="113">
        <v>0.59</v>
      </c>
      <c r="G11" s="113">
        <f>'Classified FTEs'!E49+'Classified FTEs'!F49+'Classified FTEs'!J49</f>
        <v>9.9700000000000006</v>
      </c>
      <c r="H11" s="113">
        <v>0</v>
      </c>
      <c r="I11" s="113">
        <f>'Classified FTEs'!V49</f>
        <v>0</v>
      </c>
      <c r="J11" s="113">
        <f>'Classified FTEs'!AD49</f>
        <v>0.25</v>
      </c>
      <c r="K11" s="113">
        <f>'Classified FTEs'!D49</f>
        <v>0</v>
      </c>
      <c r="L11" s="114">
        <f>'Classified FTEs'!T49+'Classified FTEs'!U49+'Classified FTEs'!W49+'Classified FTEs'!X49+'Classified FTEs'!Y49+'Classified FTEs'!AC49+'Classified FTEs'!AE49+'Classified FTEs'!AF49+'Classified FTEs'!AL49</f>
        <v>3.96</v>
      </c>
      <c r="M11" s="114">
        <f>SUM(C11:L11)+SUM('instruction-charters'!C11:N11)</f>
        <v>112.91</v>
      </c>
      <c r="N11" s="17"/>
      <c r="O11" s="17"/>
    </row>
    <row r="12" spans="1:15">
      <c r="A12" s="44">
        <v>74</v>
      </c>
      <c r="B12" s="94" t="s">
        <v>196</v>
      </c>
      <c r="C12" s="112">
        <v>0.57999999999999996</v>
      </c>
      <c r="D12" s="113">
        <f>'Classified FTEs'!H50+'Classified FTEs'!K50</f>
        <v>0</v>
      </c>
      <c r="E12" s="113">
        <f>'Classified FTEs'!I50+'Classified FTEs'!L50+'Classified FTEs'!M50+'Classified FTEs'!N50+'Classified FTEs'!O50</f>
        <v>0</v>
      </c>
      <c r="F12" s="113">
        <v>1.3</v>
      </c>
      <c r="G12" s="113">
        <f>'Classified FTEs'!E50+'Classified FTEs'!F50+'Classified FTEs'!J50</f>
        <v>12.45</v>
      </c>
      <c r="H12" s="113">
        <v>0.36</v>
      </c>
      <c r="I12" s="113">
        <f>'Classified FTEs'!V50</f>
        <v>0</v>
      </c>
      <c r="J12" s="113">
        <f>'Classified FTEs'!AD50</f>
        <v>0</v>
      </c>
      <c r="K12" s="113">
        <f>'Classified FTEs'!D50</f>
        <v>0</v>
      </c>
      <c r="L12" s="114">
        <f>'Classified FTEs'!T50+'Classified FTEs'!U50+'Classified FTEs'!W50+'Classified FTEs'!X50+'Classified FTEs'!Y50+'Classified FTEs'!AC50+'Classified FTEs'!AE50+'Classified FTEs'!AF50+'Classified FTEs'!AL50</f>
        <v>1.95</v>
      </c>
      <c r="M12" s="114">
        <f>SUM(C12:L12)+SUM('instruction-charters'!C12:N12)</f>
        <v>57.33</v>
      </c>
      <c r="N12" s="17"/>
      <c r="O12" s="17"/>
    </row>
    <row r="13" spans="1:15">
      <c r="A13" s="44">
        <v>83</v>
      </c>
      <c r="B13" s="94" t="s">
        <v>68</v>
      </c>
      <c r="C13" s="112">
        <v>0</v>
      </c>
      <c r="D13" s="113">
        <f>'Classified FTEs'!H51+'Classified FTEs'!K51</f>
        <v>1</v>
      </c>
      <c r="E13" s="113">
        <f>'Classified FTEs'!I51+'Classified FTEs'!L51+'Classified FTEs'!M51+'Classified FTEs'!N51+'Classified FTEs'!O51</f>
        <v>0.13</v>
      </c>
      <c r="F13" s="113">
        <v>2</v>
      </c>
      <c r="G13" s="113">
        <f>'Classified FTEs'!E51+'Classified FTEs'!F51+'Classified FTEs'!J51</f>
        <v>1.5</v>
      </c>
      <c r="H13" s="113">
        <v>0</v>
      </c>
      <c r="I13" s="113">
        <f>'Classified FTEs'!V51</f>
        <v>0</v>
      </c>
      <c r="J13" s="113">
        <f>'Classified FTEs'!AD51</f>
        <v>0</v>
      </c>
      <c r="K13" s="113">
        <f>'Classified FTEs'!D51</f>
        <v>0</v>
      </c>
      <c r="L13" s="114">
        <f>'Classified FTEs'!T51+'Classified FTEs'!U51+'Classified FTEs'!W51+'Classified FTEs'!X51+'Classified FTEs'!Y51+'Classified FTEs'!AC51+'Classified FTEs'!AE51+'Classified FTEs'!AF51+'Classified FTEs'!AL51</f>
        <v>1.32</v>
      </c>
      <c r="M13" s="114">
        <f>SUM(C13:L13)+SUM('instruction-charters'!C13:N13)</f>
        <v>32</v>
      </c>
      <c r="N13" s="17"/>
      <c r="O13" s="17"/>
    </row>
    <row r="14" spans="1:15">
      <c r="A14" s="44" t="s">
        <v>69</v>
      </c>
      <c r="B14" s="94" t="s">
        <v>70</v>
      </c>
      <c r="C14" s="112">
        <v>1</v>
      </c>
      <c r="D14" s="113">
        <f>'Classified FTEs'!H52+'Classified FTEs'!K52</f>
        <v>0</v>
      </c>
      <c r="E14" s="113">
        <f>'Classified FTEs'!I52+'Classified FTEs'!L52+'Classified FTEs'!M52+'Classified FTEs'!N52+'Classified FTEs'!O52</f>
        <v>0.1</v>
      </c>
      <c r="F14" s="113">
        <v>0</v>
      </c>
      <c r="G14" s="113">
        <f>'Classified FTEs'!E52+'Classified FTEs'!F52+'Classified FTEs'!J52</f>
        <v>2</v>
      </c>
      <c r="H14" s="113">
        <v>0</v>
      </c>
      <c r="I14" s="113">
        <f>'Classified FTEs'!V52</f>
        <v>0</v>
      </c>
      <c r="J14" s="113">
        <f>'Classified FTEs'!AD52</f>
        <v>0</v>
      </c>
      <c r="K14" s="113">
        <f>'Classified FTEs'!D52</f>
        <v>0</v>
      </c>
      <c r="L14" s="114">
        <f>'Classified FTEs'!T52+'Classified FTEs'!U52+'Classified FTEs'!W52+'Classified FTEs'!X52+'Classified FTEs'!Y52+'Classified FTEs'!AC52+'Classified FTEs'!AE52+'Classified FTEs'!AF52+'Classified FTEs'!AL52</f>
        <v>1</v>
      </c>
      <c r="M14" s="114">
        <f>SUM(C14:L14)+SUM('instruction-charters'!C14:N14)</f>
        <v>18.97</v>
      </c>
      <c r="N14" s="17"/>
      <c r="O14" s="17"/>
    </row>
    <row r="15" spans="1:15">
      <c r="A15" s="44" t="s">
        <v>71</v>
      </c>
      <c r="B15" s="98" t="s">
        <v>72</v>
      </c>
      <c r="C15" s="112">
        <v>0</v>
      </c>
      <c r="D15" s="113">
        <f>'Classified FTEs'!H53+'Classified FTEs'!K53</f>
        <v>3</v>
      </c>
      <c r="E15" s="113">
        <f>'Classified FTEs'!I53+'Classified FTEs'!L53+'Classified FTEs'!M53+'Classified FTEs'!N53+'Classified FTEs'!O53</f>
        <v>0</v>
      </c>
      <c r="F15" s="113">
        <v>1</v>
      </c>
      <c r="G15" s="113">
        <f>'Classified FTEs'!E53+'Classified FTEs'!F53+'Classified FTEs'!J53</f>
        <v>2.21</v>
      </c>
      <c r="H15" s="113">
        <v>0.53</v>
      </c>
      <c r="I15" s="113">
        <f>'Classified FTEs'!V53</f>
        <v>0</v>
      </c>
      <c r="J15" s="113">
        <f>'Classified FTEs'!AD53</f>
        <v>0.76</v>
      </c>
      <c r="K15" s="113">
        <f>'Classified FTEs'!D53</f>
        <v>0</v>
      </c>
      <c r="L15" s="114">
        <f>'Classified FTEs'!T53+'Classified FTEs'!U53+'Classified FTEs'!W53+'Classified FTEs'!X53+'Classified FTEs'!Y53+'Classified FTEs'!AC53+'Classified FTEs'!AE53+'Classified FTEs'!AF53+'Classified FTEs'!AL53</f>
        <v>2.78</v>
      </c>
      <c r="M15" s="114">
        <f>SUM(C15:L15)+SUM('instruction-charters'!C15:N15)</f>
        <v>39.93</v>
      </c>
      <c r="N15" s="17"/>
      <c r="O15" s="17"/>
    </row>
    <row r="16" spans="1:15">
      <c r="A16" s="44">
        <v>84</v>
      </c>
      <c r="B16" s="94" t="s">
        <v>73</v>
      </c>
      <c r="C16" s="122">
        <v>0</v>
      </c>
      <c r="D16" s="119">
        <f>'Classified FTEs'!H54+'Classified FTEs'!K54</f>
        <v>0</v>
      </c>
      <c r="E16" s="119">
        <f>'Classified FTEs'!I54+'Classified FTEs'!L54+'Classified FTEs'!M54+'Classified FTEs'!N54+'Classified FTEs'!O54</f>
        <v>0</v>
      </c>
      <c r="F16" s="119">
        <v>0</v>
      </c>
      <c r="G16" s="119">
        <f>'Classified FTEs'!E54+'Classified FTEs'!F54+'Classified FTEs'!J54</f>
        <v>0</v>
      </c>
      <c r="H16" s="119">
        <v>0</v>
      </c>
      <c r="I16" s="119">
        <f>'Classified FTEs'!V54</f>
        <v>0</v>
      </c>
      <c r="J16" s="119">
        <f>'Classified FTEs'!AD54</f>
        <v>0</v>
      </c>
      <c r="K16" s="119">
        <f>'Classified FTEs'!D54</f>
        <v>0</v>
      </c>
      <c r="L16" s="120">
        <f>'Classified FTEs'!T54+'Classified FTEs'!U54+'Classified FTEs'!W54+'Classified FTEs'!X54+'Classified FTEs'!Y54+'Classified FTEs'!AC54+'Classified FTEs'!AE54+'Classified FTEs'!AF54+'Classified FTEs'!AL54</f>
        <v>0.78</v>
      </c>
      <c r="M16" s="120">
        <f>SUM(C16:L16)+SUM('instruction-charters'!C16:N16)</f>
        <v>2.0300000000000002</v>
      </c>
      <c r="N16" s="17"/>
      <c r="O16" s="17"/>
    </row>
    <row r="17" spans="1:15">
      <c r="A17" s="44" t="s">
        <v>74</v>
      </c>
      <c r="B17" s="94" t="s">
        <v>75</v>
      </c>
      <c r="C17" s="112">
        <v>0</v>
      </c>
      <c r="D17" s="113">
        <f>'Classified FTEs'!H55+'Classified FTEs'!K55</f>
        <v>1</v>
      </c>
      <c r="E17" s="113">
        <f>'Classified FTEs'!I55+'Classified FTEs'!L55+'Classified FTEs'!M55+'Classified FTEs'!N55+'Classified FTEs'!O55</f>
        <v>0.42</v>
      </c>
      <c r="F17" s="113">
        <v>1.1100000000000001</v>
      </c>
      <c r="G17" s="113">
        <f>'Classified FTEs'!E55+'Classified FTEs'!F55+'Classified FTEs'!J55</f>
        <v>2</v>
      </c>
      <c r="H17" s="113">
        <v>0.5</v>
      </c>
      <c r="I17" s="113">
        <f>'Classified FTEs'!V55</f>
        <v>0</v>
      </c>
      <c r="J17" s="113">
        <f>'Classified FTEs'!AD55</f>
        <v>0</v>
      </c>
      <c r="K17" s="113">
        <f>'Classified FTEs'!D55</f>
        <v>0</v>
      </c>
      <c r="L17" s="114">
        <f>'Classified FTEs'!T55+'Classified FTEs'!U55+'Classified FTEs'!W55+'Classified FTEs'!X55+'Classified FTEs'!Y55+'Classified FTEs'!AC55+'Classified FTEs'!AE55+'Classified FTEs'!AF55+'Classified FTEs'!AL55</f>
        <v>2.92</v>
      </c>
      <c r="M17" s="114">
        <f>SUM(C17:L17)+SUM('instruction-charters'!C17:N17)</f>
        <v>49.47</v>
      </c>
      <c r="N17" s="17"/>
      <c r="O17" s="17"/>
    </row>
    <row r="18" spans="1:15">
      <c r="A18" s="44">
        <v>87</v>
      </c>
      <c r="B18" s="94" t="s">
        <v>76</v>
      </c>
      <c r="C18" s="112">
        <v>0</v>
      </c>
      <c r="D18" s="113">
        <f>'Classified FTEs'!H56+'Classified FTEs'!K56</f>
        <v>0.5</v>
      </c>
      <c r="E18" s="113">
        <f>'Classified FTEs'!I56+'Classified FTEs'!L56+'Classified FTEs'!M56+'Classified FTEs'!N56+'Classified FTEs'!O56</f>
        <v>0.22</v>
      </c>
      <c r="F18" s="113">
        <v>0.56000000000000005</v>
      </c>
      <c r="G18" s="113">
        <f>'Classified FTEs'!E56+'Classified FTEs'!F56+'Classified FTEs'!J56</f>
        <v>1</v>
      </c>
      <c r="H18" s="113">
        <v>0</v>
      </c>
      <c r="I18" s="113">
        <f>'Classified FTEs'!V56</f>
        <v>0</v>
      </c>
      <c r="J18" s="113">
        <f>'Classified FTEs'!AD56</f>
        <v>0</v>
      </c>
      <c r="K18" s="113">
        <f>'Classified FTEs'!D56</f>
        <v>0</v>
      </c>
      <c r="L18" s="114">
        <f>'Classified FTEs'!T56+'Classified FTEs'!U56+'Classified FTEs'!W56+'Classified FTEs'!X56+'Classified FTEs'!Y56+'Classified FTEs'!AC56+'Classified FTEs'!AE56+'Classified FTEs'!AF56+'Classified FTEs'!AL56</f>
        <v>1.97</v>
      </c>
      <c r="M18" s="114">
        <f>SUM(C18:L18)+SUM('instruction-charters'!C18:N18)</f>
        <v>28.500000000000004</v>
      </c>
      <c r="N18" s="17"/>
      <c r="O18" s="17"/>
    </row>
    <row r="19" spans="1:15">
      <c r="A19" s="44" t="s">
        <v>77</v>
      </c>
      <c r="B19" s="94" t="s">
        <v>383</v>
      </c>
      <c r="C19" s="112">
        <v>0</v>
      </c>
      <c r="D19" s="113">
        <f>'Classified FTEs'!H57+'Classified FTEs'!K57</f>
        <v>0</v>
      </c>
      <c r="E19" s="113">
        <f>'Classified FTEs'!I57+'Classified FTEs'!L57+'Classified FTEs'!M57+'Classified FTEs'!N57+'Classified FTEs'!O57</f>
        <v>0</v>
      </c>
      <c r="F19" s="113">
        <v>1</v>
      </c>
      <c r="G19" s="113">
        <f>'Classified FTEs'!E57+'Classified FTEs'!F57+'Classified FTEs'!J57</f>
        <v>1</v>
      </c>
      <c r="H19" s="113">
        <v>0</v>
      </c>
      <c r="I19" s="113">
        <f>'Classified FTEs'!V57</f>
        <v>0</v>
      </c>
      <c r="J19" s="113">
        <f>'Classified FTEs'!AD57</f>
        <v>0</v>
      </c>
      <c r="K19" s="113">
        <f>'Classified FTEs'!D57</f>
        <v>0</v>
      </c>
      <c r="L19" s="114">
        <f>'Classified FTEs'!T57+'Classified FTEs'!U57+'Classified FTEs'!W57+'Classified FTEs'!X57+'Classified FTEs'!Y57+'Classified FTEs'!AC57+'Classified FTEs'!AE57+'Classified FTEs'!AF57+'Classified FTEs'!AL57</f>
        <v>1</v>
      </c>
      <c r="M19" s="114">
        <f>SUM(C19:L19)+SUM('instruction-charters'!C19:N19)</f>
        <v>24.5</v>
      </c>
      <c r="N19" s="17"/>
      <c r="O19" s="17"/>
    </row>
    <row r="20" spans="1:15">
      <c r="A20" s="44" t="s">
        <v>79</v>
      </c>
      <c r="B20" s="98" t="s">
        <v>197</v>
      </c>
      <c r="C20" s="117">
        <v>0</v>
      </c>
      <c r="D20" s="118">
        <f>'Classified FTEs'!H58+'Classified FTEs'!K58</f>
        <v>1</v>
      </c>
      <c r="E20" s="118">
        <f>'Classified FTEs'!I58+'Classified FTEs'!L58+'Classified FTEs'!M58+'Classified FTEs'!N58+'Classified FTEs'!O58</f>
        <v>1</v>
      </c>
      <c r="F20" s="118">
        <v>1.86</v>
      </c>
      <c r="G20" s="118">
        <f>'Classified FTEs'!E58+'Classified FTEs'!F58+'Classified FTEs'!J58</f>
        <v>2</v>
      </c>
      <c r="H20" s="118">
        <v>0</v>
      </c>
      <c r="I20" s="118">
        <f>'Classified FTEs'!V58</f>
        <v>0</v>
      </c>
      <c r="J20" s="118">
        <f>'Classified FTEs'!AD58</f>
        <v>1</v>
      </c>
      <c r="K20" s="118">
        <f>'Classified FTEs'!D58</f>
        <v>1</v>
      </c>
      <c r="L20" s="124">
        <f>'Classified FTEs'!T58+'Classified FTEs'!U58+'Classified FTEs'!W58+'Classified FTEs'!X58+'Classified FTEs'!Y58+'Classified FTEs'!AC58+'Classified FTEs'!AE58+'Classified FTEs'!AF58+'Classified FTEs'!AL58</f>
        <v>2.2999999999999998</v>
      </c>
      <c r="M20" s="124">
        <f>SUM(C20:L20)+SUM('instruction-charters'!C20:N20)</f>
        <v>31.75</v>
      </c>
      <c r="N20" s="17"/>
      <c r="O20" s="17"/>
    </row>
    <row r="21" spans="1:15">
      <c r="A21" s="44" t="s">
        <v>80</v>
      </c>
      <c r="B21" s="94" t="s">
        <v>81</v>
      </c>
      <c r="C21" s="112">
        <v>1</v>
      </c>
      <c r="D21" s="113">
        <f>'Classified FTEs'!H59+'Classified FTEs'!K59</f>
        <v>2</v>
      </c>
      <c r="E21" s="113">
        <f>'Classified FTEs'!I59+'Classified FTEs'!L59+'Classified FTEs'!M59+'Classified FTEs'!N59+'Classified FTEs'!O59</f>
        <v>3</v>
      </c>
      <c r="F21" s="113">
        <v>0</v>
      </c>
      <c r="G21" s="113">
        <f>'Classified FTEs'!E59+'Classified FTEs'!F59+'Classified FTEs'!J59</f>
        <v>0</v>
      </c>
      <c r="H21" s="113">
        <v>0</v>
      </c>
      <c r="I21" s="113">
        <f>'Classified FTEs'!V59</f>
        <v>0</v>
      </c>
      <c r="J21" s="113">
        <f>'Classified FTEs'!AD59</f>
        <v>0</v>
      </c>
      <c r="K21" s="113">
        <f>'Classified FTEs'!D59</f>
        <v>0</v>
      </c>
      <c r="L21" s="114">
        <f>'Classified FTEs'!T59+'Classified FTEs'!U59+'Classified FTEs'!W59+'Classified FTEs'!X59+'Classified FTEs'!Y59+'Classified FTEs'!AC59+'Classified FTEs'!AE59+'Classified FTEs'!AF59+'Classified FTEs'!AL59</f>
        <v>6</v>
      </c>
      <c r="M21" s="114">
        <f>SUM(C21:L21)+SUM('instruction-charters'!C21:N21)</f>
        <v>32</v>
      </c>
      <c r="N21" s="17"/>
      <c r="O21" s="17"/>
    </row>
    <row r="22" spans="1:15">
      <c r="A22" s="44" t="s">
        <v>82</v>
      </c>
      <c r="B22" s="94" t="s">
        <v>198</v>
      </c>
      <c r="C22" s="112">
        <v>0</v>
      </c>
      <c r="D22" s="113">
        <f>'Classified FTEs'!H60+'Classified FTEs'!K60</f>
        <v>1.6</v>
      </c>
      <c r="E22" s="113">
        <f>'Classified FTEs'!I60+'Classified FTEs'!L60+'Classified FTEs'!M60+'Classified FTEs'!N60+'Classified FTEs'!O60</f>
        <v>0</v>
      </c>
      <c r="F22" s="113">
        <v>0</v>
      </c>
      <c r="G22" s="113">
        <f>'Classified FTEs'!E60+'Classified FTEs'!F60+'Classified FTEs'!J60</f>
        <v>2</v>
      </c>
      <c r="H22" s="113">
        <v>0</v>
      </c>
      <c r="I22" s="113">
        <f>'Classified FTEs'!V60</f>
        <v>0</v>
      </c>
      <c r="J22" s="113">
        <f>'Classified FTEs'!AD60</f>
        <v>0</v>
      </c>
      <c r="K22" s="113">
        <f>'Classified FTEs'!D60</f>
        <v>0</v>
      </c>
      <c r="L22" s="114">
        <f>'Classified FTEs'!T60+'Classified FTEs'!U60+'Classified FTEs'!W60+'Classified FTEs'!X60+'Classified FTEs'!Y60+'Classified FTEs'!AC60+'Classified FTEs'!AE60+'Classified FTEs'!AF60+'Classified FTEs'!AL60</f>
        <v>2.7</v>
      </c>
      <c r="M22" s="114">
        <f>SUM(C22:L22)+SUM('instruction-charters'!C22:N22)</f>
        <v>29.08</v>
      </c>
      <c r="N22" s="17"/>
      <c r="O22" s="17"/>
    </row>
    <row r="23" spans="1:15">
      <c r="A23" s="44" t="s">
        <v>83</v>
      </c>
      <c r="B23" s="94" t="s">
        <v>84</v>
      </c>
      <c r="C23" s="112">
        <v>0</v>
      </c>
      <c r="D23" s="113">
        <f>'Classified FTEs'!H61+'Classified FTEs'!K61</f>
        <v>0</v>
      </c>
      <c r="E23" s="113">
        <f>'Classified FTEs'!I61+'Classified FTEs'!L61+'Classified FTEs'!M61+'Classified FTEs'!N61+'Classified FTEs'!O61</f>
        <v>1</v>
      </c>
      <c r="F23" s="113">
        <v>1</v>
      </c>
      <c r="G23" s="113">
        <f>'Classified FTEs'!E61+'Classified FTEs'!F61+'Classified FTEs'!J61</f>
        <v>1.78</v>
      </c>
      <c r="H23" s="113">
        <v>0.54</v>
      </c>
      <c r="I23" s="113">
        <f>'Classified FTEs'!V61</f>
        <v>0</v>
      </c>
      <c r="J23" s="113">
        <f>'Classified FTEs'!AD61</f>
        <v>1</v>
      </c>
      <c r="K23" s="113">
        <f>'Classified FTEs'!D61</f>
        <v>0</v>
      </c>
      <c r="L23" s="114">
        <f>'Classified FTEs'!T61+'Classified FTEs'!U61+'Classified FTEs'!W61+'Classified FTEs'!X61+'Classified FTEs'!Y61+'Classified FTEs'!AC61+'Classified FTEs'!AE61+'Classified FTEs'!AF61+'Classified FTEs'!AL61</f>
        <v>0.5</v>
      </c>
      <c r="M23" s="114">
        <f>SUM(C23:L23)+SUM('instruction-charters'!C23:N23)</f>
        <v>24.3</v>
      </c>
      <c r="N23" s="109"/>
      <c r="O23" s="17"/>
    </row>
    <row r="24" spans="1:15">
      <c r="A24" s="44" t="s">
        <v>85</v>
      </c>
      <c r="B24" s="94" t="s">
        <v>199</v>
      </c>
      <c r="C24" s="112">
        <v>0</v>
      </c>
      <c r="D24" s="113">
        <f>'Classified FTEs'!H62+'Classified FTEs'!K62</f>
        <v>0</v>
      </c>
      <c r="E24" s="113">
        <f>'Classified FTEs'!I62+'Classified FTEs'!L62+'Classified FTEs'!M62+'Classified FTEs'!N62+'Classified FTEs'!O62</f>
        <v>0.4</v>
      </c>
      <c r="F24" s="113">
        <v>1</v>
      </c>
      <c r="G24" s="113">
        <f>'Classified FTEs'!E62+'Classified FTEs'!F62+'Classified FTEs'!J62</f>
        <v>1.7</v>
      </c>
      <c r="H24" s="113">
        <v>0</v>
      </c>
      <c r="I24" s="113">
        <f>'Classified FTEs'!V62</f>
        <v>0</v>
      </c>
      <c r="J24" s="113">
        <f>'Classified FTEs'!AD62</f>
        <v>0</v>
      </c>
      <c r="K24" s="113">
        <f>'Classified FTEs'!D62</f>
        <v>0</v>
      </c>
      <c r="L24" s="114">
        <f>'Classified FTEs'!T62+'Classified FTEs'!U62+'Classified FTEs'!W62+'Classified FTEs'!X62+'Classified FTEs'!Y62+'Classified FTEs'!AC62+'Classified FTEs'!AE62+'Classified FTEs'!AF62+'Classified FTEs'!AL62</f>
        <v>3</v>
      </c>
      <c r="M24" s="114">
        <f>SUM(C24:L24)+SUM('instruction-charters'!C24:N24)</f>
        <v>31.43</v>
      </c>
      <c r="N24" s="109"/>
      <c r="O24" s="17"/>
    </row>
    <row r="25" spans="1:15">
      <c r="A25" s="44">
        <v>98</v>
      </c>
      <c r="B25" s="98" t="s">
        <v>200</v>
      </c>
      <c r="C25" s="112">
        <v>0</v>
      </c>
      <c r="D25" s="113">
        <f>'Classified FTEs'!H63+'Classified FTEs'!K63</f>
        <v>1</v>
      </c>
      <c r="E25" s="113">
        <f>'Classified FTEs'!I63+'Classified FTEs'!L63+'Classified FTEs'!M63+'Classified FTEs'!N63+'Classified FTEs'!O63</f>
        <v>2</v>
      </c>
      <c r="F25" s="113">
        <v>0.9</v>
      </c>
      <c r="G25" s="113">
        <f>'Classified FTEs'!E63+'Classified FTEs'!F63+'Classified FTEs'!J63</f>
        <v>0</v>
      </c>
      <c r="H25" s="113">
        <v>0</v>
      </c>
      <c r="I25" s="113">
        <f>'Classified FTEs'!V63</f>
        <v>0</v>
      </c>
      <c r="J25" s="113">
        <f>'Classified FTEs'!AD63</f>
        <v>0</v>
      </c>
      <c r="K25" s="113">
        <f>'Classified FTEs'!D63</f>
        <v>0</v>
      </c>
      <c r="L25" s="114">
        <f>'Classified FTEs'!T63+'Classified FTEs'!U63+'Classified FTEs'!W63+'Classified FTEs'!X63+'Classified FTEs'!Y63+'Classified FTEs'!AC63+'Classified FTEs'!AE63+'Classified FTEs'!AF63+'Classified FTEs'!AL63</f>
        <v>1</v>
      </c>
      <c r="M25" s="114">
        <f>SUM(C25:L25)+SUM('instruction-charters'!C25:N25)</f>
        <v>23</v>
      </c>
      <c r="N25" s="109"/>
      <c r="O25" s="17"/>
    </row>
    <row r="26" spans="1:15">
      <c r="A26" s="44">
        <v>82</v>
      </c>
      <c r="B26" s="94" t="s">
        <v>201</v>
      </c>
      <c r="C26" s="122">
        <v>0</v>
      </c>
      <c r="D26" s="119">
        <f>'Classified FTEs'!H64+'Classified FTEs'!K64</f>
        <v>1</v>
      </c>
      <c r="E26" s="119">
        <f>'Classified FTEs'!I64+'Classified FTEs'!L64+'Classified FTEs'!M64+'Classified FTEs'!N64+'Classified FTEs'!O64</f>
        <v>0.5</v>
      </c>
      <c r="F26" s="119">
        <v>2</v>
      </c>
      <c r="G26" s="119">
        <f>'Classified FTEs'!E64+'Classified FTEs'!F64+'Classified FTEs'!J64</f>
        <v>2</v>
      </c>
      <c r="H26" s="119">
        <v>0.25</v>
      </c>
      <c r="I26" s="119">
        <f>'Classified FTEs'!V64</f>
        <v>0</v>
      </c>
      <c r="J26" s="119">
        <f>'Classified FTEs'!AD64</f>
        <v>0</v>
      </c>
      <c r="K26" s="119">
        <f>'Classified FTEs'!D64</f>
        <v>0</v>
      </c>
      <c r="L26" s="120">
        <f>'Classified FTEs'!T64+'Classified FTEs'!U64+'Classified FTEs'!W64+'Classified FTEs'!X64+'Classified FTEs'!Y64+'Classified FTEs'!AC64+'Classified FTEs'!AE64+'Classified FTEs'!AF64+'Classified FTEs'!AL64</f>
        <v>8.6900000000000013</v>
      </c>
      <c r="M26" s="120">
        <f>SUM(C26:L26)+SUM('instruction-charters'!C26:N26)</f>
        <v>56.31</v>
      </c>
      <c r="N26" s="109"/>
      <c r="O26" s="17"/>
    </row>
    <row r="27" spans="1:15">
      <c r="A27" s="44" t="s">
        <v>300</v>
      </c>
      <c r="B27" s="94" t="s">
        <v>375</v>
      </c>
      <c r="C27" s="112">
        <v>0</v>
      </c>
      <c r="D27" s="113">
        <f>'Classified FTEs'!H65+'Classified FTEs'!K65</f>
        <v>0</v>
      </c>
      <c r="E27" s="113">
        <f>'Classified FTEs'!I65+'Classified FTEs'!L65+'Classified FTEs'!M65+'Classified FTEs'!N65+'Classified FTEs'!O65</f>
        <v>2</v>
      </c>
      <c r="F27" s="113">
        <v>1</v>
      </c>
      <c r="G27" s="113">
        <f>'Classified FTEs'!E65+'Classified FTEs'!F65+'Classified FTEs'!J65</f>
        <v>0</v>
      </c>
      <c r="H27" s="113">
        <v>0</v>
      </c>
      <c r="I27" s="113">
        <f>'Classified FTEs'!V65</f>
        <v>0</v>
      </c>
      <c r="J27" s="113">
        <f>'Classified FTEs'!AD65</f>
        <v>0</v>
      </c>
      <c r="K27" s="113">
        <f>'Classified FTEs'!D65</f>
        <v>0.79</v>
      </c>
      <c r="L27" s="114">
        <f>'Classified FTEs'!T65+'Classified FTEs'!U65+'Classified FTEs'!W65+'Classified FTEs'!X65+'Classified FTEs'!Y65+'Classified FTEs'!AC65+'Classified FTEs'!AE65+'Classified FTEs'!AF65+'Classified FTEs'!AL65</f>
        <v>1.96</v>
      </c>
      <c r="M27" s="114">
        <f>SUM(C27:L27)+SUM('instruction-charters'!C27:N27)</f>
        <v>56.68</v>
      </c>
      <c r="N27" s="109"/>
      <c r="O27" s="17"/>
    </row>
    <row r="28" spans="1:15">
      <c r="A28" s="44" t="s">
        <v>86</v>
      </c>
      <c r="B28" s="94" t="s">
        <v>202</v>
      </c>
      <c r="C28" s="112">
        <v>0</v>
      </c>
      <c r="D28" s="113">
        <f>'Classified FTEs'!H66+'Classified FTEs'!K66</f>
        <v>0</v>
      </c>
      <c r="E28" s="113">
        <f>'Classified FTEs'!I66+'Classified FTEs'!L66+'Classified FTEs'!M66+'Classified FTEs'!N66+'Classified FTEs'!O66</f>
        <v>1.0900000000000001</v>
      </c>
      <c r="F28" s="113">
        <v>1.3</v>
      </c>
      <c r="G28" s="113">
        <f>'Classified FTEs'!E66+'Classified FTEs'!F66+'Classified FTEs'!J66</f>
        <v>0.13</v>
      </c>
      <c r="H28" s="113">
        <v>0</v>
      </c>
      <c r="I28" s="113">
        <f>'Classified FTEs'!V66</f>
        <v>0</v>
      </c>
      <c r="J28" s="113">
        <f>'Classified FTEs'!AD66</f>
        <v>0</v>
      </c>
      <c r="K28" s="113">
        <f>'Classified FTEs'!D66</f>
        <v>0</v>
      </c>
      <c r="L28" s="114">
        <f>'Classified FTEs'!T66+'Classified FTEs'!U66+'Classified FTEs'!W66+'Classified FTEs'!X66+'Classified FTEs'!Y66+'Classified FTEs'!AC66+'Classified FTEs'!AE66+'Classified FTEs'!AF66+'Classified FTEs'!AL66</f>
        <v>1</v>
      </c>
      <c r="M28" s="114">
        <f>SUM(C28:L28)+SUM('instruction-charters'!C28:N28)</f>
        <v>29.15</v>
      </c>
      <c r="N28" s="109"/>
      <c r="O28" s="17"/>
    </row>
    <row r="29" spans="1:15">
      <c r="A29" s="44" t="s">
        <v>88</v>
      </c>
      <c r="B29" s="94" t="s">
        <v>203</v>
      </c>
      <c r="C29" s="112">
        <v>0</v>
      </c>
      <c r="D29" s="113">
        <f>'Classified FTEs'!H67+'Classified FTEs'!K67</f>
        <v>0.83000000000000007</v>
      </c>
      <c r="E29" s="113">
        <f>'Classified FTEs'!I67+'Classified FTEs'!L67+'Classified FTEs'!M67+'Classified FTEs'!N67+'Classified FTEs'!O67</f>
        <v>0.75</v>
      </c>
      <c r="F29" s="113">
        <v>1</v>
      </c>
      <c r="G29" s="113">
        <f>'Classified FTEs'!E67+'Classified FTEs'!F67+'Classified FTEs'!J67</f>
        <v>1.25</v>
      </c>
      <c r="H29" s="113">
        <v>0</v>
      </c>
      <c r="I29" s="113">
        <f>'Classified FTEs'!V67</f>
        <v>0</v>
      </c>
      <c r="J29" s="113">
        <f>'Classified FTEs'!AD67</f>
        <v>0</v>
      </c>
      <c r="K29" s="113">
        <f>'Classified FTEs'!D67</f>
        <v>0</v>
      </c>
      <c r="L29" s="114">
        <f>'Classified FTEs'!T67+'Classified FTEs'!U67+'Classified FTEs'!W67+'Classified FTEs'!X67+'Classified FTEs'!Y67+'Classified FTEs'!AC67+'Classified FTEs'!AE67+'Classified FTEs'!AF67+'Classified FTEs'!AL67</f>
        <v>2.88</v>
      </c>
      <c r="M29" s="114">
        <f>SUM(C29:L29)+SUM('instruction-charters'!C29:N29)</f>
        <v>15.61</v>
      </c>
      <c r="N29" s="109"/>
      <c r="O29" s="17"/>
    </row>
    <row r="30" spans="1:15">
      <c r="A30" s="44" t="s">
        <v>90</v>
      </c>
      <c r="B30" s="94" t="s">
        <v>204</v>
      </c>
      <c r="C30" s="112">
        <v>0</v>
      </c>
      <c r="D30" s="113">
        <f>'Classified FTEs'!H68+'Classified FTEs'!K68</f>
        <v>0.3</v>
      </c>
      <c r="E30" s="113">
        <f>'Classified FTEs'!I68+'Classified FTEs'!L68+'Classified FTEs'!M68+'Classified FTEs'!N68+'Classified FTEs'!O68</f>
        <v>0</v>
      </c>
      <c r="F30" s="113">
        <v>1</v>
      </c>
      <c r="G30" s="113">
        <f>'Classified FTEs'!E68+'Classified FTEs'!F68+'Classified FTEs'!J68</f>
        <v>0.69</v>
      </c>
      <c r="H30" s="113">
        <v>0</v>
      </c>
      <c r="I30" s="113">
        <f>'Classified FTEs'!V68</f>
        <v>0</v>
      </c>
      <c r="J30" s="113">
        <f>'Classified FTEs'!AD68</f>
        <v>0</v>
      </c>
      <c r="K30" s="113">
        <f>'Classified FTEs'!D68</f>
        <v>0</v>
      </c>
      <c r="L30" s="114">
        <f>'Classified FTEs'!T68+'Classified FTEs'!U68+'Classified FTEs'!W68+'Classified FTEs'!X68+'Classified FTEs'!Y68+'Classified FTEs'!AC68+'Classified FTEs'!AE68+'Classified FTEs'!AF68+'Classified FTEs'!AL68</f>
        <v>1.06</v>
      </c>
      <c r="M30" s="114">
        <f>SUM(C30:L30)+SUM('instruction-charters'!C30:N30)</f>
        <v>11.920000000000002</v>
      </c>
      <c r="N30" s="109"/>
      <c r="O30" s="17"/>
    </row>
    <row r="31" spans="1:15">
      <c r="A31" s="44" t="s">
        <v>92</v>
      </c>
      <c r="B31" s="110" t="s">
        <v>205</v>
      </c>
      <c r="C31" s="122">
        <v>0</v>
      </c>
      <c r="D31" s="119">
        <f>'Classified FTEs'!H69+'Classified FTEs'!K69</f>
        <v>0</v>
      </c>
      <c r="E31" s="119">
        <f>'Classified FTEs'!I69+'Classified FTEs'!L69+'Classified FTEs'!M69+'Classified FTEs'!N69+'Classified FTEs'!O69</f>
        <v>0</v>
      </c>
      <c r="F31" s="119">
        <v>1</v>
      </c>
      <c r="G31" s="119">
        <f>'Classified FTEs'!E69+'Classified FTEs'!F69+'Classified FTEs'!J69</f>
        <v>3</v>
      </c>
      <c r="H31" s="119">
        <v>0</v>
      </c>
      <c r="I31" s="119">
        <f>'Classified FTEs'!V69</f>
        <v>0</v>
      </c>
      <c r="J31" s="119">
        <f>'Classified FTEs'!AD69</f>
        <v>0</v>
      </c>
      <c r="K31" s="119">
        <f>'Classified FTEs'!D69</f>
        <v>0</v>
      </c>
      <c r="L31" s="120">
        <f>'Classified FTEs'!T69+'Classified FTEs'!U69+'Classified FTEs'!W69+'Classified FTEs'!X69+'Classified FTEs'!Y69+'Classified FTEs'!AC69+'Classified FTEs'!AE69+'Classified FTEs'!AF69+'Classified FTEs'!AL69</f>
        <v>0</v>
      </c>
      <c r="M31" s="120">
        <f>SUM(C31:L31)+SUM('instruction-charters'!C31:N31)</f>
        <v>16.380000000000003</v>
      </c>
      <c r="N31" s="109"/>
      <c r="O31" s="17"/>
    </row>
    <row r="32" spans="1:15">
      <c r="A32" s="44">
        <v>93</v>
      </c>
      <c r="B32" s="94" t="s">
        <v>94</v>
      </c>
      <c r="C32" s="112">
        <v>0</v>
      </c>
      <c r="D32" s="113">
        <f>'Classified FTEs'!H70+'Classified FTEs'!K70</f>
        <v>1</v>
      </c>
      <c r="E32" s="113">
        <f>'Classified FTEs'!I70+'Classified FTEs'!L70+'Classified FTEs'!M70+'Classified FTEs'!N70+'Classified FTEs'!O70</f>
        <v>0</v>
      </c>
      <c r="F32" s="113">
        <v>1</v>
      </c>
      <c r="G32" s="113">
        <f>'Classified FTEs'!E70+'Classified FTEs'!F70+'Classified FTEs'!J70</f>
        <v>1</v>
      </c>
      <c r="H32" s="113">
        <v>0.04</v>
      </c>
      <c r="I32" s="113">
        <f>'Classified FTEs'!V70</f>
        <v>0</v>
      </c>
      <c r="J32" s="113">
        <f>'Classified FTEs'!AD70</f>
        <v>0</v>
      </c>
      <c r="K32" s="113">
        <f>'Classified FTEs'!D70</f>
        <v>0</v>
      </c>
      <c r="L32" s="114">
        <f>'Classified FTEs'!T70+'Classified FTEs'!U70+'Classified FTEs'!W70+'Classified FTEs'!X70+'Classified FTEs'!Y70+'Classified FTEs'!AC70+'Classified FTEs'!AE70+'Classified FTEs'!AF70+'Classified FTEs'!AL70</f>
        <v>0</v>
      </c>
      <c r="M32" s="114">
        <f>SUM(C32:L32)+SUM('instruction-charters'!C32:N32)</f>
        <v>20.3</v>
      </c>
      <c r="N32" s="109"/>
      <c r="O32" s="17"/>
    </row>
    <row r="33" spans="1:15">
      <c r="A33" s="44" t="s">
        <v>99</v>
      </c>
      <c r="B33" s="94" t="s">
        <v>384</v>
      </c>
      <c r="C33" s="112">
        <v>0</v>
      </c>
      <c r="D33" s="113">
        <f>'Classified FTEs'!H71+'Classified FTEs'!K71</f>
        <v>0</v>
      </c>
      <c r="E33" s="113">
        <f>'Classified FTEs'!I71+'Classified FTEs'!L71+'Classified FTEs'!M71+'Classified FTEs'!N71+'Classified FTEs'!O71</f>
        <v>0.85000000000000009</v>
      </c>
      <c r="F33" s="113">
        <v>0.9</v>
      </c>
      <c r="G33" s="113">
        <f>'Classified FTEs'!E71+'Classified FTEs'!F71+'Classified FTEs'!J71</f>
        <v>1.8</v>
      </c>
      <c r="H33" s="113">
        <v>0</v>
      </c>
      <c r="I33" s="113">
        <f>'Classified FTEs'!V71</f>
        <v>0</v>
      </c>
      <c r="J33" s="113">
        <f>'Classified FTEs'!AD71</f>
        <v>0</v>
      </c>
      <c r="K33" s="113">
        <f>'Classified FTEs'!D71</f>
        <v>0</v>
      </c>
      <c r="L33" s="114">
        <f>'Classified FTEs'!T71+'Classified FTEs'!U71+'Classified FTEs'!W71+'Classified FTEs'!X71+'Classified FTEs'!Y71+'Classified FTEs'!AC71+'Classified FTEs'!AE71+'Classified FTEs'!AF71+'Classified FTEs'!AL71</f>
        <v>0</v>
      </c>
      <c r="M33" s="114">
        <f>SUM(C33:L33)+SUM('instruction-charters'!C33:N33)</f>
        <v>18.62</v>
      </c>
      <c r="N33" s="109"/>
      <c r="O33" s="17"/>
    </row>
    <row r="34" spans="1:15">
      <c r="A34" s="44" t="s">
        <v>95</v>
      </c>
      <c r="B34" s="94" t="s">
        <v>207</v>
      </c>
      <c r="C34" s="112">
        <v>0</v>
      </c>
      <c r="D34" s="113">
        <f>'Classified FTEs'!H72+'Classified FTEs'!K72</f>
        <v>2</v>
      </c>
      <c r="E34" s="113">
        <f>'Classified FTEs'!I72+'Classified FTEs'!L72+'Classified FTEs'!M72+'Classified FTEs'!N72+'Classified FTEs'!O72</f>
        <v>0</v>
      </c>
      <c r="F34" s="113">
        <v>2</v>
      </c>
      <c r="G34" s="113">
        <f>'Classified FTEs'!E72+'Classified FTEs'!F72+'Classified FTEs'!J72</f>
        <v>2.5</v>
      </c>
      <c r="H34" s="113">
        <v>0</v>
      </c>
      <c r="I34" s="113">
        <f>'Classified FTEs'!V72</f>
        <v>0</v>
      </c>
      <c r="J34" s="113">
        <f>'Classified FTEs'!AD72</f>
        <v>0</v>
      </c>
      <c r="K34" s="113">
        <f>'Classified FTEs'!D72</f>
        <v>0</v>
      </c>
      <c r="L34" s="114">
        <f>'Classified FTEs'!T72+'Classified FTEs'!U72+'Classified FTEs'!W72+'Classified FTEs'!X72+'Classified FTEs'!Y72+'Classified FTEs'!AC72+'Classified FTEs'!AE72+'Classified FTEs'!AF72+'Classified FTEs'!AL72</f>
        <v>5</v>
      </c>
      <c r="M34" s="114">
        <f>SUM(C34:L34)+SUM('instruction-charters'!C34:N34)</f>
        <v>68.47999999999999</v>
      </c>
      <c r="N34" s="109"/>
      <c r="O34" s="17"/>
    </row>
    <row r="35" spans="1:15">
      <c r="A35" s="44" t="s">
        <v>96</v>
      </c>
      <c r="B35" s="98" t="s">
        <v>208</v>
      </c>
      <c r="C35" s="117">
        <v>0.14000000000000001</v>
      </c>
      <c r="D35" s="118">
        <f>'Classified FTEs'!H73+'Classified FTEs'!K73</f>
        <v>4</v>
      </c>
      <c r="E35" s="118">
        <f>'Classified FTEs'!I73+'Classified FTEs'!L73+'Classified FTEs'!M73+'Classified FTEs'!N73+'Classified FTEs'!O73</f>
        <v>4</v>
      </c>
      <c r="F35" s="118">
        <v>1</v>
      </c>
      <c r="G35" s="118">
        <f>'Classified FTEs'!E73+'Classified FTEs'!F73+'Classified FTEs'!J73</f>
        <v>1</v>
      </c>
      <c r="H35" s="118">
        <v>0</v>
      </c>
      <c r="I35" s="118">
        <f>'Classified FTEs'!V73</f>
        <v>0</v>
      </c>
      <c r="J35" s="118">
        <f>'Classified FTEs'!AD73</f>
        <v>0</v>
      </c>
      <c r="K35" s="118">
        <f>'Classified FTEs'!D73</f>
        <v>0</v>
      </c>
      <c r="L35" s="124">
        <f>'Classified FTEs'!T73+'Classified FTEs'!U73+'Classified FTEs'!W73+'Classified FTEs'!X73+'Classified FTEs'!Y73+'Classified FTEs'!AC73+'Classified FTEs'!AE73+'Classified FTEs'!AF73+'Classified FTEs'!AL73</f>
        <v>3.4</v>
      </c>
      <c r="M35" s="124">
        <f>SUM(C35:L35)+SUM('instruction-charters'!C35:N35)</f>
        <v>59.910000000000004</v>
      </c>
      <c r="N35" s="109"/>
      <c r="O35" s="17"/>
    </row>
    <row r="36" spans="1:15">
      <c r="A36" s="44" t="s">
        <v>97</v>
      </c>
      <c r="B36" s="94" t="s">
        <v>209</v>
      </c>
      <c r="C36" s="112">
        <v>0</v>
      </c>
      <c r="D36" s="113">
        <f>'Classified FTEs'!H74+'Classified FTEs'!K74</f>
        <v>0.5</v>
      </c>
      <c r="E36" s="113">
        <f>'Classified FTEs'!I74+'Classified FTEs'!L74+'Classified FTEs'!M74+'Classified FTEs'!N74+'Classified FTEs'!O74</f>
        <v>0</v>
      </c>
      <c r="F36" s="113">
        <v>0.5</v>
      </c>
      <c r="G36" s="113">
        <f>'Classified FTEs'!E74+'Classified FTEs'!F74+'Classified FTEs'!J74</f>
        <v>2</v>
      </c>
      <c r="H36" s="113">
        <v>0</v>
      </c>
      <c r="I36" s="113">
        <f>'Classified FTEs'!V74</f>
        <v>0</v>
      </c>
      <c r="J36" s="113">
        <f>'Classified FTEs'!AD74</f>
        <v>0</v>
      </c>
      <c r="K36" s="113">
        <f>'Classified FTEs'!D74</f>
        <v>0</v>
      </c>
      <c r="L36" s="114">
        <f>'Classified FTEs'!T74+'Classified FTEs'!U74+'Classified FTEs'!W74+'Classified FTEs'!X74+'Classified FTEs'!Y74+'Classified FTEs'!AC74+'Classified FTEs'!AE74+'Classified FTEs'!AF74+'Classified FTEs'!AL74</f>
        <v>1</v>
      </c>
      <c r="M36" s="114">
        <f>SUM(C36:L36)+SUM('instruction-charters'!C36:N36)</f>
        <v>29.949999999999996</v>
      </c>
      <c r="N36" s="109"/>
      <c r="O36" s="17"/>
    </row>
    <row r="37" spans="1:15">
      <c r="A37" s="44" t="s">
        <v>98</v>
      </c>
      <c r="B37" s="94" t="s">
        <v>210</v>
      </c>
      <c r="C37" s="112">
        <v>0.5</v>
      </c>
      <c r="D37" s="113">
        <f>'Classified FTEs'!H75+'Classified FTEs'!K75</f>
        <v>1</v>
      </c>
      <c r="E37" s="113">
        <f>'Classified FTEs'!I75+'Classified FTEs'!L75+'Classified FTEs'!M75+'Classified FTEs'!N75+'Classified FTEs'!O75</f>
        <v>1.2</v>
      </c>
      <c r="F37" s="113">
        <v>1</v>
      </c>
      <c r="G37" s="113">
        <f>'Classified FTEs'!E75+'Classified FTEs'!F75+'Classified FTEs'!J75</f>
        <v>1.9</v>
      </c>
      <c r="H37" s="113">
        <v>0.44</v>
      </c>
      <c r="I37" s="113">
        <f>'Classified FTEs'!V75</f>
        <v>0</v>
      </c>
      <c r="J37" s="113">
        <f>'Classified FTEs'!AD75</f>
        <v>0</v>
      </c>
      <c r="K37" s="113">
        <f>'Classified FTEs'!D75</f>
        <v>0</v>
      </c>
      <c r="L37" s="114">
        <f>'Classified FTEs'!T75+'Classified FTEs'!U75+'Classified FTEs'!W75+'Classified FTEs'!X75+'Classified FTEs'!Y75+'Classified FTEs'!AC75+'Classified FTEs'!AE75+'Classified FTEs'!AF75+'Classified FTEs'!AL75</f>
        <v>0</v>
      </c>
      <c r="M37" s="114">
        <f>SUM(C37:L37)+SUM('instruction-charters'!C37:N37)</f>
        <v>50.38</v>
      </c>
      <c r="N37" s="109"/>
      <c r="O37" s="17"/>
    </row>
    <row r="38" spans="1:15">
      <c r="A38" s="44" t="s">
        <v>312</v>
      </c>
      <c r="B38" s="94" t="s">
        <v>367</v>
      </c>
      <c r="C38" s="112">
        <v>0</v>
      </c>
      <c r="D38" s="113">
        <f>'Classified FTEs'!H76+'Classified FTEs'!K76</f>
        <v>0</v>
      </c>
      <c r="E38" s="113">
        <f>'Classified FTEs'!I76+'Classified FTEs'!L76+'Classified FTEs'!M76+'Classified FTEs'!N76+'Classified FTEs'!O76</f>
        <v>0</v>
      </c>
      <c r="F38" s="113">
        <v>0</v>
      </c>
      <c r="G38" s="113">
        <f>'Classified FTEs'!E76+'Classified FTEs'!F76+'Classified FTEs'!J76</f>
        <v>0</v>
      </c>
      <c r="H38" s="113">
        <v>0</v>
      </c>
      <c r="I38" s="113">
        <f>'Classified FTEs'!V76</f>
        <v>0</v>
      </c>
      <c r="J38" s="113">
        <f>'Classified FTEs'!AD76</f>
        <v>0</v>
      </c>
      <c r="K38" s="113">
        <f>'Classified FTEs'!D76</f>
        <v>0</v>
      </c>
      <c r="L38" s="114">
        <f>'Classified FTEs'!T76+'Classified FTEs'!U76+'Classified FTEs'!W76+'Classified FTEs'!X76+'Classified FTEs'!Y76+'Classified FTEs'!AC76+'Classified FTEs'!AE76+'Classified FTEs'!AF76+'Classified FTEs'!AL76</f>
        <v>0</v>
      </c>
      <c r="M38" s="114">
        <f>SUM(C38:L38)+SUM('instruction-charters'!C38:N38)</f>
        <v>21.25</v>
      </c>
      <c r="N38" s="109"/>
      <c r="O38" s="17"/>
    </row>
    <row r="39" spans="1:15">
      <c r="A39" s="44" t="s">
        <v>100</v>
      </c>
      <c r="B39" s="94" t="s">
        <v>211</v>
      </c>
      <c r="C39" s="112">
        <v>0</v>
      </c>
      <c r="D39" s="113">
        <f>'Classified FTEs'!H77+'Classified FTEs'!K77</f>
        <v>0</v>
      </c>
      <c r="E39" s="113">
        <f>'Classified FTEs'!I77+'Classified FTEs'!L77+'Classified FTEs'!M77+'Classified FTEs'!N77+'Classified FTEs'!O77</f>
        <v>1.5</v>
      </c>
      <c r="F39" s="113">
        <v>1</v>
      </c>
      <c r="G39" s="113">
        <f>'Classified FTEs'!E77+'Classified FTEs'!F77+'Classified FTEs'!J77</f>
        <v>0</v>
      </c>
      <c r="H39" s="113">
        <v>0</v>
      </c>
      <c r="I39" s="113">
        <f>'Classified FTEs'!V77</f>
        <v>0</v>
      </c>
      <c r="J39" s="113">
        <f>'Classified FTEs'!AD77</f>
        <v>0</v>
      </c>
      <c r="K39" s="113">
        <f>'Classified FTEs'!D77</f>
        <v>0</v>
      </c>
      <c r="L39" s="114">
        <f>'Classified FTEs'!T77+'Classified FTEs'!U77+'Classified FTEs'!W77+'Classified FTEs'!X77+'Classified FTEs'!Y77+'Classified FTEs'!AC77+'Classified FTEs'!AE77+'Classified FTEs'!AF77+'Classified FTEs'!AL77</f>
        <v>0.88</v>
      </c>
      <c r="M39" s="114">
        <f>SUM(C39:L39)+SUM('instruction-charters'!C39:N39)</f>
        <v>9.5</v>
      </c>
      <c r="N39" s="109"/>
      <c r="O39" s="17"/>
    </row>
    <row r="40" spans="1:15">
      <c r="A40" s="44" t="s">
        <v>101</v>
      </c>
      <c r="B40" s="94" t="s">
        <v>212</v>
      </c>
      <c r="C40" s="112">
        <v>0</v>
      </c>
      <c r="D40" s="113">
        <f>'Classified FTEs'!H78+'Classified FTEs'!K78</f>
        <v>1</v>
      </c>
      <c r="E40" s="113">
        <f>'Classified FTEs'!I78+'Classified FTEs'!L78+'Classified FTEs'!M78+'Classified FTEs'!N78+'Classified FTEs'!O78</f>
        <v>0</v>
      </c>
      <c r="F40" s="113">
        <v>0.32</v>
      </c>
      <c r="G40" s="113">
        <f>'Classified FTEs'!E78+'Classified FTEs'!F78+'Classified FTEs'!J78</f>
        <v>2.9</v>
      </c>
      <c r="H40" s="113">
        <v>0</v>
      </c>
      <c r="I40" s="113">
        <f>'Classified FTEs'!V78</f>
        <v>0</v>
      </c>
      <c r="J40" s="113">
        <f>'Classified FTEs'!AD78</f>
        <v>1</v>
      </c>
      <c r="K40" s="113">
        <f>'Classified FTEs'!D78</f>
        <v>0</v>
      </c>
      <c r="L40" s="114">
        <f>'Classified FTEs'!T78+'Classified FTEs'!U78+'Classified FTEs'!W78+'Classified FTEs'!X78+'Classified FTEs'!Y78+'Classified FTEs'!AC78+'Classified FTEs'!AE78+'Classified FTEs'!AF78+'Classified FTEs'!AL78</f>
        <v>5.91</v>
      </c>
      <c r="M40" s="114">
        <f>SUM(C40:L40)+SUM('instruction-charters'!C40:N40)</f>
        <v>50.679999999999993</v>
      </c>
      <c r="N40" s="109"/>
      <c r="O40" s="17"/>
    </row>
    <row r="41" spans="1:15">
      <c r="A41" s="44" t="s">
        <v>103</v>
      </c>
      <c r="B41" s="110" t="s">
        <v>213</v>
      </c>
      <c r="C41" s="122">
        <v>0.36</v>
      </c>
      <c r="D41" s="119">
        <f>'Classified FTEs'!H79+'Classified FTEs'!K79</f>
        <v>0</v>
      </c>
      <c r="E41" s="119">
        <f>'Classified FTEs'!I79+'Classified FTEs'!L79+'Classified FTEs'!M79+'Classified FTEs'!N79+'Classified FTEs'!O79</f>
        <v>1</v>
      </c>
      <c r="F41" s="119">
        <v>0</v>
      </c>
      <c r="G41" s="119">
        <f>'Classified FTEs'!E79+'Classified FTEs'!F79+'Classified FTEs'!J79</f>
        <v>2.5</v>
      </c>
      <c r="H41" s="119">
        <v>0</v>
      </c>
      <c r="I41" s="119">
        <f>'Classified FTEs'!V79</f>
        <v>0</v>
      </c>
      <c r="J41" s="119">
        <f>'Classified FTEs'!AD79</f>
        <v>0</v>
      </c>
      <c r="K41" s="119">
        <f>'Classified FTEs'!D79</f>
        <v>0</v>
      </c>
      <c r="L41" s="120">
        <f>'Classified FTEs'!T79+'Classified FTEs'!U79+'Classified FTEs'!W79+'Classified FTEs'!X79+'Classified FTEs'!Y79+'Classified FTEs'!AC79+'Classified FTEs'!AE79+'Classified FTEs'!AF79+'Classified FTEs'!AL79</f>
        <v>3</v>
      </c>
      <c r="M41" s="120">
        <f>SUM(C41:L41)+SUM('instruction-charters'!C41:N41)</f>
        <v>42.03</v>
      </c>
      <c r="N41" s="109"/>
      <c r="O41" s="17"/>
    </row>
    <row r="42" spans="1:15">
      <c r="A42" s="44" t="s">
        <v>105</v>
      </c>
      <c r="B42" s="94" t="s">
        <v>214</v>
      </c>
      <c r="C42" s="112">
        <v>0.94</v>
      </c>
      <c r="D42" s="113">
        <f>'Classified FTEs'!H80+'Classified FTEs'!K80</f>
        <v>0</v>
      </c>
      <c r="E42" s="113">
        <f>'Classified FTEs'!I80+'Classified FTEs'!L80+'Classified FTEs'!M80+'Classified FTEs'!N80+'Classified FTEs'!O80</f>
        <v>0</v>
      </c>
      <c r="F42" s="113">
        <v>1</v>
      </c>
      <c r="G42" s="113">
        <f>'Classified FTEs'!E80+'Classified FTEs'!F80+'Classified FTEs'!J80</f>
        <v>1.74</v>
      </c>
      <c r="H42" s="113">
        <v>0.4</v>
      </c>
      <c r="I42" s="113">
        <f>'Classified FTEs'!V80</f>
        <v>0</v>
      </c>
      <c r="J42" s="113">
        <f>'Classified FTEs'!AD80</f>
        <v>0</v>
      </c>
      <c r="K42" s="113">
        <f>'Classified FTEs'!D80</f>
        <v>3.18</v>
      </c>
      <c r="L42" s="114">
        <f>'Classified FTEs'!T80+'Classified FTEs'!U80+'Classified FTEs'!W80+'Classified FTEs'!X80+'Classified FTEs'!Y80+'Classified FTEs'!AC80+'Classified FTEs'!AE80+'Classified FTEs'!AF80+'Classified FTEs'!AL80</f>
        <v>1.94</v>
      </c>
      <c r="M42" s="114">
        <f>SUM(C42:L42)+SUM('instruction-charters'!C42:N42)</f>
        <v>48.86</v>
      </c>
      <c r="N42" s="109"/>
      <c r="O42" s="17"/>
    </row>
    <row r="43" spans="1:15">
      <c r="A43" s="44" t="s">
        <v>107</v>
      </c>
      <c r="B43" s="94" t="s">
        <v>215</v>
      </c>
      <c r="C43" s="112">
        <v>0</v>
      </c>
      <c r="D43" s="113">
        <f>'Classified FTEs'!H81+'Classified FTEs'!K81</f>
        <v>0.7</v>
      </c>
      <c r="E43" s="113">
        <f>'Classified FTEs'!I81+'Classified FTEs'!L81+'Classified FTEs'!M81+'Classified FTEs'!N81+'Classified FTEs'!O81</f>
        <v>0</v>
      </c>
      <c r="F43" s="113">
        <v>1</v>
      </c>
      <c r="G43" s="113">
        <f>'Classified FTEs'!E81+'Classified FTEs'!F81+'Classified FTEs'!J81</f>
        <v>2.6</v>
      </c>
      <c r="H43" s="113">
        <v>0.31</v>
      </c>
      <c r="I43" s="113">
        <f>'Classified FTEs'!V81</f>
        <v>0</v>
      </c>
      <c r="J43" s="113">
        <f>'Classified FTEs'!AD81</f>
        <v>0.2</v>
      </c>
      <c r="K43" s="113">
        <f>'Classified FTEs'!D81</f>
        <v>0.1</v>
      </c>
      <c r="L43" s="114">
        <f>'Classified FTEs'!T81+'Classified FTEs'!U81+'Classified FTEs'!W81+'Classified FTEs'!X81+'Classified FTEs'!Y81+'Classified FTEs'!AC81+'Classified FTEs'!AE81+'Classified FTEs'!AF81+'Classified FTEs'!AL81</f>
        <v>0</v>
      </c>
      <c r="M43" s="114">
        <f>SUM(C43:L43)+SUM('instruction-charters'!C43:N43)</f>
        <v>36.339999999999996</v>
      </c>
      <c r="N43" s="109"/>
      <c r="O43" s="17"/>
    </row>
    <row r="44" spans="1:15">
      <c r="A44" s="44" t="s">
        <v>109</v>
      </c>
      <c r="B44" s="94" t="s">
        <v>216</v>
      </c>
      <c r="C44" s="112">
        <v>0</v>
      </c>
      <c r="D44" s="113">
        <f>'Classified FTEs'!H82+'Classified FTEs'!K82</f>
        <v>0</v>
      </c>
      <c r="E44" s="113">
        <f>'Classified FTEs'!I82+'Classified FTEs'!L82+'Classified FTEs'!M82+'Classified FTEs'!N82+'Classified FTEs'!O82</f>
        <v>0</v>
      </c>
      <c r="F44" s="113">
        <v>2</v>
      </c>
      <c r="G44" s="113">
        <f>'Classified FTEs'!E82+'Classified FTEs'!F82+'Classified FTEs'!J82</f>
        <v>3.53</v>
      </c>
      <c r="H44" s="113">
        <v>0</v>
      </c>
      <c r="I44" s="113">
        <f>'Classified FTEs'!V82</f>
        <v>0</v>
      </c>
      <c r="J44" s="113">
        <f>'Classified FTEs'!AD82</f>
        <v>1</v>
      </c>
      <c r="K44" s="113">
        <f>'Classified FTEs'!D82</f>
        <v>0</v>
      </c>
      <c r="L44" s="114">
        <f>'Classified FTEs'!T82+'Classified FTEs'!U82+'Classified FTEs'!W82+'Classified FTEs'!X82+'Classified FTEs'!Y82+'Classified FTEs'!AC82+'Classified FTEs'!AE82+'Classified FTEs'!AF82+'Classified FTEs'!AL82</f>
        <v>7.2799999999999994</v>
      </c>
      <c r="M44" s="114">
        <f>SUM(C44:L44)+SUM('instruction-charters'!C44:N44)</f>
        <v>58.11999999999999</v>
      </c>
      <c r="N44" s="109"/>
      <c r="O44" s="17"/>
    </row>
    <row r="45" spans="1:15">
      <c r="A45" s="44" t="s">
        <v>111</v>
      </c>
      <c r="B45" s="98" t="s">
        <v>217</v>
      </c>
      <c r="C45" s="117">
        <v>0</v>
      </c>
      <c r="D45" s="118">
        <f>'Classified FTEs'!H83+'Classified FTEs'!K83</f>
        <v>0</v>
      </c>
      <c r="E45" s="118">
        <f>'Classified FTEs'!I83+'Classified FTEs'!L83+'Classified FTEs'!M83+'Classified FTEs'!N83+'Classified FTEs'!O83</f>
        <v>0</v>
      </c>
      <c r="F45" s="118">
        <v>0.5</v>
      </c>
      <c r="G45" s="118">
        <f>'Classified FTEs'!E83+'Classified FTEs'!F83+'Classified FTEs'!J83</f>
        <v>2.74</v>
      </c>
      <c r="H45" s="118">
        <v>0.2</v>
      </c>
      <c r="I45" s="118">
        <f>'Classified FTEs'!V83</f>
        <v>0</v>
      </c>
      <c r="J45" s="118">
        <f>'Classified FTEs'!AD83</f>
        <v>0.83</v>
      </c>
      <c r="K45" s="118">
        <f>'Classified FTEs'!D83</f>
        <v>0</v>
      </c>
      <c r="L45" s="124">
        <f>'Classified FTEs'!T83+'Classified FTEs'!U83+'Classified FTEs'!W83+'Classified FTEs'!X83+'Classified FTEs'!Y83+'Classified FTEs'!AC83+'Classified FTEs'!AE83+'Classified FTEs'!AF83+'Classified FTEs'!AL83</f>
        <v>2.72</v>
      </c>
      <c r="M45" s="124">
        <f>SUM(C45:L45)+SUM('instruction-charters'!C45:N45)</f>
        <v>41.68</v>
      </c>
      <c r="N45" s="109"/>
      <c r="O45" s="17"/>
    </row>
    <row r="46" spans="1:15">
      <c r="A46" s="44" t="s">
        <v>113</v>
      </c>
      <c r="B46" s="94" t="s">
        <v>114</v>
      </c>
      <c r="C46" s="112">
        <v>1</v>
      </c>
      <c r="D46" s="113">
        <f>'Classified FTEs'!H84+'Classified FTEs'!K84</f>
        <v>0</v>
      </c>
      <c r="E46" s="113">
        <f>'Classified FTEs'!I84+'Classified FTEs'!L84+'Classified FTEs'!M84+'Classified FTEs'!N84+'Classified FTEs'!O84</f>
        <v>0</v>
      </c>
      <c r="F46" s="113">
        <v>1</v>
      </c>
      <c r="G46" s="113">
        <f>'Classified FTEs'!E84+'Classified FTEs'!F84+'Classified FTEs'!J84</f>
        <v>1</v>
      </c>
      <c r="H46" s="113">
        <v>0</v>
      </c>
      <c r="I46" s="113">
        <f>'Classified FTEs'!V84</f>
        <v>0</v>
      </c>
      <c r="J46" s="113">
        <f>'Classified FTEs'!AD84</f>
        <v>0</v>
      </c>
      <c r="K46" s="113">
        <f>'Classified FTEs'!D84</f>
        <v>0</v>
      </c>
      <c r="L46" s="114">
        <f>'Classified FTEs'!T84+'Classified FTEs'!U84+'Classified FTEs'!W84+'Classified FTEs'!X84+'Classified FTEs'!Y84+'Classified FTEs'!AC84+'Classified FTEs'!AE84+'Classified FTEs'!AF84+'Classified FTEs'!AL84</f>
        <v>2.7</v>
      </c>
      <c r="M46" s="114">
        <f>SUM(C46:L46)+SUM('instruction-charters'!C46:N46)</f>
        <v>19.95</v>
      </c>
      <c r="N46" s="109"/>
      <c r="O46" s="17"/>
    </row>
    <row r="47" spans="1:15">
      <c r="A47" s="44" t="s">
        <v>115</v>
      </c>
      <c r="B47" s="94" t="s">
        <v>116</v>
      </c>
      <c r="C47" s="112">
        <v>0</v>
      </c>
      <c r="D47" s="113">
        <f>'Classified FTEs'!H85+'Classified FTEs'!K85</f>
        <v>1</v>
      </c>
      <c r="E47" s="113">
        <f>'Classified FTEs'!I85+'Classified FTEs'!L85+'Classified FTEs'!M85+'Classified FTEs'!N85+'Classified FTEs'!O85</f>
        <v>0</v>
      </c>
      <c r="F47" s="113">
        <v>0</v>
      </c>
      <c r="G47" s="113">
        <f>'Classified FTEs'!E85+'Classified FTEs'!F85+'Classified FTEs'!J85</f>
        <v>2</v>
      </c>
      <c r="H47" s="113">
        <v>0</v>
      </c>
      <c r="I47" s="113">
        <f>'Classified FTEs'!V85</f>
        <v>0</v>
      </c>
      <c r="J47" s="113">
        <f>'Classified FTEs'!AD85</f>
        <v>0</v>
      </c>
      <c r="K47" s="113">
        <f>'Classified FTEs'!D85</f>
        <v>0</v>
      </c>
      <c r="L47" s="114">
        <f>'Classified FTEs'!T85+'Classified FTEs'!U85+'Classified FTEs'!W85+'Classified FTEs'!X85+'Classified FTEs'!Y85+'Classified FTEs'!AC85+'Classified FTEs'!AE85+'Classified FTEs'!AF85+'Classified FTEs'!AL85</f>
        <v>2.2000000000000002</v>
      </c>
      <c r="M47" s="114">
        <f>SUM(C47:L47)+SUM('instruction-charters'!C47:N47)</f>
        <v>34.700000000000003</v>
      </c>
      <c r="N47" s="109"/>
      <c r="O47" s="17"/>
    </row>
    <row r="48" spans="1:15">
      <c r="A48" s="44">
        <v>68</v>
      </c>
      <c r="B48" s="94" t="s">
        <v>218</v>
      </c>
      <c r="C48" s="112">
        <v>1</v>
      </c>
      <c r="D48" s="113">
        <f>'Classified FTEs'!H86+'Classified FTEs'!K86</f>
        <v>0</v>
      </c>
      <c r="E48" s="113">
        <f>'Classified FTEs'!I86+'Classified FTEs'!L86+'Classified FTEs'!M86+'Classified FTEs'!N86+'Classified FTEs'!O86</f>
        <v>0</v>
      </c>
      <c r="F48" s="113">
        <v>1.8</v>
      </c>
      <c r="G48" s="113">
        <f>'Classified FTEs'!E86+'Classified FTEs'!F86+'Classified FTEs'!J86</f>
        <v>2.67</v>
      </c>
      <c r="H48" s="113">
        <v>0.18</v>
      </c>
      <c r="I48" s="113">
        <f>'Classified FTEs'!V86</f>
        <v>0</v>
      </c>
      <c r="J48" s="113">
        <f>'Classified FTEs'!AD86</f>
        <v>1</v>
      </c>
      <c r="K48" s="113">
        <f>'Classified FTEs'!D86</f>
        <v>0</v>
      </c>
      <c r="L48" s="114">
        <f>'Classified FTEs'!T86+'Classified FTEs'!U86+'Classified FTEs'!W86+'Classified FTEs'!X86+'Classified FTEs'!Y86+'Classified FTEs'!AC86+'Classified FTEs'!AE86+'Classified FTEs'!AF86+'Classified FTEs'!AL86</f>
        <v>2.39</v>
      </c>
      <c r="M48" s="114">
        <f>SUM(C48:L48)+SUM('instruction-charters'!C48:N48)</f>
        <v>51.16</v>
      </c>
      <c r="N48" s="109"/>
      <c r="O48" s="17"/>
    </row>
    <row r="49" spans="1:15">
      <c r="A49" s="44" t="s">
        <v>118</v>
      </c>
      <c r="B49" s="94" t="s">
        <v>119</v>
      </c>
      <c r="C49" s="112">
        <v>0</v>
      </c>
      <c r="D49" s="113">
        <f>'Classified FTEs'!H87+'Classified FTEs'!K87</f>
        <v>0</v>
      </c>
      <c r="E49" s="113">
        <f>'Classified FTEs'!I87+'Classified FTEs'!L87+'Classified FTEs'!M87+'Classified FTEs'!N87+'Classified FTEs'!O87</f>
        <v>0</v>
      </c>
      <c r="F49" s="113">
        <v>1</v>
      </c>
      <c r="G49" s="113">
        <f>'Classified FTEs'!E87+'Classified FTEs'!F87+'Classified FTEs'!J87</f>
        <v>1.4</v>
      </c>
      <c r="H49" s="113">
        <v>0</v>
      </c>
      <c r="I49" s="113">
        <f>'Classified FTEs'!V87</f>
        <v>0</v>
      </c>
      <c r="J49" s="113">
        <f>'Classified FTEs'!AD87</f>
        <v>0</v>
      </c>
      <c r="K49" s="113">
        <f>'Classified FTEs'!D87</f>
        <v>0</v>
      </c>
      <c r="L49" s="114">
        <f>'Classified FTEs'!T87+'Classified FTEs'!U87+'Classified FTEs'!W87+'Classified FTEs'!X87+'Classified FTEs'!Y87+'Classified FTEs'!AC87+'Classified FTEs'!AE87+'Classified FTEs'!AF87+'Classified FTEs'!AL87</f>
        <v>4.95</v>
      </c>
      <c r="M49" s="114">
        <f>SUM(C49:L49)+SUM('instruction-charters'!C49:N49)</f>
        <v>30.35</v>
      </c>
      <c r="N49" s="109"/>
      <c r="O49" s="17"/>
    </row>
    <row r="50" spans="1:15">
      <c r="A50" s="44" t="s">
        <v>120</v>
      </c>
      <c r="B50" s="94" t="s">
        <v>121</v>
      </c>
      <c r="C50" s="112">
        <v>1.1000000000000001</v>
      </c>
      <c r="D50" s="113">
        <f>'Classified FTEs'!H88+'Classified FTEs'!K88</f>
        <v>0</v>
      </c>
      <c r="E50" s="113">
        <f>'Classified FTEs'!I88+'Classified FTEs'!L88+'Classified FTEs'!M88+'Classified FTEs'!N88+'Classified FTEs'!O88</f>
        <v>1.6700000000000002</v>
      </c>
      <c r="F50" s="113">
        <v>0.9</v>
      </c>
      <c r="G50" s="113">
        <f>'Classified FTEs'!E88+'Classified FTEs'!F88+'Classified FTEs'!J88</f>
        <v>2.33</v>
      </c>
      <c r="H50" s="113">
        <v>0</v>
      </c>
      <c r="I50" s="113">
        <f>'Classified FTEs'!V88</f>
        <v>0</v>
      </c>
      <c r="J50" s="113">
        <f>'Classified FTEs'!AD88</f>
        <v>0</v>
      </c>
      <c r="K50" s="113">
        <f>'Classified FTEs'!D88</f>
        <v>0</v>
      </c>
      <c r="L50" s="114">
        <f>'Classified FTEs'!T88+'Classified FTEs'!U88+'Classified FTEs'!W88+'Classified FTEs'!X88+'Classified FTEs'!Y88+'Classified FTEs'!AC88+'Classified FTEs'!AE88+'Classified FTEs'!AF88+'Classified FTEs'!AL88</f>
        <v>1</v>
      </c>
      <c r="M50" s="114">
        <f>SUM(C50:L50)+SUM('instruction-charters'!C50:N50)</f>
        <v>34.769999999999996</v>
      </c>
      <c r="N50" s="109"/>
      <c r="O50" s="17"/>
    </row>
    <row r="51" spans="1:15">
      <c r="A51" s="44">
        <v>86</v>
      </c>
      <c r="B51" s="110" t="s">
        <v>219</v>
      </c>
      <c r="C51" s="122">
        <v>2.1</v>
      </c>
      <c r="D51" s="119">
        <f>'Classified FTEs'!H89+'Classified FTEs'!K89</f>
        <v>1</v>
      </c>
      <c r="E51" s="119">
        <f>'Classified FTEs'!I89+'Classified FTEs'!L89+'Classified FTEs'!M89+'Classified FTEs'!N89+'Classified FTEs'!O89</f>
        <v>0.8</v>
      </c>
      <c r="F51" s="119">
        <v>1.1599999999999999</v>
      </c>
      <c r="G51" s="119">
        <f>'Classified FTEs'!E89+'Classified FTEs'!F89+'Classified FTEs'!J89</f>
        <v>1.22</v>
      </c>
      <c r="H51" s="119">
        <v>1.92</v>
      </c>
      <c r="I51" s="119">
        <f>'Classified FTEs'!V89</f>
        <v>0</v>
      </c>
      <c r="J51" s="119">
        <f>'Classified FTEs'!AD89</f>
        <v>0</v>
      </c>
      <c r="K51" s="119">
        <f>'Classified FTEs'!D89</f>
        <v>0</v>
      </c>
      <c r="L51" s="120">
        <f>'Classified FTEs'!T89+'Classified FTEs'!U89+'Classified FTEs'!W89+'Classified FTEs'!X89+'Classified FTEs'!Y89+'Classified FTEs'!AC89+'Classified FTEs'!AE89+'Classified FTEs'!AF89+'Classified FTEs'!AL89</f>
        <v>7.660000000000001</v>
      </c>
      <c r="M51" s="120">
        <f>SUM(C51:L51)+SUM('instruction-charters'!C51:N51)</f>
        <v>68.460000000000008</v>
      </c>
      <c r="N51" s="109"/>
      <c r="O51" s="17"/>
    </row>
    <row r="52" spans="1:15">
      <c r="A52" s="44" t="s">
        <v>327</v>
      </c>
      <c r="B52" s="94" t="s">
        <v>368</v>
      </c>
      <c r="C52" s="112">
        <v>0</v>
      </c>
      <c r="D52" s="113">
        <f>'Classified FTEs'!H90+'Classified FTEs'!K90</f>
        <v>0.63</v>
      </c>
      <c r="E52" s="113">
        <f>'Classified FTEs'!I90+'Classified FTEs'!L90+'Classified FTEs'!M90+'Classified FTEs'!N90+'Classified FTEs'!O90</f>
        <v>1.84</v>
      </c>
      <c r="F52" s="113">
        <v>1</v>
      </c>
      <c r="G52" s="113">
        <f>'Classified FTEs'!E90+'Classified FTEs'!F90+'Classified FTEs'!J90</f>
        <v>0</v>
      </c>
      <c r="H52" s="113">
        <v>0</v>
      </c>
      <c r="I52" s="113">
        <f>'Classified FTEs'!V90</f>
        <v>0</v>
      </c>
      <c r="J52" s="113">
        <f>'Classified FTEs'!AD90</f>
        <v>0</v>
      </c>
      <c r="K52" s="113">
        <f>'Classified FTEs'!D90</f>
        <v>0</v>
      </c>
      <c r="L52" s="114">
        <f>'Classified FTEs'!T90+'Classified FTEs'!U90+'Classified FTEs'!W90+'Classified FTEs'!X90+'Classified FTEs'!Y90+'Classified FTEs'!AC90+'Classified FTEs'!AE90+'Classified FTEs'!AF90+'Classified FTEs'!AL90</f>
        <v>2.12</v>
      </c>
      <c r="M52" s="114">
        <f>SUM(C52:L52)+SUM('instruction-charters'!C52:N52)</f>
        <v>49.69</v>
      </c>
      <c r="N52" s="109"/>
      <c r="O52" s="17"/>
    </row>
    <row r="53" spans="1:15">
      <c r="A53" s="44" t="s">
        <v>329</v>
      </c>
      <c r="B53" s="94" t="s">
        <v>369</v>
      </c>
      <c r="C53" s="112">
        <v>0</v>
      </c>
      <c r="D53" s="113">
        <f>'Classified FTEs'!H91+'Classified FTEs'!K91</f>
        <v>0</v>
      </c>
      <c r="E53" s="113">
        <f>'Classified FTEs'!I91+'Classified FTEs'!L91+'Classified FTEs'!M91+'Classified FTEs'!N91+'Classified FTEs'!O91</f>
        <v>0</v>
      </c>
      <c r="F53" s="113">
        <v>1.25</v>
      </c>
      <c r="G53" s="113">
        <f>'Classified FTEs'!E91+'Classified FTEs'!F91+'Classified FTEs'!J91</f>
        <v>2.0299999999999998</v>
      </c>
      <c r="H53" s="113">
        <v>0</v>
      </c>
      <c r="I53" s="113">
        <f>'Classified FTEs'!V91</f>
        <v>0</v>
      </c>
      <c r="J53" s="113">
        <f>'Classified FTEs'!AD91</f>
        <v>1</v>
      </c>
      <c r="K53" s="113">
        <f>'Classified FTEs'!D91</f>
        <v>0</v>
      </c>
      <c r="L53" s="114">
        <f>'Classified FTEs'!T91+'Classified FTEs'!U91+'Classified FTEs'!W91+'Classified FTEs'!X91+'Classified FTEs'!Y91+'Classified FTEs'!AC91+'Classified FTEs'!AE91+'Classified FTEs'!AF91+'Classified FTEs'!AL91</f>
        <v>2.2800000000000002</v>
      </c>
      <c r="M53" s="114">
        <f>SUM(C53:L53)+SUM('instruction-charters'!C53:N53)</f>
        <v>29.169999999999998</v>
      </c>
      <c r="N53" s="109"/>
      <c r="O53" s="17"/>
    </row>
    <row r="54" spans="1:15">
      <c r="A54" s="44" t="s">
        <v>123</v>
      </c>
      <c r="B54" s="94" t="s">
        <v>220</v>
      </c>
      <c r="C54" s="112">
        <v>0</v>
      </c>
      <c r="D54" s="113">
        <f>'Classified FTEs'!H92+'Classified FTEs'!K92</f>
        <v>2</v>
      </c>
      <c r="E54" s="113">
        <f>'Classified FTEs'!I92+'Classified FTEs'!L92+'Classified FTEs'!M92+'Classified FTEs'!N92+'Classified FTEs'!O92</f>
        <v>0</v>
      </c>
      <c r="F54" s="113">
        <v>0.75</v>
      </c>
      <c r="G54" s="113">
        <f>'Classified FTEs'!E92+'Classified FTEs'!F92+'Classified FTEs'!J92</f>
        <v>1</v>
      </c>
      <c r="H54" s="113">
        <v>0</v>
      </c>
      <c r="I54" s="113">
        <f>'Classified FTEs'!V92</f>
        <v>0</v>
      </c>
      <c r="J54" s="113">
        <f>'Classified FTEs'!AD92</f>
        <v>0</v>
      </c>
      <c r="K54" s="113">
        <f>'Classified FTEs'!D92</f>
        <v>0</v>
      </c>
      <c r="L54" s="114">
        <f>'Classified FTEs'!T92+'Classified FTEs'!U92+'Classified FTEs'!W92+'Classified FTEs'!X92+'Classified FTEs'!Y92+'Classified FTEs'!AC92+'Classified FTEs'!AE92+'Classified FTEs'!AF92+'Classified FTEs'!AL92</f>
        <v>1</v>
      </c>
      <c r="M54" s="114">
        <f>SUM(C54:L54)+SUM('instruction-charters'!C54:N54)</f>
        <v>32.549999999999997</v>
      </c>
      <c r="N54" s="109"/>
      <c r="O54" s="17"/>
    </row>
    <row r="55" spans="1:15">
      <c r="A55" s="44" t="s">
        <v>125</v>
      </c>
      <c r="B55" s="98" t="s">
        <v>221</v>
      </c>
      <c r="C55" s="117">
        <v>0.01</v>
      </c>
      <c r="D55" s="118">
        <f>'Classified FTEs'!H93+'Classified FTEs'!K93</f>
        <v>0</v>
      </c>
      <c r="E55" s="118">
        <f>'Classified FTEs'!I93+'Classified FTEs'!L93+'Classified FTEs'!M93+'Classified FTEs'!N93+'Classified FTEs'!O93</f>
        <v>1</v>
      </c>
      <c r="F55" s="118">
        <v>2</v>
      </c>
      <c r="G55" s="118">
        <f>'Classified FTEs'!E93+'Classified FTEs'!F93+'Classified FTEs'!J93</f>
        <v>4</v>
      </c>
      <c r="H55" s="118">
        <v>0</v>
      </c>
      <c r="I55" s="118">
        <f>'Classified FTEs'!V93</f>
        <v>0</v>
      </c>
      <c r="J55" s="118">
        <f>'Classified FTEs'!AD93</f>
        <v>1</v>
      </c>
      <c r="K55" s="118">
        <f>'Classified FTEs'!D93</f>
        <v>0</v>
      </c>
      <c r="L55" s="124">
        <f>'Classified FTEs'!T93+'Classified FTEs'!U93+'Classified FTEs'!W93+'Classified FTEs'!X93+'Classified FTEs'!Y93+'Classified FTEs'!AC93+'Classified FTEs'!AE93+'Classified FTEs'!AF93+'Classified FTEs'!AL93</f>
        <v>3.5</v>
      </c>
      <c r="M55" s="124">
        <f>SUM(C55:L55)+SUM('instruction-charters'!C55:N55)</f>
        <v>59.559999999999995</v>
      </c>
      <c r="N55" s="109"/>
      <c r="O55" s="17"/>
    </row>
    <row r="56" spans="1:15">
      <c r="A56" s="44" t="s">
        <v>127</v>
      </c>
      <c r="B56" s="94" t="s">
        <v>222</v>
      </c>
      <c r="C56" s="112">
        <v>0</v>
      </c>
      <c r="D56" s="113">
        <f>'Classified FTEs'!H94+'Classified FTEs'!K94</f>
        <v>1</v>
      </c>
      <c r="E56" s="113">
        <f>'Classified FTEs'!I94+'Classified FTEs'!L94+'Classified FTEs'!M94+'Classified FTEs'!N94+'Classified FTEs'!O94</f>
        <v>0</v>
      </c>
      <c r="F56" s="113">
        <v>2</v>
      </c>
      <c r="G56" s="113">
        <f>'Classified FTEs'!E94+'Classified FTEs'!F94+'Classified FTEs'!J94</f>
        <v>2.5</v>
      </c>
      <c r="H56" s="113">
        <v>0</v>
      </c>
      <c r="I56" s="113">
        <f>'Classified FTEs'!V94</f>
        <v>0</v>
      </c>
      <c r="J56" s="113">
        <f>'Classified FTEs'!AD94</f>
        <v>0</v>
      </c>
      <c r="K56" s="113">
        <f>'Classified FTEs'!D94</f>
        <v>0</v>
      </c>
      <c r="L56" s="114">
        <f>'Classified FTEs'!T94+'Classified FTEs'!U94+'Classified FTEs'!W94+'Classified FTEs'!X94+'Classified FTEs'!Y94+'Classified FTEs'!AC94+'Classified FTEs'!AE94+'Classified FTEs'!AF94+'Classified FTEs'!AL94</f>
        <v>1.55</v>
      </c>
      <c r="M56" s="114">
        <f>SUM(C56:L56)+SUM('instruction-charters'!C56:N56)</f>
        <v>47.79</v>
      </c>
      <c r="N56" s="109"/>
      <c r="O56" s="17"/>
    </row>
    <row r="57" spans="1:15">
      <c r="A57" s="44" t="s">
        <v>334</v>
      </c>
      <c r="B57" s="94" t="s">
        <v>376</v>
      </c>
      <c r="C57" s="112">
        <v>0</v>
      </c>
      <c r="D57" s="113">
        <f>'Classified FTEs'!H95+'Classified FTEs'!K95</f>
        <v>1</v>
      </c>
      <c r="E57" s="113">
        <f>'Classified FTEs'!I95+'Classified FTEs'!L95+'Classified FTEs'!M95+'Classified FTEs'!N95+'Classified FTEs'!O95</f>
        <v>0</v>
      </c>
      <c r="F57" s="113">
        <v>2</v>
      </c>
      <c r="G57" s="113">
        <f>'Classified FTEs'!E95+'Classified FTEs'!F95+'Classified FTEs'!J95</f>
        <v>3</v>
      </c>
      <c r="H57" s="113">
        <v>0</v>
      </c>
      <c r="I57" s="113">
        <f>'Classified FTEs'!V95</f>
        <v>0</v>
      </c>
      <c r="J57" s="113">
        <f>'Classified FTEs'!AD95</f>
        <v>0</v>
      </c>
      <c r="K57" s="113">
        <f>'Classified FTEs'!D95</f>
        <v>0</v>
      </c>
      <c r="L57" s="114">
        <f>'Classified FTEs'!T95+'Classified FTEs'!U95+'Classified FTEs'!W95+'Classified FTEs'!X95+'Classified FTEs'!Y95+'Classified FTEs'!AC95+'Classified FTEs'!AE95+'Classified FTEs'!AF95+'Classified FTEs'!AL95</f>
        <v>0.78</v>
      </c>
      <c r="M57" s="114">
        <f>SUM(C57:L57)+SUM('instruction-charters'!C57:N57)</f>
        <v>33.869999999999997</v>
      </c>
      <c r="N57" s="109"/>
      <c r="O57" s="17"/>
    </row>
    <row r="58" spans="1:15">
      <c r="A58" s="44">
        <v>97</v>
      </c>
      <c r="B58" s="94" t="s">
        <v>223</v>
      </c>
      <c r="C58" s="112">
        <v>0</v>
      </c>
      <c r="D58" s="113">
        <f>'Classified FTEs'!H96+'Classified FTEs'!K96</f>
        <v>3</v>
      </c>
      <c r="E58" s="113">
        <f>'Classified FTEs'!I96+'Classified FTEs'!L96+'Classified FTEs'!M96+'Classified FTEs'!N96+'Classified FTEs'!O96</f>
        <v>1</v>
      </c>
      <c r="F58" s="113">
        <v>1</v>
      </c>
      <c r="G58" s="113">
        <f>'Classified FTEs'!E96+'Classified FTEs'!F96+'Classified FTEs'!J96</f>
        <v>0</v>
      </c>
      <c r="H58" s="113">
        <v>0</v>
      </c>
      <c r="I58" s="113">
        <f>'Classified FTEs'!V96</f>
        <v>0</v>
      </c>
      <c r="J58" s="113">
        <f>'Classified FTEs'!AD96</f>
        <v>0</v>
      </c>
      <c r="K58" s="113">
        <f>'Classified FTEs'!D96</f>
        <v>0</v>
      </c>
      <c r="L58" s="114">
        <f>'Classified FTEs'!T96+'Classified FTEs'!U96+'Classified FTEs'!W96+'Classified FTEs'!X96+'Classified FTEs'!Y96+'Classified FTEs'!AC96+'Classified FTEs'!AE96+'Classified FTEs'!AF96+'Classified FTEs'!AL96</f>
        <v>0</v>
      </c>
      <c r="M58" s="114">
        <f>SUM(C58:L58)+SUM('instruction-charters'!C58:N58)</f>
        <v>20.57</v>
      </c>
      <c r="N58" s="109"/>
      <c r="O58" s="17"/>
    </row>
    <row r="59" spans="1:15">
      <c r="A59" s="44" t="s">
        <v>337</v>
      </c>
      <c r="B59" s="94" t="s">
        <v>377</v>
      </c>
      <c r="C59" s="112">
        <v>1</v>
      </c>
      <c r="D59" s="113">
        <f>'Classified FTEs'!H97+'Classified FTEs'!K97</f>
        <v>0</v>
      </c>
      <c r="E59" s="113">
        <f>'Classified FTEs'!I97+'Classified FTEs'!L97+'Classified FTEs'!M97+'Classified FTEs'!N97+'Classified FTEs'!O97</f>
        <v>0</v>
      </c>
      <c r="F59" s="113">
        <v>0</v>
      </c>
      <c r="G59" s="113">
        <f>'Classified FTEs'!E97+'Classified FTEs'!F97+'Classified FTEs'!J97</f>
        <v>2.48</v>
      </c>
      <c r="H59" s="113">
        <v>0</v>
      </c>
      <c r="I59" s="113">
        <f>'Classified FTEs'!V97</f>
        <v>0</v>
      </c>
      <c r="J59" s="113">
        <f>'Classified FTEs'!AD97</f>
        <v>0</v>
      </c>
      <c r="K59" s="113">
        <f>'Classified FTEs'!D97</f>
        <v>0</v>
      </c>
      <c r="L59" s="114">
        <f>'Classified FTEs'!T97+'Classified FTEs'!U97+'Classified FTEs'!W97+'Classified FTEs'!X97+'Classified FTEs'!Y97+'Classified FTEs'!AC97+'Classified FTEs'!AE97+'Classified FTEs'!AF97+'Classified FTEs'!AL97</f>
        <v>2.25</v>
      </c>
      <c r="M59" s="114">
        <f>SUM(C59:L59)+SUM('instruction-charters'!C59:N59)</f>
        <v>16.61</v>
      </c>
      <c r="N59" s="109"/>
      <c r="O59" s="17"/>
    </row>
    <row r="60" spans="1:15">
      <c r="A60" s="44" t="s">
        <v>130</v>
      </c>
      <c r="B60" s="94" t="s">
        <v>131</v>
      </c>
      <c r="C60" s="112">
        <v>0</v>
      </c>
      <c r="D60" s="113">
        <f>'Classified FTEs'!H98+'Classified FTEs'!K98</f>
        <v>0</v>
      </c>
      <c r="E60" s="113">
        <f>'Classified FTEs'!I98+'Classified FTEs'!L98+'Classified FTEs'!M98+'Classified FTEs'!N98+'Classified FTEs'!O98</f>
        <v>1</v>
      </c>
      <c r="F60" s="113">
        <v>2</v>
      </c>
      <c r="G60" s="113">
        <f>'Classified FTEs'!E98+'Classified FTEs'!F98+'Classified FTEs'!J98</f>
        <v>1</v>
      </c>
      <c r="H60" s="113">
        <v>0</v>
      </c>
      <c r="I60" s="113">
        <f>'Classified FTEs'!V98</f>
        <v>0</v>
      </c>
      <c r="J60" s="113">
        <f>'Classified FTEs'!AD98</f>
        <v>0</v>
      </c>
      <c r="K60" s="113">
        <f>'Classified FTEs'!D98</f>
        <v>0</v>
      </c>
      <c r="L60" s="114">
        <f>'Classified FTEs'!T98+'Classified FTEs'!U98+'Classified FTEs'!W98+'Classified FTEs'!X98+'Classified FTEs'!Y98+'Classified FTEs'!AC98+'Classified FTEs'!AE98+'Classified FTEs'!AF98+'Classified FTEs'!AL98</f>
        <v>0</v>
      </c>
      <c r="M60" s="114">
        <f>SUM(C60:L60)+SUM('instruction-charters'!C60:N60)</f>
        <v>9.11</v>
      </c>
      <c r="N60" s="109"/>
      <c r="O60" s="17"/>
    </row>
    <row r="61" spans="1:15">
      <c r="A61" s="44">
        <v>89</v>
      </c>
      <c r="B61" s="110" t="s">
        <v>132</v>
      </c>
      <c r="C61" s="122">
        <v>0</v>
      </c>
      <c r="D61" s="119">
        <f>'Classified FTEs'!H99+'Classified FTEs'!K99</f>
        <v>0</v>
      </c>
      <c r="E61" s="119">
        <f>'Classified FTEs'!I99+'Classified FTEs'!L99+'Classified FTEs'!M99+'Classified FTEs'!N99+'Classified FTEs'!O99</f>
        <v>0</v>
      </c>
      <c r="F61" s="119">
        <v>0.8</v>
      </c>
      <c r="G61" s="119">
        <f>'Classified FTEs'!E99+'Classified FTEs'!F99+'Classified FTEs'!J99</f>
        <v>2</v>
      </c>
      <c r="H61" s="119">
        <v>0</v>
      </c>
      <c r="I61" s="119">
        <f>'Classified FTEs'!V99</f>
        <v>0</v>
      </c>
      <c r="J61" s="119">
        <f>'Classified FTEs'!AD99</f>
        <v>0</v>
      </c>
      <c r="K61" s="119">
        <f>'Classified FTEs'!D99</f>
        <v>0</v>
      </c>
      <c r="L61" s="120">
        <f>'Classified FTEs'!T99+'Classified FTEs'!U99+'Classified FTEs'!W99+'Classified FTEs'!X99+'Classified FTEs'!Y99+'Classified FTEs'!AC99+'Classified FTEs'!AE99+'Classified FTEs'!AF99+'Classified FTEs'!AL99</f>
        <v>0</v>
      </c>
      <c r="M61" s="120">
        <f>SUM(C61:L61)+SUM('instruction-charters'!C61:N61)</f>
        <v>11.5</v>
      </c>
      <c r="N61" s="109"/>
      <c r="O61" s="17"/>
    </row>
    <row r="62" spans="1:15">
      <c r="A62" s="44" t="s">
        <v>133</v>
      </c>
      <c r="B62" s="94" t="s">
        <v>224</v>
      </c>
      <c r="C62" s="112">
        <v>0</v>
      </c>
      <c r="D62" s="113">
        <f>'Classified FTEs'!H100+'Classified FTEs'!K100</f>
        <v>0</v>
      </c>
      <c r="E62" s="113">
        <f>'Classified FTEs'!I100+'Classified FTEs'!L100+'Classified FTEs'!M100+'Classified FTEs'!N100+'Classified FTEs'!O100</f>
        <v>0</v>
      </c>
      <c r="F62" s="113">
        <v>1.1100000000000001</v>
      </c>
      <c r="G62" s="113">
        <f>'Classified FTEs'!E100+'Classified FTEs'!F100+'Classified FTEs'!J100</f>
        <v>4.43</v>
      </c>
      <c r="H62" s="113">
        <v>1.5</v>
      </c>
      <c r="I62" s="113">
        <f>'Classified FTEs'!V100</f>
        <v>0</v>
      </c>
      <c r="J62" s="113">
        <f>'Classified FTEs'!AD100</f>
        <v>0</v>
      </c>
      <c r="K62" s="113">
        <f>'Classified FTEs'!D100</f>
        <v>0</v>
      </c>
      <c r="L62" s="114">
        <f>'Classified FTEs'!T100+'Classified FTEs'!U100+'Classified FTEs'!W100+'Classified FTEs'!X100+'Classified FTEs'!Y100+'Classified FTEs'!AC100+'Classified FTEs'!AE100+'Classified FTEs'!AF100+'Classified FTEs'!AL100</f>
        <v>0.25</v>
      </c>
      <c r="M62" s="114">
        <f>SUM(C62:L62)+SUM('instruction-charters'!C62:N62)</f>
        <v>24.29</v>
      </c>
      <c r="N62" s="109"/>
      <c r="O62" s="17"/>
    </row>
    <row r="63" spans="1:15">
      <c r="A63" s="44" t="s">
        <v>135</v>
      </c>
      <c r="B63" s="94" t="s">
        <v>225</v>
      </c>
      <c r="C63" s="112">
        <v>0</v>
      </c>
      <c r="D63" s="113">
        <f>'Classified FTEs'!H101+'Classified FTEs'!K101</f>
        <v>0</v>
      </c>
      <c r="E63" s="113">
        <f>'Classified FTEs'!I101+'Classified FTEs'!L101+'Classified FTEs'!M101+'Classified FTEs'!N101+'Classified FTEs'!O101</f>
        <v>0</v>
      </c>
      <c r="F63" s="113">
        <v>1</v>
      </c>
      <c r="G63" s="113">
        <f>'Classified FTEs'!E101+'Classified FTEs'!F101+'Classified FTEs'!J101</f>
        <v>0</v>
      </c>
      <c r="H63" s="113">
        <v>0</v>
      </c>
      <c r="I63" s="113">
        <f>'Classified FTEs'!V101</f>
        <v>0</v>
      </c>
      <c r="J63" s="113">
        <f>'Classified FTEs'!AD101</f>
        <v>0</v>
      </c>
      <c r="K63" s="113">
        <f>'Classified FTEs'!D101</f>
        <v>0</v>
      </c>
      <c r="L63" s="114">
        <f>'Classified FTEs'!T101+'Classified FTEs'!U101+'Classified FTEs'!W101+'Classified FTEs'!X101+'Classified FTEs'!Y101+'Classified FTEs'!AC101+'Classified FTEs'!AE101+'Classified FTEs'!AF101+'Classified FTEs'!AL101</f>
        <v>0</v>
      </c>
      <c r="M63" s="114">
        <f>SUM(C63:L63)+SUM('instruction-charters'!C63:N63)</f>
        <v>6.76</v>
      </c>
      <c r="N63" s="109"/>
      <c r="O63" s="17"/>
    </row>
    <row r="64" spans="1:15">
      <c r="A64" s="44">
        <v>88</v>
      </c>
      <c r="B64" s="94" t="s">
        <v>137</v>
      </c>
      <c r="C64" s="112">
        <v>0</v>
      </c>
      <c r="D64" s="113">
        <f>'Classified FTEs'!H102+'Classified FTEs'!K102</f>
        <v>0</v>
      </c>
      <c r="E64" s="113">
        <f>'Classified FTEs'!I102+'Classified FTEs'!L102+'Classified FTEs'!M102+'Classified FTEs'!N102+'Classified FTEs'!O102</f>
        <v>0</v>
      </c>
      <c r="F64" s="113">
        <v>0</v>
      </c>
      <c r="G64" s="113">
        <f>'Classified FTEs'!E102+'Classified FTEs'!F102+'Classified FTEs'!J102</f>
        <v>0.75</v>
      </c>
      <c r="H64" s="113">
        <v>0</v>
      </c>
      <c r="I64" s="113">
        <f>'Classified FTEs'!V102</f>
        <v>0</v>
      </c>
      <c r="J64" s="113">
        <f>'Classified FTEs'!AD102</f>
        <v>0</v>
      </c>
      <c r="K64" s="113">
        <f>'Classified FTEs'!D102</f>
        <v>0</v>
      </c>
      <c r="L64" s="114">
        <f>'Classified FTEs'!T102+'Classified FTEs'!U102+'Classified FTEs'!W102+'Classified FTEs'!X102+'Classified FTEs'!Y102+'Classified FTEs'!AC102+'Classified FTEs'!AE102+'Classified FTEs'!AF102+'Classified FTEs'!AL102</f>
        <v>0</v>
      </c>
      <c r="M64" s="114">
        <f>SUM(C64:L64)+SUM('instruction-charters'!C64:N64)</f>
        <v>2.75</v>
      </c>
      <c r="N64" s="109"/>
      <c r="O64" s="17"/>
    </row>
    <row r="65" spans="1:15">
      <c r="A65" s="44" t="s">
        <v>138</v>
      </c>
      <c r="B65" s="98" t="s">
        <v>226</v>
      </c>
      <c r="C65" s="117">
        <v>0</v>
      </c>
      <c r="D65" s="118">
        <f>'Classified FTEs'!H103+'Classified FTEs'!K103</f>
        <v>1.38</v>
      </c>
      <c r="E65" s="118">
        <f>'Classified FTEs'!I103+'Classified FTEs'!L103+'Classified FTEs'!M103+'Classified FTEs'!N103+'Classified FTEs'!O103</f>
        <v>2</v>
      </c>
      <c r="F65" s="118">
        <v>2</v>
      </c>
      <c r="G65" s="118">
        <f>'Classified FTEs'!E103+'Classified FTEs'!F103+'Classified FTEs'!J103</f>
        <v>2.5</v>
      </c>
      <c r="H65" s="118">
        <v>1</v>
      </c>
      <c r="I65" s="118">
        <f>'Classified FTEs'!V103</f>
        <v>0</v>
      </c>
      <c r="J65" s="118">
        <f>'Classified FTEs'!AD103</f>
        <v>1</v>
      </c>
      <c r="K65" s="118">
        <f>'Classified FTEs'!D103</f>
        <v>0</v>
      </c>
      <c r="L65" s="124">
        <f>'Classified FTEs'!T103+'Classified FTEs'!U103+'Classified FTEs'!W103+'Classified FTEs'!X103+'Classified FTEs'!Y103+'Classified FTEs'!AC103+'Classified FTEs'!AE103+'Classified FTEs'!AF103+'Classified FTEs'!AL103</f>
        <v>4.63</v>
      </c>
      <c r="M65" s="124">
        <f>SUM(C65:L65)+SUM('instruction-charters'!C65:N65)</f>
        <v>78.02</v>
      </c>
      <c r="N65" s="109"/>
      <c r="O65" s="17"/>
    </row>
    <row r="66" spans="1:15">
      <c r="A66" s="44" t="s">
        <v>140</v>
      </c>
      <c r="B66" s="94" t="s">
        <v>227</v>
      </c>
      <c r="C66" s="112">
        <v>0</v>
      </c>
      <c r="D66" s="113">
        <f>'Classified FTEs'!H104+'Classified FTEs'!K104</f>
        <v>0</v>
      </c>
      <c r="E66" s="113">
        <f>'Classified FTEs'!I104+'Classified FTEs'!L104+'Classified FTEs'!M104+'Classified FTEs'!N104+'Classified FTEs'!O104</f>
        <v>0</v>
      </c>
      <c r="F66" s="113">
        <v>1</v>
      </c>
      <c r="G66" s="113">
        <f>'Classified FTEs'!E104+'Classified FTEs'!F104+'Classified FTEs'!J104</f>
        <v>1.9100000000000001</v>
      </c>
      <c r="H66" s="113">
        <v>0</v>
      </c>
      <c r="I66" s="113">
        <f>'Classified FTEs'!V104</f>
        <v>0</v>
      </c>
      <c r="J66" s="113">
        <f>'Classified FTEs'!AD104</f>
        <v>0.46</v>
      </c>
      <c r="K66" s="113">
        <f>'Classified FTEs'!D104</f>
        <v>0</v>
      </c>
      <c r="L66" s="114">
        <f>'Classified FTEs'!T104+'Classified FTEs'!U104+'Classified FTEs'!W104+'Classified FTEs'!X104+'Classified FTEs'!Y104+'Classified FTEs'!AC104+'Classified FTEs'!AE104+'Classified FTEs'!AF104+'Classified FTEs'!AL104</f>
        <v>2.31</v>
      </c>
      <c r="M66" s="114">
        <f>SUM(C66:L66)+SUM('instruction-charters'!C66:N66)</f>
        <v>33.619999999999997</v>
      </c>
      <c r="N66" s="109"/>
      <c r="O66" s="17"/>
    </row>
    <row r="67" spans="1:15">
      <c r="A67" s="44">
        <v>94</v>
      </c>
      <c r="B67" s="94" t="s">
        <v>142</v>
      </c>
      <c r="C67" s="112">
        <v>0.5</v>
      </c>
      <c r="D67" s="113">
        <f>'Classified FTEs'!H105+'Classified FTEs'!K105</f>
        <v>0</v>
      </c>
      <c r="E67" s="113">
        <f>'Classified FTEs'!I105+'Classified FTEs'!L105+'Classified FTEs'!M105+'Classified FTEs'!N105+'Classified FTEs'!O105</f>
        <v>0.1</v>
      </c>
      <c r="F67" s="113">
        <v>2</v>
      </c>
      <c r="G67" s="113">
        <f>'Classified FTEs'!E105+'Classified FTEs'!F105+'Classified FTEs'!J105</f>
        <v>4.2</v>
      </c>
      <c r="H67" s="113">
        <v>0.5</v>
      </c>
      <c r="I67" s="113">
        <f>'Classified FTEs'!V105</f>
        <v>0</v>
      </c>
      <c r="J67" s="113">
        <f>'Classified FTEs'!AD105</f>
        <v>0</v>
      </c>
      <c r="K67" s="113">
        <f>'Classified FTEs'!D105</f>
        <v>0.5</v>
      </c>
      <c r="L67" s="114">
        <f>'Classified FTEs'!T105+'Classified FTEs'!U105+'Classified FTEs'!W105+'Classified FTEs'!X105+'Classified FTEs'!Y105+'Classified FTEs'!AC105+'Classified FTEs'!AE105+'Classified FTEs'!AF105+'Classified FTEs'!AL105</f>
        <v>5</v>
      </c>
      <c r="M67" s="114">
        <f>SUM(C67:L67)+SUM('instruction-charters'!C67:N67)</f>
        <v>68.849999999999994</v>
      </c>
      <c r="N67" s="109"/>
      <c r="O67" s="17"/>
    </row>
    <row r="68" spans="1:15">
      <c r="A68" s="45">
        <v>95</v>
      </c>
      <c r="B68" s="95" t="s">
        <v>228</v>
      </c>
      <c r="C68" s="112">
        <v>0</v>
      </c>
      <c r="D68" s="113">
        <f>'Classified FTEs'!H106+'Classified FTEs'!K106</f>
        <v>0.75</v>
      </c>
      <c r="E68" s="113">
        <f>'Classified FTEs'!I106+'Classified FTEs'!L106+'Classified FTEs'!M106+'Classified FTEs'!N106+'Classified FTEs'!O106</f>
        <v>1</v>
      </c>
      <c r="F68" s="113">
        <v>1</v>
      </c>
      <c r="G68" s="113">
        <f>'Classified FTEs'!E106+'Classified FTEs'!F106+'Classified FTEs'!J106</f>
        <v>2</v>
      </c>
      <c r="H68" s="113">
        <v>0</v>
      </c>
      <c r="I68" s="113">
        <f>'Classified FTEs'!V106</f>
        <v>0</v>
      </c>
      <c r="J68" s="113">
        <f>'Classified FTEs'!AD106</f>
        <v>0</v>
      </c>
      <c r="K68" s="113">
        <f>'Classified FTEs'!D106</f>
        <v>0</v>
      </c>
      <c r="L68" s="114">
        <f>'Classified FTEs'!T106+'Classified FTEs'!U106+'Classified FTEs'!W106+'Classified FTEs'!X106+'Classified FTEs'!Y106+'Classified FTEs'!AC106+'Classified FTEs'!AE106+'Classified FTEs'!AF106+'Classified FTEs'!AL106</f>
        <v>1</v>
      </c>
      <c r="M68" s="114">
        <f>SUM(C68:L68)+SUM('instruction-charters'!C68:N68)</f>
        <v>32.14</v>
      </c>
      <c r="N68" s="109"/>
      <c r="O68" s="17"/>
    </row>
    <row r="69" spans="1:15">
      <c r="A69" s="45">
        <v>90</v>
      </c>
      <c r="B69" s="96" t="s">
        <v>144</v>
      </c>
      <c r="C69" s="112">
        <v>0</v>
      </c>
      <c r="D69" s="113">
        <f>'Classified FTEs'!H107+'Classified FTEs'!K107</f>
        <v>1</v>
      </c>
      <c r="E69" s="113">
        <f>'Classified FTEs'!I107+'Classified FTEs'!L107+'Classified FTEs'!M107+'Classified FTEs'!N107+'Classified FTEs'!O107</f>
        <v>0</v>
      </c>
      <c r="F69" s="113">
        <v>2.46</v>
      </c>
      <c r="G69" s="113">
        <f>'Classified FTEs'!E107+'Classified FTEs'!F107+'Classified FTEs'!J107</f>
        <v>1</v>
      </c>
      <c r="H69" s="113">
        <v>0</v>
      </c>
      <c r="I69" s="113">
        <f>'Classified FTEs'!V107</f>
        <v>0</v>
      </c>
      <c r="J69" s="113">
        <f>'Classified FTEs'!AD107</f>
        <v>0</v>
      </c>
      <c r="K69" s="113">
        <f>'Classified FTEs'!D107</f>
        <v>0</v>
      </c>
      <c r="L69" s="114">
        <f>'Classified FTEs'!T107+'Classified FTEs'!U107+'Classified FTEs'!W107+'Classified FTEs'!X107+'Classified FTEs'!Y107+'Classified FTEs'!AC107+'Classified FTEs'!AE107+'Classified FTEs'!AF107+'Classified FTEs'!AL107</f>
        <v>0</v>
      </c>
      <c r="M69" s="114">
        <f>SUM(C69:L69)+SUM('instruction-charters'!C69:N69)</f>
        <v>20.14</v>
      </c>
      <c r="N69" s="109"/>
      <c r="O69" s="17"/>
    </row>
    <row r="70" spans="1:15">
      <c r="A70" s="44" t="s">
        <v>145</v>
      </c>
      <c r="B70" s="96" t="s">
        <v>146</v>
      </c>
      <c r="C70" s="112">
        <v>0</v>
      </c>
      <c r="D70" s="113">
        <f>'Classified FTEs'!H108+'Classified FTEs'!K108</f>
        <v>1.2</v>
      </c>
      <c r="E70" s="113">
        <f>'Classified FTEs'!I108+'Classified FTEs'!L108+'Classified FTEs'!M108+'Classified FTEs'!N108+'Classified FTEs'!O108</f>
        <v>1.3199999999999998</v>
      </c>
      <c r="F70" s="113">
        <v>1.29</v>
      </c>
      <c r="G70" s="113">
        <f>'Classified FTEs'!E108+'Classified FTEs'!F108+'Classified FTEs'!J108</f>
        <v>1</v>
      </c>
      <c r="H70" s="113">
        <v>0</v>
      </c>
      <c r="I70" s="113">
        <f>'Classified FTEs'!V108</f>
        <v>0</v>
      </c>
      <c r="J70" s="113">
        <f>'Classified FTEs'!AD108</f>
        <v>0.75</v>
      </c>
      <c r="K70" s="113">
        <f>'Classified FTEs'!D108</f>
        <v>0</v>
      </c>
      <c r="L70" s="114">
        <f>'Classified FTEs'!T108+'Classified FTEs'!U108+'Classified FTEs'!W108+'Classified FTEs'!X108+'Classified FTEs'!Y108+'Classified FTEs'!AC108+'Classified FTEs'!AE108+'Classified FTEs'!AF108+'Classified FTEs'!AL108</f>
        <v>0</v>
      </c>
      <c r="M70" s="114">
        <f>SUM(C70:L70)+SUM('instruction-charters'!C70:N70)</f>
        <v>20.059999999999999</v>
      </c>
      <c r="N70" s="109"/>
      <c r="O70" s="17"/>
    </row>
    <row r="71" spans="1:15">
      <c r="A71" s="45">
        <v>92</v>
      </c>
      <c r="B71" s="111" t="s">
        <v>229</v>
      </c>
      <c r="C71" s="122">
        <v>0</v>
      </c>
      <c r="D71" s="119">
        <f>'Classified FTEs'!H109+'Classified FTEs'!K109</f>
        <v>0.17</v>
      </c>
      <c r="E71" s="119">
        <f>'Classified FTEs'!I109+'Classified FTEs'!L109+'Classified FTEs'!M109+'Classified FTEs'!N109+'Classified FTEs'!O109</f>
        <v>0</v>
      </c>
      <c r="F71" s="119">
        <v>1</v>
      </c>
      <c r="G71" s="119">
        <f>'Classified FTEs'!E109+'Classified FTEs'!F109+'Classified FTEs'!J109</f>
        <v>1</v>
      </c>
      <c r="H71" s="119">
        <v>0</v>
      </c>
      <c r="I71" s="119">
        <f>'Classified FTEs'!V109</f>
        <v>0</v>
      </c>
      <c r="J71" s="119">
        <f>'Classified FTEs'!AD109</f>
        <v>0</v>
      </c>
      <c r="K71" s="119">
        <f>'Classified FTEs'!D109</f>
        <v>0</v>
      </c>
      <c r="L71" s="120">
        <f>'Classified FTEs'!T109+'Classified FTEs'!U109+'Classified FTEs'!W109+'Classified FTEs'!X109+'Classified FTEs'!Y109+'Classified FTEs'!AC109+'Classified FTEs'!AE109+'Classified FTEs'!AF109+'Classified FTEs'!AL109</f>
        <v>0</v>
      </c>
      <c r="M71" s="120">
        <f>SUM(C71:L71)+SUM('instruction-charters'!C71:N71)</f>
        <v>10.34</v>
      </c>
      <c r="N71" s="109"/>
      <c r="O71" s="17"/>
    </row>
    <row r="72" spans="1:15">
      <c r="A72" s="44" t="s">
        <v>351</v>
      </c>
      <c r="B72" s="96" t="s">
        <v>372</v>
      </c>
      <c r="C72" s="112">
        <v>1</v>
      </c>
      <c r="D72" s="113">
        <f>'Classified FTEs'!H110+'Classified FTEs'!K110</f>
        <v>0</v>
      </c>
      <c r="E72" s="113">
        <f>'Classified FTEs'!I110+'Classified FTEs'!L110+'Classified FTEs'!M110+'Classified FTEs'!N110+'Classified FTEs'!O110</f>
        <v>0</v>
      </c>
      <c r="F72" s="113">
        <v>1</v>
      </c>
      <c r="G72" s="113">
        <f>'Classified FTEs'!E110+'Classified FTEs'!F110+'Classified FTEs'!J110</f>
        <v>0</v>
      </c>
      <c r="H72" s="113">
        <v>0</v>
      </c>
      <c r="I72" s="113">
        <f>'Classified FTEs'!V110</f>
        <v>0</v>
      </c>
      <c r="J72" s="113">
        <f>'Classified FTEs'!AD110</f>
        <v>0</v>
      </c>
      <c r="K72" s="113">
        <f>'Classified FTEs'!D110</f>
        <v>0</v>
      </c>
      <c r="L72" s="114">
        <f>'Classified FTEs'!T110+'Classified FTEs'!U110+'Classified FTEs'!W110+'Classified FTEs'!X110+'Classified FTEs'!Y110+'Classified FTEs'!AC110+'Classified FTEs'!AE110+'Classified FTEs'!AF110+'Classified FTEs'!AL110</f>
        <v>0</v>
      </c>
      <c r="M72" s="114">
        <f>SUM(C72:L72)+SUM('instruction-charters'!C72:N72)</f>
        <v>14.5</v>
      </c>
      <c r="N72" s="109"/>
      <c r="O72" s="17"/>
    </row>
    <row r="73" spans="1:15">
      <c r="A73" s="44" t="s">
        <v>353</v>
      </c>
      <c r="B73" s="96" t="s">
        <v>373</v>
      </c>
      <c r="C73" s="112">
        <v>0</v>
      </c>
      <c r="D73" s="113">
        <f>'Classified FTEs'!H111+'Classified FTEs'!K111</f>
        <v>1</v>
      </c>
      <c r="E73" s="113">
        <f>'Classified FTEs'!I111+'Classified FTEs'!L111+'Classified FTEs'!M111+'Classified FTEs'!N111+'Classified FTEs'!O111</f>
        <v>0.4</v>
      </c>
      <c r="F73" s="113">
        <v>1</v>
      </c>
      <c r="G73" s="113">
        <f>'Classified FTEs'!E111+'Classified FTEs'!F111+'Classified FTEs'!J111</f>
        <v>1.5</v>
      </c>
      <c r="H73" s="113">
        <v>0</v>
      </c>
      <c r="I73" s="113">
        <f>'Classified FTEs'!V111</f>
        <v>0</v>
      </c>
      <c r="J73" s="113">
        <f>'Classified FTEs'!AD111</f>
        <v>0</v>
      </c>
      <c r="K73" s="113">
        <f>'Classified FTEs'!D111</f>
        <v>0</v>
      </c>
      <c r="L73" s="114">
        <f>'Classified FTEs'!T111+'Classified FTEs'!U111+'Classified FTEs'!W111+'Classified FTEs'!X111+'Classified FTEs'!Y111+'Classified FTEs'!AC111+'Classified FTEs'!AE111+'Classified FTEs'!AF111+'Classified FTEs'!AL111</f>
        <v>0</v>
      </c>
      <c r="M73" s="114">
        <f>SUM(C73:L73)+SUM('instruction-charters'!C73:N73)</f>
        <v>27.75</v>
      </c>
      <c r="N73" s="17"/>
      <c r="O73" s="17"/>
    </row>
    <row r="74" spans="1:15">
      <c r="A74" s="45">
        <v>81</v>
      </c>
      <c r="B74" s="95" t="s">
        <v>230</v>
      </c>
      <c r="C74" s="112">
        <v>0</v>
      </c>
      <c r="D74" s="113">
        <f>'Classified FTEs'!H112+'Classified FTEs'!K112</f>
        <v>1</v>
      </c>
      <c r="E74" s="113">
        <f>'Classified FTEs'!I112+'Classified FTEs'!L112+'Classified FTEs'!M112+'Classified FTEs'!N112+'Classified FTEs'!O112</f>
        <v>0</v>
      </c>
      <c r="F74" s="113">
        <v>0.24</v>
      </c>
      <c r="G74" s="113">
        <f>'Classified FTEs'!E112+'Classified FTEs'!F112+'Classified FTEs'!J112</f>
        <v>0.85</v>
      </c>
      <c r="H74" s="113">
        <v>0</v>
      </c>
      <c r="I74" s="113">
        <f>'Classified FTEs'!V112</f>
        <v>0</v>
      </c>
      <c r="J74" s="113">
        <f>'Classified FTEs'!AD112</f>
        <v>0</v>
      </c>
      <c r="K74" s="113">
        <f>'Classified FTEs'!D112</f>
        <v>0.55000000000000004</v>
      </c>
      <c r="L74" s="114">
        <f>'Classified FTEs'!T112+'Classified FTEs'!U112+'Classified FTEs'!W112+'Classified FTEs'!X112+'Classified FTEs'!Y112+'Classified FTEs'!AC112+'Classified FTEs'!AE112+'Classified FTEs'!AF112+'Classified FTEs'!AL112</f>
        <v>0.35</v>
      </c>
      <c r="M74" s="114">
        <f>SUM(C74:L74)+SUM('instruction-charters'!C74:N74)</f>
        <v>30.959999999999997</v>
      </c>
      <c r="N74" s="17"/>
      <c r="O74" s="17"/>
    </row>
    <row r="75" spans="1:15" ht="13.5" thickBot="1">
      <c r="A75" s="44" t="s">
        <v>149</v>
      </c>
      <c r="B75" s="95" t="s">
        <v>231</v>
      </c>
      <c r="C75" s="112">
        <v>0</v>
      </c>
      <c r="D75" s="113">
        <f>'Classified FTEs'!H113+'Classified FTEs'!K113</f>
        <v>0</v>
      </c>
      <c r="E75" s="113">
        <f>'Classified FTEs'!I113+'Classified FTEs'!L113+'Classified FTEs'!M113+'Classified FTEs'!N113+'Classified FTEs'!O113</f>
        <v>0</v>
      </c>
      <c r="F75" s="113">
        <v>1</v>
      </c>
      <c r="G75" s="113">
        <f>'Classified FTEs'!E113+'Classified FTEs'!F113+'Classified FTEs'!J113</f>
        <v>1.6</v>
      </c>
      <c r="H75" s="113">
        <v>0</v>
      </c>
      <c r="I75" s="113">
        <f>'Classified FTEs'!V113</f>
        <v>0</v>
      </c>
      <c r="J75" s="113">
        <f>'Classified FTEs'!AD113</f>
        <v>0.94</v>
      </c>
      <c r="K75" s="113">
        <f>'Classified FTEs'!D113</f>
        <v>0</v>
      </c>
      <c r="L75" s="114">
        <f>'Classified FTEs'!T113+'Classified FTEs'!U113+'Classified FTEs'!W113+'Classified FTEs'!X113+'Classified FTEs'!Y113+'Classified FTEs'!AC113+'Classified FTEs'!AE113+'Classified FTEs'!AF113+'Classified FTEs'!AL113</f>
        <v>1.75</v>
      </c>
      <c r="M75" s="114">
        <f>SUM(C75:L75)+SUM('instruction-charters'!C75:N75)</f>
        <v>30.919999999999998</v>
      </c>
      <c r="N75" s="17"/>
      <c r="O75" s="17"/>
    </row>
    <row r="76" spans="1:15" ht="13.5" thickBot="1">
      <c r="B76" s="35" t="s">
        <v>151</v>
      </c>
      <c r="C76" s="127">
        <f>SUM(C11:C75)</f>
        <v>12.229999999999999</v>
      </c>
      <c r="D76" s="128">
        <f t="shared" ref="D76:M76" si="0">SUM(D11:D75)</f>
        <v>39.560000000000009</v>
      </c>
      <c r="E76" s="128">
        <f t="shared" si="0"/>
        <v>33.790000000000006</v>
      </c>
      <c r="F76" s="128">
        <f t="shared" si="0"/>
        <v>66.59999999999998</v>
      </c>
      <c r="G76" s="128">
        <f t="shared" si="0"/>
        <v>124.25999999999998</v>
      </c>
      <c r="H76" s="128">
        <f t="shared" si="0"/>
        <v>8.67</v>
      </c>
      <c r="I76" s="128">
        <f t="shared" si="0"/>
        <v>0</v>
      </c>
      <c r="J76" s="128">
        <f t="shared" si="0"/>
        <v>12.19</v>
      </c>
      <c r="K76" s="128">
        <f t="shared" si="0"/>
        <v>6.12</v>
      </c>
      <c r="L76" s="129">
        <f t="shared" si="0"/>
        <v>129.57</v>
      </c>
      <c r="M76" s="129">
        <f t="shared" si="0"/>
        <v>2230.2599999999993</v>
      </c>
      <c r="N76" s="17"/>
      <c r="O76" s="17"/>
    </row>
    <row r="77" spans="1:15"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</row>
    <row r="78" spans="1:15"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</row>
    <row r="79" spans="1:15"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</row>
  </sheetData>
  <sortState ref="B7:R64">
    <sortCondition ref="B7:B64"/>
  </sortState>
  <mergeCells count="12">
    <mergeCell ref="B1:N1"/>
    <mergeCell ref="B2:N2"/>
    <mergeCell ref="B3:N3"/>
    <mergeCell ref="B5:B9"/>
    <mergeCell ref="C5:L5"/>
    <mergeCell ref="M5:M9"/>
    <mergeCell ref="C6:D8"/>
    <mergeCell ref="E6:E8"/>
    <mergeCell ref="F6:F8"/>
    <mergeCell ref="G6:G8"/>
    <mergeCell ref="H6:K7"/>
    <mergeCell ref="L6:L8"/>
  </mergeCells>
  <printOptions horizontalCentered="1" verticalCentered="1"/>
  <pageMargins left="0.7" right="0.7" top="0.75" bottom="0.6" header="0.65" footer="0.3"/>
  <pageSetup scale="50" orientation="landscape" r:id="rId1"/>
  <headerFooter>
    <oddFooter>&amp;L&amp;"Arial,Regular"&amp;8DATA SOURCE:  CACTUS Database June 30, 2009
Year-End Web Survey FY 2009
COMPILED BY:  USOE/Finance and Statistics/Emily Eyre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S117"/>
  <sheetViews>
    <sheetView workbookViewId="0">
      <pane ySplit="4" topLeftCell="A5" activePane="bottomLeft" state="frozen"/>
      <selection pane="bottomLeft" activeCell="Q1" sqref="Q1:Q1048576"/>
    </sheetView>
  </sheetViews>
  <sheetFormatPr defaultRowHeight="15"/>
  <cols>
    <col min="1" max="1" width="16.85546875" customWidth="1"/>
    <col min="2" max="2" width="3.140625" bestFit="1" customWidth="1"/>
    <col min="4" max="4" width="28.140625" customWidth="1"/>
    <col min="5" max="5" width="7" bestFit="1" customWidth="1"/>
    <col min="6" max="6" width="7" customWidth="1"/>
    <col min="7" max="7" width="11.28515625" bestFit="1" customWidth="1"/>
    <col min="8" max="8" width="10" bestFit="1" customWidth="1"/>
    <col min="9" max="9" width="9.140625" bestFit="1" customWidth="1"/>
    <col min="10" max="10" width="14.42578125" bestFit="1" customWidth="1"/>
    <col min="11" max="11" width="19.7109375" bestFit="1" customWidth="1"/>
    <col min="12" max="12" width="21.7109375" customWidth="1"/>
    <col min="13" max="13" width="17.28515625" customWidth="1"/>
    <col min="14" max="14" width="17.42578125" customWidth="1"/>
    <col min="15" max="15" width="17.28515625" customWidth="1"/>
    <col min="16" max="16" width="16" customWidth="1"/>
    <col min="17" max="17" width="18.42578125" bestFit="1" customWidth="1"/>
    <col min="18" max="18" width="14.28515625" customWidth="1"/>
    <col min="19" max="19" width="9.85546875" bestFit="1" customWidth="1"/>
  </cols>
  <sheetData>
    <row r="1" spans="1:19">
      <c r="A1" s="198"/>
      <c r="B1" s="198"/>
      <c r="C1" s="198"/>
      <c r="D1" s="198"/>
      <c r="E1" s="196" t="s">
        <v>232</v>
      </c>
      <c r="F1" s="198"/>
      <c r="G1" s="198"/>
      <c r="H1" s="198"/>
      <c r="I1" s="198"/>
      <c r="J1" s="198"/>
      <c r="K1" s="197"/>
      <c r="L1" s="190" t="s">
        <v>233</v>
      </c>
      <c r="M1" s="190" t="s">
        <v>234</v>
      </c>
      <c r="N1" s="190" t="s">
        <v>235</v>
      </c>
      <c r="O1" s="190" t="s">
        <v>236</v>
      </c>
      <c r="P1" s="190" t="s">
        <v>237</v>
      </c>
      <c r="Q1" s="193" t="s">
        <v>238</v>
      </c>
      <c r="R1" s="190" t="s">
        <v>239</v>
      </c>
      <c r="S1" s="190" t="s">
        <v>240</v>
      </c>
    </row>
    <row r="2" spans="1:19">
      <c r="A2" s="49"/>
      <c r="B2" s="49"/>
      <c r="C2" s="199"/>
      <c r="D2" s="200"/>
      <c r="E2" s="196" t="s">
        <v>241</v>
      </c>
      <c r="F2" s="197"/>
      <c r="G2" s="190" t="s">
        <v>10</v>
      </c>
      <c r="H2" s="193" t="s">
        <v>11</v>
      </c>
      <c r="I2" s="190" t="s">
        <v>12</v>
      </c>
      <c r="J2" s="190" t="s">
        <v>242</v>
      </c>
      <c r="K2" s="190" t="s">
        <v>243</v>
      </c>
      <c r="L2" s="191"/>
      <c r="M2" s="191"/>
      <c r="N2" s="191"/>
      <c r="O2" s="191"/>
      <c r="P2" s="191"/>
      <c r="Q2" s="194"/>
      <c r="R2" s="191"/>
      <c r="S2" s="191"/>
    </row>
    <row r="3" spans="1:19">
      <c r="A3" s="49"/>
      <c r="B3" s="49"/>
      <c r="C3" s="199"/>
      <c r="D3" s="200"/>
      <c r="E3" s="49"/>
      <c r="F3" s="49"/>
      <c r="G3" s="191"/>
      <c r="H3" s="194"/>
      <c r="I3" s="191"/>
      <c r="J3" s="191"/>
      <c r="K3" s="191"/>
      <c r="L3" s="191"/>
      <c r="M3" s="191"/>
      <c r="N3" s="191"/>
      <c r="O3" s="191"/>
      <c r="P3" s="191"/>
      <c r="Q3" s="194"/>
      <c r="R3" s="191"/>
      <c r="S3" s="191"/>
    </row>
    <row r="4" spans="1:19">
      <c r="A4" s="49"/>
      <c r="B4" s="49"/>
      <c r="C4" s="199"/>
      <c r="D4" s="200"/>
      <c r="E4" s="50" t="s">
        <v>14</v>
      </c>
      <c r="F4" s="50" t="s">
        <v>15</v>
      </c>
      <c r="G4" s="192"/>
      <c r="H4" s="195"/>
      <c r="I4" s="192"/>
      <c r="J4" s="192"/>
      <c r="K4" s="192"/>
      <c r="L4" s="192"/>
      <c r="M4" s="192"/>
      <c r="N4" s="192"/>
      <c r="O4" s="192"/>
      <c r="P4" s="192"/>
      <c r="Q4" s="195"/>
      <c r="R4" s="192"/>
      <c r="S4" s="192"/>
    </row>
    <row r="5" spans="1:19" ht="15" customHeight="1">
      <c r="A5" s="49"/>
      <c r="B5" s="53">
        <v>1</v>
      </c>
      <c r="C5" s="185" t="s">
        <v>244</v>
      </c>
      <c r="D5" s="186"/>
      <c r="E5" s="51">
        <v>8</v>
      </c>
      <c r="F5" s="51">
        <v>16.53</v>
      </c>
      <c r="G5" s="51">
        <v>105.12</v>
      </c>
      <c r="H5" s="56">
        <v>1203.71</v>
      </c>
      <c r="I5" s="51">
        <v>966.72</v>
      </c>
      <c r="J5" s="51">
        <v>222.86</v>
      </c>
      <c r="K5" s="51">
        <v>60.52</v>
      </c>
      <c r="L5" s="51">
        <v>47.82</v>
      </c>
      <c r="M5" s="51">
        <v>0</v>
      </c>
      <c r="N5" s="51">
        <v>66.88</v>
      </c>
      <c r="O5" s="51">
        <v>18.5</v>
      </c>
      <c r="P5" s="51">
        <v>22</v>
      </c>
      <c r="Q5" s="57">
        <v>107</v>
      </c>
      <c r="R5" s="51">
        <v>75.150000000000006</v>
      </c>
      <c r="S5" s="52">
        <v>2920.82</v>
      </c>
    </row>
    <row r="6" spans="1:19" ht="15" customHeight="1">
      <c r="A6" s="49"/>
      <c r="B6" s="53">
        <v>2</v>
      </c>
      <c r="C6" s="185" t="s">
        <v>245</v>
      </c>
      <c r="D6" s="186"/>
      <c r="E6" s="51">
        <v>0.5</v>
      </c>
      <c r="F6" s="51">
        <v>0</v>
      </c>
      <c r="G6" s="51">
        <v>3</v>
      </c>
      <c r="H6" s="57">
        <v>37.450000000000003</v>
      </c>
      <c r="I6" s="51">
        <v>30.28</v>
      </c>
      <c r="J6" s="51">
        <v>7.35</v>
      </c>
      <c r="K6" s="51">
        <v>0</v>
      </c>
      <c r="L6" s="51">
        <v>1.6</v>
      </c>
      <c r="M6" s="51">
        <v>0</v>
      </c>
      <c r="N6" s="51">
        <v>2.0099999999999998</v>
      </c>
      <c r="O6" s="51">
        <v>0</v>
      </c>
      <c r="P6" s="51">
        <v>2.75</v>
      </c>
      <c r="Q6" s="57">
        <v>2.78</v>
      </c>
      <c r="R6" s="51">
        <v>0.75</v>
      </c>
      <c r="S6" s="51">
        <v>88.47</v>
      </c>
    </row>
    <row r="7" spans="1:19" ht="15" customHeight="1">
      <c r="A7" s="49"/>
      <c r="B7" s="53">
        <v>3</v>
      </c>
      <c r="C7" s="185" t="s">
        <v>246</v>
      </c>
      <c r="D7" s="186"/>
      <c r="E7" s="51">
        <v>1</v>
      </c>
      <c r="F7" s="51">
        <v>8</v>
      </c>
      <c r="G7" s="51">
        <v>24.03</v>
      </c>
      <c r="H7" s="57">
        <v>168.39</v>
      </c>
      <c r="I7" s="51">
        <v>220.33</v>
      </c>
      <c r="J7" s="51">
        <v>44.82</v>
      </c>
      <c r="K7" s="51">
        <v>5.0599999999999996</v>
      </c>
      <c r="L7" s="51">
        <v>4</v>
      </c>
      <c r="M7" s="51">
        <v>0.5</v>
      </c>
      <c r="N7" s="51">
        <v>15</v>
      </c>
      <c r="O7" s="51">
        <v>5</v>
      </c>
      <c r="P7" s="51">
        <v>4.5</v>
      </c>
      <c r="Q7" s="57">
        <v>26.3</v>
      </c>
      <c r="R7" s="51">
        <v>20.73</v>
      </c>
      <c r="S7" s="51">
        <v>547.66</v>
      </c>
    </row>
    <row r="8" spans="1:19" ht="15" customHeight="1">
      <c r="A8" s="49"/>
      <c r="B8" s="53">
        <v>4</v>
      </c>
      <c r="C8" s="185" t="s">
        <v>247</v>
      </c>
      <c r="D8" s="186"/>
      <c r="E8" s="51">
        <v>0</v>
      </c>
      <c r="F8" s="51">
        <v>5</v>
      </c>
      <c r="G8" s="51">
        <v>26.5</v>
      </c>
      <c r="H8" s="57">
        <v>235.68</v>
      </c>
      <c r="I8" s="51">
        <v>271.31</v>
      </c>
      <c r="J8" s="51">
        <v>56.85</v>
      </c>
      <c r="K8" s="51">
        <v>23.87</v>
      </c>
      <c r="L8" s="51">
        <v>9.82</v>
      </c>
      <c r="M8" s="51">
        <v>0</v>
      </c>
      <c r="N8" s="51">
        <v>18.88</v>
      </c>
      <c r="O8" s="51">
        <v>20</v>
      </c>
      <c r="P8" s="51">
        <v>3.33</v>
      </c>
      <c r="Q8" s="57">
        <v>27.27</v>
      </c>
      <c r="R8" s="51">
        <v>33.92</v>
      </c>
      <c r="S8" s="51">
        <v>732.43</v>
      </c>
    </row>
    <row r="9" spans="1:19" ht="15" customHeight="1">
      <c r="A9" s="49"/>
      <c r="B9" s="53">
        <v>5</v>
      </c>
      <c r="C9" s="185" t="s">
        <v>248</v>
      </c>
      <c r="D9" s="186"/>
      <c r="E9" s="51">
        <v>0</v>
      </c>
      <c r="F9" s="51">
        <v>2</v>
      </c>
      <c r="G9" s="51">
        <v>11</v>
      </c>
      <c r="H9" s="57">
        <v>67.010000000000005</v>
      </c>
      <c r="I9" s="51">
        <v>65.13</v>
      </c>
      <c r="J9" s="51">
        <v>20.74</v>
      </c>
      <c r="K9" s="51">
        <v>13.55</v>
      </c>
      <c r="L9" s="51">
        <v>2.48</v>
      </c>
      <c r="M9" s="51">
        <v>1</v>
      </c>
      <c r="N9" s="51">
        <v>6.24</v>
      </c>
      <c r="O9" s="51">
        <v>0.83</v>
      </c>
      <c r="P9" s="51">
        <v>6</v>
      </c>
      <c r="Q9" s="57">
        <v>11</v>
      </c>
      <c r="R9" s="51">
        <v>4.5</v>
      </c>
      <c r="S9" s="51">
        <v>211.48</v>
      </c>
    </row>
    <row r="10" spans="1:19" ht="15" customHeight="1">
      <c r="A10" s="49"/>
      <c r="B10" s="53">
        <v>6</v>
      </c>
      <c r="C10" s="185" t="s">
        <v>249</v>
      </c>
      <c r="D10" s="186"/>
      <c r="E10" s="51">
        <v>0</v>
      </c>
      <c r="F10" s="51">
        <v>0</v>
      </c>
      <c r="G10" s="51">
        <v>1</v>
      </c>
      <c r="H10" s="57">
        <v>4.9000000000000004</v>
      </c>
      <c r="I10" s="51">
        <v>6.29</v>
      </c>
      <c r="J10" s="51">
        <v>0.57999999999999996</v>
      </c>
      <c r="K10" s="51">
        <v>2.34</v>
      </c>
      <c r="L10" s="51">
        <v>0.62</v>
      </c>
      <c r="M10" s="51">
        <v>0</v>
      </c>
      <c r="N10" s="51">
        <v>0</v>
      </c>
      <c r="O10" s="51">
        <v>0.25</v>
      </c>
      <c r="P10" s="51">
        <v>0.88</v>
      </c>
      <c r="Q10" s="57">
        <v>0.76</v>
      </c>
      <c r="R10" s="51">
        <v>0</v>
      </c>
      <c r="S10" s="51">
        <v>17.62</v>
      </c>
    </row>
    <row r="11" spans="1:19" ht="15" customHeight="1">
      <c r="A11" s="49"/>
      <c r="B11" s="53">
        <v>7</v>
      </c>
      <c r="C11" s="185" t="s">
        <v>250</v>
      </c>
      <c r="D11" s="186"/>
      <c r="E11" s="51">
        <v>2.67</v>
      </c>
      <c r="F11" s="51">
        <v>15.83</v>
      </c>
      <c r="G11" s="51">
        <v>129.09</v>
      </c>
      <c r="H11" s="56">
        <v>1204.1400000000001</v>
      </c>
      <c r="I11" s="52">
        <v>1143.0899999999999</v>
      </c>
      <c r="J11" s="51">
        <v>286.5</v>
      </c>
      <c r="K11" s="51">
        <v>99.57</v>
      </c>
      <c r="L11" s="51">
        <v>59.29</v>
      </c>
      <c r="M11" s="51">
        <v>37.65</v>
      </c>
      <c r="N11" s="51">
        <v>87.3</v>
      </c>
      <c r="O11" s="51">
        <v>17.5</v>
      </c>
      <c r="P11" s="51">
        <v>26</v>
      </c>
      <c r="Q11" s="57">
        <v>174.52</v>
      </c>
      <c r="R11" s="51">
        <v>98.69</v>
      </c>
      <c r="S11" s="52">
        <v>3381.83</v>
      </c>
    </row>
    <row r="12" spans="1:19" ht="15" customHeight="1">
      <c r="A12" s="49"/>
      <c r="B12" s="53">
        <v>8</v>
      </c>
      <c r="C12" s="185" t="s">
        <v>251</v>
      </c>
      <c r="D12" s="186"/>
      <c r="E12" s="51">
        <v>0</v>
      </c>
      <c r="F12" s="51">
        <v>1</v>
      </c>
      <c r="G12" s="51">
        <v>11.5</v>
      </c>
      <c r="H12" s="57">
        <v>94.64</v>
      </c>
      <c r="I12" s="51">
        <v>85.74</v>
      </c>
      <c r="J12" s="51">
        <v>24.86</v>
      </c>
      <c r="K12" s="51">
        <v>2.48</v>
      </c>
      <c r="L12" s="51">
        <v>0.5</v>
      </c>
      <c r="M12" s="51">
        <v>0</v>
      </c>
      <c r="N12" s="51">
        <v>3.85</v>
      </c>
      <c r="O12" s="51">
        <v>6</v>
      </c>
      <c r="P12" s="51">
        <v>3</v>
      </c>
      <c r="Q12" s="57">
        <v>12.65</v>
      </c>
      <c r="R12" s="51">
        <v>2</v>
      </c>
      <c r="S12" s="51">
        <v>248.22</v>
      </c>
    </row>
    <row r="13" spans="1:19" ht="15" customHeight="1">
      <c r="A13" s="49"/>
      <c r="B13" s="53">
        <v>9</v>
      </c>
      <c r="C13" s="185" t="s">
        <v>252</v>
      </c>
      <c r="D13" s="186"/>
      <c r="E13" s="51">
        <v>0</v>
      </c>
      <c r="F13" s="51">
        <v>1</v>
      </c>
      <c r="G13" s="51">
        <v>6.51</v>
      </c>
      <c r="H13" s="57">
        <v>49</v>
      </c>
      <c r="I13" s="51">
        <v>50.55</v>
      </c>
      <c r="J13" s="51">
        <v>12.02</v>
      </c>
      <c r="K13" s="51">
        <v>2.17</v>
      </c>
      <c r="L13" s="51">
        <v>0.5</v>
      </c>
      <c r="M13" s="51">
        <v>0</v>
      </c>
      <c r="N13" s="51">
        <v>0.5</v>
      </c>
      <c r="O13" s="51">
        <v>1.1000000000000001</v>
      </c>
      <c r="P13" s="51">
        <v>4</v>
      </c>
      <c r="Q13" s="57">
        <v>9.49</v>
      </c>
      <c r="R13" s="51">
        <v>2</v>
      </c>
      <c r="S13" s="51">
        <v>138.83000000000001</v>
      </c>
    </row>
    <row r="14" spans="1:19" ht="15" customHeight="1">
      <c r="A14" s="49"/>
      <c r="B14" s="53">
        <v>10</v>
      </c>
      <c r="C14" s="185" t="s">
        <v>253</v>
      </c>
      <c r="D14" s="186"/>
      <c r="E14" s="51">
        <v>0.5</v>
      </c>
      <c r="F14" s="51">
        <v>0</v>
      </c>
      <c r="G14" s="51">
        <v>3.66</v>
      </c>
      <c r="H14" s="57">
        <v>23.84</v>
      </c>
      <c r="I14" s="51">
        <v>31.18</v>
      </c>
      <c r="J14" s="51">
        <v>5.93</v>
      </c>
      <c r="K14" s="51">
        <v>0.05</v>
      </c>
      <c r="L14" s="51">
        <v>4.7699999999999996</v>
      </c>
      <c r="M14" s="51">
        <v>0.8</v>
      </c>
      <c r="N14" s="51">
        <v>1.7</v>
      </c>
      <c r="O14" s="51">
        <v>0</v>
      </c>
      <c r="P14" s="51">
        <v>2.4700000000000002</v>
      </c>
      <c r="Q14" s="57">
        <v>5.44</v>
      </c>
      <c r="R14" s="51">
        <v>1</v>
      </c>
      <c r="S14" s="51">
        <v>81.34</v>
      </c>
    </row>
    <row r="15" spans="1:19" ht="15" customHeight="1">
      <c r="A15" s="49"/>
      <c r="B15" s="53">
        <v>11</v>
      </c>
      <c r="C15" s="185" t="s">
        <v>254</v>
      </c>
      <c r="D15" s="186"/>
      <c r="E15" s="51">
        <v>0</v>
      </c>
      <c r="F15" s="51">
        <v>1</v>
      </c>
      <c r="G15" s="51">
        <v>5</v>
      </c>
      <c r="H15" s="57">
        <v>30.54</v>
      </c>
      <c r="I15" s="51">
        <v>39.47</v>
      </c>
      <c r="J15" s="51">
        <v>8.5</v>
      </c>
      <c r="K15" s="51">
        <v>1.08</v>
      </c>
      <c r="L15" s="51">
        <v>1.75</v>
      </c>
      <c r="M15" s="51">
        <v>0</v>
      </c>
      <c r="N15" s="51">
        <v>2</v>
      </c>
      <c r="O15" s="51">
        <v>2</v>
      </c>
      <c r="P15" s="51">
        <v>1</v>
      </c>
      <c r="Q15" s="57">
        <v>6</v>
      </c>
      <c r="R15" s="51">
        <v>2</v>
      </c>
      <c r="S15" s="51">
        <v>100.34</v>
      </c>
    </row>
    <row r="16" spans="1:19" ht="15" customHeight="1">
      <c r="A16" s="49"/>
      <c r="B16" s="53">
        <v>12</v>
      </c>
      <c r="C16" s="185" t="s">
        <v>255</v>
      </c>
      <c r="D16" s="186"/>
      <c r="E16" s="51">
        <v>11</v>
      </c>
      <c r="F16" s="51">
        <v>26.25</v>
      </c>
      <c r="G16" s="51">
        <v>142.91999999999999</v>
      </c>
      <c r="H16" s="56">
        <v>1221.27</v>
      </c>
      <c r="I16" s="52">
        <v>1142.42</v>
      </c>
      <c r="J16" s="51">
        <v>310.2</v>
      </c>
      <c r="K16" s="51">
        <v>217.7</v>
      </c>
      <c r="L16" s="51">
        <v>60.52</v>
      </c>
      <c r="M16" s="51">
        <v>1</v>
      </c>
      <c r="N16" s="51">
        <v>83.18</v>
      </c>
      <c r="O16" s="51">
        <v>20.58</v>
      </c>
      <c r="P16" s="51">
        <v>37.71</v>
      </c>
      <c r="Q16" s="57">
        <v>136.22999999999999</v>
      </c>
      <c r="R16" s="51">
        <v>146.08000000000001</v>
      </c>
      <c r="S16" s="52">
        <v>3557.07</v>
      </c>
    </row>
    <row r="17" spans="1:19" ht="15" customHeight="1">
      <c r="A17" s="49"/>
      <c r="B17" s="53">
        <v>13</v>
      </c>
      <c r="C17" s="185" t="s">
        <v>256</v>
      </c>
      <c r="D17" s="186"/>
      <c r="E17" s="51">
        <v>2</v>
      </c>
      <c r="F17" s="51">
        <v>6.5</v>
      </c>
      <c r="G17" s="51">
        <v>22</v>
      </c>
      <c r="H17" s="57">
        <v>163.61000000000001</v>
      </c>
      <c r="I17" s="51">
        <v>160.59</v>
      </c>
      <c r="J17" s="51">
        <v>46.57</v>
      </c>
      <c r="K17" s="51">
        <v>3.4</v>
      </c>
      <c r="L17" s="51">
        <v>5.5</v>
      </c>
      <c r="M17" s="51">
        <v>4</v>
      </c>
      <c r="N17" s="51">
        <v>11.5</v>
      </c>
      <c r="O17" s="51">
        <v>3</v>
      </c>
      <c r="P17" s="51">
        <v>3</v>
      </c>
      <c r="Q17" s="57">
        <v>18</v>
      </c>
      <c r="R17" s="51">
        <v>8.85</v>
      </c>
      <c r="S17" s="51">
        <v>458.52</v>
      </c>
    </row>
    <row r="18" spans="1:19" ht="15" customHeight="1">
      <c r="A18" s="49"/>
      <c r="B18" s="53">
        <v>14</v>
      </c>
      <c r="C18" s="185" t="s">
        <v>257</v>
      </c>
      <c r="D18" s="186"/>
      <c r="E18" s="51">
        <v>7.9</v>
      </c>
      <c r="F18" s="51">
        <v>34.18</v>
      </c>
      <c r="G18" s="51">
        <v>131.27000000000001</v>
      </c>
      <c r="H18" s="56">
        <v>1494.6</v>
      </c>
      <c r="I18" s="52">
        <v>1231.96</v>
      </c>
      <c r="J18" s="51">
        <v>321.25</v>
      </c>
      <c r="K18" s="51">
        <v>165.51</v>
      </c>
      <c r="L18" s="51">
        <v>77.900000000000006</v>
      </c>
      <c r="M18" s="51">
        <v>1.71</v>
      </c>
      <c r="N18" s="51">
        <v>76.06</v>
      </c>
      <c r="O18" s="51">
        <v>29.72</v>
      </c>
      <c r="P18" s="51">
        <v>19.86</v>
      </c>
      <c r="Q18" s="57">
        <v>163.58000000000001</v>
      </c>
      <c r="R18" s="51">
        <v>168.3</v>
      </c>
      <c r="S18" s="52">
        <v>3923.8</v>
      </c>
    </row>
    <row r="19" spans="1:19" ht="15" customHeight="1">
      <c r="A19" s="49"/>
      <c r="B19" s="53">
        <v>15</v>
      </c>
      <c r="C19" s="185" t="s">
        <v>258</v>
      </c>
      <c r="D19" s="186"/>
      <c r="E19" s="51">
        <v>0</v>
      </c>
      <c r="F19" s="51">
        <v>1</v>
      </c>
      <c r="G19" s="51">
        <v>5</v>
      </c>
      <c r="H19" s="57">
        <v>44.04</v>
      </c>
      <c r="I19" s="51">
        <v>35.700000000000003</v>
      </c>
      <c r="J19" s="51">
        <v>11.8</v>
      </c>
      <c r="K19" s="51">
        <v>2.08</v>
      </c>
      <c r="L19" s="51">
        <v>0</v>
      </c>
      <c r="M19" s="51">
        <v>1</v>
      </c>
      <c r="N19" s="51">
        <v>2</v>
      </c>
      <c r="O19" s="51">
        <v>0</v>
      </c>
      <c r="P19" s="51">
        <v>1</v>
      </c>
      <c r="Q19" s="57">
        <v>6</v>
      </c>
      <c r="R19" s="51">
        <v>1.22</v>
      </c>
      <c r="S19" s="51">
        <v>110.84</v>
      </c>
    </row>
    <row r="20" spans="1:19" ht="15" customHeight="1">
      <c r="A20" s="49"/>
      <c r="B20" s="53">
        <v>16</v>
      </c>
      <c r="C20" s="185" t="s">
        <v>259</v>
      </c>
      <c r="D20" s="186"/>
      <c r="E20" s="51">
        <v>1.5</v>
      </c>
      <c r="F20" s="51">
        <v>0</v>
      </c>
      <c r="G20" s="51">
        <v>3.59</v>
      </c>
      <c r="H20" s="57">
        <v>25.57</v>
      </c>
      <c r="I20" s="51">
        <v>35.700000000000003</v>
      </c>
      <c r="J20" s="51">
        <v>5.9</v>
      </c>
      <c r="K20" s="51">
        <v>0.34</v>
      </c>
      <c r="L20" s="51">
        <v>0</v>
      </c>
      <c r="M20" s="51">
        <v>0</v>
      </c>
      <c r="N20" s="51">
        <v>1.2</v>
      </c>
      <c r="O20" s="51">
        <v>0.36</v>
      </c>
      <c r="P20" s="51">
        <v>1</v>
      </c>
      <c r="Q20" s="57">
        <v>3.6</v>
      </c>
      <c r="R20" s="51">
        <v>1</v>
      </c>
      <c r="S20" s="51">
        <v>79.760000000000005</v>
      </c>
    </row>
    <row r="21" spans="1:19" ht="15" customHeight="1">
      <c r="A21" s="49"/>
      <c r="B21" s="53">
        <v>39</v>
      </c>
      <c r="C21" s="185" t="s">
        <v>260</v>
      </c>
      <c r="D21" s="186"/>
      <c r="E21" s="51">
        <v>0.56999999999999995</v>
      </c>
      <c r="F21" s="51">
        <v>3</v>
      </c>
      <c r="G21" s="51">
        <v>15.29</v>
      </c>
      <c r="H21" s="57">
        <v>100.33</v>
      </c>
      <c r="I21" s="51">
        <v>119.91</v>
      </c>
      <c r="J21" s="51">
        <v>27.12</v>
      </c>
      <c r="K21" s="51">
        <v>24.7</v>
      </c>
      <c r="L21" s="51">
        <v>2.29</v>
      </c>
      <c r="M21" s="51">
        <v>1</v>
      </c>
      <c r="N21" s="51">
        <v>6.41</v>
      </c>
      <c r="O21" s="51">
        <v>2</v>
      </c>
      <c r="P21" s="51">
        <v>5</v>
      </c>
      <c r="Q21" s="57">
        <v>9.9</v>
      </c>
      <c r="R21" s="51">
        <v>11.7</v>
      </c>
      <c r="S21" s="51">
        <v>329.21</v>
      </c>
    </row>
    <row r="22" spans="1:19" ht="15" customHeight="1">
      <c r="A22" s="49"/>
      <c r="B22" s="53">
        <v>17</v>
      </c>
      <c r="C22" s="185" t="s">
        <v>261</v>
      </c>
      <c r="D22" s="186"/>
      <c r="E22" s="51">
        <v>0</v>
      </c>
      <c r="F22" s="51">
        <v>3.5</v>
      </c>
      <c r="G22" s="51">
        <v>6.33</v>
      </c>
      <c r="H22" s="57">
        <v>51.73</v>
      </c>
      <c r="I22" s="51">
        <v>70.53</v>
      </c>
      <c r="J22" s="51">
        <v>9.7799999999999994</v>
      </c>
      <c r="K22" s="51">
        <v>3.88</v>
      </c>
      <c r="L22" s="51">
        <v>2.5</v>
      </c>
      <c r="M22" s="51">
        <v>0.55000000000000004</v>
      </c>
      <c r="N22" s="51">
        <v>1.96</v>
      </c>
      <c r="O22" s="51">
        <v>1</v>
      </c>
      <c r="P22" s="51">
        <v>2</v>
      </c>
      <c r="Q22" s="57">
        <v>6.44</v>
      </c>
      <c r="R22" s="51">
        <v>4</v>
      </c>
      <c r="S22" s="51">
        <v>164.2</v>
      </c>
    </row>
    <row r="23" spans="1:19" ht="15" customHeight="1">
      <c r="A23" s="49"/>
      <c r="B23" s="53">
        <v>18</v>
      </c>
      <c r="C23" s="185" t="s">
        <v>262</v>
      </c>
      <c r="D23" s="186"/>
      <c r="E23" s="51">
        <v>0</v>
      </c>
      <c r="F23" s="51">
        <v>1</v>
      </c>
      <c r="G23" s="51">
        <v>5</v>
      </c>
      <c r="H23" s="57">
        <v>46.33</v>
      </c>
      <c r="I23" s="51">
        <v>46.25</v>
      </c>
      <c r="J23" s="51">
        <v>8.8000000000000007</v>
      </c>
      <c r="K23" s="51">
        <v>0.63</v>
      </c>
      <c r="L23" s="51">
        <v>1.04</v>
      </c>
      <c r="M23" s="51">
        <v>0</v>
      </c>
      <c r="N23" s="51">
        <v>3</v>
      </c>
      <c r="O23" s="51">
        <v>1.2</v>
      </c>
      <c r="P23" s="51">
        <v>1</v>
      </c>
      <c r="Q23" s="57">
        <v>5.86</v>
      </c>
      <c r="R23" s="51">
        <v>1</v>
      </c>
      <c r="S23" s="51">
        <v>121.1</v>
      </c>
    </row>
    <row r="24" spans="1:19" ht="15" customHeight="1">
      <c r="A24" s="49"/>
      <c r="B24" s="53">
        <v>40</v>
      </c>
      <c r="C24" s="185" t="s">
        <v>263</v>
      </c>
      <c r="D24" s="186"/>
      <c r="E24" s="51">
        <v>0</v>
      </c>
      <c r="F24" s="51">
        <v>1.5</v>
      </c>
      <c r="G24" s="51">
        <v>12.33</v>
      </c>
      <c r="H24" s="57">
        <v>116.93</v>
      </c>
      <c r="I24" s="51">
        <v>126.68</v>
      </c>
      <c r="J24" s="51">
        <v>26.1</v>
      </c>
      <c r="K24" s="51">
        <v>5.21</v>
      </c>
      <c r="L24" s="51">
        <v>4.4000000000000004</v>
      </c>
      <c r="M24" s="51">
        <v>1</v>
      </c>
      <c r="N24" s="51">
        <v>8.33</v>
      </c>
      <c r="O24" s="51">
        <v>2</v>
      </c>
      <c r="P24" s="51">
        <v>3.5</v>
      </c>
      <c r="Q24" s="57">
        <v>14</v>
      </c>
      <c r="R24" s="51">
        <v>12.3</v>
      </c>
      <c r="S24" s="51">
        <v>334.27</v>
      </c>
    </row>
    <row r="25" spans="1:19" ht="15" customHeight="1">
      <c r="A25" s="49"/>
      <c r="B25" s="53">
        <v>19</v>
      </c>
      <c r="C25" s="185" t="s">
        <v>264</v>
      </c>
      <c r="D25" s="186"/>
      <c r="E25" s="51">
        <v>4</v>
      </c>
      <c r="F25" s="51">
        <v>14</v>
      </c>
      <c r="G25" s="51">
        <v>60</v>
      </c>
      <c r="H25" s="57">
        <v>510.22</v>
      </c>
      <c r="I25" s="51">
        <v>408.81</v>
      </c>
      <c r="J25" s="51">
        <v>115.92</v>
      </c>
      <c r="K25" s="51">
        <v>54.73</v>
      </c>
      <c r="L25" s="51">
        <v>38.65</v>
      </c>
      <c r="M25" s="51">
        <v>10.9</v>
      </c>
      <c r="N25" s="51">
        <v>28.99</v>
      </c>
      <c r="O25" s="51">
        <v>8.08</v>
      </c>
      <c r="P25" s="51">
        <v>13</v>
      </c>
      <c r="Q25" s="57">
        <v>54</v>
      </c>
      <c r="R25" s="51">
        <v>61.88</v>
      </c>
      <c r="S25" s="52">
        <v>1383.17</v>
      </c>
    </row>
    <row r="26" spans="1:19" ht="15" customHeight="1">
      <c r="A26" s="49"/>
      <c r="B26" s="53">
        <v>20</v>
      </c>
      <c r="C26" s="185" t="s">
        <v>265</v>
      </c>
      <c r="D26" s="186"/>
      <c r="E26" s="51">
        <v>0</v>
      </c>
      <c r="F26" s="51">
        <v>1</v>
      </c>
      <c r="G26" s="51">
        <v>5</v>
      </c>
      <c r="H26" s="57">
        <v>53</v>
      </c>
      <c r="I26" s="51">
        <v>51.33</v>
      </c>
      <c r="J26" s="51">
        <v>9.83</v>
      </c>
      <c r="K26" s="51">
        <v>1.17</v>
      </c>
      <c r="L26" s="51">
        <v>1</v>
      </c>
      <c r="M26" s="51">
        <v>0</v>
      </c>
      <c r="N26" s="51">
        <v>0</v>
      </c>
      <c r="O26" s="51">
        <v>1</v>
      </c>
      <c r="P26" s="51">
        <v>3</v>
      </c>
      <c r="Q26" s="57">
        <v>7</v>
      </c>
      <c r="R26" s="51">
        <v>1</v>
      </c>
      <c r="S26" s="51">
        <v>134.33000000000001</v>
      </c>
    </row>
    <row r="27" spans="1:19" ht="15" customHeight="1">
      <c r="A27" s="49"/>
      <c r="B27" s="53">
        <v>21</v>
      </c>
      <c r="C27" s="185" t="s">
        <v>266</v>
      </c>
      <c r="D27" s="186"/>
      <c r="E27" s="51">
        <v>0.5</v>
      </c>
      <c r="F27" s="51">
        <v>0</v>
      </c>
      <c r="G27" s="51">
        <v>2.06</v>
      </c>
      <c r="H27" s="57">
        <v>18.84</v>
      </c>
      <c r="I27" s="51">
        <v>22.84</v>
      </c>
      <c r="J27" s="51">
        <v>6.34</v>
      </c>
      <c r="K27" s="51">
        <v>2.0099999999999998</v>
      </c>
      <c r="L27" s="51">
        <v>1.5</v>
      </c>
      <c r="M27" s="51">
        <v>0.25</v>
      </c>
      <c r="N27" s="51">
        <v>1.75</v>
      </c>
      <c r="O27" s="51">
        <v>0.83</v>
      </c>
      <c r="P27" s="51">
        <v>1</v>
      </c>
      <c r="Q27" s="57">
        <v>3.33</v>
      </c>
      <c r="R27" s="51">
        <v>0</v>
      </c>
      <c r="S27" s="51">
        <v>61.25</v>
      </c>
    </row>
    <row r="28" spans="1:19" ht="15" customHeight="1">
      <c r="A28" s="49"/>
      <c r="B28" s="53">
        <v>37</v>
      </c>
      <c r="C28" s="185" t="s">
        <v>267</v>
      </c>
      <c r="D28" s="186"/>
      <c r="E28" s="51">
        <v>0</v>
      </c>
      <c r="F28" s="51">
        <v>4.5</v>
      </c>
      <c r="G28" s="51">
        <v>37.6</v>
      </c>
      <c r="H28" s="57">
        <v>225.07</v>
      </c>
      <c r="I28" s="51">
        <v>177.65</v>
      </c>
      <c r="J28" s="51">
        <v>58.99</v>
      </c>
      <c r="K28" s="51">
        <v>48.11</v>
      </c>
      <c r="L28" s="51">
        <v>15.89</v>
      </c>
      <c r="M28" s="51">
        <v>11.13</v>
      </c>
      <c r="N28" s="51">
        <v>14.32</v>
      </c>
      <c r="O28" s="51">
        <v>17.329999999999998</v>
      </c>
      <c r="P28" s="51">
        <v>8</v>
      </c>
      <c r="Q28" s="57">
        <v>27</v>
      </c>
      <c r="R28" s="51">
        <v>15.16</v>
      </c>
      <c r="S28" s="51">
        <v>660.76</v>
      </c>
    </row>
    <row r="29" spans="1:19" ht="15" customHeight="1">
      <c r="A29" s="49"/>
      <c r="B29" s="53">
        <v>22</v>
      </c>
      <c r="C29" s="185" t="s">
        <v>268</v>
      </c>
      <c r="D29" s="186"/>
      <c r="E29" s="51">
        <v>0</v>
      </c>
      <c r="F29" s="51">
        <v>0</v>
      </c>
      <c r="G29" s="51">
        <v>9</v>
      </c>
      <c r="H29" s="57">
        <v>78.31</v>
      </c>
      <c r="I29" s="51">
        <v>122.95</v>
      </c>
      <c r="J29" s="51">
        <v>21.74</v>
      </c>
      <c r="K29" s="51">
        <v>17.13</v>
      </c>
      <c r="L29" s="51">
        <v>4.28</v>
      </c>
      <c r="M29" s="51">
        <v>4.55</v>
      </c>
      <c r="N29" s="51">
        <v>6.83</v>
      </c>
      <c r="O29" s="51">
        <v>6.84</v>
      </c>
      <c r="P29" s="51">
        <v>2</v>
      </c>
      <c r="Q29" s="57">
        <v>12.15</v>
      </c>
      <c r="R29" s="51">
        <v>6</v>
      </c>
      <c r="S29" s="51">
        <v>291.77999999999997</v>
      </c>
    </row>
    <row r="30" spans="1:19" ht="15" customHeight="1">
      <c r="A30" s="49"/>
      <c r="B30" s="53">
        <v>23</v>
      </c>
      <c r="C30" s="185" t="s">
        <v>269</v>
      </c>
      <c r="D30" s="186"/>
      <c r="E30" s="51">
        <v>0</v>
      </c>
      <c r="F30" s="51">
        <v>0.75</v>
      </c>
      <c r="G30" s="51">
        <v>1.34</v>
      </c>
      <c r="H30" s="57">
        <v>8.82</v>
      </c>
      <c r="I30" s="51">
        <v>13.9</v>
      </c>
      <c r="J30" s="51">
        <v>1.92</v>
      </c>
      <c r="K30" s="51">
        <v>0.2</v>
      </c>
      <c r="L30" s="51">
        <v>0</v>
      </c>
      <c r="M30" s="51">
        <v>0.5</v>
      </c>
      <c r="N30" s="51">
        <v>0.5</v>
      </c>
      <c r="O30" s="51">
        <v>0</v>
      </c>
      <c r="P30" s="51">
        <v>1</v>
      </c>
      <c r="Q30" s="57">
        <v>1.32</v>
      </c>
      <c r="R30" s="51">
        <v>0</v>
      </c>
      <c r="S30" s="51">
        <v>30.25</v>
      </c>
    </row>
    <row r="31" spans="1:19" ht="15" customHeight="1">
      <c r="A31" s="49"/>
      <c r="B31" s="53">
        <v>38</v>
      </c>
      <c r="C31" s="185" t="s">
        <v>270</v>
      </c>
      <c r="D31" s="186"/>
      <c r="E31" s="51">
        <v>1</v>
      </c>
      <c r="F31" s="51">
        <v>1</v>
      </c>
      <c r="G31" s="51">
        <v>23.75</v>
      </c>
      <c r="H31" s="57">
        <v>228.12</v>
      </c>
      <c r="I31" s="51">
        <v>216.44</v>
      </c>
      <c r="J31" s="51">
        <v>75.02</v>
      </c>
      <c r="K31" s="51">
        <v>41.52</v>
      </c>
      <c r="L31" s="51">
        <v>4</v>
      </c>
      <c r="M31" s="51">
        <v>0</v>
      </c>
      <c r="N31" s="51">
        <v>13</v>
      </c>
      <c r="O31" s="51">
        <v>4.33</v>
      </c>
      <c r="P31" s="51">
        <v>6</v>
      </c>
      <c r="Q31" s="57">
        <v>26</v>
      </c>
      <c r="R31" s="51">
        <v>28.9</v>
      </c>
      <c r="S31" s="51">
        <v>669.07</v>
      </c>
    </row>
    <row r="32" spans="1:19" ht="15" customHeight="1">
      <c r="A32" s="49"/>
      <c r="B32" s="53">
        <v>24</v>
      </c>
      <c r="C32" s="185" t="s">
        <v>271</v>
      </c>
      <c r="D32" s="186"/>
      <c r="E32" s="51">
        <v>0</v>
      </c>
      <c r="F32" s="51">
        <v>0</v>
      </c>
      <c r="G32" s="51">
        <v>2</v>
      </c>
      <c r="H32" s="57">
        <v>10</v>
      </c>
      <c r="I32" s="51">
        <v>17.850000000000001</v>
      </c>
      <c r="J32" s="51">
        <v>2</v>
      </c>
      <c r="K32" s="51">
        <v>1.43</v>
      </c>
      <c r="L32" s="51">
        <v>0</v>
      </c>
      <c r="M32" s="51">
        <v>0.5</v>
      </c>
      <c r="N32" s="51">
        <v>0.45</v>
      </c>
      <c r="O32" s="51">
        <v>0</v>
      </c>
      <c r="P32" s="51">
        <v>0.8</v>
      </c>
      <c r="Q32" s="57">
        <v>1.97</v>
      </c>
      <c r="R32" s="51">
        <v>1</v>
      </c>
      <c r="S32" s="51">
        <v>38</v>
      </c>
    </row>
    <row r="33" spans="1:19" ht="15" customHeight="1">
      <c r="A33" s="49"/>
      <c r="B33" s="53">
        <v>36</v>
      </c>
      <c r="C33" s="185" t="s">
        <v>272</v>
      </c>
      <c r="D33" s="186"/>
      <c r="E33" s="51">
        <v>0</v>
      </c>
      <c r="F33" s="51">
        <v>7.56</v>
      </c>
      <c r="G33" s="51">
        <v>79.290000000000006</v>
      </c>
      <c r="H33" s="57">
        <v>467.88</v>
      </c>
      <c r="I33" s="51">
        <v>395.42</v>
      </c>
      <c r="J33" s="51">
        <v>147.80000000000001</v>
      </c>
      <c r="K33" s="51">
        <v>36.1</v>
      </c>
      <c r="L33" s="51">
        <v>63.81</v>
      </c>
      <c r="M33" s="51">
        <v>14</v>
      </c>
      <c r="N33" s="51">
        <v>21.5</v>
      </c>
      <c r="O33" s="51">
        <v>38</v>
      </c>
      <c r="P33" s="51">
        <v>16.66</v>
      </c>
      <c r="Q33" s="57">
        <v>58.5</v>
      </c>
      <c r="R33" s="51">
        <v>41.5</v>
      </c>
      <c r="S33" s="52">
        <v>1388.01</v>
      </c>
    </row>
    <row r="34" spans="1:19" ht="15" customHeight="1">
      <c r="A34" s="49"/>
      <c r="B34" s="53">
        <v>25</v>
      </c>
      <c r="C34" s="185" t="s">
        <v>273</v>
      </c>
      <c r="D34" s="186"/>
      <c r="E34" s="51">
        <v>1</v>
      </c>
      <c r="F34" s="51">
        <v>3.25</v>
      </c>
      <c r="G34" s="51">
        <v>7.75</v>
      </c>
      <c r="H34" s="57">
        <v>52.04</v>
      </c>
      <c r="I34" s="51">
        <v>80.64</v>
      </c>
      <c r="J34" s="51">
        <v>13.52</v>
      </c>
      <c r="K34" s="51">
        <v>14</v>
      </c>
      <c r="L34" s="51">
        <v>7</v>
      </c>
      <c r="M34" s="51">
        <v>3</v>
      </c>
      <c r="N34" s="51">
        <v>4.16</v>
      </c>
      <c r="O34" s="51">
        <v>2.5</v>
      </c>
      <c r="P34" s="51">
        <v>4</v>
      </c>
      <c r="Q34" s="57">
        <v>14.97</v>
      </c>
      <c r="R34" s="51">
        <v>5</v>
      </c>
      <c r="S34" s="51">
        <v>212.82</v>
      </c>
    </row>
    <row r="35" spans="1:19" ht="15" customHeight="1">
      <c r="A35" s="49"/>
      <c r="B35" s="53">
        <v>26</v>
      </c>
      <c r="C35" s="185" t="s">
        <v>274</v>
      </c>
      <c r="D35" s="186"/>
      <c r="E35" s="51">
        <v>0</v>
      </c>
      <c r="F35" s="51">
        <v>3.5</v>
      </c>
      <c r="G35" s="51">
        <v>11</v>
      </c>
      <c r="H35" s="57">
        <v>74.8</v>
      </c>
      <c r="I35" s="51">
        <v>99.56</v>
      </c>
      <c r="J35" s="51">
        <v>31.84</v>
      </c>
      <c r="K35" s="51">
        <v>3.68</v>
      </c>
      <c r="L35" s="51">
        <v>1</v>
      </c>
      <c r="M35" s="51">
        <v>0</v>
      </c>
      <c r="N35" s="51">
        <v>5.46</v>
      </c>
      <c r="O35" s="51">
        <v>0</v>
      </c>
      <c r="P35" s="51">
        <v>2</v>
      </c>
      <c r="Q35" s="57">
        <v>10.68</v>
      </c>
      <c r="R35" s="51">
        <v>2.27</v>
      </c>
      <c r="S35" s="51">
        <v>245.79</v>
      </c>
    </row>
    <row r="36" spans="1:19" ht="15" customHeight="1">
      <c r="A36" s="49"/>
      <c r="B36" s="53">
        <v>27</v>
      </c>
      <c r="C36" s="185" t="s">
        <v>275</v>
      </c>
      <c r="D36" s="186"/>
      <c r="E36" s="51">
        <v>0</v>
      </c>
      <c r="F36" s="51">
        <v>1.71</v>
      </c>
      <c r="G36" s="51">
        <v>7.5</v>
      </c>
      <c r="H36" s="57">
        <v>63.19</v>
      </c>
      <c r="I36" s="51">
        <v>75.42</v>
      </c>
      <c r="J36" s="51">
        <v>13.93</v>
      </c>
      <c r="K36" s="51">
        <v>3.25</v>
      </c>
      <c r="L36" s="51">
        <v>1</v>
      </c>
      <c r="M36" s="51">
        <v>0</v>
      </c>
      <c r="N36" s="51">
        <v>6.45</v>
      </c>
      <c r="O36" s="51">
        <v>0</v>
      </c>
      <c r="P36" s="51">
        <v>4</v>
      </c>
      <c r="Q36" s="57">
        <v>11.62</v>
      </c>
      <c r="R36" s="51">
        <v>2.35</v>
      </c>
      <c r="S36" s="51">
        <v>190.42</v>
      </c>
    </row>
    <row r="37" spans="1:19" ht="15" customHeight="1">
      <c r="A37" s="49"/>
      <c r="B37" s="53">
        <v>28</v>
      </c>
      <c r="C37" s="185" t="s">
        <v>276</v>
      </c>
      <c r="D37" s="186"/>
      <c r="E37" s="51">
        <v>0</v>
      </c>
      <c r="F37" s="51">
        <v>0.13</v>
      </c>
      <c r="G37" s="51">
        <v>2</v>
      </c>
      <c r="H37" s="57">
        <v>33.840000000000003</v>
      </c>
      <c r="I37" s="51">
        <v>31.41</v>
      </c>
      <c r="J37" s="51">
        <v>5.87</v>
      </c>
      <c r="K37" s="51">
        <v>3.81</v>
      </c>
      <c r="L37" s="51">
        <v>0.5</v>
      </c>
      <c r="M37" s="51">
        <v>1</v>
      </c>
      <c r="N37" s="51">
        <v>1</v>
      </c>
      <c r="O37" s="51">
        <v>1.5</v>
      </c>
      <c r="P37" s="51">
        <v>1</v>
      </c>
      <c r="Q37" s="57">
        <v>4</v>
      </c>
      <c r="R37" s="51">
        <v>1.6</v>
      </c>
      <c r="S37" s="51">
        <v>87.66</v>
      </c>
    </row>
    <row r="38" spans="1:19" ht="15" customHeight="1">
      <c r="A38" s="49"/>
      <c r="B38" s="53">
        <v>29</v>
      </c>
      <c r="C38" s="185" t="s">
        <v>277</v>
      </c>
      <c r="D38" s="186"/>
      <c r="E38" s="51">
        <v>0</v>
      </c>
      <c r="F38" s="51">
        <v>0.25</v>
      </c>
      <c r="G38" s="51">
        <v>0.75</v>
      </c>
      <c r="H38" s="57">
        <v>8.4</v>
      </c>
      <c r="I38" s="51">
        <v>10.41</v>
      </c>
      <c r="J38" s="51">
        <v>1.67</v>
      </c>
      <c r="K38" s="51">
        <v>0.5</v>
      </c>
      <c r="L38" s="51">
        <v>0.2</v>
      </c>
      <c r="M38" s="51">
        <v>0.17</v>
      </c>
      <c r="N38" s="51">
        <v>0.41</v>
      </c>
      <c r="O38" s="51">
        <v>0.5</v>
      </c>
      <c r="P38" s="51">
        <v>1</v>
      </c>
      <c r="Q38" s="57">
        <v>1.31</v>
      </c>
      <c r="R38" s="51">
        <v>0</v>
      </c>
      <c r="S38" s="51">
        <v>25.57</v>
      </c>
    </row>
    <row r="39" spans="1:19" ht="15" customHeight="1">
      <c r="A39" s="49"/>
      <c r="B39" s="53">
        <v>30</v>
      </c>
      <c r="C39" s="185" t="s">
        <v>278</v>
      </c>
      <c r="D39" s="186"/>
      <c r="E39" s="51">
        <v>1.5</v>
      </c>
      <c r="F39" s="51">
        <v>7.11</v>
      </c>
      <c r="G39" s="51">
        <v>27.75</v>
      </c>
      <c r="H39" s="57">
        <v>256.2</v>
      </c>
      <c r="I39" s="51">
        <v>242.15</v>
      </c>
      <c r="J39" s="51">
        <v>70.06</v>
      </c>
      <c r="K39" s="51">
        <v>16.93</v>
      </c>
      <c r="L39" s="51">
        <v>15.34</v>
      </c>
      <c r="M39" s="51">
        <v>4.2699999999999996</v>
      </c>
      <c r="N39" s="51">
        <v>16.329999999999998</v>
      </c>
      <c r="O39" s="51">
        <v>2.1</v>
      </c>
      <c r="P39" s="51">
        <v>4</v>
      </c>
      <c r="Q39" s="57">
        <v>30.17</v>
      </c>
      <c r="R39" s="51">
        <v>15.33</v>
      </c>
      <c r="S39" s="51">
        <v>709.23</v>
      </c>
    </row>
    <row r="40" spans="1:19" ht="15" customHeight="1">
      <c r="A40" s="49"/>
      <c r="B40" s="53">
        <v>31</v>
      </c>
      <c r="C40" s="185" t="s">
        <v>279</v>
      </c>
      <c r="D40" s="186"/>
      <c r="E40" s="51">
        <v>0</v>
      </c>
      <c r="F40" s="51">
        <v>3</v>
      </c>
      <c r="G40" s="51">
        <v>16.54</v>
      </c>
      <c r="H40" s="57">
        <v>111.85</v>
      </c>
      <c r="I40" s="51">
        <v>96.86</v>
      </c>
      <c r="J40" s="51">
        <v>27.41</v>
      </c>
      <c r="K40" s="51">
        <v>6.9</v>
      </c>
      <c r="L40" s="51">
        <v>5.5</v>
      </c>
      <c r="M40" s="51">
        <v>1</v>
      </c>
      <c r="N40" s="51">
        <v>6.31</v>
      </c>
      <c r="O40" s="51">
        <v>0.96</v>
      </c>
      <c r="P40" s="51">
        <v>3</v>
      </c>
      <c r="Q40" s="57">
        <v>14.86</v>
      </c>
      <c r="R40" s="51">
        <v>1.81</v>
      </c>
      <c r="S40" s="51">
        <v>296</v>
      </c>
    </row>
    <row r="41" spans="1:19" ht="15" customHeight="1">
      <c r="A41" s="49"/>
      <c r="B41" s="53">
        <v>32</v>
      </c>
      <c r="C41" s="185" t="s">
        <v>280</v>
      </c>
      <c r="D41" s="186"/>
      <c r="E41" s="51">
        <v>0</v>
      </c>
      <c r="F41" s="51">
        <v>3</v>
      </c>
      <c r="G41" s="51">
        <v>8.5</v>
      </c>
      <c r="H41" s="57">
        <v>85</v>
      </c>
      <c r="I41" s="51">
        <v>87.47</v>
      </c>
      <c r="J41" s="51">
        <v>26</v>
      </c>
      <c r="K41" s="51">
        <v>19.32</v>
      </c>
      <c r="L41" s="51">
        <v>4.5</v>
      </c>
      <c r="M41" s="51">
        <v>3.25</v>
      </c>
      <c r="N41" s="51">
        <v>6.35</v>
      </c>
      <c r="O41" s="51">
        <v>6.83</v>
      </c>
      <c r="P41" s="51">
        <v>2</v>
      </c>
      <c r="Q41" s="57">
        <v>11</v>
      </c>
      <c r="R41" s="51">
        <v>6.49</v>
      </c>
      <c r="S41" s="51">
        <v>269.70999999999998</v>
      </c>
    </row>
    <row r="42" spans="1:19" ht="15" customHeight="1">
      <c r="A42" s="49"/>
      <c r="B42" s="53">
        <v>33</v>
      </c>
      <c r="C42" s="185" t="s">
        <v>281</v>
      </c>
      <c r="D42" s="186"/>
      <c r="E42" s="51">
        <v>0</v>
      </c>
      <c r="F42" s="51">
        <v>8.6999999999999993</v>
      </c>
      <c r="G42" s="51">
        <v>61.91</v>
      </c>
      <c r="H42" s="57">
        <v>452.69</v>
      </c>
      <c r="I42" s="51">
        <v>504.44</v>
      </c>
      <c r="J42" s="51">
        <v>105.38</v>
      </c>
      <c r="K42" s="51">
        <v>53.06</v>
      </c>
      <c r="L42" s="51">
        <v>31.39</v>
      </c>
      <c r="M42" s="51">
        <v>12.3</v>
      </c>
      <c r="N42" s="51">
        <v>32.75</v>
      </c>
      <c r="O42" s="51">
        <v>15.01</v>
      </c>
      <c r="P42" s="51">
        <v>12</v>
      </c>
      <c r="Q42" s="57">
        <v>55</v>
      </c>
      <c r="R42" s="51">
        <v>20.04</v>
      </c>
      <c r="S42" s="52">
        <v>1364.66</v>
      </c>
    </row>
    <row r="43" spans="1:19" ht="15" customHeight="1">
      <c r="A43" s="49"/>
      <c r="B43" s="53">
        <v>34</v>
      </c>
      <c r="C43" s="185" t="s">
        <v>282</v>
      </c>
      <c r="D43" s="186"/>
      <c r="E43" s="51">
        <v>0</v>
      </c>
      <c r="F43" s="51">
        <v>0.5</v>
      </c>
      <c r="G43" s="51">
        <v>1.63</v>
      </c>
      <c r="H43" s="57">
        <v>13.28</v>
      </c>
      <c r="I43" s="51">
        <v>18.059999999999999</v>
      </c>
      <c r="J43" s="51">
        <v>2.85</v>
      </c>
      <c r="K43" s="51">
        <v>1.17</v>
      </c>
      <c r="L43" s="51">
        <v>0.25</v>
      </c>
      <c r="M43" s="51">
        <v>0</v>
      </c>
      <c r="N43" s="51">
        <v>0.86</v>
      </c>
      <c r="O43" s="51">
        <v>0</v>
      </c>
      <c r="P43" s="51">
        <v>0.75</v>
      </c>
      <c r="Q43" s="57">
        <v>2.75</v>
      </c>
      <c r="R43" s="51">
        <v>0</v>
      </c>
      <c r="S43" s="51">
        <v>42.1</v>
      </c>
    </row>
    <row r="44" spans="1:19" ht="15" customHeight="1">
      <c r="A44" s="49"/>
      <c r="B44" s="53">
        <v>35</v>
      </c>
      <c r="C44" s="185" t="s">
        <v>283</v>
      </c>
      <c r="D44" s="186"/>
      <c r="E44" s="51">
        <v>0</v>
      </c>
      <c r="F44" s="51">
        <v>9</v>
      </c>
      <c r="G44" s="51">
        <v>58.5</v>
      </c>
      <c r="H44" s="57">
        <v>545.17999999999995</v>
      </c>
      <c r="I44" s="51">
        <v>502.18</v>
      </c>
      <c r="J44" s="51">
        <v>154.02000000000001</v>
      </c>
      <c r="K44" s="51">
        <v>22.78</v>
      </c>
      <c r="L44" s="51">
        <v>21.29</v>
      </c>
      <c r="M44" s="51">
        <v>16.149999999999999</v>
      </c>
      <c r="N44" s="51">
        <v>38.15</v>
      </c>
      <c r="O44" s="51">
        <v>12.83</v>
      </c>
      <c r="P44" s="51">
        <v>21</v>
      </c>
      <c r="Q44" s="57">
        <v>61</v>
      </c>
      <c r="R44" s="51">
        <v>45.02</v>
      </c>
      <c r="S44" s="52">
        <v>1507.1</v>
      </c>
    </row>
    <row r="45" spans="1:19" s="62" customFormat="1">
      <c r="A45" s="187" t="s">
        <v>357</v>
      </c>
      <c r="B45" s="188"/>
      <c r="C45" s="189"/>
      <c r="D45" s="58"/>
      <c r="E45" s="59">
        <v>43.64</v>
      </c>
      <c r="F45" s="59">
        <v>196.25</v>
      </c>
      <c r="G45" s="60">
        <v>1094.02</v>
      </c>
      <c r="H45" s="61">
        <v>9680.44</v>
      </c>
      <c r="I45" s="60">
        <v>9055.59</v>
      </c>
      <c r="J45" s="60">
        <v>2350.6</v>
      </c>
      <c r="K45" s="59">
        <v>981.92</v>
      </c>
      <c r="L45" s="59">
        <v>504.94</v>
      </c>
      <c r="M45" s="59">
        <v>133.16999999999999</v>
      </c>
      <c r="N45" s="59">
        <v>603.55999999999995</v>
      </c>
      <c r="O45" s="59">
        <v>249.68</v>
      </c>
      <c r="P45" s="59">
        <v>261.2</v>
      </c>
      <c r="Q45" s="61">
        <v>1155.44</v>
      </c>
      <c r="R45" s="59">
        <v>850.55</v>
      </c>
      <c r="S45" s="60">
        <v>27161.01</v>
      </c>
    </row>
    <row r="46" spans="1:19" ht="15" customHeight="1">
      <c r="A46" s="81"/>
      <c r="B46" s="53" t="s">
        <v>67</v>
      </c>
      <c r="C46" s="185" t="s">
        <v>286</v>
      </c>
      <c r="D46" s="186"/>
      <c r="E46" s="51">
        <v>2</v>
      </c>
      <c r="F46" s="51">
        <v>0</v>
      </c>
      <c r="G46" s="51">
        <v>1</v>
      </c>
      <c r="H46" s="57">
        <v>26.5</v>
      </c>
      <c r="I46" s="51">
        <v>37.29</v>
      </c>
      <c r="J46" s="51">
        <v>6.5</v>
      </c>
      <c r="K46" s="51">
        <v>6.87</v>
      </c>
      <c r="L46" s="51">
        <v>0.25</v>
      </c>
      <c r="M46" s="51">
        <v>0.5</v>
      </c>
      <c r="N46" s="51">
        <v>1</v>
      </c>
      <c r="O46" s="51">
        <v>0</v>
      </c>
      <c r="P46" s="51">
        <v>0</v>
      </c>
      <c r="Q46" s="57">
        <v>0.59</v>
      </c>
      <c r="R46" s="51">
        <v>0</v>
      </c>
      <c r="S46" s="51">
        <v>82.5</v>
      </c>
    </row>
    <row r="47" spans="1:19" ht="15" customHeight="1">
      <c r="A47" s="81"/>
      <c r="B47" s="53">
        <v>74</v>
      </c>
      <c r="C47" s="185" t="s">
        <v>287</v>
      </c>
      <c r="D47" s="186"/>
      <c r="E47" s="51">
        <v>0</v>
      </c>
      <c r="F47" s="51">
        <v>0</v>
      </c>
      <c r="G47" s="51">
        <v>1</v>
      </c>
      <c r="H47" s="57">
        <v>12.6</v>
      </c>
      <c r="I47" s="51">
        <v>10.47</v>
      </c>
      <c r="J47" s="51">
        <v>1</v>
      </c>
      <c r="K47" s="51">
        <v>0.5</v>
      </c>
      <c r="L47" s="51">
        <v>0</v>
      </c>
      <c r="M47" s="51">
        <v>0.13</v>
      </c>
      <c r="N47" s="51">
        <v>0.09</v>
      </c>
      <c r="O47" s="51">
        <v>0</v>
      </c>
      <c r="P47" s="51">
        <v>0.57999999999999996</v>
      </c>
      <c r="Q47" s="57">
        <v>1.3</v>
      </c>
      <c r="R47" s="51">
        <v>0.36</v>
      </c>
      <c r="S47" s="51">
        <v>28.03</v>
      </c>
    </row>
    <row r="48" spans="1:19" ht="15" customHeight="1">
      <c r="A48" s="81"/>
      <c r="B48" s="53">
        <v>83</v>
      </c>
      <c r="C48" s="185" t="s">
        <v>285</v>
      </c>
      <c r="D48" s="186"/>
      <c r="E48" s="51">
        <v>0</v>
      </c>
      <c r="F48" s="51">
        <v>0</v>
      </c>
      <c r="G48" s="51">
        <v>0</v>
      </c>
      <c r="H48" s="57">
        <v>0</v>
      </c>
      <c r="I48" s="51">
        <v>19.760000000000002</v>
      </c>
      <c r="J48" s="51">
        <v>0.5</v>
      </c>
      <c r="K48" s="51">
        <v>0.16</v>
      </c>
      <c r="L48" s="51">
        <v>0</v>
      </c>
      <c r="M48" s="51">
        <v>0</v>
      </c>
      <c r="N48" s="51">
        <v>1.5</v>
      </c>
      <c r="O48" s="51">
        <v>0</v>
      </c>
      <c r="P48" s="51">
        <v>0</v>
      </c>
      <c r="Q48" s="57">
        <v>2</v>
      </c>
      <c r="R48" s="51">
        <v>0</v>
      </c>
      <c r="S48" s="51">
        <v>23.92</v>
      </c>
    </row>
    <row r="49" spans="1:19" ht="15" customHeight="1">
      <c r="A49" s="81"/>
      <c r="B49" s="53" t="s">
        <v>69</v>
      </c>
      <c r="C49" s="185" t="s">
        <v>288</v>
      </c>
      <c r="D49" s="186"/>
      <c r="E49" s="51">
        <v>0</v>
      </c>
      <c r="F49" s="51">
        <v>0</v>
      </c>
      <c r="G49" s="51">
        <v>0</v>
      </c>
      <c r="H49" s="57">
        <v>0</v>
      </c>
      <c r="I49" s="51">
        <v>13.67</v>
      </c>
      <c r="J49" s="51">
        <v>1.2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1</v>
      </c>
      <c r="Q49" s="57">
        <v>0</v>
      </c>
      <c r="R49" s="51">
        <v>0</v>
      </c>
      <c r="S49" s="51">
        <v>15.87</v>
      </c>
    </row>
    <row r="50" spans="1:19" ht="15" customHeight="1">
      <c r="A50" s="81"/>
      <c r="B50" s="53" t="s">
        <v>71</v>
      </c>
      <c r="C50" s="185" t="s">
        <v>289</v>
      </c>
      <c r="D50" s="186"/>
      <c r="E50" s="51">
        <v>0</v>
      </c>
      <c r="F50" s="51">
        <v>0</v>
      </c>
      <c r="G50" s="51">
        <v>2</v>
      </c>
      <c r="H50" s="57">
        <v>18</v>
      </c>
      <c r="I50" s="51">
        <v>0</v>
      </c>
      <c r="J50" s="51">
        <v>1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7">
        <v>1</v>
      </c>
      <c r="R50" s="51">
        <v>0.53</v>
      </c>
      <c r="S50" s="51">
        <v>22.53</v>
      </c>
    </row>
    <row r="51" spans="1:19" ht="15" customHeight="1">
      <c r="A51" s="81"/>
      <c r="B51" s="53"/>
      <c r="C51" s="54" t="s">
        <v>374</v>
      </c>
      <c r="D51" s="55"/>
      <c r="E51" s="51"/>
      <c r="F51" s="51"/>
      <c r="G51" s="51"/>
      <c r="H51" s="57"/>
      <c r="I51" s="51"/>
      <c r="J51" s="51"/>
      <c r="K51" s="51"/>
      <c r="L51" s="51"/>
      <c r="M51" s="51"/>
      <c r="N51" s="51"/>
      <c r="O51" s="51"/>
      <c r="P51" s="51"/>
      <c r="Q51" s="57"/>
      <c r="R51" s="51"/>
      <c r="S51" s="51"/>
    </row>
    <row r="52" spans="1:19" ht="15" customHeight="1">
      <c r="A52" s="81"/>
      <c r="B52" s="53" t="s">
        <v>74</v>
      </c>
      <c r="C52" s="185" t="s">
        <v>290</v>
      </c>
      <c r="D52" s="186"/>
      <c r="E52" s="51">
        <v>0</v>
      </c>
      <c r="F52" s="51">
        <v>0</v>
      </c>
      <c r="G52" s="51">
        <v>2</v>
      </c>
      <c r="H52" s="57">
        <v>14.7</v>
      </c>
      <c r="I52" s="51">
        <v>10.039999999999999</v>
      </c>
      <c r="J52" s="51">
        <v>1.1000000000000001</v>
      </c>
      <c r="K52" s="51">
        <v>1.1100000000000001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7">
        <v>1.1100000000000001</v>
      </c>
      <c r="R52" s="51">
        <v>0.5</v>
      </c>
      <c r="S52" s="51">
        <v>30.56</v>
      </c>
    </row>
    <row r="53" spans="1:19" ht="15" customHeight="1">
      <c r="A53" s="81"/>
      <c r="B53" s="53">
        <v>87</v>
      </c>
      <c r="C53" s="185" t="s">
        <v>291</v>
      </c>
      <c r="D53" s="186"/>
      <c r="E53" s="51">
        <v>0</v>
      </c>
      <c r="F53" s="51">
        <v>0</v>
      </c>
      <c r="G53" s="51">
        <v>0</v>
      </c>
      <c r="H53" s="57">
        <v>0</v>
      </c>
      <c r="I53" s="51">
        <v>13.71</v>
      </c>
      <c r="J53" s="51">
        <v>0.11</v>
      </c>
      <c r="K53" s="51">
        <v>2.08</v>
      </c>
      <c r="L53" s="51">
        <v>0</v>
      </c>
      <c r="M53" s="51">
        <v>0</v>
      </c>
      <c r="N53" s="51">
        <v>1</v>
      </c>
      <c r="O53" s="51">
        <v>0</v>
      </c>
      <c r="P53" s="51">
        <v>0</v>
      </c>
      <c r="Q53" s="57">
        <v>0.56000000000000005</v>
      </c>
      <c r="R53" s="51">
        <v>0</v>
      </c>
      <c r="S53" s="51">
        <v>17.46</v>
      </c>
    </row>
    <row r="54" spans="1:19" ht="15" customHeight="1">
      <c r="A54" s="81"/>
      <c r="B54" s="53" t="s">
        <v>77</v>
      </c>
      <c r="C54" s="185" t="s">
        <v>292</v>
      </c>
      <c r="D54" s="186"/>
      <c r="E54" s="51">
        <v>0</v>
      </c>
      <c r="F54" s="51">
        <v>0</v>
      </c>
      <c r="G54" s="51">
        <v>2</v>
      </c>
      <c r="H54" s="57">
        <v>13.75</v>
      </c>
      <c r="I54" s="51">
        <v>1</v>
      </c>
      <c r="J54" s="51">
        <v>1.5</v>
      </c>
      <c r="K54" s="51">
        <v>0.25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7">
        <v>1</v>
      </c>
      <c r="R54" s="51">
        <v>0</v>
      </c>
      <c r="S54" s="51">
        <v>19.5</v>
      </c>
    </row>
    <row r="55" spans="1:19" ht="15" customHeight="1">
      <c r="A55" s="81"/>
      <c r="B55" s="53" t="s">
        <v>79</v>
      </c>
      <c r="C55" s="185" t="s">
        <v>293</v>
      </c>
      <c r="D55" s="186"/>
      <c r="E55" s="51">
        <v>0</v>
      </c>
      <c r="F55" s="51">
        <v>0</v>
      </c>
      <c r="G55" s="51">
        <v>0</v>
      </c>
      <c r="H55" s="57">
        <v>0</v>
      </c>
      <c r="I55" s="51">
        <v>15.62</v>
      </c>
      <c r="J55" s="51">
        <v>1.67</v>
      </c>
      <c r="K55" s="51">
        <v>0</v>
      </c>
      <c r="L55" s="51">
        <v>0</v>
      </c>
      <c r="M55" s="51">
        <v>0</v>
      </c>
      <c r="N55" s="51">
        <v>1</v>
      </c>
      <c r="O55" s="51">
        <v>0.5</v>
      </c>
      <c r="P55" s="51">
        <v>0</v>
      </c>
      <c r="Q55" s="57">
        <v>1.86</v>
      </c>
      <c r="R55" s="51">
        <v>0</v>
      </c>
      <c r="S55" s="51">
        <v>20.65</v>
      </c>
    </row>
    <row r="56" spans="1:19" ht="15" customHeight="1">
      <c r="A56" s="81"/>
      <c r="B56" s="53" t="s">
        <v>80</v>
      </c>
      <c r="C56" s="185" t="s">
        <v>294</v>
      </c>
      <c r="D56" s="186"/>
      <c r="E56" s="51">
        <v>0</v>
      </c>
      <c r="F56" s="51">
        <v>0</v>
      </c>
      <c r="G56" s="51">
        <v>4</v>
      </c>
      <c r="H56" s="57">
        <v>8</v>
      </c>
      <c r="I56" s="51">
        <v>0</v>
      </c>
      <c r="J56" s="51">
        <v>1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1</v>
      </c>
      <c r="Q56" s="57">
        <v>0</v>
      </c>
      <c r="R56" s="51">
        <v>0</v>
      </c>
      <c r="S56" s="51">
        <v>14</v>
      </c>
    </row>
    <row r="57" spans="1:19" ht="15" customHeight="1">
      <c r="A57" s="81"/>
      <c r="B57" s="53" t="s">
        <v>82</v>
      </c>
      <c r="C57" s="185" t="s">
        <v>295</v>
      </c>
      <c r="D57" s="186"/>
      <c r="E57" s="51">
        <v>0</v>
      </c>
      <c r="F57" s="51">
        <v>0</v>
      </c>
      <c r="G57" s="51">
        <v>0</v>
      </c>
      <c r="H57" s="57">
        <v>0</v>
      </c>
      <c r="I57" s="51">
        <v>17.149999999999999</v>
      </c>
      <c r="J57" s="51">
        <v>0</v>
      </c>
      <c r="K57" s="51">
        <v>1.25</v>
      </c>
      <c r="L57" s="51">
        <v>0</v>
      </c>
      <c r="M57" s="51">
        <v>0</v>
      </c>
      <c r="N57" s="51">
        <v>1</v>
      </c>
      <c r="O57" s="51">
        <v>0.13</v>
      </c>
      <c r="P57" s="51">
        <v>0</v>
      </c>
      <c r="Q57" s="57">
        <v>0</v>
      </c>
      <c r="R57" s="51">
        <v>0</v>
      </c>
      <c r="S57" s="51">
        <v>19.53</v>
      </c>
    </row>
    <row r="58" spans="1:19" ht="15" customHeight="1">
      <c r="A58" s="81"/>
      <c r="B58" s="53" t="s">
        <v>83</v>
      </c>
      <c r="C58" s="185" t="s">
        <v>296</v>
      </c>
      <c r="D58" s="186"/>
      <c r="E58" s="51">
        <v>0</v>
      </c>
      <c r="F58" s="51">
        <v>0</v>
      </c>
      <c r="G58" s="51">
        <v>0</v>
      </c>
      <c r="H58" s="57">
        <v>14.5</v>
      </c>
      <c r="I58" s="51">
        <v>0</v>
      </c>
      <c r="J58" s="51">
        <v>1</v>
      </c>
      <c r="K58" s="51">
        <v>0</v>
      </c>
      <c r="L58" s="51">
        <v>0</v>
      </c>
      <c r="M58" s="51">
        <v>0</v>
      </c>
      <c r="N58" s="51">
        <v>0</v>
      </c>
      <c r="O58" s="51">
        <v>2.6</v>
      </c>
      <c r="P58" s="51">
        <v>0</v>
      </c>
      <c r="Q58" s="57">
        <v>1</v>
      </c>
      <c r="R58" s="51">
        <v>0.54</v>
      </c>
      <c r="S58" s="51">
        <v>19.63</v>
      </c>
    </row>
    <row r="59" spans="1:19" ht="15" customHeight="1">
      <c r="A59" s="81"/>
      <c r="B59" s="53" t="s">
        <v>85</v>
      </c>
      <c r="C59" s="185" t="s">
        <v>297</v>
      </c>
      <c r="D59" s="186"/>
      <c r="E59" s="51">
        <v>0</v>
      </c>
      <c r="F59" s="51">
        <v>0</v>
      </c>
      <c r="G59" s="51">
        <v>1</v>
      </c>
      <c r="H59" s="57">
        <v>10.220000000000001</v>
      </c>
      <c r="I59" s="51">
        <v>6</v>
      </c>
      <c r="J59" s="51">
        <v>0.91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7">
        <v>1</v>
      </c>
      <c r="R59" s="51">
        <v>0</v>
      </c>
      <c r="S59" s="51">
        <v>19.13</v>
      </c>
    </row>
    <row r="60" spans="1:19" ht="15" customHeight="1">
      <c r="A60" s="81"/>
      <c r="B60" s="53">
        <v>98</v>
      </c>
      <c r="C60" s="185" t="s">
        <v>298</v>
      </c>
      <c r="D60" s="186"/>
      <c r="E60" s="51">
        <v>0</v>
      </c>
      <c r="F60" s="51">
        <v>0</v>
      </c>
      <c r="G60" s="51">
        <v>0</v>
      </c>
      <c r="H60" s="57">
        <v>0</v>
      </c>
      <c r="I60" s="51">
        <v>13</v>
      </c>
      <c r="J60" s="51">
        <v>0.9</v>
      </c>
      <c r="K60" s="51">
        <v>0.1</v>
      </c>
      <c r="L60" s="51">
        <v>0</v>
      </c>
      <c r="M60" s="51">
        <v>0</v>
      </c>
      <c r="N60" s="51">
        <v>1.1000000000000001</v>
      </c>
      <c r="O60" s="51">
        <v>0</v>
      </c>
      <c r="P60" s="51">
        <v>0</v>
      </c>
      <c r="Q60" s="57">
        <v>0.9</v>
      </c>
      <c r="R60" s="51">
        <v>0</v>
      </c>
      <c r="S60" s="51">
        <v>16</v>
      </c>
    </row>
    <row r="61" spans="1:19" ht="15" customHeight="1">
      <c r="A61" s="81"/>
      <c r="B61" s="53">
        <v>82</v>
      </c>
      <c r="C61" s="185" t="s">
        <v>299</v>
      </c>
      <c r="D61" s="186"/>
      <c r="E61" s="51">
        <v>0</v>
      </c>
      <c r="F61" s="51">
        <v>0</v>
      </c>
      <c r="G61" s="51">
        <v>2.5</v>
      </c>
      <c r="H61" s="57">
        <v>18.510000000000002</v>
      </c>
      <c r="I61" s="51">
        <v>6.46</v>
      </c>
      <c r="J61" s="51">
        <v>2.5</v>
      </c>
      <c r="K61" s="51">
        <v>1.65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7">
        <v>2</v>
      </c>
      <c r="R61" s="51">
        <v>0.25</v>
      </c>
      <c r="S61" s="51">
        <v>33.869999999999997</v>
      </c>
    </row>
    <row r="62" spans="1:19" ht="15" customHeight="1">
      <c r="A62" s="81"/>
      <c r="B62" s="53" t="s">
        <v>300</v>
      </c>
      <c r="C62" s="185" t="s">
        <v>301</v>
      </c>
      <c r="D62" s="186"/>
      <c r="E62" s="51">
        <v>0</v>
      </c>
      <c r="F62" s="51">
        <v>0</v>
      </c>
      <c r="G62" s="51">
        <v>1</v>
      </c>
      <c r="H62" s="57">
        <v>19.5</v>
      </c>
      <c r="I62" s="51">
        <v>4.75</v>
      </c>
      <c r="J62" s="51">
        <v>1</v>
      </c>
      <c r="K62" s="51">
        <v>1</v>
      </c>
      <c r="L62" s="51">
        <v>0.5</v>
      </c>
      <c r="M62" s="51">
        <v>0</v>
      </c>
      <c r="N62" s="51">
        <v>0</v>
      </c>
      <c r="O62" s="51">
        <v>0</v>
      </c>
      <c r="P62" s="51">
        <v>0</v>
      </c>
      <c r="Q62" s="57">
        <v>1</v>
      </c>
      <c r="R62" s="51">
        <v>0</v>
      </c>
      <c r="S62" s="51">
        <v>28.75</v>
      </c>
    </row>
    <row r="63" spans="1:19" ht="15" customHeight="1">
      <c r="A63" s="81"/>
      <c r="B63" s="53" t="s">
        <v>86</v>
      </c>
      <c r="C63" s="185" t="s">
        <v>302</v>
      </c>
      <c r="D63" s="186"/>
      <c r="E63" s="51">
        <v>0</v>
      </c>
      <c r="F63" s="51">
        <v>0</v>
      </c>
      <c r="G63" s="51">
        <v>2</v>
      </c>
      <c r="H63" s="57">
        <v>16.45</v>
      </c>
      <c r="I63" s="51">
        <v>0.55000000000000004</v>
      </c>
      <c r="J63" s="51">
        <v>1</v>
      </c>
      <c r="K63" s="51">
        <v>0.5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7">
        <v>1.3</v>
      </c>
      <c r="R63" s="51">
        <v>0</v>
      </c>
      <c r="S63" s="51">
        <v>21.8</v>
      </c>
    </row>
    <row r="64" spans="1:19" ht="15" customHeight="1">
      <c r="A64" s="81"/>
      <c r="B64" s="53" t="s">
        <v>88</v>
      </c>
      <c r="C64" s="185" t="s">
        <v>303</v>
      </c>
      <c r="D64" s="186"/>
      <c r="E64" s="51">
        <v>0</v>
      </c>
      <c r="F64" s="51">
        <v>0</v>
      </c>
      <c r="G64" s="51">
        <v>0</v>
      </c>
      <c r="H64" s="57">
        <v>3</v>
      </c>
      <c r="I64" s="51">
        <v>0</v>
      </c>
      <c r="J64" s="51">
        <v>0.39</v>
      </c>
      <c r="K64" s="51">
        <v>0.51</v>
      </c>
      <c r="L64" s="51">
        <v>0</v>
      </c>
      <c r="M64" s="51">
        <v>0</v>
      </c>
      <c r="N64" s="51">
        <v>0</v>
      </c>
      <c r="O64" s="51">
        <v>0</v>
      </c>
      <c r="P64" s="51">
        <v>0</v>
      </c>
      <c r="Q64" s="57">
        <v>1</v>
      </c>
      <c r="R64" s="51">
        <v>0</v>
      </c>
      <c r="S64" s="51">
        <v>4.9000000000000004</v>
      </c>
    </row>
    <row r="65" spans="1:19" ht="15" customHeight="1">
      <c r="A65" s="81"/>
      <c r="B65" s="53" t="s">
        <v>90</v>
      </c>
      <c r="C65" s="185" t="s">
        <v>304</v>
      </c>
      <c r="D65" s="186"/>
      <c r="E65" s="51">
        <v>0</v>
      </c>
      <c r="F65" s="51">
        <v>0</v>
      </c>
      <c r="G65" s="51">
        <v>0</v>
      </c>
      <c r="H65" s="57">
        <v>0</v>
      </c>
      <c r="I65" s="51">
        <v>6</v>
      </c>
      <c r="J65" s="51">
        <v>0</v>
      </c>
      <c r="K65" s="51">
        <v>0.59</v>
      </c>
      <c r="L65" s="51">
        <v>0</v>
      </c>
      <c r="M65" s="51">
        <v>0</v>
      </c>
      <c r="N65" s="51">
        <v>0.65</v>
      </c>
      <c r="O65" s="51">
        <v>0</v>
      </c>
      <c r="P65" s="51">
        <v>0</v>
      </c>
      <c r="Q65" s="57">
        <v>1</v>
      </c>
      <c r="R65" s="51">
        <v>0</v>
      </c>
      <c r="S65" s="51">
        <v>8.23</v>
      </c>
    </row>
    <row r="66" spans="1:19" ht="15" customHeight="1">
      <c r="A66" s="81"/>
      <c r="B66" s="53" t="s">
        <v>92</v>
      </c>
      <c r="C66" s="185" t="s">
        <v>305</v>
      </c>
      <c r="D66" s="186"/>
      <c r="E66" s="51">
        <v>0</v>
      </c>
      <c r="F66" s="51">
        <v>0</v>
      </c>
      <c r="G66" s="51">
        <v>0</v>
      </c>
      <c r="H66" s="57">
        <v>0</v>
      </c>
      <c r="I66" s="51">
        <v>10.38</v>
      </c>
      <c r="J66" s="51">
        <v>0</v>
      </c>
      <c r="K66" s="51">
        <v>0</v>
      </c>
      <c r="L66" s="51">
        <v>0</v>
      </c>
      <c r="M66" s="51">
        <v>0</v>
      </c>
      <c r="N66" s="51">
        <v>2</v>
      </c>
      <c r="O66" s="51">
        <v>0</v>
      </c>
      <c r="P66" s="51">
        <v>0</v>
      </c>
      <c r="Q66" s="57">
        <v>1</v>
      </c>
      <c r="R66" s="51">
        <v>0</v>
      </c>
      <c r="S66" s="51">
        <v>13.38</v>
      </c>
    </row>
    <row r="67" spans="1:19" ht="15" customHeight="1">
      <c r="A67" s="81"/>
      <c r="B67" s="53">
        <v>93</v>
      </c>
      <c r="C67" s="185" t="s">
        <v>306</v>
      </c>
      <c r="D67" s="186"/>
      <c r="E67" s="51">
        <v>0</v>
      </c>
      <c r="F67" s="51">
        <v>0</v>
      </c>
      <c r="G67" s="51">
        <v>0.72</v>
      </c>
      <c r="H67" s="57">
        <v>8</v>
      </c>
      <c r="I67" s="51">
        <v>2.33</v>
      </c>
      <c r="J67" s="51">
        <v>1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7">
        <v>1</v>
      </c>
      <c r="R67" s="51">
        <v>0.04</v>
      </c>
      <c r="S67" s="51">
        <v>13.08</v>
      </c>
    </row>
    <row r="68" spans="1:19" ht="15" customHeight="1">
      <c r="A68" s="81"/>
      <c r="B68" s="53" t="s">
        <v>99</v>
      </c>
      <c r="C68" s="185" t="s">
        <v>307</v>
      </c>
      <c r="D68" s="186"/>
      <c r="E68" s="51">
        <v>0</v>
      </c>
      <c r="F68" s="51">
        <v>0</v>
      </c>
      <c r="G68" s="51">
        <v>0</v>
      </c>
      <c r="H68" s="57">
        <v>0</v>
      </c>
      <c r="I68" s="51">
        <v>13.25</v>
      </c>
      <c r="J68" s="51">
        <v>0.66</v>
      </c>
      <c r="K68" s="51">
        <v>0</v>
      </c>
      <c r="L68" s="51">
        <v>0.66</v>
      </c>
      <c r="M68" s="51">
        <v>0</v>
      </c>
      <c r="N68" s="51">
        <v>0</v>
      </c>
      <c r="O68" s="51">
        <v>0.5</v>
      </c>
      <c r="P68" s="51">
        <v>0</v>
      </c>
      <c r="Q68" s="57">
        <v>0.9</v>
      </c>
      <c r="R68" s="51">
        <v>0</v>
      </c>
      <c r="S68" s="51">
        <v>15.97</v>
      </c>
    </row>
    <row r="69" spans="1:19" ht="15" customHeight="1">
      <c r="A69" s="81"/>
      <c r="B69" s="53" t="s">
        <v>95</v>
      </c>
      <c r="C69" s="185" t="s">
        <v>308</v>
      </c>
      <c r="D69" s="186"/>
      <c r="E69" s="51">
        <v>0</v>
      </c>
      <c r="F69" s="51">
        <v>0</v>
      </c>
      <c r="G69" s="51">
        <v>1</v>
      </c>
      <c r="H69" s="57">
        <v>22</v>
      </c>
      <c r="I69" s="51">
        <v>8.64</v>
      </c>
      <c r="J69" s="51">
        <v>3.29</v>
      </c>
      <c r="K69" s="51">
        <v>1</v>
      </c>
      <c r="L69" s="51">
        <v>0</v>
      </c>
      <c r="M69" s="51">
        <v>0</v>
      </c>
      <c r="N69" s="51">
        <v>0.3</v>
      </c>
      <c r="O69" s="51">
        <v>1</v>
      </c>
      <c r="P69" s="51">
        <v>0</v>
      </c>
      <c r="Q69" s="57">
        <v>2</v>
      </c>
      <c r="R69" s="51">
        <v>0</v>
      </c>
      <c r="S69" s="51">
        <v>39.22</v>
      </c>
    </row>
    <row r="70" spans="1:19" ht="15" customHeight="1">
      <c r="A70" s="81"/>
      <c r="B70" s="53" t="s">
        <v>96</v>
      </c>
      <c r="C70" s="185" t="s">
        <v>309</v>
      </c>
      <c r="D70" s="186"/>
      <c r="E70" s="51">
        <v>0</v>
      </c>
      <c r="F70" s="51">
        <v>0</v>
      </c>
      <c r="G70" s="51">
        <v>0</v>
      </c>
      <c r="H70" s="57">
        <v>11.31</v>
      </c>
      <c r="I70" s="51">
        <v>8.1300000000000008</v>
      </c>
      <c r="J70" s="51">
        <v>1.17</v>
      </c>
      <c r="K70" s="51">
        <v>0</v>
      </c>
      <c r="L70" s="51">
        <v>0</v>
      </c>
      <c r="M70" s="51">
        <v>1</v>
      </c>
      <c r="N70" s="51">
        <v>0</v>
      </c>
      <c r="O70" s="51">
        <v>0</v>
      </c>
      <c r="P70" s="51">
        <v>0.14000000000000001</v>
      </c>
      <c r="Q70" s="57">
        <v>1</v>
      </c>
      <c r="R70" s="51">
        <v>0</v>
      </c>
      <c r="S70" s="51">
        <v>22.75</v>
      </c>
    </row>
    <row r="71" spans="1:19" ht="15" customHeight="1">
      <c r="A71" s="81"/>
      <c r="B71" s="53" t="s">
        <v>97</v>
      </c>
      <c r="C71" s="185" t="s">
        <v>310</v>
      </c>
      <c r="D71" s="186"/>
      <c r="E71" s="51">
        <v>0</v>
      </c>
      <c r="F71" s="51">
        <v>0</v>
      </c>
      <c r="G71" s="51">
        <v>2</v>
      </c>
      <c r="H71" s="57">
        <v>7.56</v>
      </c>
      <c r="I71" s="51">
        <v>1</v>
      </c>
      <c r="J71" s="51">
        <v>0.63</v>
      </c>
      <c r="K71" s="51">
        <v>0.25</v>
      </c>
      <c r="L71" s="51">
        <v>0.63</v>
      </c>
      <c r="M71" s="51">
        <v>0</v>
      </c>
      <c r="N71" s="51">
        <v>0</v>
      </c>
      <c r="O71" s="51">
        <v>0</v>
      </c>
      <c r="P71" s="51">
        <v>0</v>
      </c>
      <c r="Q71" s="57">
        <v>0.5</v>
      </c>
      <c r="R71" s="51">
        <v>0</v>
      </c>
      <c r="S71" s="51">
        <v>12.56</v>
      </c>
    </row>
    <row r="72" spans="1:19" ht="15" customHeight="1">
      <c r="A72" s="81"/>
      <c r="B72" s="53" t="s">
        <v>98</v>
      </c>
      <c r="C72" s="185" t="s">
        <v>311</v>
      </c>
      <c r="D72" s="186"/>
      <c r="E72" s="51">
        <v>0.5</v>
      </c>
      <c r="F72" s="51">
        <v>0</v>
      </c>
      <c r="G72" s="51">
        <v>0.5</v>
      </c>
      <c r="H72" s="57">
        <v>11</v>
      </c>
      <c r="I72" s="51">
        <v>6.5</v>
      </c>
      <c r="J72" s="51">
        <v>2</v>
      </c>
      <c r="K72" s="51">
        <v>0</v>
      </c>
      <c r="L72" s="51">
        <v>0</v>
      </c>
      <c r="M72" s="51">
        <v>0</v>
      </c>
      <c r="N72" s="51">
        <v>0.5</v>
      </c>
      <c r="O72" s="51">
        <v>0</v>
      </c>
      <c r="P72" s="51">
        <v>0.5</v>
      </c>
      <c r="Q72" s="57">
        <v>1</v>
      </c>
      <c r="R72" s="51">
        <v>0.44</v>
      </c>
      <c r="S72" s="51">
        <v>22.94</v>
      </c>
    </row>
    <row r="73" spans="1:19" ht="15" customHeight="1">
      <c r="A73" s="81"/>
      <c r="B73" s="53" t="s">
        <v>312</v>
      </c>
      <c r="C73" s="185" t="s">
        <v>313</v>
      </c>
      <c r="D73" s="186"/>
      <c r="E73" s="51">
        <v>0</v>
      </c>
      <c r="F73" s="51">
        <v>0</v>
      </c>
      <c r="G73" s="51">
        <v>0</v>
      </c>
      <c r="H73" s="57">
        <v>0</v>
      </c>
      <c r="I73" s="51">
        <v>18.25</v>
      </c>
      <c r="J73" s="51">
        <v>2</v>
      </c>
      <c r="K73" s="51">
        <v>0</v>
      </c>
      <c r="L73" s="51">
        <v>0</v>
      </c>
      <c r="M73" s="51">
        <v>0</v>
      </c>
      <c r="N73" s="51">
        <v>1</v>
      </c>
      <c r="O73" s="51">
        <v>0</v>
      </c>
      <c r="P73" s="51">
        <v>0</v>
      </c>
      <c r="Q73" s="57">
        <v>0</v>
      </c>
      <c r="R73" s="51">
        <v>0</v>
      </c>
      <c r="S73" s="51">
        <v>21.25</v>
      </c>
    </row>
    <row r="74" spans="1:19" ht="15" customHeight="1">
      <c r="A74" s="81"/>
      <c r="B74" s="53" t="s">
        <v>100</v>
      </c>
      <c r="C74" s="185" t="s">
        <v>314</v>
      </c>
      <c r="D74" s="186"/>
      <c r="E74" s="51">
        <v>0</v>
      </c>
      <c r="F74" s="51">
        <v>0</v>
      </c>
      <c r="G74" s="51">
        <v>0.31</v>
      </c>
      <c r="H74" s="57">
        <v>3.05</v>
      </c>
      <c r="I74" s="51">
        <v>0</v>
      </c>
      <c r="J74" s="51">
        <v>1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7">
        <v>1</v>
      </c>
      <c r="R74" s="51">
        <v>0</v>
      </c>
      <c r="S74" s="51">
        <v>5.36</v>
      </c>
    </row>
    <row r="75" spans="1:19" ht="15" customHeight="1">
      <c r="A75" s="81"/>
      <c r="B75" s="53" t="s">
        <v>101</v>
      </c>
      <c r="C75" s="185" t="s">
        <v>315</v>
      </c>
      <c r="D75" s="186"/>
      <c r="E75" s="51">
        <v>0</v>
      </c>
      <c r="F75" s="51">
        <v>0</v>
      </c>
      <c r="G75" s="51">
        <v>2.02</v>
      </c>
      <c r="H75" s="57">
        <v>13.29</v>
      </c>
      <c r="I75" s="51">
        <v>15.39</v>
      </c>
      <c r="J75" s="51">
        <v>1.1399999999999999</v>
      </c>
      <c r="K75" s="51">
        <v>0.15</v>
      </c>
      <c r="L75" s="51">
        <v>0</v>
      </c>
      <c r="M75" s="51">
        <v>0</v>
      </c>
      <c r="N75" s="51">
        <v>0.32</v>
      </c>
      <c r="O75" s="51">
        <v>0</v>
      </c>
      <c r="P75" s="51">
        <v>0</v>
      </c>
      <c r="Q75" s="57">
        <v>0.32</v>
      </c>
      <c r="R75" s="51">
        <v>0</v>
      </c>
      <c r="S75" s="51">
        <v>32.64</v>
      </c>
    </row>
    <row r="76" spans="1:19" ht="15" customHeight="1">
      <c r="A76" s="81"/>
      <c r="B76" s="53" t="s">
        <v>103</v>
      </c>
      <c r="C76" s="185" t="s">
        <v>316</v>
      </c>
      <c r="D76" s="186"/>
      <c r="E76" s="51">
        <v>0</v>
      </c>
      <c r="F76" s="51">
        <v>0</v>
      </c>
      <c r="G76" s="51">
        <v>1.5</v>
      </c>
      <c r="H76" s="57">
        <v>15.63</v>
      </c>
      <c r="I76" s="51">
        <v>4.04</v>
      </c>
      <c r="J76" s="51">
        <v>0</v>
      </c>
      <c r="K76" s="51">
        <v>1</v>
      </c>
      <c r="L76" s="51">
        <v>0</v>
      </c>
      <c r="M76" s="51">
        <v>0</v>
      </c>
      <c r="N76" s="51">
        <v>0</v>
      </c>
      <c r="O76" s="51">
        <v>1</v>
      </c>
      <c r="P76" s="51">
        <v>0.36</v>
      </c>
      <c r="Q76" s="57">
        <v>0</v>
      </c>
      <c r="R76" s="51">
        <v>0</v>
      </c>
      <c r="S76" s="51">
        <v>23.53</v>
      </c>
    </row>
    <row r="77" spans="1:19" ht="15" customHeight="1">
      <c r="A77" s="81"/>
      <c r="B77" s="53" t="s">
        <v>105</v>
      </c>
      <c r="C77" s="185" t="s">
        <v>317</v>
      </c>
      <c r="D77" s="186"/>
      <c r="E77" s="51">
        <v>0</v>
      </c>
      <c r="F77" s="51">
        <v>0</v>
      </c>
      <c r="G77" s="51">
        <v>1</v>
      </c>
      <c r="H77" s="57">
        <v>11.3</v>
      </c>
      <c r="I77" s="51">
        <v>11.81</v>
      </c>
      <c r="J77" s="51">
        <v>3</v>
      </c>
      <c r="K77" s="51">
        <v>0.21</v>
      </c>
      <c r="L77" s="51">
        <v>0</v>
      </c>
      <c r="M77" s="51">
        <v>0.2</v>
      </c>
      <c r="N77" s="51">
        <v>0.2</v>
      </c>
      <c r="O77" s="51">
        <v>0</v>
      </c>
      <c r="P77" s="51">
        <v>0.94</v>
      </c>
      <c r="Q77" s="57">
        <v>1</v>
      </c>
      <c r="R77" s="51">
        <v>0.4</v>
      </c>
      <c r="S77" s="51">
        <v>30.06</v>
      </c>
    </row>
    <row r="78" spans="1:19" ht="15" customHeight="1">
      <c r="A78" s="81"/>
      <c r="B78" s="53" t="s">
        <v>107</v>
      </c>
      <c r="C78" s="185" t="s">
        <v>319</v>
      </c>
      <c r="D78" s="186"/>
      <c r="E78" s="51">
        <v>0</v>
      </c>
      <c r="F78" s="51">
        <v>0</v>
      </c>
      <c r="G78" s="51">
        <v>1</v>
      </c>
      <c r="H78" s="57">
        <v>15</v>
      </c>
      <c r="I78" s="51">
        <v>0.75</v>
      </c>
      <c r="J78" s="51">
        <v>2</v>
      </c>
      <c r="K78" s="51">
        <v>1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7">
        <v>1</v>
      </c>
      <c r="R78" s="51">
        <v>0.31</v>
      </c>
      <c r="S78" s="51">
        <v>21.06</v>
      </c>
    </row>
    <row r="79" spans="1:19" ht="15" customHeight="1">
      <c r="A79" s="81"/>
      <c r="B79" s="53" t="s">
        <v>109</v>
      </c>
      <c r="C79" s="185" t="s">
        <v>320</v>
      </c>
      <c r="D79" s="186"/>
      <c r="E79" s="51">
        <v>0</v>
      </c>
      <c r="F79" s="51">
        <v>0</v>
      </c>
      <c r="G79" s="51">
        <v>2</v>
      </c>
      <c r="H79" s="57">
        <v>16.07</v>
      </c>
      <c r="I79" s="51">
        <v>9.83</v>
      </c>
      <c r="J79" s="51">
        <v>2.5</v>
      </c>
      <c r="K79" s="51">
        <v>1.25</v>
      </c>
      <c r="L79" s="51">
        <v>0</v>
      </c>
      <c r="M79" s="51">
        <v>0.25</v>
      </c>
      <c r="N79" s="51">
        <v>0.75</v>
      </c>
      <c r="O79" s="51">
        <v>1</v>
      </c>
      <c r="P79" s="51">
        <v>0</v>
      </c>
      <c r="Q79" s="57">
        <v>2</v>
      </c>
      <c r="R79" s="51">
        <v>0</v>
      </c>
      <c r="S79" s="51">
        <v>35.65</v>
      </c>
    </row>
    <row r="80" spans="1:19" ht="15" customHeight="1">
      <c r="A80" s="81"/>
      <c r="B80" s="53" t="s">
        <v>111</v>
      </c>
      <c r="C80" s="185" t="s">
        <v>321</v>
      </c>
      <c r="D80" s="186"/>
      <c r="E80" s="51">
        <v>0</v>
      </c>
      <c r="F80" s="51">
        <v>0</v>
      </c>
      <c r="G80" s="51">
        <v>1</v>
      </c>
      <c r="H80" s="57">
        <v>11.25</v>
      </c>
      <c r="I80" s="51">
        <v>6.47</v>
      </c>
      <c r="J80" s="51">
        <v>1</v>
      </c>
      <c r="K80" s="51">
        <v>1</v>
      </c>
      <c r="L80" s="51">
        <v>0</v>
      </c>
      <c r="M80" s="51">
        <v>0.25</v>
      </c>
      <c r="N80" s="51">
        <v>0.75</v>
      </c>
      <c r="O80" s="51">
        <v>1</v>
      </c>
      <c r="P80" s="51">
        <v>0</v>
      </c>
      <c r="Q80" s="57">
        <v>0.5</v>
      </c>
      <c r="R80" s="51">
        <v>0.2</v>
      </c>
      <c r="S80" s="51">
        <v>23.42</v>
      </c>
    </row>
    <row r="81" spans="1:19" ht="15" customHeight="1">
      <c r="A81" s="81"/>
      <c r="B81" s="53" t="s">
        <v>113</v>
      </c>
      <c r="C81" s="185" t="s">
        <v>318</v>
      </c>
      <c r="D81" s="186"/>
      <c r="E81" s="51">
        <v>0</v>
      </c>
      <c r="F81" s="51">
        <v>0</v>
      </c>
      <c r="G81" s="51">
        <v>0</v>
      </c>
      <c r="H81" s="57">
        <v>0</v>
      </c>
      <c r="I81" s="51">
        <v>12.25</v>
      </c>
      <c r="J81" s="51">
        <v>0</v>
      </c>
      <c r="K81" s="51">
        <v>0</v>
      </c>
      <c r="L81" s="51">
        <v>0</v>
      </c>
      <c r="M81" s="51">
        <v>0</v>
      </c>
      <c r="N81" s="51">
        <v>1</v>
      </c>
      <c r="O81" s="51">
        <v>0</v>
      </c>
      <c r="P81" s="51">
        <v>1</v>
      </c>
      <c r="Q81" s="57">
        <v>1</v>
      </c>
      <c r="R81" s="51">
        <v>0</v>
      </c>
      <c r="S81" s="51">
        <v>15.25</v>
      </c>
    </row>
    <row r="82" spans="1:19" ht="15" customHeight="1">
      <c r="A82" s="81"/>
      <c r="B82" s="53" t="s">
        <v>115</v>
      </c>
      <c r="C82" s="185" t="s">
        <v>322</v>
      </c>
      <c r="D82" s="186"/>
      <c r="E82" s="51">
        <v>0</v>
      </c>
      <c r="F82" s="51">
        <v>0</v>
      </c>
      <c r="G82" s="51">
        <v>1.02</v>
      </c>
      <c r="H82" s="57">
        <v>15.11</v>
      </c>
      <c r="I82" s="51">
        <v>3.22</v>
      </c>
      <c r="J82" s="51">
        <v>0.01</v>
      </c>
      <c r="K82" s="51">
        <v>1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7">
        <v>0</v>
      </c>
      <c r="R82" s="51">
        <v>0</v>
      </c>
      <c r="S82" s="51">
        <v>20.350000000000001</v>
      </c>
    </row>
    <row r="83" spans="1:19" ht="15" customHeight="1">
      <c r="A83" s="81"/>
      <c r="B83" s="53">
        <v>68</v>
      </c>
      <c r="C83" s="185" t="s">
        <v>323</v>
      </c>
      <c r="D83" s="186"/>
      <c r="E83" s="51">
        <v>0</v>
      </c>
      <c r="F83" s="51">
        <v>0</v>
      </c>
      <c r="G83" s="51">
        <v>0</v>
      </c>
      <c r="H83" s="57">
        <v>11.69</v>
      </c>
      <c r="I83" s="51">
        <v>11.91</v>
      </c>
      <c r="J83" s="51">
        <v>2</v>
      </c>
      <c r="K83" s="51">
        <v>0.41</v>
      </c>
      <c r="L83" s="51">
        <v>0</v>
      </c>
      <c r="M83" s="51">
        <v>0.5</v>
      </c>
      <c r="N83" s="51">
        <v>0.5</v>
      </c>
      <c r="O83" s="51">
        <v>1</v>
      </c>
      <c r="P83" s="51">
        <v>1</v>
      </c>
      <c r="Q83" s="57">
        <v>1.8</v>
      </c>
      <c r="R83" s="51">
        <v>0.18</v>
      </c>
      <c r="S83" s="51">
        <v>31</v>
      </c>
    </row>
    <row r="84" spans="1:19" ht="15" customHeight="1">
      <c r="A84" s="81"/>
      <c r="B84" s="53" t="s">
        <v>118</v>
      </c>
      <c r="C84" s="185" t="s">
        <v>324</v>
      </c>
      <c r="D84" s="186"/>
      <c r="E84" s="51">
        <v>0</v>
      </c>
      <c r="F84" s="51">
        <v>0</v>
      </c>
      <c r="G84" s="51">
        <v>2</v>
      </c>
      <c r="H84" s="57">
        <v>13</v>
      </c>
      <c r="I84" s="51">
        <v>1</v>
      </c>
      <c r="J84" s="51">
        <v>1</v>
      </c>
      <c r="K84" s="51">
        <v>1</v>
      </c>
      <c r="L84" s="51">
        <v>0</v>
      </c>
      <c r="M84" s="51">
        <v>0.5</v>
      </c>
      <c r="N84" s="51">
        <v>0</v>
      </c>
      <c r="O84" s="51">
        <v>0</v>
      </c>
      <c r="P84" s="51">
        <v>0</v>
      </c>
      <c r="Q84" s="57">
        <v>1</v>
      </c>
      <c r="R84" s="51">
        <v>0</v>
      </c>
      <c r="S84" s="51">
        <v>19.5</v>
      </c>
    </row>
    <row r="85" spans="1:19" ht="15" customHeight="1">
      <c r="A85" s="81"/>
      <c r="B85" s="53" t="s">
        <v>120</v>
      </c>
      <c r="C85" s="185" t="s">
        <v>325</v>
      </c>
      <c r="D85" s="186"/>
      <c r="E85" s="51">
        <v>0</v>
      </c>
      <c r="F85" s="51">
        <v>0</v>
      </c>
      <c r="G85" s="51">
        <v>0</v>
      </c>
      <c r="H85" s="57">
        <v>0</v>
      </c>
      <c r="I85" s="51">
        <v>21.12</v>
      </c>
      <c r="J85" s="51">
        <v>1</v>
      </c>
      <c r="K85" s="51">
        <v>0.28999999999999998</v>
      </c>
      <c r="L85" s="51">
        <v>3.36</v>
      </c>
      <c r="M85" s="51">
        <v>0</v>
      </c>
      <c r="N85" s="51">
        <v>0</v>
      </c>
      <c r="O85" s="51">
        <v>0</v>
      </c>
      <c r="P85" s="51">
        <v>1.1000000000000001</v>
      </c>
      <c r="Q85" s="57">
        <v>0.9</v>
      </c>
      <c r="R85" s="51">
        <v>0</v>
      </c>
      <c r="S85" s="51">
        <v>27.77</v>
      </c>
    </row>
    <row r="86" spans="1:19" ht="15" customHeight="1">
      <c r="A86" s="81"/>
      <c r="B86" s="53">
        <v>86</v>
      </c>
      <c r="C86" s="185" t="s">
        <v>326</v>
      </c>
      <c r="D86" s="186"/>
      <c r="E86" s="51">
        <v>0</v>
      </c>
      <c r="F86" s="51">
        <v>0</v>
      </c>
      <c r="G86" s="51">
        <v>2.11</v>
      </c>
      <c r="H86" s="57">
        <v>13.26</v>
      </c>
      <c r="I86" s="51">
        <v>15.04</v>
      </c>
      <c r="J86" s="51">
        <v>1.17</v>
      </c>
      <c r="K86" s="51">
        <v>1.26</v>
      </c>
      <c r="L86" s="51">
        <v>0.05</v>
      </c>
      <c r="M86" s="51">
        <v>0</v>
      </c>
      <c r="N86" s="51">
        <v>0</v>
      </c>
      <c r="O86" s="51">
        <v>0.89</v>
      </c>
      <c r="P86" s="51">
        <v>2.1</v>
      </c>
      <c r="Q86" s="57">
        <v>1.1599999999999999</v>
      </c>
      <c r="R86" s="51">
        <v>1.92</v>
      </c>
      <c r="S86" s="51">
        <v>38.94</v>
      </c>
    </row>
    <row r="87" spans="1:19" ht="15" customHeight="1">
      <c r="A87" s="81"/>
      <c r="B87" s="53" t="s">
        <v>327</v>
      </c>
      <c r="C87" s="185" t="s">
        <v>328</v>
      </c>
      <c r="D87" s="186"/>
      <c r="E87" s="51">
        <v>0</v>
      </c>
      <c r="F87" s="51">
        <v>0</v>
      </c>
      <c r="G87" s="51">
        <v>1</v>
      </c>
      <c r="H87" s="57">
        <v>22.2</v>
      </c>
      <c r="I87" s="51">
        <v>0</v>
      </c>
      <c r="J87" s="51">
        <v>1.5</v>
      </c>
      <c r="K87" s="51">
        <v>1</v>
      </c>
      <c r="L87" s="51">
        <v>0</v>
      </c>
      <c r="M87" s="51">
        <v>1</v>
      </c>
      <c r="N87" s="51">
        <v>0</v>
      </c>
      <c r="O87" s="51">
        <v>0</v>
      </c>
      <c r="P87" s="51">
        <v>0</v>
      </c>
      <c r="Q87" s="57">
        <v>1</v>
      </c>
      <c r="R87" s="51">
        <v>0</v>
      </c>
      <c r="S87" s="51">
        <v>27.7</v>
      </c>
    </row>
    <row r="88" spans="1:19" ht="15" customHeight="1">
      <c r="A88" s="81"/>
      <c r="B88" s="53" t="s">
        <v>329</v>
      </c>
      <c r="C88" s="185" t="s">
        <v>330</v>
      </c>
      <c r="D88" s="186"/>
      <c r="E88" s="51">
        <v>0</v>
      </c>
      <c r="F88" s="51">
        <v>0</v>
      </c>
      <c r="G88" s="51">
        <v>2</v>
      </c>
      <c r="H88" s="57">
        <v>11.96</v>
      </c>
      <c r="I88" s="51">
        <v>0</v>
      </c>
      <c r="J88" s="51">
        <v>1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7">
        <v>1.25</v>
      </c>
      <c r="R88" s="51">
        <v>0</v>
      </c>
      <c r="S88" s="51">
        <v>16.21</v>
      </c>
    </row>
    <row r="89" spans="1:19" ht="15" customHeight="1">
      <c r="A89" s="81"/>
      <c r="B89" s="53" t="s">
        <v>123</v>
      </c>
      <c r="C89" s="185" t="s">
        <v>331</v>
      </c>
      <c r="D89" s="186"/>
      <c r="E89" s="51">
        <v>0</v>
      </c>
      <c r="F89" s="51">
        <v>0</v>
      </c>
      <c r="G89" s="51">
        <v>1</v>
      </c>
      <c r="H89" s="57">
        <v>10.5</v>
      </c>
      <c r="I89" s="51">
        <v>1</v>
      </c>
      <c r="J89" s="51">
        <v>0.25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7">
        <v>0.75</v>
      </c>
      <c r="R89" s="51">
        <v>0</v>
      </c>
      <c r="S89" s="51">
        <v>13.5</v>
      </c>
    </row>
    <row r="90" spans="1:19" ht="15" customHeight="1">
      <c r="A90" s="81"/>
      <c r="B90" s="53" t="s">
        <v>125</v>
      </c>
      <c r="C90" s="185" t="s">
        <v>332</v>
      </c>
      <c r="D90" s="186"/>
      <c r="E90" s="51">
        <v>0</v>
      </c>
      <c r="F90" s="51">
        <v>0</v>
      </c>
      <c r="G90" s="51">
        <v>2</v>
      </c>
      <c r="H90" s="57">
        <v>18.77</v>
      </c>
      <c r="I90" s="51">
        <v>6.98</v>
      </c>
      <c r="J90" s="51">
        <v>3</v>
      </c>
      <c r="K90" s="51">
        <v>0.5</v>
      </c>
      <c r="L90" s="51">
        <v>0</v>
      </c>
      <c r="M90" s="51">
        <v>0</v>
      </c>
      <c r="N90" s="51">
        <v>0</v>
      </c>
      <c r="O90" s="51">
        <v>0</v>
      </c>
      <c r="P90" s="51">
        <v>0.01</v>
      </c>
      <c r="Q90" s="57">
        <v>2</v>
      </c>
      <c r="R90" s="51">
        <v>0</v>
      </c>
      <c r="S90" s="51">
        <v>33.26</v>
      </c>
    </row>
    <row r="91" spans="1:19" ht="15" customHeight="1">
      <c r="A91" s="81"/>
      <c r="B91" s="53" t="s">
        <v>127</v>
      </c>
      <c r="C91" s="185" t="s">
        <v>333</v>
      </c>
      <c r="D91" s="186"/>
      <c r="E91" s="51">
        <v>0</v>
      </c>
      <c r="F91" s="51">
        <v>0</v>
      </c>
      <c r="G91" s="51">
        <v>2</v>
      </c>
      <c r="H91" s="57">
        <v>17.690000000000001</v>
      </c>
      <c r="I91" s="51">
        <v>8.98</v>
      </c>
      <c r="J91" s="51">
        <v>2</v>
      </c>
      <c r="K91" s="51">
        <v>0.3</v>
      </c>
      <c r="L91" s="51">
        <v>0</v>
      </c>
      <c r="M91" s="51">
        <v>0</v>
      </c>
      <c r="N91" s="51">
        <v>0</v>
      </c>
      <c r="O91" s="51">
        <v>0.35</v>
      </c>
      <c r="P91" s="51">
        <v>0</v>
      </c>
      <c r="Q91" s="57">
        <v>2</v>
      </c>
      <c r="R91" s="51">
        <v>0</v>
      </c>
      <c r="S91" s="51">
        <v>33.32</v>
      </c>
    </row>
    <row r="92" spans="1:19" ht="15" customHeight="1">
      <c r="A92" s="81"/>
      <c r="B92" s="53" t="s">
        <v>334</v>
      </c>
      <c r="C92" s="185" t="s">
        <v>335</v>
      </c>
      <c r="D92" s="186"/>
      <c r="E92" s="51">
        <v>0</v>
      </c>
      <c r="F92" s="51">
        <v>0</v>
      </c>
      <c r="G92" s="51">
        <v>0</v>
      </c>
      <c r="H92" s="57">
        <v>0</v>
      </c>
      <c r="I92" s="51">
        <v>24.06</v>
      </c>
      <c r="J92" s="51">
        <v>1.44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7">
        <v>2</v>
      </c>
      <c r="R92" s="51">
        <v>0</v>
      </c>
      <c r="S92" s="51">
        <v>27.5</v>
      </c>
    </row>
    <row r="93" spans="1:19" ht="15" customHeight="1">
      <c r="A93" s="81"/>
      <c r="B93" s="53">
        <v>97</v>
      </c>
      <c r="C93" s="185" t="s">
        <v>336</v>
      </c>
      <c r="D93" s="186"/>
      <c r="E93" s="51">
        <v>0</v>
      </c>
      <c r="F93" s="51">
        <v>0</v>
      </c>
      <c r="G93" s="51">
        <v>0</v>
      </c>
      <c r="H93" s="57">
        <v>2</v>
      </c>
      <c r="I93" s="51">
        <v>10.32</v>
      </c>
      <c r="J93" s="51">
        <v>1</v>
      </c>
      <c r="K93" s="51">
        <v>0</v>
      </c>
      <c r="L93" s="51">
        <v>0</v>
      </c>
      <c r="M93" s="51">
        <v>0</v>
      </c>
      <c r="N93" s="51">
        <v>0</v>
      </c>
      <c r="O93" s="51">
        <v>0</v>
      </c>
      <c r="P93" s="51">
        <v>0</v>
      </c>
      <c r="Q93" s="57">
        <v>1</v>
      </c>
      <c r="R93" s="51">
        <v>0</v>
      </c>
      <c r="S93" s="51">
        <v>14.32</v>
      </c>
    </row>
    <row r="94" spans="1:19" ht="15" customHeight="1">
      <c r="A94" s="81"/>
      <c r="B94" s="53" t="s">
        <v>337</v>
      </c>
      <c r="C94" s="185" t="s">
        <v>338</v>
      </c>
      <c r="D94" s="186"/>
      <c r="E94" s="51">
        <v>0</v>
      </c>
      <c r="F94" s="51">
        <v>0</v>
      </c>
      <c r="G94" s="51">
        <v>0</v>
      </c>
      <c r="H94" s="57">
        <v>1</v>
      </c>
      <c r="I94" s="51">
        <v>6.49</v>
      </c>
      <c r="J94" s="51">
        <v>1.5</v>
      </c>
      <c r="K94" s="51">
        <v>0.51</v>
      </c>
      <c r="L94" s="51">
        <v>0</v>
      </c>
      <c r="M94" s="51">
        <v>0</v>
      </c>
      <c r="N94" s="51">
        <v>0</v>
      </c>
      <c r="O94" s="51">
        <v>0</v>
      </c>
      <c r="P94" s="51">
        <v>1</v>
      </c>
      <c r="Q94" s="57">
        <v>0</v>
      </c>
      <c r="R94" s="51">
        <v>0</v>
      </c>
      <c r="S94" s="51">
        <v>10.5</v>
      </c>
    </row>
    <row r="95" spans="1:19" ht="15" customHeight="1">
      <c r="A95" s="81"/>
      <c r="B95" s="53" t="s">
        <v>130</v>
      </c>
      <c r="C95" s="185" t="s">
        <v>339</v>
      </c>
      <c r="D95" s="186"/>
      <c r="E95" s="51">
        <v>0</v>
      </c>
      <c r="F95" s="51">
        <v>0</v>
      </c>
      <c r="G95" s="51">
        <v>0</v>
      </c>
      <c r="H95" s="57">
        <v>0</v>
      </c>
      <c r="I95" s="51">
        <v>3.56</v>
      </c>
      <c r="J95" s="51">
        <v>0</v>
      </c>
      <c r="K95" s="51">
        <v>0</v>
      </c>
      <c r="L95" s="51">
        <v>0</v>
      </c>
      <c r="M95" s="51">
        <v>0</v>
      </c>
      <c r="N95" s="51">
        <v>1</v>
      </c>
      <c r="O95" s="51">
        <v>0</v>
      </c>
      <c r="P95" s="51">
        <v>0</v>
      </c>
      <c r="Q95" s="57">
        <v>2</v>
      </c>
      <c r="R95" s="51">
        <v>0</v>
      </c>
      <c r="S95" s="51">
        <v>6.56</v>
      </c>
    </row>
    <row r="96" spans="1:19" ht="15" customHeight="1">
      <c r="A96" s="81"/>
      <c r="B96" s="53">
        <v>89</v>
      </c>
      <c r="C96" s="185" t="s">
        <v>340</v>
      </c>
      <c r="D96" s="186"/>
      <c r="E96" s="51">
        <v>1</v>
      </c>
      <c r="F96" s="51">
        <v>0</v>
      </c>
      <c r="G96" s="51">
        <v>0</v>
      </c>
      <c r="H96" s="57">
        <v>6.5</v>
      </c>
      <c r="I96" s="51">
        <v>0.2</v>
      </c>
      <c r="J96" s="51">
        <v>1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7">
        <v>0.8</v>
      </c>
      <c r="R96" s="51">
        <v>0</v>
      </c>
      <c r="S96" s="51">
        <v>9.5</v>
      </c>
    </row>
    <row r="97" spans="1:19" ht="15" customHeight="1">
      <c r="A97" s="81"/>
      <c r="B97" s="53" t="s">
        <v>133</v>
      </c>
      <c r="C97" s="185" t="s">
        <v>341</v>
      </c>
      <c r="D97" s="186"/>
      <c r="E97" s="51">
        <v>0</v>
      </c>
      <c r="F97" s="51">
        <v>0</v>
      </c>
      <c r="G97" s="51">
        <v>0</v>
      </c>
      <c r="H97" s="57">
        <v>0</v>
      </c>
      <c r="I97" s="51">
        <v>0</v>
      </c>
      <c r="J97" s="51">
        <v>11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7">
        <v>1.1100000000000001</v>
      </c>
      <c r="R97" s="51">
        <v>1.5</v>
      </c>
      <c r="S97" s="51">
        <v>13.61</v>
      </c>
    </row>
    <row r="98" spans="1:19" ht="15" customHeight="1">
      <c r="A98" s="81"/>
      <c r="B98" s="53" t="s">
        <v>135</v>
      </c>
      <c r="C98" s="185" t="s">
        <v>342</v>
      </c>
      <c r="D98" s="186"/>
      <c r="E98" s="51">
        <v>0</v>
      </c>
      <c r="F98" s="51">
        <v>0</v>
      </c>
      <c r="G98" s="51">
        <v>0</v>
      </c>
      <c r="H98" s="57">
        <v>0</v>
      </c>
      <c r="I98" s="51">
        <v>4.42</v>
      </c>
      <c r="J98" s="51">
        <v>0</v>
      </c>
      <c r="K98" s="51">
        <v>0</v>
      </c>
      <c r="L98" s="51">
        <v>0</v>
      </c>
      <c r="M98" s="51">
        <v>0</v>
      </c>
      <c r="N98" s="51">
        <v>1</v>
      </c>
      <c r="O98" s="51">
        <v>0</v>
      </c>
      <c r="P98" s="51">
        <v>0</v>
      </c>
      <c r="Q98" s="57">
        <v>1</v>
      </c>
      <c r="R98" s="51">
        <v>0</v>
      </c>
      <c r="S98" s="51">
        <v>6.42</v>
      </c>
    </row>
    <row r="99" spans="1:19" ht="15" customHeight="1">
      <c r="A99" s="81"/>
      <c r="B99" s="53">
        <v>88</v>
      </c>
      <c r="C99" s="185" t="s">
        <v>343</v>
      </c>
      <c r="D99" s="186"/>
      <c r="E99" s="51">
        <v>0</v>
      </c>
      <c r="F99" s="51">
        <v>0</v>
      </c>
      <c r="G99" s="51">
        <v>0</v>
      </c>
      <c r="H99" s="57">
        <v>0</v>
      </c>
      <c r="I99" s="51">
        <v>0</v>
      </c>
      <c r="J99" s="51">
        <v>0</v>
      </c>
      <c r="K99" s="51">
        <v>2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7">
        <v>0</v>
      </c>
      <c r="R99" s="51">
        <v>0</v>
      </c>
      <c r="S99" s="51">
        <v>2</v>
      </c>
    </row>
    <row r="100" spans="1:19" ht="15" customHeight="1">
      <c r="A100" s="81"/>
      <c r="B100" s="53" t="s">
        <v>138</v>
      </c>
      <c r="C100" s="185" t="s">
        <v>344</v>
      </c>
      <c r="D100" s="186"/>
      <c r="E100" s="51">
        <v>0</v>
      </c>
      <c r="F100" s="51">
        <v>0</v>
      </c>
      <c r="G100" s="51">
        <v>2</v>
      </c>
      <c r="H100" s="57">
        <v>27.3</v>
      </c>
      <c r="I100" s="51">
        <v>11.17</v>
      </c>
      <c r="J100" s="51">
        <v>2.75</v>
      </c>
      <c r="K100" s="51">
        <v>0.54</v>
      </c>
      <c r="L100" s="51">
        <v>0</v>
      </c>
      <c r="M100" s="51">
        <v>0</v>
      </c>
      <c r="N100" s="51">
        <v>0.5</v>
      </c>
      <c r="O100" s="51">
        <v>0</v>
      </c>
      <c r="P100" s="51">
        <v>0</v>
      </c>
      <c r="Q100" s="57">
        <v>2</v>
      </c>
      <c r="R100" s="51">
        <v>1</v>
      </c>
      <c r="S100" s="51">
        <v>47.25</v>
      </c>
    </row>
    <row r="101" spans="1:19" ht="15" customHeight="1">
      <c r="A101" s="81"/>
      <c r="B101" s="53" t="s">
        <v>140</v>
      </c>
      <c r="C101" s="185" t="s">
        <v>345</v>
      </c>
      <c r="D101" s="186"/>
      <c r="E101" s="51">
        <v>0</v>
      </c>
      <c r="F101" s="51">
        <v>0</v>
      </c>
      <c r="G101" s="51">
        <v>2</v>
      </c>
      <c r="H101" s="57">
        <v>19.11</v>
      </c>
      <c r="I101" s="51">
        <v>0.18</v>
      </c>
      <c r="J101" s="51">
        <v>1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7">
        <v>1</v>
      </c>
      <c r="R101" s="51">
        <v>0</v>
      </c>
      <c r="S101" s="51">
        <v>23.29</v>
      </c>
    </row>
    <row r="102" spans="1:19" ht="15" customHeight="1">
      <c r="A102" s="81"/>
      <c r="B102" s="53">
        <v>94</v>
      </c>
      <c r="C102" s="185" t="s">
        <v>346</v>
      </c>
      <c r="D102" s="186"/>
      <c r="E102" s="51">
        <v>0</v>
      </c>
      <c r="F102" s="51">
        <v>0</v>
      </c>
      <c r="G102" s="51">
        <v>3</v>
      </c>
      <c r="H102" s="57">
        <v>19</v>
      </c>
      <c r="I102" s="51">
        <v>13.55</v>
      </c>
      <c r="J102" s="51">
        <v>2</v>
      </c>
      <c r="K102" s="51">
        <v>0</v>
      </c>
      <c r="L102" s="51">
        <v>1</v>
      </c>
      <c r="M102" s="51">
        <v>0</v>
      </c>
      <c r="N102" s="51">
        <v>0</v>
      </c>
      <c r="O102" s="51">
        <v>1</v>
      </c>
      <c r="P102" s="51">
        <v>0.5</v>
      </c>
      <c r="Q102" s="57">
        <v>2</v>
      </c>
      <c r="R102" s="51">
        <v>0.5</v>
      </c>
      <c r="S102" s="51">
        <v>42.55</v>
      </c>
    </row>
    <row r="103" spans="1:19" ht="15" customHeight="1">
      <c r="A103" s="81"/>
      <c r="B103" s="53">
        <v>95</v>
      </c>
      <c r="C103" s="185" t="s">
        <v>347</v>
      </c>
      <c r="D103" s="186"/>
      <c r="E103" s="51">
        <v>0</v>
      </c>
      <c r="F103" s="51">
        <v>0</v>
      </c>
      <c r="G103" s="51">
        <v>1</v>
      </c>
      <c r="H103" s="57">
        <v>17.39</v>
      </c>
      <c r="I103" s="51">
        <v>3</v>
      </c>
      <c r="J103" s="51">
        <v>1</v>
      </c>
      <c r="K103" s="51">
        <v>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7">
        <v>1</v>
      </c>
      <c r="R103" s="51">
        <v>0</v>
      </c>
      <c r="S103" s="51">
        <v>23.39</v>
      </c>
    </row>
    <row r="104" spans="1:19" ht="15" customHeight="1">
      <c r="A104" s="81"/>
      <c r="B104" s="53">
        <v>90</v>
      </c>
      <c r="C104" s="185" t="s">
        <v>348</v>
      </c>
      <c r="D104" s="186"/>
      <c r="E104" s="51">
        <v>0</v>
      </c>
      <c r="F104" s="51">
        <v>0</v>
      </c>
      <c r="G104" s="51">
        <v>0</v>
      </c>
      <c r="H104" s="57">
        <v>0</v>
      </c>
      <c r="I104" s="51">
        <v>12.84</v>
      </c>
      <c r="J104" s="51">
        <v>0</v>
      </c>
      <c r="K104" s="51">
        <v>0</v>
      </c>
      <c r="L104" s="51">
        <v>0.34</v>
      </c>
      <c r="M104" s="51">
        <v>0</v>
      </c>
      <c r="N104" s="51">
        <v>1</v>
      </c>
      <c r="O104" s="51">
        <v>1</v>
      </c>
      <c r="P104" s="51">
        <v>0</v>
      </c>
      <c r="Q104" s="57">
        <v>2.46</v>
      </c>
      <c r="R104" s="51">
        <v>0</v>
      </c>
      <c r="S104" s="51">
        <v>17.64</v>
      </c>
    </row>
    <row r="105" spans="1:19" ht="15" customHeight="1">
      <c r="A105" s="81"/>
      <c r="B105" s="53" t="s">
        <v>145</v>
      </c>
      <c r="C105" s="185" t="s">
        <v>350</v>
      </c>
      <c r="D105" s="186"/>
      <c r="E105" s="51">
        <v>0</v>
      </c>
      <c r="F105" s="51">
        <v>0</v>
      </c>
      <c r="G105" s="51">
        <v>0</v>
      </c>
      <c r="H105" s="57">
        <v>0</v>
      </c>
      <c r="I105" s="51">
        <v>9.9600000000000009</v>
      </c>
      <c r="J105" s="51">
        <v>0.2</v>
      </c>
      <c r="K105" s="51">
        <v>1.44</v>
      </c>
      <c r="L105" s="51">
        <v>0</v>
      </c>
      <c r="M105" s="51">
        <v>0</v>
      </c>
      <c r="N105" s="51">
        <v>2.59</v>
      </c>
      <c r="O105" s="51">
        <v>0</v>
      </c>
      <c r="P105" s="51">
        <v>0</v>
      </c>
      <c r="Q105" s="57">
        <v>1.29</v>
      </c>
      <c r="R105" s="51">
        <v>0</v>
      </c>
      <c r="S105" s="51">
        <v>15.48</v>
      </c>
    </row>
    <row r="106" spans="1:19" ht="15" customHeight="1">
      <c r="A106" s="81"/>
      <c r="B106" s="53">
        <v>92</v>
      </c>
      <c r="C106" s="185" t="s">
        <v>349</v>
      </c>
      <c r="D106" s="186"/>
      <c r="E106" s="51">
        <v>0</v>
      </c>
      <c r="F106" s="51">
        <v>0</v>
      </c>
      <c r="G106" s="51">
        <v>0</v>
      </c>
      <c r="H106" s="57">
        <v>0</v>
      </c>
      <c r="I106" s="51">
        <v>6.17</v>
      </c>
      <c r="J106" s="51">
        <v>1</v>
      </c>
      <c r="K106" s="51">
        <v>0</v>
      </c>
      <c r="L106" s="51">
        <v>0</v>
      </c>
      <c r="M106" s="51">
        <v>0</v>
      </c>
      <c r="N106" s="51">
        <v>1</v>
      </c>
      <c r="O106" s="51">
        <v>0</v>
      </c>
      <c r="P106" s="51">
        <v>0</v>
      </c>
      <c r="Q106" s="57">
        <v>1</v>
      </c>
      <c r="R106" s="51">
        <v>0</v>
      </c>
      <c r="S106" s="51">
        <v>9.17</v>
      </c>
    </row>
    <row r="107" spans="1:19" ht="15" customHeight="1">
      <c r="A107" s="81"/>
      <c r="B107" s="53" t="s">
        <v>351</v>
      </c>
      <c r="C107" s="185" t="s">
        <v>352</v>
      </c>
      <c r="D107" s="186"/>
      <c r="E107" s="51">
        <v>0</v>
      </c>
      <c r="F107" s="51">
        <v>0</v>
      </c>
      <c r="G107" s="51">
        <v>0.12</v>
      </c>
      <c r="H107" s="57">
        <v>5.38</v>
      </c>
      <c r="I107" s="51">
        <v>6</v>
      </c>
      <c r="J107" s="51">
        <v>1</v>
      </c>
      <c r="K107" s="51">
        <v>0</v>
      </c>
      <c r="L107" s="51">
        <v>0</v>
      </c>
      <c r="M107" s="51">
        <v>0</v>
      </c>
      <c r="N107" s="51">
        <v>0</v>
      </c>
      <c r="O107" s="51">
        <v>0</v>
      </c>
      <c r="P107" s="51">
        <v>1</v>
      </c>
      <c r="Q107" s="57">
        <v>1</v>
      </c>
      <c r="R107" s="51">
        <v>0</v>
      </c>
      <c r="S107" s="51">
        <v>14.5</v>
      </c>
    </row>
    <row r="108" spans="1:19" ht="15" customHeight="1">
      <c r="A108" s="81"/>
      <c r="B108" s="53" t="s">
        <v>353</v>
      </c>
      <c r="C108" s="185" t="s">
        <v>354</v>
      </c>
      <c r="D108" s="186"/>
      <c r="E108" s="51">
        <v>0</v>
      </c>
      <c r="F108" s="51">
        <v>0</v>
      </c>
      <c r="G108" s="51">
        <v>0.5</v>
      </c>
      <c r="H108" s="57">
        <v>11.5</v>
      </c>
      <c r="I108" s="51">
        <v>7.05</v>
      </c>
      <c r="J108" s="51">
        <v>1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7">
        <v>1</v>
      </c>
      <c r="R108" s="51">
        <v>0</v>
      </c>
      <c r="S108" s="51">
        <v>21.05</v>
      </c>
    </row>
    <row r="109" spans="1:19" ht="15" customHeight="1">
      <c r="A109" s="81"/>
      <c r="B109" s="53">
        <v>81</v>
      </c>
      <c r="C109" s="185" t="s">
        <v>355</v>
      </c>
      <c r="D109" s="186"/>
      <c r="E109" s="51">
        <v>0</v>
      </c>
      <c r="F109" s="51">
        <v>0</v>
      </c>
      <c r="G109" s="51">
        <v>0</v>
      </c>
      <c r="H109" s="57">
        <v>5.14</v>
      </c>
      <c r="I109" s="51">
        <v>14.1</v>
      </c>
      <c r="J109" s="51">
        <v>0.25</v>
      </c>
      <c r="K109" s="51">
        <v>0</v>
      </c>
      <c r="L109" s="51">
        <v>0</v>
      </c>
      <c r="M109" s="51">
        <v>0.25</v>
      </c>
      <c r="N109" s="51">
        <v>0.25</v>
      </c>
      <c r="O109" s="51">
        <v>0</v>
      </c>
      <c r="P109" s="51">
        <v>0</v>
      </c>
      <c r="Q109" s="57">
        <v>0.24</v>
      </c>
      <c r="R109" s="51">
        <v>0</v>
      </c>
      <c r="S109" s="51">
        <v>20.22</v>
      </c>
    </row>
    <row r="110" spans="1:19" ht="15" customHeight="1">
      <c r="A110" s="81"/>
      <c r="B110" s="53" t="s">
        <v>149</v>
      </c>
      <c r="C110" s="185" t="s">
        <v>356</v>
      </c>
      <c r="D110" s="186"/>
      <c r="E110" s="51">
        <v>0</v>
      </c>
      <c r="F110" s="51">
        <v>0</v>
      </c>
      <c r="G110" s="51">
        <v>1</v>
      </c>
      <c r="H110" s="57">
        <v>14</v>
      </c>
      <c r="I110" s="51">
        <v>0</v>
      </c>
      <c r="J110" s="51">
        <v>1.5</v>
      </c>
      <c r="K110" s="51">
        <v>0</v>
      </c>
      <c r="L110" s="51">
        <v>0</v>
      </c>
      <c r="M110" s="51">
        <v>0</v>
      </c>
      <c r="N110" s="51">
        <v>0</v>
      </c>
      <c r="O110" s="51">
        <v>0</v>
      </c>
      <c r="P110" s="51">
        <v>0</v>
      </c>
      <c r="Q110" s="57">
        <v>1</v>
      </c>
      <c r="R110" s="51">
        <v>0</v>
      </c>
      <c r="S110" s="51">
        <v>17.5</v>
      </c>
    </row>
    <row r="111" spans="1:19" ht="15" customHeight="1">
      <c r="A111" s="91" t="s">
        <v>358</v>
      </c>
      <c r="D111" s="58"/>
      <c r="E111" s="59">
        <v>3.5</v>
      </c>
      <c r="F111" s="59">
        <v>0</v>
      </c>
      <c r="G111" s="59">
        <v>54.3</v>
      </c>
      <c r="H111" s="63">
        <v>583.69000000000005</v>
      </c>
      <c r="I111" s="59">
        <v>506.78</v>
      </c>
      <c r="J111" s="59">
        <v>85.21</v>
      </c>
      <c r="K111" s="59">
        <v>32.68</v>
      </c>
      <c r="L111" s="59">
        <v>6.79</v>
      </c>
      <c r="M111" s="59">
        <v>4.58</v>
      </c>
      <c r="N111" s="59">
        <v>22</v>
      </c>
      <c r="O111" s="59">
        <v>11.97</v>
      </c>
      <c r="P111" s="59">
        <v>12.24</v>
      </c>
      <c r="Q111" s="63">
        <v>67.7</v>
      </c>
      <c r="R111" s="59">
        <v>8.66</v>
      </c>
      <c r="S111" s="60">
        <v>1400.1</v>
      </c>
    </row>
    <row r="112" spans="1:19" s="62" customFormat="1" ht="15" customHeight="1">
      <c r="A112" s="58" t="s">
        <v>359</v>
      </c>
      <c r="B112" s="58"/>
      <c r="C112" s="58"/>
      <c r="D112" s="58"/>
      <c r="E112" s="59">
        <f>E111+E45</f>
        <v>47.14</v>
      </c>
      <c r="F112" s="59">
        <f t="shared" ref="F112:S112" si="0">F111+F45</f>
        <v>196.25</v>
      </c>
      <c r="G112" s="59">
        <f t="shared" si="0"/>
        <v>1148.32</v>
      </c>
      <c r="H112" s="59">
        <f t="shared" si="0"/>
        <v>10264.130000000001</v>
      </c>
      <c r="I112" s="59">
        <f t="shared" si="0"/>
        <v>9562.3700000000008</v>
      </c>
      <c r="J112" s="59">
        <f t="shared" si="0"/>
        <v>2435.81</v>
      </c>
      <c r="K112" s="59">
        <f t="shared" si="0"/>
        <v>1014.5999999999999</v>
      </c>
      <c r="L112" s="59">
        <f t="shared" si="0"/>
        <v>511.73</v>
      </c>
      <c r="M112" s="59">
        <f t="shared" si="0"/>
        <v>137.75</v>
      </c>
      <c r="N112" s="59">
        <f t="shared" si="0"/>
        <v>625.55999999999995</v>
      </c>
      <c r="O112" s="59">
        <f t="shared" si="0"/>
        <v>261.65000000000003</v>
      </c>
      <c r="P112" s="59">
        <f t="shared" si="0"/>
        <v>273.44</v>
      </c>
      <c r="Q112" s="59">
        <f t="shared" si="0"/>
        <v>1223.1400000000001</v>
      </c>
      <c r="R112" s="59">
        <f t="shared" si="0"/>
        <v>859.20999999999992</v>
      </c>
      <c r="S112" s="59">
        <f t="shared" si="0"/>
        <v>28561.109999999997</v>
      </c>
    </row>
    <row r="113" spans="1:19" ht="15" customHeight="1">
      <c r="A113" s="49"/>
    </row>
    <row r="114" spans="1:19" s="62" customFormat="1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</row>
    <row r="116" spans="1:19" ht="15" customHeight="1">
      <c r="A116" s="49"/>
      <c r="B116" s="53">
        <v>41</v>
      </c>
      <c r="C116" s="185" t="s">
        <v>284</v>
      </c>
      <c r="D116" s="186"/>
      <c r="E116" s="51">
        <v>0</v>
      </c>
      <c r="F116" s="51">
        <v>17.7</v>
      </c>
      <c r="G116" s="51">
        <v>0</v>
      </c>
      <c r="H116" s="57">
        <v>0</v>
      </c>
      <c r="I116" s="51">
        <v>1</v>
      </c>
      <c r="J116" s="51">
        <v>103.75</v>
      </c>
      <c r="K116" s="51">
        <v>9.24</v>
      </c>
      <c r="L116" s="51">
        <v>17.010000000000002</v>
      </c>
      <c r="M116" s="51">
        <v>0</v>
      </c>
      <c r="N116" s="51">
        <v>0</v>
      </c>
      <c r="O116" s="51">
        <v>1</v>
      </c>
      <c r="P116" s="51">
        <v>2</v>
      </c>
      <c r="Q116" s="57">
        <v>0</v>
      </c>
      <c r="R116" s="51">
        <v>8.6999999999999993</v>
      </c>
      <c r="S116" s="51">
        <v>160.38999999999999</v>
      </c>
    </row>
    <row r="117" spans="1:19">
      <c r="E117">
        <f>E112+E116</f>
        <v>47.14</v>
      </c>
      <c r="F117">
        <f t="shared" ref="F117:S117" si="1">F112+F116</f>
        <v>213.95</v>
      </c>
      <c r="G117">
        <f t="shared" si="1"/>
        <v>1148.32</v>
      </c>
      <c r="H117">
        <f t="shared" si="1"/>
        <v>10264.130000000001</v>
      </c>
      <c r="I117">
        <f t="shared" si="1"/>
        <v>9563.3700000000008</v>
      </c>
      <c r="J117">
        <f t="shared" si="1"/>
        <v>2539.56</v>
      </c>
      <c r="K117">
        <f t="shared" si="1"/>
        <v>1023.8399999999999</v>
      </c>
      <c r="L117">
        <f t="shared" si="1"/>
        <v>528.74</v>
      </c>
      <c r="M117">
        <f t="shared" si="1"/>
        <v>137.75</v>
      </c>
      <c r="N117">
        <f t="shared" si="1"/>
        <v>625.55999999999995</v>
      </c>
      <c r="O117">
        <f t="shared" si="1"/>
        <v>262.65000000000003</v>
      </c>
      <c r="P117">
        <f t="shared" si="1"/>
        <v>275.44</v>
      </c>
      <c r="Q117">
        <f t="shared" si="1"/>
        <v>1223.1400000000001</v>
      </c>
      <c r="R117">
        <f t="shared" si="1"/>
        <v>867.91</v>
      </c>
      <c r="S117">
        <f t="shared" si="1"/>
        <v>28721.499999999996</v>
      </c>
    </row>
  </sheetData>
  <mergeCells count="125">
    <mergeCell ref="A1:D1"/>
    <mergeCell ref="E1:K1"/>
    <mergeCell ref="L1:L4"/>
    <mergeCell ref="M1:M4"/>
    <mergeCell ref="N1:N4"/>
    <mergeCell ref="O1:O4"/>
    <mergeCell ref="C4:D4"/>
    <mergeCell ref="C3:D3"/>
    <mergeCell ref="C2:D2"/>
    <mergeCell ref="P1:P4"/>
    <mergeCell ref="Q1:Q4"/>
    <mergeCell ref="R1:R4"/>
    <mergeCell ref="S1:S4"/>
    <mergeCell ref="E2:F2"/>
    <mergeCell ref="G2:G4"/>
    <mergeCell ref="H2:H4"/>
    <mergeCell ref="I2:I4"/>
    <mergeCell ref="J2:J4"/>
    <mergeCell ref="K2:K4"/>
    <mergeCell ref="C11:D11"/>
    <mergeCell ref="C12:D12"/>
    <mergeCell ref="C9:D9"/>
    <mergeCell ref="C10:D10"/>
    <mergeCell ref="C8:D8"/>
    <mergeCell ref="C6:D6"/>
    <mergeCell ref="C7:D7"/>
    <mergeCell ref="A45:C45"/>
    <mergeCell ref="C5:D5"/>
    <mergeCell ref="C21:D21"/>
    <mergeCell ref="C22:D22"/>
    <mergeCell ref="C19:D19"/>
    <mergeCell ref="C20:D20"/>
    <mergeCell ref="C17:D17"/>
    <mergeCell ref="C18:D18"/>
    <mergeCell ref="C15:D15"/>
    <mergeCell ref="C16:D16"/>
    <mergeCell ref="C13:D13"/>
    <mergeCell ref="C14:D14"/>
    <mergeCell ref="C31:D31"/>
    <mergeCell ref="C32:D32"/>
    <mergeCell ref="C29:D29"/>
    <mergeCell ref="C30:D30"/>
    <mergeCell ref="C27:D27"/>
    <mergeCell ref="C28:D28"/>
    <mergeCell ref="C25:D25"/>
    <mergeCell ref="C26:D26"/>
    <mergeCell ref="C23:D23"/>
    <mergeCell ref="C24:D24"/>
    <mergeCell ref="C41:D41"/>
    <mergeCell ref="C42:D42"/>
    <mergeCell ref="C39:D39"/>
    <mergeCell ref="C40:D40"/>
    <mergeCell ref="C37:D37"/>
    <mergeCell ref="C38:D38"/>
    <mergeCell ref="C35:D35"/>
    <mergeCell ref="C36:D36"/>
    <mergeCell ref="C33:D33"/>
    <mergeCell ref="C34:D34"/>
    <mergeCell ref="C52:D52"/>
    <mergeCell ref="C53:D53"/>
    <mergeCell ref="C49:D49"/>
    <mergeCell ref="C50:D50"/>
    <mergeCell ref="C46:D46"/>
    <mergeCell ref="C47:D47"/>
    <mergeCell ref="C48:D48"/>
    <mergeCell ref="C116:D116"/>
    <mergeCell ref="C43:D43"/>
    <mergeCell ref="C44:D44"/>
    <mergeCell ref="C61:D61"/>
    <mergeCell ref="C62:D62"/>
    <mergeCell ref="C59:D59"/>
    <mergeCell ref="C60:D60"/>
    <mergeCell ref="C57:D57"/>
    <mergeCell ref="C58:D58"/>
    <mergeCell ref="C56:D56"/>
    <mergeCell ref="C54:D54"/>
    <mergeCell ref="C55:D55"/>
    <mergeCell ref="C70:D70"/>
    <mergeCell ref="C71:D71"/>
    <mergeCell ref="C68:D68"/>
    <mergeCell ref="C69:D69"/>
    <mergeCell ref="C66:D66"/>
    <mergeCell ref="C67:D67"/>
    <mergeCell ref="C65:D65"/>
    <mergeCell ref="C63:D63"/>
    <mergeCell ref="C64:D64"/>
    <mergeCell ref="C79:D79"/>
    <mergeCell ref="C80:D80"/>
    <mergeCell ref="C81:D81"/>
    <mergeCell ref="C78:D78"/>
    <mergeCell ref="C76:D76"/>
    <mergeCell ref="C77:D77"/>
    <mergeCell ref="C74:D74"/>
    <mergeCell ref="C75:D75"/>
    <mergeCell ref="C72:D72"/>
    <mergeCell ref="C73:D73"/>
    <mergeCell ref="C90:D90"/>
    <mergeCell ref="C91:D91"/>
    <mergeCell ref="C88:D88"/>
    <mergeCell ref="C89:D89"/>
    <mergeCell ref="C86:D86"/>
    <mergeCell ref="C87:D87"/>
    <mergeCell ref="C84:D84"/>
    <mergeCell ref="C85:D85"/>
    <mergeCell ref="C82:D82"/>
    <mergeCell ref="C83:D83"/>
    <mergeCell ref="C100:D100"/>
    <mergeCell ref="C101:D101"/>
    <mergeCell ref="C98:D98"/>
    <mergeCell ref="C99:D99"/>
    <mergeCell ref="C96:D96"/>
    <mergeCell ref="C97:D97"/>
    <mergeCell ref="C94:D94"/>
    <mergeCell ref="C95:D95"/>
    <mergeCell ref="C92:D92"/>
    <mergeCell ref="C93:D93"/>
    <mergeCell ref="C110:D110"/>
    <mergeCell ref="C108:D108"/>
    <mergeCell ref="C109:D109"/>
    <mergeCell ref="C105:D105"/>
    <mergeCell ref="C107:D107"/>
    <mergeCell ref="C104:D104"/>
    <mergeCell ref="C106:D106"/>
    <mergeCell ref="C102:D102"/>
    <mergeCell ref="C103:D103"/>
  </mergeCells>
  <pageMargins left="0.7" right="0.7" top="0.75" bottom="0.75" header="0.3" footer="0.3"/>
  <pageSetup orientation="portrait" horizontalDpi="1200" verticalDpi="0" r:id="rId1"/>
  <headerFooter>
    <oddFooter>&amp;LDATA SOURCE:
CACTUS Database June 30, 2009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AM117"/>
  <sheetViews>
    <sheetView workbookViewId="0">
      <pane ySplit="6" topLeftCell="A7" activePane="bottomLeft" state="frozen"/>
      <selection pane="bottomLeft" sqref="A1:AM1"/>
    </sheetView>
  </sheetViews>
  <sheetFormatPr defaultRowHeight="15"/>
  <cols>
    <col min="2" max="2" width="26" bestFit="1" customWidth="1"/>
    <col min="3" max="3" width="12.140625" customWidth="1"/>
    <col min="4" max="4" width="10.5703125" customWidth="1"/>
    <col min="5" max="5" width="10" customWidth="1"/>
    <col min="6" max="6" width="11" customWidth="1"/>
    <col min="7" max="7" width="11.7109375" customWidth="1"/>
    <col min="8" max="8" width="11.85546875" customWidth="1"/>
    <col min="9" max="9" width="12.7109375" customWidth="1"/>
    <col min="10" max="10" width="10.7109375" customWidth="1"/>
    <col min="13" max="13" width="11.140625" customWidth="1"/>
    <col min="14" max="14" width="10.28515625" customWidth="1"/>
    <col min="15" max="15" width="10.42578125" customWidth="1"/>
    <col min="16" max="16" width="10.28515625" customWidth="1"/>
    <col min="17" max="17" width="10.42578125" customWidth="1"/>
    <col min="18" max="18" width="11.28515625" customWidth="1"/>
    <col min="19" max="19" width="13" customWidth="1"/>
    <col min="21" max="21" width="11.42578125" customWidth="1"/>
    <col min="22" max="22" width="11.85546875" customWidth="1"/>
    <col min="24" max="25" width="11.5703125" customWidth="1"/>
    <col min="28" max="28" width="10.140625" customWidth="1"/>
    <col min="31" max="31" width="10.7109375" customWidth="1"/>
    <col min="32" max="32" width="10.28515625" customWidth="1"/>
    <col min="33" max="33" width="8" customWidth="1"/>
    <col min="34" max="34" width="10.7109375" customWidth="1"/>
    <col min="35" max="35" width="9.140625" customWidth="1"/>
    <col min="36" max="36" width="12.5703125" customWidth="1"/>
    <col min="38" max="38" width="10.42578125" customWidth="1"/>
    <col min="39" max="39" width="12.28515625" customWidth="1"/>
    <col min="258" max="258" width="26" bestFit="1" customWidth="1"/>
    <col min="259" max="259" width="12.140625" customWidth="1"/>
    <col min="260" max="260" width="10.5703125" customWidth="1"/>
    <col min="261" max="261" width="10" customWidth="1"/>
    <col min="262" max="262" width="11" customWidth="1"/>
    <col min="263" max="263" width="11.7109375" customWidth="1"/>
    <col min="264" max="264" width="11.85546875" customWidth="1"/>
    <col min="265" max="265" width="12.7109375" customWidth="1"/>
    <col min="266" max="266" width="10.7109375" customWidth="1"/>
    <col min="269" max="269" width="11.140625" customWidth="1"/>
    <col min="270" max="270" width="10.28515625" customWidth="1"/>
    <col min="271" max="271" width="10.42578125" customWidth="1"/>
    <col min="272" max="272" width="10.28515625" customWidth="1"/>
    <col min="273" max="273" width="10.42578125" customWidth="1"/>
    <col min="274" max="274" width="11.28515625" customWidth="1"/>
    <col min="275" max="275" width="13" customWidth="1"/>
    <col min="277" max="277" width="11.42578125" customWidth="1"/>
    <col min="278" max="278" width="11.85546875" customWidth="1"/>
    <col min="280" max="281" width="11.5703125" customWidth="1"/>
    <col min="284" max="284" width="10.140625" customWidth="1"/>
    <col min="287" max="287" width="10.7109375" customWidth="1"/>
    <col min="288" max="288" width="10.28515625" customWidth="1"/>
    <col min="289" max="289" width="8" customWidth="1"/>
    <col min="290" max="290" width="10.7109375" customWidth="1"/>
    <col min="291" max="291" width="9.140625" customWidth="1"/>
    <col min="292" max="292" width="12.5703125" customWidth="1"/>
    <col min="294" max="294" width="10.42578125" customWidth="1"/>
    <col min="295" max="295" width="12.28515625" customWidth="1"/>
    <col min="514" max="514" width="26" bestFit="1" customWidth="1"/>
    <col min="515" max="515" width="12.140625" customWidth="1"/>
    <col min="516" max="516" width="10.5703125" customWidth="1"/>
    <col min="517" max="517" width="10" customWidth="1"/>
    <col min="518" max="518" width="11" customWidth="1"/>
    <col min="519" max="519" width="11.7109375" customWidth="1"/>
    <col min="520" max="520" width="11.85546875" customWidth="1"/>
    <col min="521" max="521" width="12.7109375" customWidth="1"/>
    <col min="522" max="522" width="10.7109375" customWidth="1"/>
    <col min="525" max="525" width="11.140625" customWidth="1"/>
    <col min="526" max="526" width="10.28515625" customWidth="1"/>
    <col min="527" max="527" width="10.42578125" customWidth="1"/>
    <col min="528" max="528" width="10.28515625" customWidth="1"/>
    <col min="529" max="529" width="10.42578125" customWidth="1"/>
    <col min="530" max="530" width="11.28515625" customWidth="1"/>
    <col min="531" max="531" width="13" customWidth="1"/>
    <col min="533" max="533" width="11.42578125" customWidth="1"/>
    <col min="534" max="534" width="11.85546875" customWidth="1"/>
    <col min="536" max="537" width="11.5703125" customWidth="1"/>
    <col min="540" max="540" width="10.140625" customWidth="1"/>
    <col min="543" max="543" width="10.7109375" customWidth="1"/>
    <col min="544" max="544" width="10.28515625" customWidth="1"/>
    <col min="545" max="545" width="8" customWidth="1"/>
    <col min="546" max="546" width="10.7109375" customWidth="1"/>
    <col min="547" max="547" width="9.140625" customWidth="1"/>
    <col min="548" max="548" width="12.5703125" customWidth="1"/>
    <col min="550" max="550" width="10.42578125" customWidth="1"/>
    <col min="551" max="551" width="12.28515625" customWidth="1"/>
    <col min="770" max="770" width="26" bestFit="1" customWidth="1"/>
    <col min="771" max="771" width="12.140625" customWidth="1"/>
    <col min="772" max="772" width="10.5703125" customWidth="1"/>
    <col min="773" max="773" width="10" customWidth="1"/>
    <col min="774" max="774" width="11" customWidth="1"/>
    <col min="775" max="775" width="11.7109375" customWidth="1"/>
    <col min="776" max="776" width="11.85546875" customWidth="1"/>
    <col min="777" max="777" width="12.7109375" customWidth="1"/>
    <col min="778" max="778" width="10.7109375" customWidth="1"/>
    <col min="781" max="781" width="11.140625" customWidth="1"/>
    <col min="782" max="782" width="10.28515625" customWidth="1"/>
    <col min="783" max="783" width="10.42578125" customWidth="1"/>
    <col min="784" max="784" width="10.28515625" customWidth="1"/>
    <col min="785" max="785" width="10.42578125" customWidth="1"/>
    <col min="786" max="786" width="11.28515625" customWidth="1"/>
    <col min="787" max="787" width="13" customWidth="1"/>
    <col min="789" max="789" width="11.42578125" customWidth="1"/>
    <col min="790" max="790" width="11.85546875" customWidth="1"/>
    <col min="792" max="793" width="11.5703125" customWidth="1"/>
    <col min="796" max="796" width="10.140625" customWidth="1"/>
    <col min="799" max="799" width="10.7109375" customWidth="1"/>
    <col min="800" max="800" width="10.28515625" customWidth="1"/>
    <col min="801" max="801" width="8" customWidth="1"/>
    <col min="802" max="802" width="10.7109375" customWidth="1"/>
    <col min="803" max="803" width="9.140625" customWidth="1"/>
    <col min="804" max="804" width="12.5703125" customWidth="1"/>
    <col min="806" max="806" width="10.42578125" customWidth="1"/>
    <col min="807" max="807" width="12.28515625" customWidth="1"/>
    <col min="1026" max="1026" width="26" bestFit="1" customWidth="1"/>
    <col min="1027" max="1027" width="12.140625" customWidth="1"/>
    <col min="1028" max="1028" width="10.5703125" customWidth="1"/>
    <col min="1029" max="1029" width="10" customWidth="1"/>
    <col min="1030" max="1030" width="11" customWidth="1"/>
    <col min="1031" max="1031" width="11.7109375" customWidth="1"/>
    <col min="1032" max="1032" width="11.85546875" customWidth="1"/>
    <col min="1033" max="1033" width="12.7109375" customWidth="1"/>
    <col min="1034" max="1034" width="10.7109375" customWidth="1"/>
    <col min="1037" max="1037" width="11.140625" customWidth="1"/>
    <col min="1038" max="1038" width="10.28515625" customWidth="1"/>
    <col min="1039" max="1039" width="10.42578125" customWidth="1"/>
    <col min="1040" max="1040" width="10.28515625" customWidth="1"/>
    <col min="1041" max="1041" width="10.42578125" customWidth="1"/>
    <col min="1042" max="1042" width="11.28515625" customWidth="1"/>
    <col min="1043" max="1043" width="13" customWidth="1"/>
    <col min="1045" max="1045" width="11.42578125" customWidth="1"/>
    <col min="1046" max="1046" width="11.85546875" customWidth="1"/>
    <col min="1048" max="1049" width="11.5703125" customWidth="1"/>
    <col min="1052" max="1052" width="10.140625" customWidth="1"/>
    <col min="1055" max="1055" width="10.7109375" customWidth="1"/>
    <col min="1056" max="1056" width="10.28515625" customWidth="1"/>
    <col min="1057" max="1057" width="8" customWidth="1"/>
    <col min="1058" max="1058" width="10.7109375" customWidth="1"/>
    <col min="1059" max="1059" width="9.140625" customWidth="1"/>
    <col min="1060" max="1060" width="12.5703125" customWidth="1"/>
    <col min="1062" max="1062" width="10.42578125" customWidth="1"/>
    <col min="1063" max="1063" width="12.28515625" customWidth="1"/>
    <col min="1282" max="1282" width="26" bestFit="1" customWidth="1"/>
    <col min="1283" max="1283" width="12.140625" customWidth="1"/>
    <col min="1284" max="1284" width="10.5703125" customWidth="1"/>
    <col min="1285" max="1285" width="10" customWidth="1"/>
    <col min="1286" max="1286" width="11" customWidth="1"/>
    <col min="1287" max="1287" width="11.7109375" customWidth="1"/>
    <col min="1288" max="1288" width="11.85546875" customWidth="1"/>
    <col min="1289" max="1289" width="12.7109375" customWidth="1"/>
    <col min="1290" max="1290" width="10.7109375" customWidth="1"/>
    <col min="1293" max="1293" width="11.140625" customWidth="1"/>
    <col min="1294" max="1294" width="10.28515625" customWidth="1"/>
    <col min="1295" max="1295" width="10.42578125" customWidth="1"/>
    <col min="1296" max="1296" width="10.28515625" customWidth="1"/>
    <col min="1297" max="1297" width="10.42578125" customWidth="1"/>
    <col min="1298" max="1298" width="11.28515625" customWidth="1"/>
    <col min="1299" max="1299" width="13" customWidth="1"/>
    <col min="1301" max="1301" width="11.42578125" customWidth="1"/>
    <col min="1302" max="1302" width="11.85546875" customWidth="1"/>
    <col min="1304" max="1305" width="11.5703125" customWidth="1"/>
    <col min="1308" max="1308" width="10.140625" customWidth="1"/>
    <col min="1311" max="1311" width="10.7109375" customWidth="1"/>
    <col min="1312" max="1312" width="10.28515625" customWidth="1"/>
    <col min="1313" max="1313" width="8" customWidth="1"/>
    <col min="1314" max="1314" width="10.7109375" customWidth="1"/>
    <col min="1315" max="1315" width="9.140625" customWidth="1"/>
    <col min="1316" max="1316" width="12.5703125" customWidth="1"/>
    <col min="1318" max="1318" width="10.42578125" customWidth="1"/>
    <col min="1319" max="1319" width="12.28515625" customWidth="1"/>
    <col min="1538" max="1538" width="26" bestFit="1" customWidth="1"/>
    <col min="1539" max="1539" width="12.140625" customWidth="1"/>
    <col min="1540" max="1540" width="10.5703125" customWidth="1"/>
    <col min="1541" max="1541" width="10" customWidth="1"/>
    <col min="1542" max="1542" width="11" customWidth="1"/>
    <col min="1543" max="1543" width="11.7109375" customWidth="1"/>
    <col min="1544" max="1544" width="11.85546875" customWidth="1"/>
    <col min="1545" max="1545" width="12.7109375" customWidth="1"/>
    <col min="1546" max="1546" width="10.7109375" customWidth="1"/>
    <col min="1549" max="1549" width="11.140625" customWidth="1"/>
    <col min="1550" max="1550" width="10.28515625" customWidth="1"/>
    <col min="1551" max="1551" width="10.42578125" customWidth="1"/>
    <col min="1552" max="1552" width="10.28515625" customWidth="1"/>
    <col min="1553" max="1553" width="10.42578125" customWidth="1"/>
    <col min="1554" max="1554" width="11.28515625" customWidth="1"/>
    <col min="1555" max="1555" width="13" customWidth="1"/>
    <col min="1557" max="1557" width="11.42578125" customWidth="1"/>
    <col min="1558" max="1558" width="11.85546875" customWidth="1"/>
    <col min="1560" max="1561" width="11.5703125" customWidth="1"/>
    <col min="1564" max="1564" width="10.140625" customWidth="1"/>
    <col min="1567" max="1567" width="10.7109375" customWidth="1"/>
    <col min="1568" max="1568" width="10.28515625" customWidth="1"/>
    <col min="1569" max="1569" width="8" customWidth="1"/>
    <col min="1570" max="1570" width="10.7109375" customWidth="1"/>
    <col min="1571" max="1571" width="9.140625" customWidth="1"/>
    <col min="1572" max="1572" width="12.5703125" customWidth="1"/>
    <col min="1574" max="1574" width="10.42578125" customWidth="1"/>
    <col min="1575" max="1575" width="12.28515625" customWidth="1"/>
    <col min="1794" max="1794" width="26" bestFit="1" customWidth="1"/>
    <col min="1795" max="1795" width="12.140625" customWidth="1"/>
    <col min="1796" max="1796" width="10.5703125" customWidth="1"/>
    <col min="1797" max="1797" width="10" customWidth="1"/>
    <col min="1798" max="1798" width="11" customWidth="1"/>
    <col min="1799" max="1799" width="11.7109375" customWidth="1"/>
    <col min="1800" max="1800" width="11.85546875" customWidth="1"/>
    <col min="1801" max="1801" width="12.7109375" customWidth="1"/>
    <col min="1802" max="1802" width="10.7109375" customWidth="1"/>
    <col min="1805" max="1805" width="11.140625" customWidth="1"/>
    <col min="1806" max="1806" width="10.28515625" customWidth="1"/>
    <col min="1807" max="1807" width="10.42578125" customWidth="1"/>
    <col min="1808" max="1808" width="10.28515625" customWidth="1"/>
    <col min="1809" max="1809" width="10.42578125" customWidth="1"/>
    <col min="1810" max="1810" width="11.28515625" customWidth="1"/>
    <col min="1811" max="1811" width="13" customWidth="1"/>
    <col min="1813" max="1813" width="11.42578125" customWidth="1"/>
    <col min="1814" max="1814" width="11.85546875" customWidth="1"/>
    <col min="1816" max="1817" width="11.5703125" customWidth="1"/>
    <col min="1820" max="1820" width="10.140625" customWidth="1"/>
    <col min="1823" max="1823" width="10.7109375" customWidth="1"/>
    <col min="1824" max="1824" width="10.28515625" customWidth="1"/>
    <col min="1825" max="1825" width="8" customWidth="1"/>
    <col min="1826" max="1826" width="10.7109375" customWidth="1"/>
    <col min="1827" max="1827" width="9.140625" customWidth="1"/>
    <col min="1828" max="1828" width="12.5703125" customWidth="1"/>
    <col min="1830" max="1830" width="10.42578125" customWidth="1"/>
    <col min="1831" max="1831" width="12.28515625" customWidth="1"/>
    <col min="2050" max="2050" width="26" bestFit="1" customWidth="1"/>
    <col min="2051" max="2051" width="12.140625" customWidth="1"/>
    <col min="2052" max="2052" width="10.5703125" customWidth="1"/>
    <col min="2053" max="2053" width="10" customWidth="1"/>
    <col min="2054" max="2054" width="11" customWidth="1"/>
    <col min="2055" max="2055" width="11.7109375" customWidth="1"/>
    <col min="2056" max="2056" width="11.85546875" customWidth="1"/>
    <col min="2057" max="2057" width="12.7109375" customWidth="1"/>
    <col min="2058" max="2058" width="10.7109375" customWidth="1"/>
    <col min="2061" max="2061" width="11.140625" customWidth="1"/>
    <col min="2062" max="2062" width="10.28515625" customWidth="1"/>
    <col min="2063" max="2063" width="10.42578125" customWidth="1"/>
    <col min="2064" max="2064" width="10.28515625" customWidth="1"/>
    <col min="2065" max="2065" width="10.42578125" customWidth="1"/>
    <col min="2066" max="2066" width="11.28515625" customWidth="1"/>
    <col min="2067" max="2067" width="13" customWidth="1"/>
    <col min="2069" max="2069" width="11.42578125" customWidth="1"/>
    <col min="2070" max="2070" width="11.85546875" customWidth="1"/>
    <col min="2072" max="2073" width="11.5703125" customWidth="1"/>
    <col min="2076" max="2076" width="10.140625" customWidth="1"/>
    <col min="2079" max="2079" width="10.7109375" customWidth="1"/>
    <col min="2080" max="2080" width="10.28515625" customWidth="1"/>
    <col min="2081" max="2081" width="8" customWidth="1"/>
    <col min="2082" max="2082" width="10.7109375" customWidth="1"/>
    <col min="2083" max="2083" width="9.140625" customWidth="1"/>
    <col min="2084" max="2084" width="12.5703125" customWidth="1"/>
    <col min="2086" max="2086" width="10.42578125" customWidth="1"/>
    <col min="2087" max="2087" width="12.28515625" customWidth="1"/>
    <col min="2306" max="2306" width="26" bestFit="1" customWidth="1"/>
    <col min="2307" max="2307" width="12.140625" customWidth="1"/>
    <col min="2308" max="2308" width="10.5703125" customWidth="1"/>
    <col min="2309" max="2309" width="10" customWidth="1"/>
    <col min="2310" max="2310" width="11" customWidth="1"/>
    <col min="2311" max="2311" width="11.7109375" customWidth="1"/>
    <col min="2312" max="2312" width="11.85546875" customWidth="1"/>
    <col min="2313" max="2313" width="12.7109375" customWidth="1"/>
    <col min="2314" max="2314" width="10.7109375" customWidth="1"/>
    <col min="2317" max="2317" width="11.140625" customWidth="1"/>
    <col min="2318" max="2318" width="10.28515625" customWidth="1"/>
    <col min="2319" max="2319" width="10.42578125" customWidth="1"/>
    <col min="2320" max="2320" width="10.28515625" customWidth="1"/>
    <col min="2321" max="2321" width="10.42578125" customWidth="1"/>
    <col min="2322" max="2322" width="11.28515625" customWidth="1"/>
    <col min="2323" max="2323" width="13" customWidth="1"/>
    <col min="2325" max="2325" width="11.42578125" customWidth="1"/>
    <col min="2326" max="2326" width="11.85546875" customWidth="1"/>
    <col min="2328" max="2329" width="11.5703125" customWidth="1"/>
    <col min="2332" max="2332" width="10.140625" customWidth="1"/>
    <col min="2335" max="2335" width="10.7109375" customWidth="1"/>
    <col min="2336" max="2336" width="10.28515625" customWidth="1"/>
    <col min="2337" max="2337" width="8" customWidth="1"/>
    <col min="2338" max="2338" width="10.7109375" customWidth="1"/>
    <col min="2339" max="2339" width="9.140625" customWidth="1"/>
    <col min="2340" max="2340" width="12.5703125" customWidth="1"/>
    <col min="2342" max="2342" width="10.42578125" customWidth="1"/>
    <col min="2343" max="2343" width="12.28515625" customWidth="1"/>
    <col min="2562" max="2562" width="26" bestFit="1" customWidth="1"/>
    <col min="2563" max="2563" width="12.140625" customWidth="1"/>
    <col min="2564" max="2564" width="10.5703125" customWidth="1"/>
    <col min="2565" max="2565" width="10" customWidth="1"/>
    <col min="2566" max="2566" width="11" customWidth="1"/>
    <col min="2567" max="2567" width="11.7109375" customWidth="1"/>
    <col min="2568" max="2568" width="11.85546875" customWidth="1"/>
    <col min="2569" max="2569" width="12.7109375" customWidth="1"/>
    <col min="2570" max="2570" width="10.7109375" customWidth="1"/>
    <col min="2573" max="2573" width="11.140625" customWidth="1"/>
    <col min="2574" max="2574" width="10.28515625" customWidth="1"/>
    <col min="2575" max="2575" width="10.42578125" customWidth="1"/>
    <col min="2576" max="2576" width="10.28515625" customWidth="1"/>
    <col min="2577" max="2577" width="10.42578125" customWidth="1"/>
    <col min="2578" max="2578" width="11.28515625" customWidth="1"/>
    <col min="2579" max="2579" width="13" customWidth="1"/>
    <col min="2581" max="2581" width="11.42578125" customWidth="1"/>
    <col min="2582" max="2582" width="11.85546875" customWidth="1"/>
    <col min="2584" max="2585" width="11.5703125" customWidth="1"/>
    <col min="2588" max="2588" width="10.140625" customWidth="1"/>
    <col min="2591" max="2591" width="10.7109375" customWidth="1"/>
    <col min="2592" max="2592" width="10.28515625" customWidth="1"/>
    <col min="2593" max="2593" width="8" customWidth="1"/>
    <col min="2594" max="2594" width="10.7109375" customWidth="1"/>
    <col min="2595" max="2595" width="9.140625" customWidth="1"/>
    <col min="2596" max="2596" width="12.5703125" customWidth="1"/>
    <col min="2598" max="2598" width="10.42578125" customWidth="1"/>
    <col min="2599" max="2599" width="12.28515625" customWidth="1"/>
    <col min="2818" max="2818" width="26" bestFit="1" customWidth="1"/>
    <col min="2819" max="2819" width="12.140625" customWidth="1"/>
    <col min="2820" max="2820" width="10.5703125" customWidth="1"/>
    <col min="2821" max="2821" width="10" customWidth="1"/>
    <col min="2822" max="2822" width="11" customWidth="1"/>
    <col min="2823" max="2823" width="11.7109375" customWidth="1"/>
    <col min="2824" max="2824" width="11.85546875" customWidth="1"/>
    <col min="2825" max="2825" width="12.7109375" customWidth="1"/>
    <col min="2826" max="2826" width="10.7109375" customWidth="1"/>
    <col min="2829" max="2829" width="11.140625" customWidth="1"/>
    <col min="2830" max="2830" width="10.28515625" customWidth="1"/>
    <col min="2831" max="2831" width="10.42578125" customWidth="1"/>
    <col min="2832" max="2832" width="10.28515625" customWidth="1"/>
    <col min="2833" max="2833" width="10.42578125" customWidth="1"/>
    <col min="2834" max="2834" width="11.28515625" customWidth="1"/>
    <col min="2835" max="2835" width="13" customWidth="1"/>
    <col min="2837" max="2837" width="11.42578125" customWidth="1"/>
    <col min="2838" max="2838" width="11.85546875" customWidth="1"/>
    <col min="2840" max="2841" width="11.5703125" customWidth="1"/>
    <col min="2844" max="2844" width="10.140625" customWidth="1"/>
    <col min="2847" max="2847" width="10.7109375" customWidth="1"/>
    <col min="2848" max="2848" width="10.28515625" customWidth="1"/>
    <col min="2849" max="2849" width="8" customWidth="1"/>
    <col min="2850" max="2850" width="10.7109375" customWidth="1"/>
    <col min="2851" max="2851" width="9.140625" customWidth="1"/>
    <col min="2852" max="2852" width="12.5703125" customWidth="1"/>
    <col min="2854" max="2854" width="10.42578125" customWidth="1"/>
    <col min="2855" max="2855" width="12.28515625" customWidth="1"/>
    <col min="3074" max="3074" width="26" bestFit="1" customWidth="1"/>
    <col min="3075" max="3075" width="12.140625" customWidth="1"/>
    <col min="3076" max="3076" width="10.5703125" customWidth="1"/>
    <col min="3077" max="3077" width="10" customWidth="1"/>
    <col min="3078" max="3078" width="11" customWidth="1"/>
    <col min="3079" max="3079" width="11.7109375" customWidth="1"/>
    <col min="3080" max="3080" width="11.85546875" customWidth="1"/>
    <col min="3081" max="3081" width="12.7109375" customWidth="1"/>
    <col min="3082" max="3082" width="10.7109375" customWidth="1"/>
    <col min="3085" max="3085" width="11.140625" customWidth="1"/>
    <col min="3086" max="3086" width="10.28515625" customWidth="1"/>
    <col min="3087" max="3087" width="10.42578125" customWidth="1"/>
    <col min="3088" max="3088" width="10.28515625" customWidth="1"/>
    <col min="3089" max="3089" width="10.42578125" customWidth="1"/>
    <col min="3090" max="3090" width="11.28515625" customWidth="1"/>
    <col min="3091" max="3091" width="13" customWidth="1"/>
    <col min="3093" max="3093" width="11.42578125" customWidth="1"/>
    <col min="3094" max="3094" width="11.85546875" customWidth="1"/>
    <col min="3096" max="3097" width="11.5703125" customWidth="1"/>
    <col min="3100" max="3100" width="10.140625" customWidth="1"/>
    <col min="3103" max="3103" width="10.7109375" customWidth="1"/>
    <col min="3104" max="3104" width="10.28515625" customWidth="1"/>
    <col min="3105" max="3105" width="8" customWidth="1"/>
    <col min="3106" max="3106" width="10.7109375" customWidth="1"/>
    <col min="3107" max="3107" width="9.140625" customWidth="1"/>
    <col min="3108" max="3108" width="12.5703125" customWidth="1"/>
    <col min="3110" max="3110" width="10.42578125" customWidth="1"/>
    <col min="3111" max="3111" width="12.28515625" customWidth="1"/>
    <col min="3330" max="3330" width="26" bestFit="1" customWidth="1"/>
    <col min="3331" max="3331" width="12.140625" customWidth="1"/>
    <col min="3332" max="3332" width="10.5703125" customWidth="1"/>
    <col min="3333" max="3333" width="10" customWidth="1"/>
    <col min="3334" max="3334" width="11" customWidth="1"/>
    <col min="3335" max="3335" width="11.7109375" customWidth="1"/>
    <col min="3336" max="3336" width="11.85546875" customWidth="1"/>
    <col min="3337" max="3337" width="12.7109375" customWidth="1"/>
    <col min="3338" max="3338" width="10.7109375" customWidth="1"/>
    <col min="3341" max="3341" width="11.140625" customWidth="1"/>
    <col min="3342" max="3342" width="10.28515625" customWidth="1"/>
    <col min="3343" max="3343" width="10.42578125" customWidth="1"/>
    <col min="3344" max="3344" width="10.28515625" customWidth="1"/>
    <col min="3345" max="3345" width="10.42578125" customWidth="1"/>
    <col min="3346" max="3346" width="11.28515625" customWidth="1"/>
    <col min="3347" max="3347" width="13" customWidth="1"/>
    <col min="3349" max="3349" width="11.42578125" customWidth="1"/>
    <col min="3350" max="3350" width="11.85546875" customWidth="1"/>
    <col min="3352" max="3353" width="11.5703125" customWidth="1"/>
    <col min="3356" max="3356" width="10.140625" customWidth="1"/>
    <col min="3359" max="3359" width="10.7109375" customWidth="1"/>
    <col min="3360" max="3360" width="10.28515625" customWidth="1"/>
    <col min="3361" max="3361" width="8" customWidth="1"/>
    <col min="3362" max="3362" width="10.7109375" customWidth="1"/>
    <col min="3363" max="3363" width="9.140625" customWidth="1"/>
    <col min="3364" max="3364" width="12.5703125" customWidth="1"/>
    <col min="3366" max="3366" width="10.42578125" customWidth="1"/>
    <col min="3367" max="3367" width="12.28515625" customWidth="1"/>
    <col min="3586" max="3586" width="26" bestFit="1" customWidth="1"/>
    <col min="3587" max="3587" width="12.140625" customWidth="1"/>
    <col min="3588" max="3588" width="10.5703125" customWidth="1"/>
    <col min="3589" max="3589" width="10" customWidth="1"/>
    <col min="3590" max="3590" width="11" customWidth="1"/>
    <col min="3591" max="3591" width="11.7109375" customWidth="1"/>
    <col min="3592" max="3592" width="11.85546875" customWidth="1"/>
    <col min="3593" max="3593" width="12.7109375" customWidth="1"/>
    <col min="3594" max="3594" width="10.7109375" customWidth="1"/>
    <col min="3597" max="3597" width="11.140625" customWidth="1"/>
    <col min="3598" max="3598" width="10.28515625" customWidth="1"/>
    <col min="3599" max="3599" width="10.42578125" customWidth="1"/>
    <col min="3600" max="3600" width="10.28515625" customWidth="1"/>
    <col min="3601" max="3601" width="10.42578125" customWidth="1"/>
    <col min="3602" max="3602" width="11.28515625" customWidth="1"/>
    <col min="3603" max="3603" width="13" customWidth="1"/>
    <col min="3605" max="3605" width="11.42578125" customWidth="1"/>
    <col min="3606" max="3606" width="11.85546875" customWidth="1"/>
    <col min="3608" max="3609" width="11.5703125" customWidth="1"/>
    <col min="3612" max="3612" width="10.140625" customWidth="1"/>
    <col min="3615" max="3615" width="10.7109375" customWidth="1"/>
    <col min="3616" max="3616" width="10.28515625" customWidth="1"/>
    <col min="3617" max="3617" width="8" customWidth="1"/>
    <col min="3618" max="3618" width="10.7109375" customWidth="1"/>
    <col min="3619" max="3619" width="9.140625" customWidth="1"/>
    <col min="3620" max="3620" width="12.5703125" customWidth="1"/>
    <col min="3622" max="3622" width="10.42578125" customWidth="1"/>
    <col min="3623" max="3623" width="12.28515625" customWidth="1"/>
    <col min="3842" max="3842" width="26" bestFit="1" customWidth="1"/>
    <col min="3843" max="3843" width="12.140625" customWidth="1"/>
    <col min="3844" max="3844" width="10.5703125" customWidth="1"/>
    <col min="3845" max="3845" width="10" customWidth="1"/>
    <col min="3846" max="3846" width="11" customWidth="1"/>
    <col min="3847" max="3847" width="11.7109375" customWidth="1"/>
    <col min="3848" max="3848" width="11.85546875" customWidth="1"/>
    <col min="3849" max="3849" width="12.7109375" customWidth="1"/>
    <col min="3850" max="3850" width="10.7109375" customWidth="1"/>
    <col min="3853" max="3853" width="11.140625" customWidth="1"/>
    <col min="3854" max="3854" width="10.28515625" customWidth="1"/>
    <col min="3855" max="3855" width="10.42578125" customWidth="1"/>
    <col min="3856" max="3856" width="10.28515625" customWidth="1"/>
    <col min="3857" max="3857" width="10.42578125" customWidth="1"/>
    <col min="3858" max="3858" width="11.28515625" customWidth="1"/>
    <col min="3859" max="3859" width="13" customWidth="1"/>
    <col min="3861" max="3861" width="11.42578125" customWidth="1"/>
    <col min="3862" max="3862" width="11.85546875" customWidth="1"/>
    <col min="3864" max="3865" width="11.5703125" customWidth="1"/>
    <col min="3868" max="3868" width="10.140625" customWidth="1"/>
    <col min="3871" max="3871" width="10.7109375" customWidth="1"/>
    <col min="3872" max="3872" width="10.28515625" customWidth="1"/>
    <col min="3873" max="3873" width="8" customWidth="1"/>
    <col min="3874" max="3874" width="10.7109375" customWidth="1"/>
    <col min="3875" max="3875" width="9.140625" customWidth="1"/>
    <col min="3876" max="3876" width="12.5703125" customWidth="1"/>
    <col min="3878" max="3878" width="10.42578125" customWidth="1"/>
    <col min="3879" max="3879" width="12.28515625" customWidth="1"/>
    <col min="4098" max="4098" width="26" bestFit="1" customWidth="1"/>
    <col min="4099" max="4099" width="12.140625" customWidth="1"/>
    <col min="4100" max="4100" width="10.5703125" customWidth="1"/>
    <col min="4101" max="4101" width="10" customWidth="1"/>
    <col min="4102" max="4102" width="11" customWidth="1"/>
    <col min="4103" max="4103" width="11.7109375" customWidth="1"/>
    <col min="4104" max="4104" width="11.85546875" customWidth="1"/>
    <col min="4105" max="4105" width="12.7109375" customWidth="1"/>
    <col min="4106" max="4106" width="10.7109375" customWidth="1"/>
    <col min="4109" max="4109" width="11.140625" customWidth="1"/>
    <col min="4110" max="4110" width="10.28515625" customWidth="1"/>
    <col min="4111" max="4111" width="10.42578125" customWidth="1"/>
    <col min="4112" max="4112" width="10.28515625" customWidth="1"/>
    <col min="4113" max="4113" width="10.42578125" customWidth="1"/>
    <col min="4114" max="4114" width="11.28515625" customWidth="1"/>
    <col min="4115" max="4115" width="13" customWidth="1"/>
    <col min="4117" max="4117" width="11.42578125" customWidth="1"/>
    <col min="4118" max="4118" width="11.85546875" customWidth="1"/>
    <col min="4120" max="4121" width="11.5703125" customWidth="1"/>
    <col min="4124" max="4124" width="10.140625" customWidth="1"/>
    <col min="4127" max="4127" width="10.7109375" customWidth="1"/>
    <col min="4128" max="4128" width="10.28515625" customWidth="1"/>
    <col min="4129" max="4129" width="8" customWidth="1"/>
    <col min="4130" max="4130" width="10.7109375" customWidth="1"/>
    <col min="4131" max="4131" width="9.140625" customWidth="1"/>
    <col min="4132" max="4132" width="12.5703125" customWidth="1"/>
    <col min="4134" max="4134" width="10.42578125" customWidth="1"/>
    <col min="4135" max="4135" width="12.28515625" customWidth="1"/>
    <col min="4354" max="4354" width="26" bestFit="1" customWidth="1"/>
    <col min="4355" max="4355" width="12.140625" customWidth="1"/>
    <col min="4356" max="4356" width="10.5703125" customWidth="1"/>
    <col min="4357" max="4357" width="10" customWidth="1"/>
    <col min="4358" max="4358" width="11" customWidth="1"/>
    <col min="4359" max="4359" width="11.7109375" customWidth="1"/>
    <col min="4360" max="4360" width="11.85546875" customWidth="1"/>
    <col min="4361" max="4361" width="12.7109375" customWidth="1"/>
    <col min="4362" max="4362" width="10.7109375" customWidth="1"/>
    <col min="4365" max="4365" width="11.140625" customWidth="1"/>
    <col min="4366" max="4366" width="10.28515625" customWidth="1"/>
    <col min="4367" max="4367" width="10.42578125" customWidth="1"/>
    <col min="4368" max="4368" width="10.28515625" customWidth="1"/>
    <col min="4369" max="4369" width="10.42578125" customWidth="1"/>
    <col min="4370" max="4370" width="11.28515625" customWidth="1"/>
    <col min="4371" max="4371" width="13" customWidth="1"/>
    <col min="4373" max="4373" width="11.42578125" customWidth="1"/>
    <col min="4374" max="4374" width="11.85546875" customWidth="1"/>
    <col min="4376" max="4377" width="11.5703125" customWidth="1"/>
    <col min="4380" max="4380" width="10.140625" customWidth="1"/>
    <col min="4383" max="4383" width="10.7109375" customWidth="1"/>
    <col min="4384" max="4384" width="10.28515625" customWidth="1"/>
    <col min="4385" max="4385" width="8" customWidth="1"/>
    <col min="4386" max="4386" width="10.7109375" customWidth="1"/>
    <col min="4387" max="4387" width="9.140625" customWidth="1"/>
    <col min="4388" max="4388" width="12.5703125" customWidth="1"/>
    <col min="4390" max="4390" width="10.42578125" customWidth="1"/>
    <col min="4391" max="4391" width="12.28515625" customWidth="1"/>
    <col min="4610" max="4610" width="26" bestFit="1" customWidth="1"/>
    <col min="4611" max="4611" width="12.140625" customWidth="1"/>
    <col min="4612" max="4612" width="10.5703125" customWidth="1"/>
    <col min="4613" max="4613" width="10" customWidth="1"/>
    <col min="4614" max="4614" width="11" customWidth="1"/>
    <col min="4615" max="4615" width="11.7109375" customWidth="1"/>
    <col min="4616" max="4616" width="11.85546875" customWidth="1"/>
    <col min="4617" max="4617" width="12.7109375" customWidth="1"/>
    <col min="4618" max="4618" width="10.7109375" customWidth="1"/>
    <col min="4621" max="4621" width="11.140625" customWidth="1"/>
    <col min="4622" max="4622" width="10.28515625" customWidth="1"/>
    <col min="4623" max="4623" width="10.42578125" customWidth="1"/>
    <col min="4624" max="4624" width="10.28515625" customWidth="1"/>
    <col min="4625" max="4625" width="10.42578125" customWidth="1"/>
    <col min="4626" max="4626" width="11.28515625" customWidth="1"/>
    <col min="4627" max="4627" width="13" customWidth="1"/>
    <col min="4629" max="4629" width="11.42578125" customWidth="1"/>
    <col min="4630" max="4630" width="11.85546875" customWidth="1"/>
    <col min="4632" max="4633" width="11.5703125" customWidth="1"/>
    <col min="4636" max="4636" width="10.140625" customWidth="1"/>
    <col min="4639" max="4639" width="10.7109375" customWidth="1"/>
    <col min="4640" max="4640" width="10.28515625" customWidth="1"/>
    <col min="4641" max="4641" width="8" customWidth="1"/>
    <col min="4642" max="4642" width="10.7109375" customWidth="1"/>
    <col min="4643" max="4643" width="9.140625" customWidth="1"/>
    <col min="4644" max="4644" width="12.5703125" customWidth="1"/>
    <col min="4646" max="4646" width="10.42578125" customWidth="1"/>
    <col min="4647" max="4647" width="12.28515625" customWidth="1"/>
    <col min="4866" max="4866" width="26" bestFit="1" customWidth="1"/>
    <col min="4867" max="4867" width="12.140625" customWidth="1"/>
    <col min="4868" max="4868" width="10.5703125" customWidth="1"/>
    <col min="4869" max="4869" width="10" customWidth="1"/>
    <col min="4870" max="4870" width="11" customWidth="1"/>
    <col min="4871" max="4871" width="11.7109375" customWidth="1"/>
    <col min="4872" max="4872" width="11.85546875" customWidth="1"/>
    <col min="4873" max="4873" width="12.7109375" customWidth="1"/>
    <col min="4874" max="4874" width="10.7109375" customWidth="1"/>
    <col min="4877" max="4877" width="11.140625" customWidth="1"/>
    <col min="4878" max="4878" width="10.28515625" customWidth="1"/>
    <col min="4879" max="4879" width="10.42578125" customWidth="1"/>
    <col min="4880" max="4880" width="10.28515625" customWidth="1"/>
    <col min="4881" max="4881" width="10.42578125" customWidth="1"/>
    <col min="4882" max="4882" width="11.28515625" customWidth="1"/>
    <col min="4883" max="4883" width="13" customWidth="1"/>
    <col min="4885" max="4885" width="11.42578125" customWidth="1"/>
    <col min="4886" max="4886" width="11.85546875" customWidth="1"/>
    <col min="4888" max="4889" width="11.5703125" customWidth="1"/>
    <col min="4892" max="4892" width="10.140625" customWidth="1"/>
    <col min="4895" max="4895" width="10.7109375" customWidth="1"/>
    <col min="4896" max="4896" width="10.28515625" customWidth="1"/>
    <col min="4897" max="4897" width="8" customWidth="1"/>
    <col min="4898" max="4898" width="10.7109375" customWidth="1"/>
    <col min="4899" max="4899" width="9.140625" customWidth="1"/>
    <col min="4900" max="4900" width="12.5703125" customWidth="1"/>
    <col min="4902" max="4902" width="10.42578125" customWidth="1"/>
    <col min="4903" max="4903" width="12.28515625" customWidth="1"/>
    <col min="5122" max="5122" width="26" bestFit="1" customWidth="1"/>
    <col min="5123" max="5123" width="12.140625" customWidth="1"/>
    <col min="5124" max="5124" width="10.5703125" customWidth="1"/>
    <col min="5125" max="5125" width="10" customWidth="1"/>
    <col min="5126" max="5126" width="11" customWidth="1"/>
    <col min="5127" max="5127" width="11.7109375" customWidth="1"/>
    <col min="5128" max="5128" width="11.85546875" customWidth="1"/>
    <col min="5129" max="5129" width="12.7109375" customWidth="1"/>
    <col min="5130" max="5130" width="10.7109375" customWidth="1"/>
    <col min="5133" max="5133" width="11.140625" customWidth="1"/>
    <col min="5134" max="5134" width="10.28515625" customWidth="1"/>
    <col min="5135" max="5135" width="10.42578125" customWidth="1"/>
    <col min="5136" max="5136" width="10.28515625" customWidth="1"/>
    <col min="5137" max="5137" width="10.42578125" customWidth="1"/>
    <col min="5138" max="5138" width="11.28515625" customWidth="1"/>
    <col min="5139" max="5139" width="13" customWidth="1"/>
    <col min="5141" max="5141" width="11.42578125" customWidth="1"/>
    <col min="5142" max="5142" width="11.85546875" customWidth="1"/>
    <col min="5144" max="5145" width="11.5703125" customWidth="1"/>
    <col min="5148" max="5148" width="10.140625" customWidth="1"/>
    <col min="5151" max="5151" width="10.7109375" customWidth="1"/>
    <col min="5152" max="5152" width="10.28515625" customWidth="1"/>
    <col min="5153" max="5153" width="8" customWidth="1"/>
    <col min="5154" max="5154" width="10.7109375" customWidth="1"/>
    <col min="5155" max="5155" width="9.140625" customWidth="1"/>
    <col min="5156" max="5156" width="12.5703125" customWidth="1"/>
    <col min="5158" max="5158" width="10.42578125" customWidth="1"/>
    <col min="5159" max="5159" width="12.28515625" customWidth="1"/>
    <col min="5378" max="5378" width="26" bestFit="1" customWidth="1"/>
    <col min="5379" max="5379" width="12.140625" customWidth="1"/>
    <col min="5380" max="5380" width="10.5703125" customWidth="1"/>
    <col min="5381" max="5381" width="10" customWidth="1"/>
    <col min="5382" max="5382" width="11" customWidth="1"/>
    <col min="5383" max="5383" width="11.7109375" customWidth="1"/>
    <col min="5384" max="5384" width="11.85546875" customWidth="1"/>
    <col min="5385" max="5385" width="12.7109375" customWidth="1"/>
    <col min="5386" max="5386" width="10.7109375" customWidth="1"/>
    <col min="5389" max="5389" width="11.140625" customWidth="1"/>
    <col min="5390" max="5390" width="10.28515625" customWidth="1"/>
    <col min="5391" max="5391" width="10.42578125" customWidth="1"/>
    <col min="5392" max="5392" width="10.28515625" customWidth="1"/>
    <col min="5393" max="5393" width="10.42578125" customWidth="1"/>
    <col min="5394" max="5394" width="11.28515625" customWidth="1"/>
    <col min="5395" max="5395" width="13" customWidth="1"/>
    <col min="5397" max="5397" width="11.42578125" customWidth="1"/>
    <col min="5398" max="5398" width="11.85546875" customWidth="1"/>
    <col min="5400" max="5401" width="11.5703125" customWidth="1"/>
    <col min="5404" max="5404" width="10.140625" customWidth="1"/>
    <col min="5407" max="5407" width="10.7109375" customWidth="1"/>
    <col min="5408" max="5408" width="10.28515625" customWidth="1"/>
    <col min="5409" max="5409" width="8" customWidth="1"/>
    <col min="5410" max="5410" width="10.7109375" customWidth="1"/>
    <col min="5411" max="5411" width="9.140625" customWidth="1"/>
    <col min="5412" max="5412" width="12.5703125" customWidth="1"/>
    <col min="5414" max="5414" width="10.42578125" customWidth="1"/>
    <col min="5415" max="5415" width="12.28515625" customWidth="1"/>
    <col min="5634" max="5634" width="26" bestFit="1" customWidth="1"/>
    <col min="5635" max="5635" width="12.140625" customWidth="1"/>
    <col min="5636" max="5636" width="10.5703125" customWidth="1"/>
    <col min="5637" max="5637" width="10" customWidth="1"/>
    <col min="5638" max="5638" width="11" customWidth="1"/>
    <col min="5639" max="5639" width="11.7109375" customWidth="1"/>
    <col min="5640" max="5640" width="11.85546875" customWidth="1"/>
    <col min="5641" max="5641" width="12.7109375" customWidth="1"/>
    <col min="5642" max="5642" width="10.7109375" customWidth="1"/>
    <col min="5645" max="5645" width="11.140625" customWidth="1"/>
    <col min="5646" max="5646" width="10.28515625" customWidth="1"/>
    <col min="5647" max="5647" width="10.42578125" customWidth="1"/>
    <col min="5648" max="5648" width="10.28515625" customWidth="1"/>
    <col min="5649" max="5649" width="10.42578125" customWidth="1"/>
    <col min="5650" max="5650" width="11.28515625" customWidth="1"/>
    <col min="5651" max="5651" width="13" customWidth="1"/>
    <col min="5653" max="5653" width="11.42578125" customWidth="1"/>
    <col min="5654" max="5654" width="11.85546875" customWidth="1"/>
    <col min="5656" max="5657" width="11.5703125" customWidth="1"/>
    <col min="5660" max="5660" width="10.140625" customWidth="1"/>
    <col min="5663" max="5663" width="10.7109375" customWidth="1"/>
    <col min="5664" max="5664" width="10.28515625" customWidth="1"/>
    <col min="5665" max="5665" width="8" customWidth="1"/>
    <col min="5666" max="5666" width="10.7109375" customWidth="1"/>
    <col min="5667" max="5667" width="9.140625" customWidth="1"/>
    <col min="5668" max="5668" width="12.5703125" customWidth="1"/>
    <col min="5670" max="5670" width="10.42578125" customWidth="1"/>
    <col min="5671" max="5671" width="12.28515625" customWidth="1"/>
    <col min="5890" max="5890" width="26" bestFit="1" customWidth="1"/>
    <col min="5891" max="5891" width="12.140625" customWidth="1"/>
    <col min="5892" max="5892" width="10.5703125" customWidth="1"/>
    <col min="5893" max="5893" width="10" customWidth="1"/>
    <col min="5894" max="5894" width="11" customWidth="1"/>
    <col min="5895" max="5895" width="11.7109375" customWidth="1"/>
    <col min="5896" max="5896" width="11.85546875" customWidth="1"/>
    <col min="5897" max="5897" width="12.7109375" customWidth="1"/>
    <col min="5898" max="5898" width="10.7109375" customWidth="1"/>
    <col min="5901" max="5901" width="11.140625" customWidth="1"/>
    <col min="5902" max="5902" width="10.28515625" customWidth="1"/>
    <col min="5903" max="5903" width="10.42578125" customWidth="1"/>
    <col min="5904" max="5904" width="10.28515625" customWidth="1"/>
    <col min="5905" max="5905" width="10.42578125" customWidth="1"/>
    <col min="5906" max="5906" width="11.28515625" customWidth="1"/>
    <col min="5907" max="5907" width="13" customWidth="1"/>
    <col min="5909" max="5909" width="11.42578125" customWidth="1"/>
    <col min="5910" max="5910" width="11.85546875" customWidth="1"/>
    <col min="5912" max="5913" width="11.5703125" customWidth="1"/>
    <col min="5916" max="5916" width="10.140625" customWidth="1"/>
    <col min="5919" max="5919" width="10.7109375" customWidth="1"/>
    <col min="5920" max="5920" width="10.28515625" customWidth="1"/>
    <col min="5921" max="5921" width="8" customWidth="1"/>
    <col min="5922" max="5922" width="10.7109375" customWidth="1"/>
    <col min="5923" max="5923" width="9.140625" customWidth="1"/>
    <col min="5924" max="5924" width="12.5703125" customWidth="1"/>
    <col min="5926" max="5926" width="10.42578125" customWidth="1"/>
    <col min="5927" max="5927" width="12.28515625" customWidth="1"/>
    <col min="6146" max="6146" width="26" bestFit="1" customWidth="1"/>
    <col min="6147" max="6147" width="12.140625" customWidth="1"/>
    <col min="6148" max="6148" width="10.5703125" customWidth="1"/>
    <col min="6149" max="6149" width="10" customWidth="1"/>
    <col min="6150" max="6150" width="11" customWidth="1"/>
    <col min="6151" max="6151" width="11.7109375" customWidth="1"/>
    <col min="6152" max="6152" width="11.85546875" customWidth="1"/>
    <col min="6153" max="6153" width="12.7109375" customWidth="1"/>
    <col min="6154" max="6154" width="10.7109375" customWidth="1"/>
    <col min="6157" max="6157" width="11.140625" customWidth="1"/>
    <col min="6158" max="6158" width="10.28515625" customWidth="1"/>
    <col min="6159" max="6159" width="10.42578125" customWidth="1"/>
    <col min="6160" max="6160" width="10.28515625" customWidth="1"/>
    <col min="6161" max="6161" width="10.42578125" customWidth="1"/>
    <col min="6162" max="6162" width="11.28515625" customWidth="1"/>
    <col min="6163" max="6163" width="13" customWidth="1"/>
    <col min="6165" max="6165" width="11.42578125" customWidth="1"/>
    <col min="6166" max="6166" width="11.85546875" customWidth="1"/>
    <col min="6168" max="6169" width="11.5703125" customWidth="1"/>
    <col min="6172" max="6172" width="10.140625" customWidth="1"/>
    <col min="6175" max="6175" width="10.7109375" customWidth="1"/>
    <col min="6176" max="6176" width="10.28515625" customWidth="1"/>
    <col min="6177" max="6177" width="8" customWidth="1"/>
    <col min="6178" max="6178" width="10.7109375" customWidth="1"/>
    <col min="6179" max="6179" width="9.140625" customWidth="1"/>
    <col min="6180" max="6180" width="12.5703125" customWidth="1"/>
    <col min="6182" max="6182" width="10.42578125" customWidth="1"/>
    <col min="6183" max="6183" width="12.28515625" customWidth="1"/>
    <col min="6402" max="6402" width="26" bestFit="1" customWidth="1"/>
    <col min="6403" max="6403" width="12.140625" customWidth="1"/>
    <col min="6404" max="6404" width="10.5703125" customWidth="1"/>
    <col min="6405" max="6405" width="10" customWidth="1"/>
    <col min="6406" max="6406" width="11" customWidth="1"/>
    <col min="6407" max="6407" width="11.7109375" customWidth="1"/>
    <col min="6408" max="6408" width="11.85546875" customWidth="1"/>
    <col min="6409" max="6409" width="12.7109375" customWidth="1"/>
    <col min="6410" max="6410" width="10.7109375" customWidth="1"/>
    <col min="6413" max="6413" width="11.140625" customWidth="1"/>
    <col min="6414" max="6414" width="10.28515625" customWidth="1"/>
    <col min="6415" max="6415" width="10.42578125" customWidth="1"/>
    <col min="6416" max="6416" width="10.28515625" customWidth="1"/>
    <col min="6417" max="6417" width="10.42578125" customWidth="1"/>
    <col min="6418" max="6418" width="11.28515625" customWidth="1"/>
    <col min="6419" max="6419" width="13" customWidth="1"/>
    <col min="6421" max="6421" width="11.42578125" customWidth="1"/>
    <col min="6422" max="6422" width="11.85546875" customWidth="1"/>
    <col min="6424" max="6425" width="11.5703125" customWidth="1"/>
    <col min="6428" max="6428" width="10.140625" customWidth="1"/>
    <col min="6431" max="6431" width="10.7109375" customWidth="1"/>
    <col min="6432" max="6432" width="10.28515625" customWidth="1"/>
    <col min="6433" max="6433" width="8" customWidth="1"/>
    <col min="6434" max="6434" width="10.7109375" customWidth="1"/>
    <col min="6435" max="6435" width="9.140625" customWidth="1"/>
    <col min="6436" max="6436" width="12.5703125" customWidth="1"/>
    <col min="6438" max="6438" width="10.42578125" customWidth="1"/>
    <col min="6439" max="6439" width="12.28515625" customWidth="1"/>
    <col min="6658" max="6658" width="26" bestFit="1" customWidth="1"/>
    <col min="6659" max="6659" width="12.140625" customWidth="1"/>
    <col min="6660" max="6660" width="10.5703125" customWidth="1"/>
    <col min="6661" max="6661" width="10" customWidth="1"/>
    <col min="6662" max="6662" width="11" customWidth="1"/>
    <col min="6663" max="6663" width="11.7109375" customWidth="1"/>
    <col min="6664" max="6664" width="11.85546875" customWidth="1"/>
    <col min="6665" max="6665" width="12.7109375" customWidth="1"/>
    <col min="6666" max="6666" width="10.7109375" customWidth="1"/>
    <col min="6669" max="6669" width="11.140625" customWidth="1"/>
    <col min="6670" max="6670" width="10.28515625" customWidth="1"/>
    <col min="6671" max="6671" width="10.42578125" customWidth="1"/>
    <col min="6672" max="6672" width="10.28515625" customWidth="1"/>
    <col min="6673" max="6673" width="10.42578125" customWidth="1"/>
    <col min="6674" max="6674" width="11.28515625" customWidth="1"/>
    <col min="6675" max="6675" width="13" customWidth="1"/>
    <col min="6677" max="6677" width="11.42578125" customWidth="1"/>
    <col min="6678" max="6678" width="11.85546875" customWidth="1"/>
    <col min="6680" max="6681" width="11.5703125" customWidth="1"/>
    <col min="6684" max="6684" width="10.140625" customWidth="1"/>
    <col min="6687" max="6687" width="10.7109375" customWidth="1"/>
    <col min="6688" max="6688" width="10.28515625" customWidth="1"/>
    <col min="6689" max="6689" width="8" customWidth="1"/>
    <col min="6690" max="6690" width="10.7109375" customWidth="1"/>
    <col min="6691" max="6691" width="9.140625" customWidth="1"/>
    <col min="6692" max="6692" width="12.5703125" customWidth="1"/>
    <col min="6694" max="6694" width="10.42578125" customWidth="1"/>
    <col min="6695" max="6695" width="12.28515625" customWidth="1"/>
    <col min="6914" max="6914" width="26" bestFit="1" customWidth="1"/>
    <col min="6915" max="6915" width="12.140625" customWidth="1"/>
    <col min="6916" max="6916" width="10.5703125" customWidth="1"/>
    <col min="6917" max="6917" width="10" customWidth="1"/>
    <col min="6918" max="6918" width="11" customWidth="1"/>
    <col min="6919" max="6919" width="11.7109375" customWidth="1"/>
    <col min="6920" max="6920" width="11.85546875" customWidth="1"/>
    <col min="6921" max="6921" width="12.7109375" customWidth="1"/>
    <col min="6922" max="6922" width="10.7109375" customWidth="1"/>
    <col min="6925" max="6925" width="11.140625" customWidth="1"/>
    <col min="6926" max="6926" width="10.28515625" customWidth="1"/>
    <col min="6927" max="6927" width="10.42578125" customWidth="1"/>
    <col min="6928" max="6928" width="10.28515625" customWidth="1"/>
    <col min="6929" max="6929" width="10.42578125" customWidth="1"/>
    <col min="6930" max="6930" width="11.28515625" customWidth="1"/>
    <col min="6931" max="6931" width="13" customWidth="1"/>
    <col min="6933" max="6933" width="11.42578125" customWidth="1"/>
    <col min="6934" max="6934" width="11.85546875" customWidth="1"/>
    <col min="6936" max="6937" width="11.5703125" customWidth="1"/>
    <col min="6940" max="6940" width="10.140625" customWidth="1"/>
    <col min="6943" max="6943" width="10.7109375" customWidth="1"/>
    <col min="6944" max="6944" width="10.28515625" customWidth="1"/>
    <col min="6945" max="6945" width="8" customWidth="1"/>
    <col min="6946" max="6946" width="10.7109375" customWidth="1"/>
    <col min="6947" max="6947" width="9.140625" customWidth="1"/>
    <col min="6948" max="6948" width="12.5703125" customWidth="1"/>
    <col min="6950" max="6950" width="10.42578125" customWidth="1"/>
    <col min="6951" max="6951" width="12.28515625" customWidth="1"/>
    <col min="7170" max="7170" width="26" bestFit="1" customWidth="1"/>
    <col min="7171" max="7171" width="12.140625" customWidth="1"/>
    <col min="7172" max="7172" width="10.5703125" customWidth="1"/>
    <col min="7173" max="7173" width="10" customWidth="1"/>
    <col min="7174" max="7174" width="11" customWidth="1"/>
    <col min="7175" max="7175" width="11.7109375" customWidth="1"/>
    <col min="7176" max="7176" width="11.85546875" customWidth="1"/>
    <col min="7177" max="7177" width="12.7109375" customWidth="1"/>
    <col min="7178" max="7178" width="10.7109375" customWidth="1"/>
    <col min="7181" max="7181" width="11.140625" customWidth="1"/>
    <col min="7182" max="7182" width="10.28515625" customWidth="1"/>
    <col min="7183" max="7183" width="10.42578125" customWidth="1"/>
    <col min="7184" max="7184" width="10.28515625" customWidth="1"/>
    <col min="7185" max="7185" width="10.42578125" customWidth="1"/>
    <col min="7186" max="7186" width="11.28515625" customWidth="1"/>
    <col min="7187" max="7187" width="13" customWidth="1"/>
    <col min="7189" max="7189" width="11.42578125" customWidth="1"/>
    <col min="7190" max="7190" width="11.85546875" customWidth="1"/>
    <col min="7192" max="7193" width="11.5703125" customWidth="1"/>
    <col min="7196" max="7196" width="10.140625" customWidth="1"/>
    <col min="7199" max="7199" width="10.7109375" customWidth="1"/>
    <col min="7200" max="7200" width="10.28515625" customWidth="1"/>
    <col min="7201" max="7201" width="8" customWidth="1"/>
    <col min="7202" max="7202" width="10.7109375" customWidth="1"/>
    <col min="7203" max="7203" width="9.140625" customWidth="1"/>
    <col min="7204" max="7204" width="12.5703125" customWidth="1"/>
    <col min="7206" max="7206" width="10.42578125" customWidth="1"/>
    <col min="7207" max="7207" width="12.28515625" customWidth="1"/>
    <col min="7426" max="7426" width="26" bestFit="1" customWidth="1"/>
    <col min="7427" max="7427" width="12.140625" customWidth="1"/>
    <col min="7428" max="7428" width="10.5703125" customWidth="1"/>
    <col min="7429" max="7429" width="10" customWidth="1"/>
    <col min="7430" max="7430" width="11" customWidth="1"/>
    <col min="7431" max="7431" width="11.7109375" customWidth="1"/>
    <col min="7432" max="7432" width="11.85546875" customWidth="1"/>
    <col min="7433" max="7433" width="12.7109375" customWidth="1"/>
    <col min="7434" max="7434" width="10.7109375" customWidth="1"/>
    <col min="7437" max="7437" width="11.140625" customWidth="1"/>
    <col min="7438" max="7438" width="10.28515625" customWidth="1"/>
    <col min="7439" max="7439" width="10.42578125" customWidth="1"/>
    <col min="7440" max="7440" width="10.28515625" customWidth="1"/>
    <col min="7441" max="7441" width="10.42578125" customWidth="1"/>
    <col min="7442" max="7442" width="11.28515625" customWidth="1"/>
    <col min="7443" max="7443" width="13" customWidth="1"/>
    <col min="7445" max="7445" width="11.42578125" customWidth="1"/>
    <col min="7446" max="7446" width="11.85546875" customWidth="1"/>
    <col min="7448" max="7449" width="11.5703125" customWidth="1"/>
    <col min="7452" max="7452" width="10.140625" customWidth="1"/>
    <col min="7455" max="7455" width="10.7109375" customWidth="1"/>
    <col min="7456" max="7456" width="10.28515625" customWidth="1"/>
    <col min="7457" max="7457" width="8" customWidth="1"/>
    <col min="7458" max="7458" width="10.7109375" customWidth="1"/>
    <col min="7459" max="7459" width="9.140625" customWidth="1"/>
    <col min="7460" max="7460" width="12.5703125" customWidth="1"/>
    <col min="7462" max="7462" width="10.42578125" customWidth="1"/>
    <col min="7463" max="7463" width="12.28515625" customWidth="1"/>
    <col min="7682" max="7682" width="26" bestFit="1" customWidth="1"/>
    <col min="7683" max="7683" width="12.140625" customWidth="1"/>
    <col min="7684" max="7684" width="10.5703125" customWidth="1"/>
    <col min="7685" max="7685" width="10" customWidth="1"/>
    <col min="7686" max="7686" width="11" customWidth="1"/>
    <col min="7687" max="7687" width="11.7109375" customWidth="1"/>
    <col min="7688" max="7688" width="11.85546875" customWidth="1"/>
    <col min="7689" max="7689" width="12.7109375" customWidth="1"/>
    <col min="7690" max="7690" width="10.7109375" customWidth="1"/>
    <col min="7693" max="7693" width="11.140625" customWidth="1"/>
    <col min="7694" max="7694" width="10.28515625" customWidth="1"/>
    <col min="7695" max="7695" width="10.42578125" customWidth="1"/>
    <col min="7696" max="7696" width="10.28515625" customWidth="1"/>
    <col min="7697" max="7697" width="10.42578125" customWidth="1"/>
    <col min="7698" max="7698" width="11.28515625" customWidth="1"/>
    <col min="7699" max="7699" width="13" customWidth="1"/>
    <col min="7701" max="7701" width="11.42578125" customWidth="1"/>
    <col min="7702" max="7702" width="11.85546875" customWidth="1"/>
    <col min="7704" max="7705" width="11.5703125" customWidth="1"/>
    <col min="7708" max="7708" width="10.140625" customWidth="1"/>
    <col min="7711" max="7711" width="10.7109375" customWidth="1"/>
    <col min="7712" max="7712" width="10.28515625" customWidth="1"/>
    <col min="7713" max="7713" width="8" customWidth="1"/>
    <col min="7714" max="7714" width="10.7109375" customWidth="1"/>
    <col min="7715" max="7715" width="9.140625" customWidth="1"/>
    <col min="7716" max="7716" width="12.5703125" customWidth="1"/>
    <col min="7718" max="7718" width="10.42578125" customWidth="1"/>
    <col min="7719" max="7719" width="12.28515625" customWidth="1"/>
    <col min="7938" max="7938" width="26" bestFit="1" customWidth="1"/>
    <col min="7939" max="7939" width="12.140625" customWidth="1"/>
    <col min="7940" max="7940" width="10.5703125" customWidth="1"/>
    <col min="7941" max="7941" width="10" customWidth="1"/>
    <col min="7942" max="7942" width="11" customWidth="1"/>
    <col min="7943" max="7943" width="11.7109375" customWidth="1"/>
    <col min="7944" max="7944" width="11.85546875" customWidth="1"/>
    <col min="7945" max="7945" width="12.7109375" customWidth="1"/>
    <col min="7946" max="7946" width="10.7109375" customWidth="1"/>
    <col min="7949" max="7949" width="11.140625" customWidth="1"/>
    <col min="7950" max="7950" width="10.28515625" customWidth="1"/>
    <col min="7951" max="7951" width="10.42578125" customWidth="1"/>
    <col min="7952" max="7952" width="10.28515625" customWidth="1"/>
    <col min="7953" max="7953" width="10.42578125" customWidth="1"/>
    <col min="7954" max="7954" width="11.28515625" customWidth="1"/>
    <col min="7955" max="7955" width="13" customWidth="1"/>
    <col min="7957" max="7957" width="11.42578125" customWidth="1"/>
    <col min="7958" max="7958" width="11.85546875" customWidth="1"/>
    <col min="7960" max="7961" width="11.5703125" customWidth="1"/>
    <col min="7964" max="7964" width="10.140625" customWidth="1"/>
    <col min="7967" max="7967" width="10.7109375" customWidth="1"/>
    <col min="7968" max="7968" width="10.28515625" customWidth="1"/>
    <col min="7969" max="7969" width="8" customWidth="1"/>
    <col min="7970" max="7970" width="10.7109375" customWidth="1"/>
    <col min="7971" max="7971" width="9.140625" customWidth="1"/>
    <col min="7972" max="7972" width="12.5703125" customWidth="1"/>
    <col min="7974" max="7974" width="10.42578125" customWidth="1"/>
    <col min="7975" max="7975" width="12.28515625" customWidth="1"/>
    <col min="8194" max="8194" width="26" bestFit="1" customWidth="1"/>
    <col min="8195" max="8195" width="12.140625" customWidth="1"/>
    <col min="8196" max="8196" width="10.5703125" customWidth="1"/>
    <col min="8197" max="8197" width="10" customWidth="1"/>
    <col min="8198" max="8198" width="11" customWidth="1"/>
    <col min="8199" max="8199" width="11.7109375" customWidth="1"/>
    <col min="8200" max="8200" width="11.85546875" customWidth="1"/>
    <col min="8201" max="8201" width="12.7109375" customWidth="1"/>
    <col min="8202" max="8202" width="10.7109375" customWidth="1"/>
    <col min="8205" max="8205" width="11.140625" customWidth="1"/>
    <col min="8206" max="8206" width="10.28515625" customWidth="1"/>
    <col min="8207" max="8207" width="10.42578125" customWidth="1"/>
    <col min="8208" max="8208" width="10.28515625" customWidth="1"/>
    <col min="8209" max="8209" width="10.42578125" customWidth="1"/>
    <col min="8210" max="8210" width="11.28515625" customWidth="1"/>
    <col min="8211" max="8211" width="13" customWidth="1"/>
    <col min="8213" max="8213" width="11.42578125" customWidth="1"/>
    <col min="8214" max="8214" width="11.85546875" customWidth="1"/>
    <col min="8216" max="8217" width="11.5703125" customWidth="1"/>
    <col min="8220" max="8220" width="10.140625" customWidth="1"/>
    <col min="8223" max="8223" width="10.7109375" customWidth="1"/>
    <col min="8224" max="8224" width="10.28515625" customWidth="1"/>
    <col min="8225" max="8225" width="8" customWidth="1"/>
    <col min="8226" max="8226" width="10.7109375" customWidth="1"/>
    <col min="8227" max="8227" width="9.140625" customWidth="1"/>
    <col min="8228" max="8228" width="12.5703125" customWidth="1"/>
    <col min="8230" max="8230" width="10.42578125" customWidth="1"/>
    <col min="8231" max="8231" width="12.28515625" customWidth="1"/>
    <col min="8450" max="8450" width="26" bestFit="1" customWidth="1"/>
    <col min="8451" max="8451" width="12.140625" customWidth="1"/>
    <col min="8452" max="8452" width="10.5703125" customWidth="1"/>
    <col min="8453" max="8453" width="10" customWidth="1"/>
    <col min="8454" max="8454" width="11" customWidth="1"/>
    <col min="8455" max="8455" width="11.7109375" customWidth="1"/>
    <col min="8456" max="8456" width="11.85546875" customWidth="1"/>
    <col min="8457" max="8457" width="12.7109375" customWidth="1"/>
    <col min="8458" max="8458" width="10.7109375" customWidth="1"/>
    <col min="8461" max="8461" width="11.140625" customWidth="1"/>
    <col min="8462" max="8462" width="10.28515625" customWidth="1"/>
    <col min="8463" max="8463" width="10.42578125" customWidth="1"/>
    <col min="8464" max="8464" width="10.28515625" customWidth="1"/>
    <col min="8465" max="8465" width="10.42578125" customWidth="1"/>
    <col min="8466" max="8466" width="11.28515625" customWidth="1"/>
    <col min="8467" max="8467" width="13" customWidth="1"/>
    <col min="8469" max="8469" width="11.42578125" customWidth="1"/>
    <col min="8470" max="8470" width="11.85546875" customWidth="1"/>
    <col min="8472" max="8473" width="11.5703125" customWidth="1"/>
    <col min="8476" max="8476" width="10.140625" customWidth="1"/>
    <col min="8479" max="8479" width="10.7109375" customWidth="1"/>
    <col min="8480" max="8480" width="10.28515625" customWidth="1"/>
    <col min="8481" max="8481" width="8" customWidth="1"/>
    <col min="8482" max="8482" width="10.7109375" customWidth="1"/>
    <col min="8483" max="8483" width="9.140625" customWidth="1"/>
    <col min="8484" max="8484" width="12.5703125" customWidth="1"/>
    <col min="8486" max="8486" width="10.42578125" customWidth="1"/>
    <col min="8487" max="8487" width="12.28515625" customWidth="1"/>
    <col min="8706" max="8706" width="26" bestFit="1" customWidth="1"/>
    <col min="8707" max="8707" width="12.140625" customWidth="1"/>
    <col min="8708" max="8708" width="10.5703125" customWidth="1"/>
    <col min="8709" max="8709" width="10" customWidth="1"/>
    <col min="8710" max="8710" width="11" customWidth="1"/>
    <col min="8711" max="8711" width="11.7109375" customWidth="1"/>
    <col min="8712" max="8712" width="11.85546875" customWidth="1"/>
    <col min="8713" max="8713" width="12.7109375" customWidth="1"/>
    <col min="8714" max="8714" width="10.7109375" customWidth="1"/>
    <col min="8717" max="8717" width="11.140625" customWidth="1"/>
    <col min="8718" max="8718" width="10.28515625" customWidth="1"/>
    <col min="8719" max="8719" width="10.42578125" customWidth="1"/>
    <col min="8720" max="8720" width="10.28515625" customWidth="1"/>
    <col min="8721" max="8721" width="10.42578125" customWidth="1"/>
    <col min="8722" max="8722" width="11.28515625" customWidth="1"/>
    <col min="8723" max="8723" width="13" customWidth="1"/>
    <col min="8725" max="8725" width="11.42578125" customWidth="1"/>
    <col min="8726" max="8726" width="11.85546875" customWidth="1"/>
    <col min="8728" max="8729" width="11.5703125" customWidth="1"/>
    <col min="8732" max="8732" width="10.140625" customWidth="1"/>
    <col min="8735" max="8735" width="10.7109375" customWidth="1"/>
    <col min="8736" max="8736" width="10.28515625" customWidth="1"/>
    <col min="8737" max="8737" width="8" customWidth="1"/>
    <col min="8738" max="8738" width="10.7109375" customWidth="1"/>
    <col min="8739" max="8739" width="9.140625" customWidth="1"/>
    <col min="8740" max="8740" width="12.5703125" customWidth="1"/>
    <col min="8742" max="8742" width="10.42578125" customWidth="1"/>
    <col min="8743" max="8743" width="12.28515625" customWidth="1"/>
    <col min="8962" max="8962" width="26" bestFit="1" customWidth="1"/>
    <col min="8963" max="8963" width="12.140625" customWidth="1"/>
    <col min="8964" max="8964" width="10.5703125" customWidth="1"/>
    <col min="8965" max="8965" width="10" customWidth="1"/>
    <col min="8966" max="8966" width="11" customWidth="1"/>
    <col min="8967" max="8967" width="11.7109375" customWidth="1"/>
    <col min="8968" max="8968" width="11.85546875" customWidth="1"/>
    <col min="8969" max="8969" width="12.7109375" customWidth="1"/>
    <col min="8970" max="8970" width="10.7109375" customWidth="1"/>
    <col min="8973" max="8973" width="11.140625" customWidth="1"/>
    <col min="8974" max="8974" width="10.28515625" customWidth="1"/>
    <col min="8975" max="8975" width="10.42578125" customWidth="1"/>
    <col min="8976" max="8976" width="10.28515625" customWidth="1"/>
    <col min="8977" max="8977" width="10.42578125" customWidth="1"/>
    <col min="8978" max="8978" width="11.28515625" customWidth="1"/>
    <col min="8979" max="8979" width="13" customWidth="1"/>
    <col min="8981" max="8981" width="11.42578125" customWidth="1"/>
    <col min="8982" max="8982" width="11.85546875" customWidth="1"/>
    <col min="8984" max="8985" width="11.5703125" customWidth="1"/>
    <col min="8988" max="8988" width="10.140625" customWidth="1"/>
    <col min="8991" max="8991" width="10.7109375" customWidth="1"/>
    <col min="8992" max="8992" width="10.28515625" customWidth="1"/>
    <col min="8993" max="8993" width="8" customWidth="1"/>
    <col min="8994" max="8994" width="10.7109375" customWidth="1"/>
    <col min="8995" max="8995" width="9.140625" customWidth="1"/>
    <col min="8996" max="8996" width="12.5703125" customWidth="1"/>
    <col min="8998" max="8998" width="10.42578125" customWidth="1"/>
    <col min="8999" max="8999" width="12.28515625" customWidth="1"/>
    <col min="9218" max="9218" width="26" bestFit="1" customWidth="1"/>
    <col min="9219" max="9219" width="12.140625" customWidth="1"/>
    <col min="9220" max="9220" width="10.5703125" customWidth="1"/>
    <col min="9221" max="9221" width="10" customWidth="1"/>
    <col min="9222" max="9222" width="11" customWidth="1"/>
    <col min="9223" max="9223" width="11.7109375" customWidth="1"/>
    <col min="9224" max="9224" width="11.85546875" customWidth="1"/>
    <col min="9225" max="9225" width="12.7109375" customWidth="1"/>
    <col min="9226" max="9226" width="10.7109375" customWidth="1"/>
    <col min="9229" max="9229" width="11.140625" customWidth="1"/>
    <col min="9230" max="9230" width="10.28515625" customWidth="1"/>
    <col min="9231" max="9231" width="10.42578125" customWidth="1"/>
    <col min="9232" max="9232" width="10.28515625" customWidth="1"/>
    <col min="9233" max="9233" width="10.42578125" customWidth="1"/>
    <col min="9234" max="9234" width="11.28515625" customWidth="1"/>
    <col min="9235" max="9235" width="13" customWidth="1"/>
    <col min="9237" max="9237" width="11.42578125" customWidth="1"/>
    <col min="9238" max="9238" width="11.85546875" customWidth="1"/>
    <col min="9240" max="9241" width="11.5703125" customWidth="1"/>
    <col min="9244" max="9244" width="10.140625" customWidth="1"/>
    <col min="9247" max="9247" width="10.7109375" customWidth="1"/>
    <col min="9248" max="9248" width="10.28515625" customWidth="1"/>
    <col min="9249" max="9249" width="8" customWidth="1"/>
    <col min="9250" max="9250" width="10.7109375" customWidth="1"/>
    <col min="9251" max="9251" width="9.140625" customWidth="1"/>
    <col min="9252" max="9252" width="12.5703125" customWidth="1"/>
    <col min="9254" max="9254" width="10.42578125" customWidth="1"/>
    <col min="9255" max="9255" width="12.28515625" customWidth="1"/>
    <col min="9474" max="9474" width="26" bestFit="1" customWidth="1"/>
    <col min="9475" max="9475" width="12.140625" customWidth="1"/>
    <col min="9476" max="9476" width="10.5703125" customWidth="1"/>
    <col min="9477" max="9477" width="10" customWidth="1"/>
    <col min="9478" max="9478" width="11" customWidth="1"/>
    <col min="9479" max="9479" width="11.7109375" customWidth="1"/>
    <col min="9480" max="9480" width="11.85546875" customWidth="1"/>
    <col min="9481" max="9481" width="12.7109375" customWidth="1"/>
    <col min="9482" max="9482" width="10.7109375" customWidth="1"/>
    <col min="9485" max="9485" width="11.140625" customWidth="1"/>
    <col min="9486" max="9486" width="10.28515625" customWidth="1"/>
    <col min="9487" max="9487" width="10.42578125" customWidth="1"/>
    <col min="9488" max="9488" width="10.28515625" customWidth="1"/>
    <col min="9489" max="9489" width="10.42578125" customWidth="1"/>
    <col min="9490" max="9490" width="11.28515625" customWidth="1"/>
    <col min="9491" max="9491" width="13" customWidth="1"/>
    <col min="9493" max="9493" width="11.42578125" customWidth="1"/>
    <col min="9494" max="9494" width="11.85546875" customWidth="1"/>
    <col min="9496" max="9497" width="11.5703125" customWidth="1"/>
    <col min="9500" max="9500" width="10.140625" customWidth="1"/>
    <col min="9503" max="9503" width="10.7109375" customWidth="1"/>
    <col min="9504" max="9504" width="10.28515625" customWidth="1"/>
    <col min="9505" max="9505" width="8" customWidth="1"/>
    <col min="9506" max="9506" width="10.7109375" customWidth="1"/>
    <col min="9507" max="9507" width="9.140625" customWidth="1"/>
    <col min="9508" max="9508" width="12.5703125" customWidth="1"/>
    <col min="9510" max="9510" width="10.42578125" customWidth="1"/>
    <col min="9511" max="9511" width="12.28515625" customWidth="1"/>
    <col min="9730" max="9730" width="26" bestFit="1" customWidth="1"/>
    <col min="9731" max="9731" width="12.140625" customWidth="1"/>
    <col min="9732" max="9732" width="10.5703125" customWidth="1"/>
    <col min="9733" max="9733" width="10" customWidth="1"/>
    <col min="9734" max="9734" width="11" customWidth="1"/>
    <col min="9735" max="9735" width="11.7109375" customWidth="1"/>
    <col min="9736" max="9736" width="11.85546875" customWidth="1"/>
    <col min="9737" max="9737" width="12.7109375" customWidth="1"/>
    <col min="9738" max="9738" width="10.7109375" customWidth="1"/>
    <col min="9741" max="9741" width="11.140625" customWidth="1"/>
    <col min="9742" max="9742" width="10.28515625" customWidth="1"/>
    <col min="9743" max="9743" width="10.42578125" customWidth="1"/>
    <col min="9744" max="9744" width="10.28515625" customWidth="1"/>
    <col min="9745" max="9745" width="10.42578125" customWidth="1"/>
    <col min="9746" max="9746" width="11.28515625" customWidth="1"/>
    <col min="9747" max="9747" width="13" customWidth="1"/>
    <col min="9749" max="9749" width="11.42578125" customWidth="1"/>
    <col min="9750" max="9750" width="11.85546875" customWidth="1"/>
    <col min="9752" max="9753" width="11.5703125" customWidth="1"/>
    <col min="9756" max="9756" width="10.140625" customWidth="1"/>
    <col min="9759" max="9759" width="10.7109375" customWidth="1"/>
    <col min="9760" max="9760" width="10.28515625" customWidth="1"/>
    <col min="9761" max="9761" width="8" customWidth="1"/>
    <col min="9762" max="9762" width="10.7109375" customWidth="1"/>
    <col min="9763" max="9763" width="9.140625" customWidth="1"/>
    <col min="9764" max="9764" width="12.5703125" customWidth="1"/>
    <col min="9766" max="9766" width="10.42578125" customWidth="1"/>
    <col min="9767" max="9767" width="12.28515625" customWidth="1"/>
    <col min="9986" max="9986" width="26" bestFit="1" customWidth="1"/>
    <col min="9987" max="9987" width="12.140625" customWidth="1"/>
    <col min="9988" max="9988" width="10.5703125" customWidth="1"/>
    <col min="9989" max="9989" width="10" customWidth="1"/>
    <col min="9990" max="9990" width="11" customWidth="1"/>
    <col min="9991" max="9991" width="11.7109375" customWidth="1"/>
    <col min="9992" max="9992" width="11.85546875" customWidth="1"/>
    <col min="9993" max="9993" width="12.7109375" customWidth="1"/>
    <col min="9994" max="9994" width="10.7109375" customWidth="1"/>
    <col min="9997" max="9997" width="11.140625" customWidth="1"/>
    <col min="9998" max="9998" width="10.28515625" customWidth="1"/>
    <col min="9999" max="9999" width="10.42578125" customWidth="1"/>
    <col min="10000" max="10000" width="10.28515625" customWidth="1"/>
    <col min="10001" max="10001" width="10.42578125" customWidth="1"/>
    <col min="10002" max="10002" width="11.28515625" customWidth="1"/>
    <col min="10003" max="10003" width="13" customWidth="1"/>
    <col min="10005" max="10005" width="11.42578125" customWidth="1"/>
    <col min="10006" max="10006" width="11.85546875" customWidth="1"/>
    <col min="10008" max="10009" width="11.5703125" customWidth="1"/>
    <col min="10012" max="10012" width="10.140625" customWidth="1"/>
    <col min="10015" max="10015" width="10.7109375" customWidth="1"/>
    <col min="10016" max="10016" width="10.28515625" customWidth="1"/>
    <col min="10017" max="10017" width="8" customWidth="1"/>
    <col min="10018" max="10018" width="10.7109375" customWidth="1"/>
    <col min="10019" max="10019" width="9.140625" customWidth="1"/>
    <col min="10020" max="10020" width="12.5703125" customWidth="1"/>
    <col min="10022" max="10022" width="10.42578125" customWidth="1"/>
    <col min="10023" max="10023" width="12.28515625" customWidth="1"/>
    <col min="10242" max="10242" width="26" bestFit="1" customWidth="1"/>
    <col min="10243" max="10243" width="12.140625" customWidth="1"/>
    <col min="10244" max="10244" width="10.5703125" customWidth="1"/>
    <col min="10245" max="10245" width="10" customWidth="1"/>
    <col min="10246" max="10246" width="11" customWidth="1"/>
    <col min="10247" max="10247" width="11.7109375" customWidth="1"/>
    <col min="10248" max="10248" width="11.85546875" customWidth="1"/>
    <col min="10249" max="10249" width="12.7109375" customWidth="1"/>
    <col min="10250" max="10250" width="10.7109375" customWidth="1"/>
    <col min="10253" max="10253" width="11.140625" customWidth="1"/>
    <col min="10254" max="10254" width="10.28515625" customWidth="1"/>
    <col min="10255" max="10255" width="10.42578125" customWidth="1"/>
    <col min="10256" max="10256" width="10.28515625" customWidth="1"/>
    <col min="10257" max="10257" width="10.42578125" customWidth="1"/>
    <col min="10258" max="10258" width="11.28515625" customWidth="1"/>
    <col min="10259" max="10259" width="13" customWidth="1"/>
    <col min="10261" max="10261" width="11.42578125" customWidth="1"/>
    <col min="10262" max="10262" width="11.85546875" customWidth="1"/>
    <col min="10264" max="10265" width="11.5703125" customWidth="1"/>
    <col min="10268" max="10268" width="10.140625" customWidth="1"/>
    <col min="10271" max="10271" width="10.7109375" customWidth="1"/>
    <col min="10272" max="10272" width="10.28515625" customWidth="1"/>
    <col min="10273" max="10273" width="8" customWidth="1"/>
    <col min="10274" max="10274" width="10.7109375" customWidth="1"/>
    <col min="10275" max="10275" width="9.140625" customWidth="1"/>
    <col min="10276" max="10276" width="12.5703125" customWidth="1"/>
    <col min="10278" max="10278" width="10.42578125" customWidth="1"/>
    <col min="10279" max="10279" width="12.28515625" customWidth="1"/>
    <col min="10498" max="10498" width="26" bestFit="1" customWidth="1"/>
    <col min="10499" max="10499" width="12.140625" customWidth="1"/>
    <col min="10500" max="10500" width="10.5703125" customWidth="1"/>
    <col min="10501" max="10501" width="10" customWidth="1"/>
    <col min="10502" max="10502" width="11" customWidth="1"/>
    <col min="10503" max="10503" width="11.7109375" customWidth="1"/>
    <col min="10504" max="10504" width="11.85546875" customWidth="1"/>
    <col min="10505" max="10505" width="12.7109375" customWidth="1"/>
    <col min="10506" max="10506" width="10.7109375" customWidth="1"/>
    <col min="10509" max="10509" width="11.140625" customWidth="1"/>
    <col min="10510" max="10510" width="10.28515625" customWidth="1"/>
    <col min="10511" max="10511" width="10.42578125" customWidth="1"/>
    <col min="10512" max="10512" width="10.28515625" customWidth="1"/>
    <col min="10513" max="10513" width="10.42578125" customWidth="1"/>
    <col min="10514" max="10514" width="11.28515625" customWidth="1"/>
    <col min="10515" max="10515" width="13" customWidth="1"/>
    <col min="10517" max="10517" width="11.42578125" customWidth="1"/>
    <col min="10518" max="10518" width="11.85546875" customWidth="1"/>
    <col min="10520" max="10521" width="11.5703125" customWidth="1"/>
    <col min="10524" max="10524" width="10.140625" customWidth="1"/>
    <col min="10527" max="10527" width="10.7109375" customWidth="1"/>
    <col min="10528" max="10528" width="10.28515625" customWidth="1"/>
    <col min="10529" max="10529" width="8" customWidth="1"/>
    <col min="10530" max="10530" width="10.7109375" customWidth="1"/>
    <col min="10531" max="10531" width="9.140625" customWidth="1"/>
    <col min="10532" max="10532" width="12.5703125" customWidth="1"/>
    <col min="10534" max="10534" width="10.42578125" customWidth="1"/>
    <col min="10535" max="10535" width="12.28515625" customWidth="1"/>
    <col min="10754" max="10754" width="26" bestFit="1" customWidth="1"/>
    <col min="10755" max="10755" width="12.140625" customWidth="1"/>
    <col min="10756" max="10756" width="10.5703125" customWidth="1"/>
    <col min="10757" max="10757" width="10" customWidth="1"/>
    <col min="10758" max="10758" width="11" customWidth="1"/>
    <col min="10759" max="10759" width="11.7109375" customWidth="1"/>
    <col min="10760" max="10760" width="11.85546875" customWidth="1"/>
    <col min="10761" max="10761" width="12.7109375" customWidth="1"/>
    <col min="10762" max="10762" width="10.7109375" customWidth="1"/>
    <col min="10765" max="10765" width="11.140625" customWidth="1"/>
    <col min="10766" max="10766" width="10.28515625" customWidth="1"/>
    <col min="10767" max="10767" width="10.42578125" customWidth="1"/>
    <col min="10768" max="10768" width="10.28515625" customWidth="1"/>
    <col min="10769" max="10769" width="10.42578125" customWidth="1"/>
    <col min="10770" max="10770" width="11.28515625" customWidth="1"/>
    <col min="10771" max="10771" width="13" customWidth="1"/>
    <col min="10773" max="10773" width="11.42578125" customWidth="1"/>
    <col min="10774" max="10774" width="11.85546875" customWidth="1"/>
    <col min="10776" max="10777" width="11.5703125" customWidth="1"/>
    <col min="10780" max="10780" width="10.140625" customWidth="1"/>
    <col min="10783" max="10783" width="10.7109375" customWidth="1"/>
    <col min="10784" max="10784" width="10.28515625" customWidth="1"/>
    <col min="10785" max="10785" width="8" customWidth="1"/>
    <col min="10786" max="10786" width="10.7109375" customWidth="1"/>
    <col min="10787" max="10787" width="9.140625" customWidth="1"/>
    <col min="10788" max="10788" width="12.5703125" customWidth="1"/>
    <col min="10790" max="10790" width="10.42578125" customWidth="1"/>
    <col min="10791" max="10791" width="12.28515625" customWidth="1"/>
    <col min="11010" max="11010" width="26" bestFit="1" customWidth="1"/>
    <col min="11011" max="11011" width="12.140625" customWidth="1"/>
    <col min="11012" max="11012" width="10.5703125" customWidth="1"/>
    <col min="11013" max="11013" width="10" customWidth="1"/>
    <col min="11014" max="11014" width="11" customWidth="1"/>
    <col min="11015" max="11015" width="11.7109375" customWidth="1"/>
    <col min="11016" max="11016" width="11.85546875" customWidth="1"/>
    <col min="11017" max="11017" width="12.7109375" customWidth="1"/>
    <col min="11018" max="11018" width="10.7109375" customWidth="1"/>
    <col min="11021" max="11021" width="11.140625" customWidth="1"/>
    <col min="11022" max="11022" width="10.28515625" customWidth="1"/>
    <col min="11023" max="11023" width="10.42578125" customWidth="1"/>
    <col min="11024" max="11024" width="10.28515625" customWidth="1"/>
    <col min="11025" max="11025" width="10.42578125" customWidth="1"/>
    <col min="11026" max="11026" width="11.28515625" customWidth="1"/>
    <col min="11027" max="11027" width="13" customWidth="1"/>
    <col min="11029" max="11029" width="11.42578125" customWidth="1"/>
    <col min="11030" max="11030" width="11.85546875" customWidth="1"/>
    <col min="11032" max="11033" width="11.5703125" customWidth="1"/>
    <col min="11036" max="11036" width="10.140625" customWidth="1"/>
    <col min="11039" max="11039" width="10.7109375" customWidth="1"/>
    <col min="11040" max="11040" width="10.28515625" customWidth="1"/>
    <col min="11041" max="11041" width="8" customWidth="1"/>
    <col min="11042" max="11042" width="10.7109375" customWidth="1"/>
    <col min="11043" max="11043" width="9.140625" customWidth="1"/>
    <col min="11044" max="11044" width="12.5703125" customWidth="1"/>
    <col min="11046" max="11046" width="10.42578125" customWidth="1"/>
    <col min="11047" max="11047" width="12.28515625" customWidth="1"/>
    <col min="11266" max="11266" width="26" bestFit="1" customWidth="1"/>
    <col min="11267" max="11267" width="12.140625" customWidth="1"/>
    <col min="11268" max="11268" width="10.5703125" customWidth="1"/>
    <col min="11269" max="11269" width="10" customWidth="1"/>
    <col min="11270" max="11270" width="11" customWidth="1"/>
    <col min="11271" max="11271" width="11.7109375" customWidth="1"/>
    <col min="11272" max="11272" width="11.85546875" customWidth="1"/>
    <col min="11273" max="11273" width="12.7109375" customWidth="1"/>
    <col min="11274" max="11274" width="10.7109375" customWidth="1"/>
    <col min="11277" max="11277" width="11.140625" customWidth="1"/>
    <col min="11278" max="11278" width="10.28515625" customWidth="1"/>
    <col min="11279" max="11279" width="10.42578125" customWidth="1"/>
    <col min="11280" max="11280" width="10.28515625" customWidth="1"/>
    <col min="11281" max="11281" width="10.42578125" customWidth="1"/>
    <col min="11282" max="11282" width="11.28515625" customWidth="1"/>
    <col min="11283" max="11283" width="13" customWidth="1"/>
    <col min="11285" max="11285" width="11.42578125" customWidth="1"/>
    <col min="11286" max="11286" width="11.85546875" customWidth="1"/>
    <col min="11288" max="11289" width="11.5703125" customWidth="1"/>
    <col min="11292" max="11292" width="10.140625" customWidth="1"/>
    <col min="11295" max="11295" width="10.7109375" customWidth="1"/>
    <col min="11296" max="11296" width="10.28515625" customWidth="1"/>
    <col min="11297" max="11297" width="8" customWidth="1"/>
    <col min="11298" max="11298" width="10.7109375" customWidth="1"/>
    <col min="11299" max="11299" width="9.140625" customWidth="1"/>
    <col min="11300" max="11300" width="12.5703125" customWidth="1"/>
    <col min="11302" max="11302" width="10.42578125" customWidth="1"/>
    <col min="11303" max="11303" width="12.28515625" customWidth="1"/>
    <col min="11522" max="11522" width="26" bestFit="1" customWidth="1"/>
    <col min="11523" max="11523" width="12.140625" customWidth="1"/>
    <col min="11524" max="11524" width="10.5703125" customWidth="1"/>
    <col min="11525" max="11525" width="10" customWidth="1"/>
    <col min="11526" max="11526" width="11" customWidth="1"/>
    <col min="11527" max="11527" width="11.7109375" customWidth="1"/>
    <col min="11528" max="11528" width="11.85546875" customWidth="1"/>
    <col min="11529" max="11529" width="12.7109375" customWidth="1"/>
    <col min="11530" max="11530" width="10.7109375" customWidth="1"/>
    <col min="11533" max="11533" width="11.140625" customWidth="1"/>
    <col min="11534" max="11534" width="10.28515625" customWidth="1"/>
    <col min="11535" max="11535" width="10.42578125" customWidth="1"/>
    <col min="11536" max="11536" width="10.28515625" customWidth="1"/>
    <col min="11537" max="11537" width="10.42578125" customWidth="1"/>
    <col min="11538" max="11538" width="11.28515625" customWidth="1"/>
    <col min="11539" max="11539" width="13" customWidth="1"/>
    <col min="11541" max="11541" width="11.42578125" customWidth="1"/>
    <col min="11542" max="11542" width="11.85546875" customWidth="1"/>
    <col min="11544" max="11545" width="11.5703125" customWidth="1"/>
    <col min="11548" max="11548" width="10.140625" customWidth="1"/>
    <col min="11551" max="11551" width="10.7109375" customWidth="1"/>
    <col min="11552" max="11552" width="10.28515625" customWidth="1"/>
    <col min="11553" max="11553" width="8" customWidth="1"/>
    <col min="11554" max="11554" width="10.7109375" customWidth="1"/>
    <col min="11555" max="11555" width="9.140625" customWidth="1"/>
    <col min="11556" max="11556" width="12.5703125" customWidth="1"/>
    <col min="11558" max="11558" width="10.42578125" customWidth="1"/>
    <col min="11559" max="11559" width="12.28515625" customWidth="1"/>
    <col min="11778" max="11778" width="26" bestFit="1" customWidth="1"/>
    <col min="11779" max="11779" width="12.140625" customWidth="1"/>
    <col min="11780" max="11780" width="10.5703125" customWidth="1"/>
    <col min="11781" max="11781" width="10" customWidth="1"/>
    <col min="11782" max="11782" width="11" customWidth="1"/>
    <col min="11783" max="11783" width="11.7109375" customWidth="1"/>
    <col min="11784" max="11784" width="11.85546875" customWidth="1"/>
    <col min="11785" max="11785" width="12.7109375" customWidth="1"/>
    <col min="11786" max="11786" width="10.7109375" customWidth="1"/>
    <col min="11789" max="11789" width="11.140625" customWidth="1"/>
    <col min="11790" max="11790" width="10.28515625" customWidth="1"/>
    <col min="11791" max="11791" width="10.42578125" customWidth="1"/>
    <col min="11792" max="11792" width="10.28515625" customWidth="1"/>
    <col min="11793" max="11793" width="10.42578125" customWidth="1"/>
    <col min="11794" max="11794" width="11.28515625" customWidth="1"/>
    <col min="11795" max="11795" width="13" customWidth="1"/>
    <col min="11797" max="11797" width="11.42578125" customWidth="1"/>
    <col min="11798" max="11798" width="11.85546875" customWidth="1"/>
    <col min="11800" max="11801" width="11.5703125" customWidth="1"/>
    <col min="11804" max="11804" width="10.140625" customWidth="1"/>
    <col min="11807" max="11807" width="10.7109375" customWidth="1"/>
    <col min="11808" max="11808" width="10.28515625" customWidth="1"/>
    <col min="11809" max="11809" width="8" customWidth="1"/>
    <col min="11810" max="11810" width="10.7109375" customWidth="1"/>
    <col min="11811" max="11811" width="9.140625" customWidth="1"/>
    <col min="11812" max="11812" width="12.5703125" customWidth="1"/>
    <col min="11814" max="11814" width="10.42578125" customWidth="1"/>
    <col min="11815" max="11815" width="12.28515625" customWidth="1"/>
    <col min="12034" max="12034" width="26" bestFit="1" customWidth="1"/>
    <col min="12035" max="12035" width="12.140625" customWidth="1"/>
    <col min="12036" max="12036" width="10.5703125" customWidth="1"/>
    <col min="12037" max="12037" width="10" customWidth="1"/>
    <col min="12038" max="12038" width="11" customWidth="1"/>
    <col min="12039" max="12039" width="11.7109375" customWidth="1"/>
    <col min="12040" max="12040" width="11.85546875" customWidth="1"/>
    <col min="12041" max="12041" width="12.7109375" customWidth="1"/>
    <col min="12042" max="12042" width="10.7109375" customWidth="1"/>
    <col min="12045" max="12045" width="11.140625" customWidth="1"/>
    <col min="12046" max="12046" width="10.28515625" customWidth="1"/>
    <col min="12047" max="12047" width="10.42578125" customWidth="1"/>
    <col min="12048" max="12048" width="10.28515625" customWidth="1"/>
    <col min="12049" max="12049" width="10.42578125" customWidth="1"/>
    <col min="12050" max="12050" width="11.28515625" customWidth="1"/>
    <col min="12051" max="12051" width="13" customWidth="1"/>
    <col min="12053" max="12053" width="11.42578125" customWidth="1"/>
    <col min="12054" max="12054" width="11.85546875" customWidth="1"/>
    <col min="12056" max="12057" width="11.5703125" customWidth="1"/>
    <col min="12060" max="12060" width="10.140625" customWidth="1"/>
    <col min="12063" max="12063" width="10.7109375" customWidth="1"/>
    <col min="12064" max="12064" width="10.28515625" customWidth="1"/>
    <col min="12065" max="12065" width="8" customWidth="1"/>
    <col min="12066" max="12066" width="10.7109375" customWidth="1"/>
    <col min="12067" max="12067" width="9.140625" customWidth="1"/>
    <col min="12068" max="12068" width="12.5703125" customWidth="1"/>
    <col min="12070" max="12070" width="10.42578125" customWidth="1"/>
    <col min="12071" max="12071" width="12.28515625" customWidth="1"/>
    <col min="12290" max="12290" width="26" bestFit="1" customWidth="1"/>
    <col min="12291" max="12291" width="12.140625" customWidth="1"/>
    <col min="12292" max="12292" width="10.5703125" customWidth="1"/>
    <col min="12293" max="12293" width="10" customWidth="1"/>
    <col min="12294" max="12294" width="11" customWidth="1"/>
    <col min="12295" max="12295" width="11.7109375" customWidth="1"/>
    <col min="12296" max="12296" width="11.85546875" customWidth="1"/>
    <col min="12297" max="12297" width="12.7109375" customWidth="1"/>
    <col min="12298" max="12298" width="10.7109375" customWidth="1"/>
    <col min="12301" max="12301" width="11.140625" customWidth="1"/>
    <col min="12302" max="12302" width="10.28515625" customWidth="1"/>
    <col min="12303" max="12303" width="10.42578125" customWidth="1"/>
    <col min="12304" max="12304" width="10.28515625" customWidth="1"/>
    <col min="12305" max="12305" width="10.42578125" customWidth="1"/>
    <col min="12306" max="12306" width="11.28515625" customWidth="1"/>
    <col min="12307" max="12307" width="13" customWidth="1"/>
    <col min="12309" max="12309" width="11.42578125" customWidth="1"/>
    <col min="12310" max="12310" width="11.85546875" customWidth="1"/>
    <col min="12312" max="12313" width="11.5703125" customWidth="1"/>
    <col min="12316" max="12316" width="10.140625" customWidth="1"/>
    <col min="12319" max="12319" width="10.7109375" customWidth="1"/>
    <col min="12320" max="12320" width="10.28515625" customWidth="1"/>
    <col min="12321" max="12321" width="8" customWidth="1"/>
    <col min="12322" max="12322" width="10.7109375" customWidth="1"/>
    <col min="12323" max="12323" width="9.140625" customWidth="1"/>
    <col min="12324" max="12324" width="12.5703125" customWidth="1"/>
    <col min="12326" max="12326" width="10.42578125" customWidth="1"/>
    <col min="12327" max="12327" width="12.28515625" customWidth="1"/>
    <col min="12546" max="12546" width="26" bestFit="1" customWidth="1"/>
    <col min="12547" max="12547" width="12.140625" customWidth="1"/>
    <col min="12548" max="12548" width="10.5703125" customWidth="1"/>
    <col min="12549" max="12549" width="10" customWidth="1"/>
    <col min="12550" max="12550" width="11" customWidth="1"/>
    <col min="12551" max="12551" width="11.7109375" customWidth="1"/>
    <col min="12552" max="12552" width="11.85546875" customWidth="1"/>
    <col min="12553" max="12553" width="12.7109375" customWidth="1"/>
    <col min="12554" max="12554" width="10.7109375" customWidth="1"/>
    <col min="12557" max="12557" width="11.140625" customWidth="1"/>
    <col min="12558" max="12558" width="10.28515625" customWidth="1"/>
    <col min="12559" max="12559" width="10.42578125" customWidth="1"/>
    <col min="12560" max="12560" width="10.28515625" customWidth="1"/>
    <col min="12561" max="12561" width="10.42578125" customWidth="1"/>
    <col min="12562" max="12562" width="11.28515625" customWidth="1"/>
    <col min="12563" max="12563" width="13" customWidth="1"/>
    <col min="12565" max="12565" width="11.42578125" customWidth="1"/>
    <col min="12566" max="12566" width="11.85546875" customWidth="1"/>
    <col min="12568" max="12569" width="11.5703125" customWidth="1"/>
    <col min="12572" max="12572" width="10.140625" customWidth="1"/>
    <col min="12575" max="12575" width="10.7109375" customWidth="1"/>
    <col min="12576" max="12576" width="10.28515625" customWidth="1"/>
    <col min="12577" max="12577" width="8" customWidth="1"/>
    <col min="12578" max="12578" width="10.7109375" customWidth="1"/>
    <col min="12579" max="12579" width="9.140625" customWidth="1"/>
    <col min="12580" max="12580" width="12.5703125" customWidth="1"/>
    <col min="12582" max="12582" width="10.42578125" customWidth="1"/>
    <col min="12583" max="12583" width="12.28515625" customWidth="1"/>
    <col min="12802" max="12802" width="26" bestFit="1" customWidth="1"/>
    <col min="12803" max="12803" width="12.140625" customWidth="1"/>
    <col min="12804" max="12804" width="10.5703125" customWidth="1"/>
    <col min="12805" max="12805" width="10" customWidth="1"/>
    <col min="12806" max="12806" width="11" customWidth="1"/>
    <col min="12807" max="12807" width="11.7109375" customWidth="1"/>
    <col min="12808" max="12808" width="11.85546875" customWidth="1"/>
    <col min="12809" max="12809" width="12.7109375" customWidth="1"/>
    <col min="12810" max="12810" width="10.7109375" customWidth="1"/>
    <col min="12813" max="12813" width="11.140625" customWidth="1"/>
    <col min="12814" max="12814" width="10.28515625" customWidth="1"/>
    <col min="12815" max="12815" width="10.42578125" customWidth="1"/>
    <col min="12816" max="12816" width="10.28515625" customWidth="1"/>
    <col min="12817" max="12817" width="10.42578125" customWidth="1"/>
    <col min="12818" max="12818" width="11.28515625" customWidth="1"/>
    <col min="12819" max="12819" width="13" customWidth="1"/>
    <col min="12821" max="12821" width="11.42578125" customWidth="1"/>
    <col min="12822" max="12822" width="11.85546875" customWidth="1"/>
    <col min="12824" max="12825" width="11.5703125" customWidth="1"/>
    <col min="12828" max="12828" width="10.140625" customWidth="1"/>
    <col min="12831" max="12831" width="10.7109375" customWidth="1"/>
    <col min="12832" max="12832" width="10.28515625" customWidth="1"/>
    <col min="12833" max="12833" width="8" customWidth="1"/>
    <col min="12834" max="12834" width="10.7109375" customWidth="1"/>
    <col min="12835" max="12835" width="9.140625" customWidth="1"/>
    <col min="12836" max="12836" width="12.5703125" customWidth="1"/>
    <col min="12838" max="12838" width="10.42578125" customWidth="1"/>
    <col min="12839" max="12839" width="12.28515625" customWidth="1"/>
    <col min="13058" max="13058" width="26" bestFit="1" customWidth="1"/>
    <col min="13059" max="13059" width="12.140625" customWidth="1"/>
    <col min="13060" max="13060" width="10.5703125" customWidth="1"/>
    <col min="13061" max="13061" width="10" customWidth="1"/>
    <col min="13062" max="13062" width="11" customWidth="1"/>
    <col min="13063" max="13063" width="11.7109375" customWidth="1"/>
    <col min="13064" max="13064" width="11.85546875" customWidth="1"/>
    <col min="13065" max="13065" width="12.7109375" customWidth="1"/>
    <col min="13066" max="13066" width="10.7109375" customWidth="1"/>
    <col min="13069" max="13069" width="11.140625" customWidth="1"/>
    <col min="13070" max="13070" width="10.28515625" customWidth="1"/>
    <col min="13071" max="13071" width="10.42578125" customWidth="1"/>
    <col min="13072" max="13072" width="10.28515625" customWidth="1"/>
    <col min="13073" max="13073" width="10.42578125" customWidth="1"/>
    <col min="13074" max="13074" width="11.28515625" customWidth="1"/>
    <col min="13075" max="13075" width="13" customWidth="1"/>
    <col min="13077" max="13077" width="11.42578125" customWidth="1"/>
    <col min="13078" max="13078" width="11.85546875" customWidth="1"/>
    <col min="13080" max="13081" width="11.5703125" customWidth="1"/>
    <col min="13084" max="13084" width="10.140625" customWidth="1"/>
    <col min="13087" max="13087" width="10.7109375" customWidth="1"/>
    <col min="13088" max="13088" width="10.28515625" customWidth="1"/>
    <col min="13089" max="13089" width="8" customWidth="1"/>
    <col min="13090" max="13090" width="10.7109375" customWidth="1"/>
    <col min="13091" max="13091" width="9.140625" customWidth="1"/>
    <col min="13092" max="13092" width="12.5703125" customWidth="1"/>
    <col min="13094" max="13094" width="10.42578125" customWidth="1"/>
    <col min="13095" max="13095" width="12.28515625" customWidth="1"/>
    <col min="13314" max="13314" width="26" bestFit="1" customWidth="1"/>
    <col min="13315" max="13315" width="12.140625" customWidth="1"/>
    <col min="13316" max="13316" width="10.5703125" customWidth="1"/>
    <col min="13317" max="13317" width="10" customWidth="1"/>
    <col min="13318" max="13318" width="11" customWidth="1"/>
    <col min="13319" max="13319" width="11.7109375" customWidth="1"/>
    <col min="13320" max="13320" width="11.85546875" customWidth="1"/>
    <col min="13321" max="13321" width="12.7109375" customWidth="1"/>
    <col min="13322" max="13322" width="10.7109375" customWidth="1"/>
    <col min="13325" max="13325" width="11.140625" customWidth="1"/>
    <col min="13326" max="13326" width="10.28515625" customWidth="1"/>
    <col min="13327" max="13327" width="10.42578125" customWidth="1"/>
    <col min="13328" max="13328" width="10.28515625" customWidth="1"/>
    <col min="13329" max="13329" width="10.42578125" customWidth="1"/>
    <col min="13330" max="13330" width="11.28515625" customWidth="1"/>
    <col min="13331" max="13331" width="13" customWidth="1"/>
    <col min="13333" max="13333" width="11.42578125" customWidth="1"/>
    <col min="13334" max="13334" width="11.85546875" customWidth="1"/>
    <col min="13336" max="13337" width="11.5703125" customWidth="1"/>
    <col min="13340" max="13340" width="10.140625" customWidth="1"/>
    <col min="13343" max="13343" width="10.7109375" customWidth="1"/>
    <col min="13344" max="13344" width="10.28515625" customWidth="1"/>
    <col min="13345" max="13345" width="8" customWidth="1"/>
    <col min="13346" max="13346" width="10.7109375" customWidth="1"/>
    <col min="13347" max="13347" width="9.140625" customWidth="1"/>
    <col min="13348" max="13348" width="12.5703125" customWidth="1"/>
    <col min="13350" max="13350" width="10.42578125" customWidth="1"/>
    <col min="13351" max="13351" width="12.28515625" customWidth="1"/>
    <col min="13570" max="13570" width="26" bestFit="1" customWidth="1"/>
    <col min="13571" max="13571" width="12.140625" customWidth="1"/>
    <col min="13572" max="13572" width="10.5703125" customWidth="1"/>
    <col min="13573" max="13573" width="10" customWidth="1"/>
    <col min="13574" max="13574" width="11" customWidth="1"/>
    <col min="13575" max="13575" width="11.7109375" customWidth="1"/>
    <col min="13576" max="13576" width="11.85546875" customWidth="1"/>
    <col min="13577" max="13577" width="12.7109375" customWidth="1"/>
    <col min="13578" max="13578" width="10.7109375" customWidth="1"/>
    <col min="13581" max="13581" width="11.140625" customWidth="1"/>
    <col min="13582" max="13582" width="10.28515625" customWidth="1"/>
    <col min="13583" max="13583" width="10.42578125" customWidth="1"/>
    <col min="13584" max="13584" width="10.28515625" customWidth="1"/>
    <col min="13585" max="13585" width="10.42578125" customWidth="1"/>
    <col min="13586" max="13586" width="11.28515625" customWidth="1"/>
    <col min="13587" max="13587" width="13" customWidth="1"/>
    <col min="13589" max="13589" width="11.42578125" customWidth="1"/>
    <col min="13590" max="13590" width="11.85546875" customWidth="1"/>
    <col min="13592" max="13593" width="11.5703125" customWidth="1"/>
    <col min="13596" max="13596" width="10.140625" customWidth="1"/>
    <col min="13599" max="13599" width="10.7109375" customWidth="1"/>
    <col min="13600" max="13600" width="10.28515625" customWidth="1"/>
    <col min="13601" max="13601" width="8" customWidth="1"/>
    <col min="13602" max="13602" width="10.7109375" customWidth="1"/>
    <col min="13603" max="13603" width="9.140625" customWidth="1"/>
    <col min="13604" max="13604" width="12.5703125" customWidth="1"/>
    <col min="13606" max="13606" width="10.42578125" customWidth="1"/>
    <col min="13607" max="13607" width="12.28515625" customWidth="1"/>
    <col min="13826" max="13826" width="26" bestFit="1" customWidth="1"/>
    <col min="13827" max="13827" width="12.140625" customWidth="1"/>
    <col min="13828" max="13828" width="10.5703125" customWidth="1"/>
    <col min="13829" max="13829" width="10" customWidth="1"/>
    <col min="13830" max="13830" width="11" customWidth="1"/>
    <col min="13831" max="13831" width="11.7109375" customWidth="1"/>
    <col min="13832" max="13832" width="11.85546875" customWidth="1"/>
    <col min="13833" max="13833" width="12.7109375" customWidth="1"/>
    <col min="13834" max="13834" width="10.7109375" customWidth="1"/>
    <col min="13837" max="13837" width="11.140625" customWidth="1"/>
    <col min="13838" max="13838" width="10.28515625" customWidth="1"/>
    <col min="13839" max="13839" width="10.42578125" customWidth="1"/>
    <col min="13840" max="13840" width="10.28515625" customWidth="1"/>
    <col min="13841" max="13841" width="10.42578125" customWidth="1"/>
    <col min="13842" max="13842" width="11.28515625" customWidth="1"/>
    <col min="13843" max="13843" width="13" customWidth="1"/>
    <col min="13845" max="13845" width="11.42578125" customWidth="1"/>
    <col min="13846" max="13846" width="11.85546875" customWidth="1"/>
    <col min="13848" max="13849" width="11.5703125" customWidth="1"/>
    <col min="13852" max="13852" width="10.140625" customWidth="1"/>
    <col min="13855" max="13855" width="10.7109375" customWidth="1"/>
    <col min="13856" max="13856" width="10.28515625" customWidth="1"/>
    <col min="13857" max="13857" width="8" customWidth="1"/>
    <col min="13858" max="13858" width="10.7109375" customWidth="1"/>
    <col min="13859" max="13859" width="9.140625" customWidth="1"/>
    <col min="13860" max="13860" width="12.5703125" customWidth="1"/>
    <col min="13862" max="13862" width="10.42578125" customWidth="1"/>
    <col min="13863" max="13863" width="12.28515625" customWidth="1"/>
    <col min="14082" max="14082" width="26" bestFit="1" customWidth="1"/>
    <col min="14083" max="14083" width="12.140625" customWidth="1"/>
    <col min="14084" max="14084" width="10.5703125" customWidth="1"/>
    <col min="14085" max="14085" width="10" customWidth="1"/>
    <col min="14086" max="14086" width="11" customWidth="1"/>
    <col min="14087" max="14087" width="11.7109375" customWidth="1"/>
    <col min="14088" max="14088" width="11.85546875" customWidth="1"/>
    <col min="14089" max="14089" width="12.7109375" customWidth="1"/>
    <col min="14090" max="14090" width="10.7109375" customWidth="1"/>
    <col min="14093" max="14093" width="11.140625" customWidth="1"/>
    <col min="14094" max="14094" width="10.28515625" customWidth="1"/>
    <col min="14095" max="14095" width="10.42578125" customWidth="1"/>
    <col min="14096" max="14096" width="10.28515625" customWidth="1"/>
    <col min="14097" max="14097" width="10.42578125" customWidth="1"/>
    <col min="14098" max="14098" width="11.28515625" customWidth="1"/>
    <col min="14099" max="14099" width="13" customWidth="1"/>
    <col min="14101" max="14101" width="11.42578125" customWidth="1"/>
    <col min="14102" max="14102" width="11.85546875" customWidth="1"/>
    <col min="14104" max="14105" width="11.5703125" customWidth="1"/>
    <col min="14108" max="14108" width="10.140625" customWidth="1"/>
    <col min="14111" max="14111" width="10.7109375" customWidth="1"/>
    <col min="14112" max="14112" width="10.28515625" customWidth="1"/>
    <col min="14113" max="14113" width="8" customWidth="1"/>
    <col min="14114" max="14114" width="10.7109375" customWidth="1"/>
    <col min="14115" max="14115" width="9.140625" customWidth="1"/>
    <col min="14116" max="14116" width="12.5703125" customWidth="1"/>
    <col min="14118" max="14118" width="10.42578125" customWidth="1"/>
    <col min="14119" max="14119" width="12.28515625" customWidth="1"/>
    <col min="14338" max="14338" width="26" bestFit="1" customWidth="1"/>
    <col min="14339" max="14339" width="12.140625" customWidth="1"/>
    <col min="14340" max="14340" width="10.5703125" customWidth="1"/>
    <col min="14341" max="14341" width="10" customWidth="1"/>
    <col min="14342" max="14342" width="11" customWidth="1"/>
    <col min="14343" max="14343" width="11.7109375" customWidth="1"/>
    <col min="14344" max="14344" width="11.85546875" customWidth="1"/>
    <col min="14345" max="14345" width="12.7109375" customWidth="1"/>
    <col min="14346" max="14346" width="10.7109375" customWidth="1"/>
    <col min="14349" max="14349" width="11.140625" customWidth="1"/>
    <col min="14350" max="14350" width="10.28515625" customWidth="1"/>
    <col min="14351" max="14351" width="10.42578125" customWidth="1"/>
    <col min="14352" max="14352" width="10.28515625" customWidth="1"/>
    <col min="14353" max="14353" width="10.42578125" customWidth="1"/>
    <col min="14354" max="14354" width="11.28515625" customWidth="1"/>
    <col min="14355" max="14355" width="13" customWidth="1"/>
    <col min="14357" max="14357" width="11.42578125" customWidth="1"/>
    <col min="14358" max="14358" width="11.85546875" customWidth="1"/>
    <col min="14360" max="14361" width="11.5703125" customWidth="1"/>
    <col min="14364" max="14364" width="10.140625" customWidth="1"/>
    <col min="14367" max="14367" width="10.7109375" customWidth="1"/>
    <col min="14368" max="14368" width="10.28515625" customWidth="1"/>
    <col min="14369" max="14369" width="8" customWidth="1"/>
    <col min="14370" max="14370" width="10.7109375" customWidth="1"/>
    <col min="14371" max="14371" width="9.140625" customWidth="1"/>
    <col min="14372" max="14372" width="12.5703125" customWidth="1"/>
    <col min="14374" max="14374" width="10.42578125" customWidth="1"/>
    <col min="14375" max="14375" width="12.28515625" customWidth="1"/>
    <col min="14594" max="14594" width="26" bestFit="1" customWidth="1"/>
    <col min="14595" max="14595" width="12.140625" customWidth="1"/>
    <col min="14596" max="14596" width="10.5703125" customWidth="1"/>
    <col min="14597" max="14597" width="10" customWidth="1"/>
    <col min="14598" max="14598" width="11" customWidth="1"/>
    <col min="14599" max="14599" width="11.7109375" customWidth="1"/>
    <col min="14600" max="14600" width="11.85546875" customWidth="1"/>
    <col min="14601" max="14601" width="12.7109375" customWidth="1"/>
    <col min="14602" max="14602" width="10.7109375" customWidth="1"/>
    <col min="14605" max="14605" width="11.140625" customWidth="1"/>
    <col min="14606" max="14606" width="10.28515625" customWidth="1"/>
    <col min="14607" max="14607" width="10.42578125" customWidth="1"/>
    <col min="14608" max="14608" width="10.28515625" customWidth="1"/>
    <col min="14609" max="14609" width="10.42578125" customWidth="1"/>
    <col min="14610" max="14610" width="11.28515625" customWidth="1"/>
    <col min="14611" max="14611" width="13" customWidth="1"/>
    <col min="14613" max="14613" width="11.42578125" customWidth="1"/>
    <col min="14614" max="14614" width="11.85546875" customWidth="1"/>
    <col min="14616" max="14617" width="11.5703125" customWidth="1"/>
    <col min="14620" max="14620" width="10.140625" customWidth="1"/>
    <col min="14623" max="14623" width="10.7109375" customWidth="1"/>
    <col min="14624" max="14624" width="10.28515625" customWidth="1"/>
    <col min="14625" max="14625" width="8" customWidth="1"/>
    <col min="14626" max="14626" width="10.7109375" customWidth="1"/>
    <col min="14627" max="14627" width="9.140625" customWidth="1"/>
    <col min="14628" max="14628" width="12.5703125" customWidth="1"/>
    <col min="14630" max="14630" width="10.42578125" customWidth="1"/>
    <col min="14631" max="14631" width="12.28515625" customWidth="1"/>
    <col min="14850" max="14850" width="26" bestFit="1" customWidth="1"/>
    <col min="14851" max="14851" width="12.140625" customWidth="1"/>
    <col min="14852" max="14852" width="10.5703125" customWidth="1"/>
    <col min="14853" max="14853" width="10" customWidth="1"/>
    <col min="14854" max="14854" width="11" customWidth="1"/>
    <col min="14855" max="14855" width="11.7109375" customWidth="1"/>
    <col min="14856" max="14856" width="11.85546875" customWidth="1"/>
    <col min="14857" max="14857" width="12.7109375" customWidth="1"/>
    <col min="14858" max="14858" width="10.7109375" customWidth="1"/>
    <col min="14861" max="14861" width="11.140625" customWidth="1"/>
    <col min="14862" max="14862" width="10.28515625" customWidth="1"/>
    <col min="14863" max="14863" width="10.42578125" customWidth="1"/>
    <col min="14864" max="14864" width="10.28515625" customWidth="1"/>
    <col min="14865" max="14865" width="10.42578125" customWidth="1"/>
    <col min="14866" max="14866" width="11.28515625" customWidth="1"/>
    <col min="14867" max="14867" width="13" customWidth="1"/>
    <col min="14869" max="14869" width="11.42578125" customWidth="1"/>
    <col min="14870" max="14870" width="11.85546875" customWidth="1"/>
    <col min="14872" max="14873" width="11.5703125" customWidth="1"/>
    <col min="14876" max="14876" width="10.140625" customWidth="1"/>
    <col min="14879" max="14879" width="10.7109375" customWidth="1"/>
    <col min="14880" max="14880" width="10.28515625" customWidth="1"/>
    <col min="14881" max="14881" width="8" customWidth="1"/>
    <col min="14882" max="14882" width="10.7109375" customWidth="1"/>
    <col min="14883" max="14883" width="9.140625" customWidth="1"/>
    <col min="14884" max="14884" width="12.5703125" customWidth="1"/>
    <col min="14886" max="14886" width="10.42578125" customWidth="1"/>
    <col min="14887" max="14887" width="12.28515625" customWidth="1"/>
    <col min="15106" max="15106" width="26" bestFit="1" customWidth="1"/>
    <col min="15107" max="15107" width="12.140625" customWidth="1"/>
    <col min="15108" max="15108" width="10.5703125" customWidth="1"/>
    <col min="15109" max="15109" width="10" customWidth="1"/>
    <col min="15110" max="15110" width="11" customWidth="1"/>
    <col min="15111" max="15111" width="11.7109375" customWidth="1"/>
    <col min="15112" max="15112" width="11.85546875" customWidth="1"/>
    <col min="15113" max="15113" width="12.7109375" customWidth="1"/>
    <col min="15114" max="15114" width="10.7109375" customWidth="1"/>
    <col min="15117" max="15117" width="11.140625" customWidth="1"/>
    <col min="15118" max="15118" width="10.28515625" customWidth="1"/>
    <col min="15119" max="15119" width="10.42578125" customWidth="1"/>
    <col min="15120" max="15120" width="10.28515625" customWidth="1"/>
    <col min="15121" max="15121" width="10.42578125" customWidth="1"/>
    <col min="15122" max="15122" width="11.28515625" customWidth="1"/>
    <col min="15123" max="15123" width="13" customWidth="1"/>
    <col min="15125" max="15125" width="11.42578125" customWidth="1"/>
    <col min="15126" max="15126" width="11.85546875" customWidth="1"/>
    <col min="15128" max="15129" width="11.5703125" customWidth="1"/>
    <col min="15132" max="15132" width="10.140625" customWidth="1"/>
    <col min="15135" max="15135" width="10.7109375" customWidth="1"/>
    <col min="15136" max="15136" width="10.28515625" customWidth="1"/>
    <col min="15137" max="15137" width="8" customWidth="1"/>
    <col min="15138" max="15138" width="10.7109375" customWidth="1"/>
    <col min="15139" max="15139" width="9.140625" customWidth="1"/>
    <col min="15140" max="15140" width="12.5703125" customWidth="1"/>
    <col min="15142" max="15142" width="10.42578125" customWidth="1"/>
    <col min="15143" max="15143" width="12.28515625" customWidth="1"/>
    <col min="15362" max="15362" width="26" bestFit="1" customWidth="1"/>
    <col min="15363" max="15363" width="12.140625" customWidth="1"/>
    <col min="15364" max="15364" width="10.5703125" customWidth="1"/>
    <col min="15365" max="15365" width="10" customWidth="1"/>
    <col min="15366" max="15366" width="11" customWidth="1"/>
    <col min="15367" max="15367" width="11.7109375" customWidth="1"/>
    <col min="15368" max="15368" width="11.85546875" customWidth="1"/>
    <col min="15369" max="15369" width="12.7109375" customWidth="1"/>
    <col min="15370" max="15370" width="10.7109375" customWidth="1"/>
    <col min="15373" max="15373" width="11.140625" customWidth="1"/>
    <col min="15374" max="15374" width="10.28515625" customWidth="1"/>
    <col min="15375" max="15375" width="10.42578125" customWidth="1"/>
    <col min="15376" max="15376" width="10.28515625" customWidth="1"/>
    <col min="15377" max="15377" width="10.42578125" customWidth="1"/>
    <col min="15378" max="15378" width="11.28515625" customWidth="1"/>
    <col min="15379" max="15379" width="13" customWidth="1"/>
    <col min="15381" max="15381" width="11.42578125" customWidth="1"/>
    <col min="15382" max="15382" width="11.85546875" customWidth="1"/>
    <col min="15384" max="15385" width="11.5703125" customWidth="1"/>
    <col min="15388" max="15388" width="10.140625" customWidth="1"/>
    <col min="15391" max="15391" width="10.7109375" customWidth="1"/>
    <col min="15392" max="15392" width="10.28515625" customWidth="1"/>
    <col min="15393" max="15393" width="8" customWidth="1"/>
    <col min="15394" max="15394" width="10.7109375" customWidth="1"/>
    <col min="15395" max="15395" width="9.140625" customWidth="1"/>
    <col min="15396" max="15396" width="12.5703125" customWidth="1"/>
    <col min="15398" max="15398" width="10.42578125" customWidth="1"/>
    <col min="15399" max="15399" width="12.28515625" customWidth="1"/>
    <col min="15618" max="15618" width="26" bestFit="1" customWidth="1"/>
    <col min="15619" max="15619" width="12.140625" customWidth="1"/>
    <col min="15620" max="15620" width="10.5703125" customWidth="1"/>
    <col min="15621" max="15621" width="10" customWidth="1"/>
    <col min="15622" max="15622" width="11" customWidth="1"/>
    <col min="15623" max="15623" width="11.7109375" customWidth="1"/>
    <col min="15624" max="15624" width="11.85546875" customWidth="1"/>
    <col min="15625" max="15625" width="12.7109375" customWidth="1"/>
    <col min="15626" max="15626" width="10.7109375" customWidth="1"/>
    <col min="15629" max="15629" width="11.140625" customWidth="1"/>
    <col min="15630" max="15630" width="10.28515625" customWidth="1"/>
    <col min="15631" max="15631" width="10.42578125" customWidth="1"/>
    <col min="15632" max="15632" width="10.28515625" customWidth="1"/>
    <col min="15633" max="15633" width="10.42578125" customWidth="1"/>
    <col min="15634" max="15634" width="11.28515625" customWidth="1"/>
    <col min="15635" max="15635" width="13" customWidth="1"/>
    <col min="15637" max="15637" width="11.42578125" customWidth="1"/>
    <col min="15638" max="15638" width="11.85546875" customWidth="1"/>
    <col min="15640" max="15641" width="11.5703125" customWidth="1"/>
    <col min="15644" max="15644" width="10.140625" customWidth="1"/>
    <col min="15647" max="15647" width="10.7109375" customWidth="1"/>
    <col min="15648" max="15648" width="10.28515625" customWidth="1"/>
    <col min="15649" max="15649" width="8" customWidth="1"/>
    <col min="15650" max="15650" width="10.7109375" customWidth="1"/>
    <col min="15651" max="15651" width="9.140625" customWidth="1"/>
    <col min="15652" max="15652" width="12.5703125" customWidth="1"/>
    <col min="15654" max="15654" width="10.42578125" customWidth="1"/>
    <col min="15655" max="15655" width="12.28515625" customWidth="1"/>
    <col min="15874" max="15874" width="26" bestFit="1" customWidth="1"/>
    <col min="15875" max="15875" width="12.140625" customWidth="1"/>
    <col min="15876" max="15876" width="10.5703125" customWidth="1"/>
    <col min="15877" max="15877" width="10" customWidth="1"/>
    <col min="15878" max="15878" width="11" customWidth="1"/>
    <col min="15879" max="15879" width="11.7109375" customWidth="1"/>
    <col min="15880" max="15880" width="11.85546875" customWidth="1"/>
    <col min="15881" max="15881" width="12.7109375" customWidth="1"/>
    <col min="15882" max="15882" width="10.7109375" customWidth="1"/>
    <col min="15885" max="15885" width="11.140625" customWidth="1"/>
    <col min="15886" max="15886" width="10.28515625" customWidth="1"/>
    <col min="15887" max="15887" width="10.42578125" customWidth="1"/>
    <col min="15888" max="15888" width="10.28515625" customWidth="1"/>
    <col min="15889" max="15889" width="10.42578125" customWidth="1"/>
    <col min="15890" max="15890" width="11.28515625" customWidth="1"/>
    <col min="15891" max="15891" width="13" customWidth="1"/>
    <col min="15893" max="15893" width="11.42578125" customWidth="1"/>
    <col min="15894" max="15894" width="11.85546875" customWidth="1"/>
    <col min="15896" max="15897" width="11.5703125" customWidth="1"/>
    <col min="15900" max="15900" width="10.140625" customWidth="1"/>
    <col min="15903" max="15903" width="10.7109375" customWidth="1"/>
    <col min="15904" max="15904" width="10.28515625" customWidth="1"/>
    <col min="15905" max="15905" width="8" customWidth="1"/>
    <col min="15906" max="15906" width="10.7109375" customWidth="1"/>
    <col min="15907" max="15907" width="9.140625" customWidth="1"/>
    <col min="15908" max="15908" width="12.5703125" customWidth="1"/>
    <col min="15910" max="15910" width="10.42578125" customWidth="1"/>
    <col min="15911" max="15911" width="12.28515625" customWidth="1"/>
    <col min="16130" max="16130" width="26" bestFit="1" customWidth="1"/>
    <col min="16131" max="16131" width="12.140625" customWidth="1"/>
    <col min="16132" max="16132" width="10.5703125" customWidth="1"/>
    <col min="16133" max="16133" width="10" customWidth="1"/>
    <col min="16134" max="16134" width="11" customWidth="1"/>
    <col min="16135" max="16135" width="11.7109375" customWidth="1"/>
    <col min="16136" max="16136" width="11.85546875" customWidth="1"/>
    <col min="16137" max="16137" width="12.7109375" customWidth="1"/>
    <col min="16138" max="16138" width="10.7109375" customWidth="1"/>
    <col min="16141" max="16141" width="11.140625" customWidth="1"/>
    <col min="16142" max="16142" width="10.28515625" customWidth="1"/>
    <col min="16143" max="16143" width="10.42578125" customWidth="1"/>
    <col min="16144" max="16144" width="10.28515625" customWidth="1"/>
    <col min="16145" max="16145" width="10.42578125" customWidth="1"/>
    <col min="16146" max="16146" width="11.28515625" customWidth="1"/>
    <col min="16147" max="16147" width="13" customWidth="1"/>
    <col min="16149" max="16149" width="11.42578125" customWidth="1"/>
    <col min="16150" max="16150" width="11.85546875" customWidth="1"/>
    <col min="16152" max="16153" width="11.5703125" customWidth="1"/>
    <col min="16156" max="16156" width="10.140625" customWidth="1"/>
    <col min="16159" max="16159" width="10.7109375" customWidth="1"/>
    <col min="16160" max="16160" width="10.28515625" customWidth="1"/>
    <col min="16161" max="16161" width="8" customWidth="1"/>
    <col min="16162" max="16162" width="10.7109375" customWidth="1"/>
    <col min="16163" max="16163" width="9.140625" customWidth="1"/>
    <col min="16164" max="16164" width="12.5703125" customWidth="1"/>
    <col min="16166" max="16166" width="10.42578125" customWidth="1"/>
    <col min="16167" max="16167" width="12.28515625" customWidth="1"/>
  </cols>
  <sheetData>
    <row r="1" spans="1:39" ht="15.75">
      <c r="A1" s="206" t="s">
        <v>153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</row>
    <row r="2" spans="1:39" ht="15.75">
      <c r="A2" s="206" t="s">
        <v>360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</row>
    <row r="3" spans="1:39" ht="16.5" thickBot="1">
      <c r="A3" s="1"/>
    </row>
    <row r="4" spans="1:39">
      <c r="A4" s="2"/>
      <c r="B4" s="9"/>
      <c r="C4" s="201" t="s">
        <v>154</v>
      </c>
      <c r="D4" s="203" t="s">
        <v>155</v>
      </c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5"/>
      <c r="AD4" s="208" t="s">
        <v>156</v>
      </c>
      <c r="AE4" s="209"/>
      <c r="AF4" s="209"/>
      <c r="AG4" s="210"/>
      <c r="AH4" s="214" t="s">
        <v>361</v>
      </c>
      <c r="AI4" s="215"/>
      <c r="AJ4" s="208" t="s">
        <v>157</v>
      </c>
      <c r="AK4" s="209"/>
      <c r="AL4" s="210"/>
      <c r="AM4" s="218" t="s">
        <v>158</v>
      </c>
    </row>
    <row r="5" spans="1:39" ht="25.5" thickBot="1">
      <c r="A5" s="3"/>
      <c r="B5" s="10"/>
      <c r="C5" s="202"/>
      <c r="D5" s="220" t="s">
        <v>159</v>
      </c>
      <c r="E5" s="221"/>
      <c r="F5" s="221" t="s">
        <v>160</v>
      </c>
      <c r="G5" s="222"/>
      <c r="H5" s="221" t="s">
        <v>161</v>
      </c>
      <c r="I5" s="221"/>
      <c r="J5" s="64" t="s">
        <v>162</v>
      </c>
      <c r="K5" s="221" t="s">
        <v>163</v>
      </c>
      <c r="L5" s="221"/>
      <c r="M5" s="221"/>
      <c r="N5" s="221"/>
      <c r="O5" s="221"/>
      <c r="P5" s="221"/>
      <c r="Q5" s="221" t="s">
        <v>164</v>
      </c>
      <c r="R5" s="221"/>
      <c r="S5" s="221"/>
      <c r="T5" s="221"/>
      <c r="U5" s="221" t="s">
        <v>165</v>
      </c>
      <c r="V5" s="221"/>
      <c r="W5" s="221"/>
      <c r="X5" s="221"/>
      <c r="Y5" s="221"/>
      <c r="Z5" s="221"/>
      <c r="AA5" s="221" t="s">
        <v>166</v>
      </c>
      <c r="AB5" s="221"/>
      <c r="AC5" s="223"/>
      <c r="AD5" s="211"/>
      <c r="AE5" s="212"/>
      <c r="AF5" s="212"/>
      <c r="AG5" s="213"/>
      <c r="AH5" s="216"/>
      <c r="AI5" s="217"/>
      <c r="AJ5" s="211"/>
      <c r="AK5" s="212"/>
      <c r="AL5" s="213"/>
      <c r="AM5" s="219"/>
    </row>
    <row r="6" spans="1:39" ht="36.75">
      <c r="A6" s="2"/>
      <c r="B6" s="65" t="s">
        <v>65</v>
      </c>
      <c r="C6" s="99" t="s">
        <v>167</v>
      </c>
      <c r="D6" s="100" t="s">
        <v>168</v>
      </c>
      <c r="E6" s="67" t="s">
        <v>169</v>
      </c>
      <c r="F6" s="67" t="s">
        <v>169</v>
      </c>
      <c r="G6" s="67" t="s">
        <v>170</v>
      </c>
      <c r="H6" s="67" t="s">
        <v>171</v>
      </c>
      <c r="I6" s="67" t="s">
        <v>169</v>
      </c>
      <c r="J6" s="67" t="s">
        <v>169</v>
      </c>
      <c r="K6" s="67" t="s">
        <v>172</v>
      </c>
      <c r="L6" s="67" t="s">
        <v>171</v>
      </c>
      <c r="M6" s="67" t="s">
        <v>173</v>
      </c>
      <c r="N6" s="67" t="s">
        <v>169</v>
      </c>
      <c r="O6" s="67" t="s">
        <v>174</v>
      </c>
      <c r="P6" s="64" t="s">
        <v>175</v>
      </c>
      <c r="Q6" s="64" t="s">
        <v>169</v>
      </c>
      <c r="R6" s="64" t="s">
        <v>176</v>
      </c>
      <c r="S6" s="64" t="s">
        <v>177</v>
      </c>
      <c r="T6" s="67" t="s">
        <v>178</v>
      </c>
      <c r="U6" s="67" t="s">
        <v>169</v>
      </c>
      <c r="V6" s="67" t="s">
        <v>176</v>
      </c>
      <c r="W6" s="67" t="s">
        <v>179</v>
      </c>
      <c r="X6" s="67" t="s">
        <v>180</v>
      </c>
      <c r="Y6" s="67" t="s">
        <v>174</v>
      </c>
      <c r="Z6" s="64" t="s">
        <v>181</v>
      </c>
      <c r="AA6" s="67" t="s">
        <v>171</v>
      </c>
      <c r="AB6" s="64" t="s">
        <v>174</v>
      </c>
      <c r="AC6" s="101" t="s">
        <v>182</v>
      </c>
      <c r="AD6" s="100" t="s">
        <v>171</v>
      </c>
      <c r="AE6" s="67" t="s">
        <v>169</v>
      </c>
      <c r="AF6" s="67" t="s">
        <v>183</v>
      </c>
      <c r="AG6" s="68" t="s">
        <v>184</v>
      </c>
      <c r="AH6" s="66" t="s">
        <v>169</v>
      </c>
      <c r="AI6" s="68" t="s">
        <v>174</v>
      </c>
      <c r="AJ6" s="66" t="s">
        <v>185</v>
      </c>
      <c r="AK6" s="67" t="s">
        <v>171</v>
      </c>
      <c r="AL6" s="101" t="s">
        <v>186</v>
      </c>
      <c r="AM6" s="219"/>
    </row>
    <row r="7" spans="1:39">
      <c r="A7" s="3">
        <v>1</v>
      </c>
      <c r="B7" s="69" t="s">
        <v>19</v>
      </c>
      <c r="C7" s="4">
        <v>599.19000000000005</v>
      </c>
      <c r="D7" s="3">
        <v>0</v>
      </c>
      <c r="E7" s="10">
        <v>25.99</v>
      </c>
      <c r="F7" s="10">
        <v>22.99</v>
      </c>
      <c r="G7" s="10">
        <v>57.16</v>
      </c>
      <c r="H7" s="10">
        <v>0</v>
      </c>
      <c r="I7" s="10">
        <v>2</v>
      </c>
      <c r="J7" s="10">
        <v>165.48</v>
      </c>
      <c r="K7" s="10">
        <v>1</v>
      </c>
      <c r="L7" s="10">
        <v>7</v>
      </c>
      <c r="M7" s="10">
        <v>3</v>
      </c>
      <c r="N7" s="10">
        <v>13.26</v>
      </c>
      <c r="O7" s="10">
        <v>75.86</v>
      </c>
      <c r="P7" s="10">
        <f>SUM(K7:O7)</f>
        <v>100.12</v>
      </c>
      <c r="Q7" s="10">
        <v>3</v>
      </c>
      <c r="R7" s="10">
        <v>6</v>
      </c>
      <c r="S7" s="10">
        <v>325.23</v>
      </c>
      <c r="T7" s="10">
        <f>SUM(Q7:S7)</f>
        <v>334.23</v>
      </c>
      <c r="U7" s="10">
        <v>5.75</v>
      </c>
      <c r="V7" s="10">
        <v>4</v>
      </c>
      <c r="W7" s="10">
        <v>176.85</v>
      </c>
      <c r="X7" s="10">
        <v>6</v>
      </c>
      <c r="Y7" s="10">
        <v>57.19</v>
      </c>
      <c r="Z7" s="10">
        <f>SUM(U7:Y7)</f>
        <v>249.79</v>
      </c>
      <c r="AA7" s="10">
        <v>0</v>
      </c>
      <c r="AB7" s="10">
        <v>0</v>
      </c>
      <c r="AC7" s="70">
        <f>SUM(AA7:AB7)</f>
        <v>0</v>
      </c>
      <c r="AD7" s="3">
        <v>5</v>
      </c>
      <c r="AE7" s="10">
        <v>2</v>
      </c>
      <c r="AF7" s="10">
        <v>253.79</v>
      </c>
      <c r="AG7" s="70">
        <f>SUM(AD7:AF7)</f>
        <v>260.78999999999996</v>
      </c>
      <c r="AH7" s="3">
        <v>0</v>
      </c>
      <c r="AI7" s="70">
        <v>0</v>
      </c>
      <c r="AJ7" s="3">
        <v>0</v>
      </c>
      <c r="AK7" s="10">
        <v>0</v>
      </c>
      <c r="AL7" s="70">
        <f>SUM(AH7:AK7)</f>
        <v>0</v>
      </c>
      <c r="AM7" s="71">
        <v>1817.74</v>
      </c>
    </row>
    <row r="8" spans="1:39">
      <c r="A8" s="3">
        <v>2</v>
      </c>
      <c r="B8" s="69" t="s">
        <v>20</v>
      </c>
      <c r="C8" s="4">
        <v>36.020000000000003</v>
      </c>
      <c r="D8" s="3">
        <v>0.2</v>
      </c>
      <c r="E8" s="10">
        <v>0</v>
      </c>
      <c r="F8" s="10">
        <v>0</v>
      </c>
      <c r="G8" s="10">
        <v>2.86</v>
      </c>
      <c r="H8" s="10">
        <v>0</v>
      </c>
      <c r="I8" s="10">
        <v>1.43</v>
      </c>
      <c r="J8" s="10">
        <v>5.89</v>
      </c>
      <c r="K8" s="10">
        <v>0</v>
      </c>
      <c r="L8" s="10">
        <v>0</v>
      </c>
      <c r="M8" s="10">
        <v>0</v>
      </c>
      <c r="N8" s="10">
        <v>1</v>
      </c>
      <c r="O8" s="10">
        <v>0</v>
      </c>
      <c r="P8" s="10">
        <f t="shared" ref="P8:P46" si="0">SUM(K8:O8)</f>
        <v>1</v>
      </c>
      <c r="Q8" s="10">
        <v>0</v>
      </c>
      <c r="R8" s="10">
        <v>0</v>
      </c>
      <c r="S8" s="10">
        <v>12.71</v>
      </c>
      <c r="T8" s="10">
        <f t="shared" ref="T8:T46" si="1">SUM(Q8:S8)</f>
        <v>12.71</v>
      </c>
      <c r="U8" s="10">
        <v>0.35</v>
      </c>
      <c r="V8" s="10">
        <v>0</v>
      </c>
      <c r="W8" s="10">
        <v>5</v>
      </c>
      <c r="X8" s="10">
        <v>0.49</v>
      </c>
      <c r="Y8" s="10">
        <v>0</v>
      </c>
      <c r="Z8" s="10">
        <f t="shared" ref="Z8:Z46" si="2">SUM(U8:Y8)</f>
        <v>5.84</v>
      </c>
      <c r="AA8" s="10">
        <v>0</v>
      </c>
      <c r="AB8" s="10">
        <v>0</v>
      </c>
      <c r="AC8" s="70">
        <f t="shared" ref="AC8:AC46" si="3">SUM(AA8:AB8)</f>
        <v>0</v>
      </c>
      <c r="AD8" s="3">
        <v>0</v>
      </c>
      <c r="AE8" s="10">
        <v>0.23</v>
      </c>
      <c r="AF8" s="10">
        <v>8</v>
      </c>
      <c r="AG8" s="70">
        <f t="shared" ref="AG8:AG46" si="4">SUM(AD8:AF8)</f>
        <v>8.23</v>
      </c>
      <c r="AH8" s="3">
        <v>0</v>
      </c>
      <c r="AI8" s="70">
        <v>0</v>
      </c>
      <c r="AJ8" s="3">
        <v>0.5</v>
      </c>
      <c r="AK8" s="10">
        <v>0.5</v>
      </c>
      <c r="AL8" s="70">
        <f t="shared" ref="AL8:AL46" si="5">SUM(AH8:AK8)</f>
        <v>1</v>
      </c>
      <c r="AM8" s="71">
        <v>75.180000000000007</v>
      </c>
    </row>
    <row r="9" spans="1:39">
      <c r="A9" s="3">
        <v>3</v>
      </c>
      <c r="B9" s="69" t="s">
        <v>21</v>
      </c>
      <c r="C9" s="4">
        <v>213</v>
      </c>
      <c r="D9" s="3">
        <v>3</v>
      </c>
      <c r="E9" s="10">
        <v>4</v>
      </c>
      <c r="F9" s="10">
        <v>8</v>
      </c>
      <c r="G9" s="10">
        <v>12</v>
      </c>
      <c r="H9" s="10">
        <v>5</v>
      </c>
      <c r="I9" s="10">
        <v>1</v>
      </c>
      <c r="J9" s="10">
        <v>34</v>
      </c>
      <c r="K9" s="10">
        <v>0</v>
      </c>
      <c r="L9" s="10">
        <v>2</v>
      </c>
      <c r="M9" s="10">
        <v>4</v>
      </c>
      <c r="N9" s="10">
        <v>0</v>
      </c>
      <c r="O9" s="10">
        <v>0</v>
      </c>
      <c r="P9" s="10">
        <f t="shared" si="0"/>
        <v>6</v>
      </c>
      <c r="Q9" s="10">
        <v>1</v>
      </c>
      <c r="R9" s="10">
        <v>16</v>
      </c>
      <c r="S9" s="10">
        <v>62</v>
      </c>
      <c r="T9" s="10">
        <f t="shared" si="1"/>
        <v>79</v>
      </c>
      <c r="U9" s="10">
        <v>1</v>
      </c>
      <c r="V9" s="10">
        <v>1</v>
      </c>
      <c r="W9" s="10">
        <v>76</v>
      </c>
      <c r="X9" s="10">
        <v>2</v>
      </c>
      <c r="Y9" s="10">
        <v>0</v>
      </c>
      <c r="Z9" s="10">
        <f t="shared" si="2"/>
        <v>80</v>
      </c>
      <c r="AA9" s="10">
        <v>0</v>
      </c>
      <c r="AB9" s="10">
        <v>0</v>
      </c>
      <c r="AC9" s="70">
        <f t="shared" si="3"/>
        <v>0</v>
      </c>
      <c r="AD9" s="3">
        <v>1</v>
      </c>
      <c r="AE9" s="10">
        <v>1</v>
      </c>
      <c r="AF9" s="10">
        <v>90</v>
      </c>
      <c r="AG9" s="70">
        <f t="shared" si="4"/>
        <v>92</v>
      </c>
      <c r="AH9" s="3">
        <v>0</v>
      </c>
      <c r="AI9" s="70">
        <v>0</v>
      </c>
      <c r="AJ9" s="3">
        <v>0</v>
      </c>
      <c r="AK9" s="10">
        <v>0</v>
      </c>
      <c r="AL9" s="70">
        <f t="shared" si="5"/>
        <v>0</v>
      </c>
      <c r="AM9" s="71">
        <v>537</v>
      </c>
    </row>
    <row r="10" spans="1:39">
      <c r="A10" s="3">
        <v>4</v>
      </c>
      <c r="B10" s="69" t="s">
        <v>22</v>
      </c>
      <c r="C10" s="4">
        <v>301.56</v>
      </c>
      <c r="D10" s="3">
        <v>2.5</v>
      </c>
      <c r="E10" s="10">
        <v>0.39</v>
      </c>
      <c r="F10" s="10">
        <v>0</v>
      </c>
      <c r="G10" s="10">
        <v>0</v>
      </c>
      <c r="H10" s="10">
        <v>0</v>
      </c>
      <c r="I10" s="10">
        <v>13.93</v>
      </c>
      <c r="J10" s="10">
        <v>35.85</v>
      </c>
      <c r="K10" s="10">
        <v>1</v>
      </c>
      <c r="L10" s="10">
        <v>1</v>
      </c>
      <c r="M10" s="10">
        <v>1</v>
      </c>
      <c r="N10" s="10">
        <v>2.86</v>
      </c>
      <c r="O10" s="10">
        <v>0</v>
      </c>
      <c r="P10" s="10">
        <f t="shared" si="0"/>
        <v>5.8599999999999994</v>
      </c>
      <c r="Q10" s="10">
        <v>0</v>
      </c>
      <c r="R10" s="10">
        <v>10.57</v>
      </c>
      <c r="S10" s="10">
        <v>85.86</v>
      </c>
      <c r="T10" s="10">
        <f t="shared" si="1"/>
        <v>96.43</v>
      </c>
      <c r="U10" s="10">
        <v>1.71</v>
      </c>
      <c r="V10" s="10">
        <v>3.66</v>
      </c>
      <c r="W10" s="10">
        <v>78.98</v>
      </c>
      <c r="X10" s="10">
        <v>5</v>
      </c>
      <c r="Y10" s="10">
        <v>1.71</v>
      </c>
      <c r="Z10" s="10">
        <f t="shared" si="2"/>
        <v>91.06</v>
      </c>
      <c r="AA10" s="10">
        <v>2</v>
      </c>
      <c r="AB10" s="10">
        <v>17.309999999999999</v>
      </c>
      <c r="AC10" s="70">
        <f t="shared" si="3"/>
        <v>19.309999999999999</v>
      </c>
      <c r="AD10" s="3">
        <v>23</v>
      </c>
      <c r="AE10" s="10">
        <v>1</v>
      </c>
      <c r="AF10" s="10">
        <v>50.23</v>
      </c>
      <c r="AG10" s="70">
        <f t="shared" si="4"/>
        <v>74.22999999999999</v>
      </c>
      <c r="AH10" s="3">
        <v>0</v>
      </c>
      <c r="AI10" s="70">
        <v>0</v>
      </c>
      <c r="AJ10" s="3">
        <v>2</v>
      </c>
      <c r="AK10" s="10">
        <v>0</v>
      </c>
      <c r="AL10" s="70">
        <f t="shared" si="5"/>
        <v>2</v>
      </c>
      <c r="AM10" s="71">
        <v>643.12</v>
      </c>
    </row>
    <row r="11" spans="1:39">
      <c r="A11" s="3">
        <v>5</v>
      </c>
      <c r="B11" s="69" t="s">
        <v>23</v>
      </c>
      <c r="C11" s="4">
        <v>80.86</v>
      </c>
      <c r="D11" s="3">
        <v>0</v>
      </c>
      <c r="E11" s="10">
        <v>0</v>
      </c>
      <c r="F11" s="10">
        <v>0</v>
      </c>
      <c r="G11" s="10">
        <v>3.43</v>
      </c>
      <c r="H11" s="10">
        <v>2</v>
      </c>
      <c r="I11" s="10">
        <v>3.62</v>
      </c>
      <c r="J11" s="10">
        <v>15.52</v>
      </c>
      <c r="K11" s="10">
        <v>1</v>
      </c>
      <c r="L11" s="10">
        <v>0</v>
      </c>
      <c r="M11" s="10">
        <v>3.22</v>
      </c>
      <c r="N11" s="10">
        <v>2.2000000000000002</v>
      </c>
      <c r="O11" s="10">
        <v>7.88</v>
      </c>
      <c r="P11" s="10">
        <f t="shared" si="0"/>
        <v>14.3</v>
      </c>
      <c r="Q11" s="10">
        <v>0.88</v>
      </c>
      <c r="R11" s="10">
        <v>1</v>
      </c>
      <c r="S11" s="10">
        <v>29.64</v>
      </c>
      <c r="T11" s="10">
        <f t="shared" si="1"/>
        <v>31.52</v>
      </c>
      <c r="U11" s="10">
        <v>0.91</v>
      </c>
      <c r="V11" s="10">
        <v>1</v>
      </c>
      <c r="W11" s="10">
        <v>13.52</v>
      </c>
      <c r="X11" s="10">
        <v>4</v>
      </c>
      <c r="Y11" s="10">
        <v>0</v>
      </c>
      <c r="Z11" s="10">
        <f t="shared" si="2"/>
        <v>19.43</v>
      </c>
      <c r="AA11" s="10">
        <v>0</v>
      </c>
      <c r="AB11" s="10">
        <v>0</v>
      </c>
      <c r="AC11" s="70">
        <f t="shared" si="3"/>
        <v>0</v>
      </c>
      <c r="AD11" s="3">
        <v>0.5</v>
      </c>
      <c r="AE11" s="10">
        <v>1.46</v>
      </c>
      <c r="AF11" s="10">
        <v>15.54</v>
      </c>
      <c r="AG11" s="70">
        <f t="shared" si="4"/>
        <v>17.5</v>
      </c>
      <c r="AH11" s="3">
        <v>0</v>
      </c>
      <c r="AI11" s="70">
        <v>0</v>
      </c>
      <c r="AJ11" s="3">
        <v>0</v>
      </c>
      <c r="AK11" s="10">
        <v>0</v>
      </c>
      <c r="AL11" s="70">
        <f t="shared" si="5"/>
        <v>0</v>
      </c>
      <c r="AM11" s="71">
        <v>188.18</v>
      </c>
    </row>
    <row r="12" spans="1:39">
      <c r="A12" s="3">
        <v>6</v>
      </c>
      <c r="B12" s="69" t="s">
        <v>24</v>
      </c>
      <c r="C12" s="4">
        <v>5.13</v>
      </c>
      <c r="D12" s="3">
        <v>0</v>
      </c>
      <c r="E12" s="10">
        <v>0</v>
      </c>
      <c r="F12" s="10">
        <v>0</v>
      </c>
      <c r="G12" s="10">
        <v>0</v>
      </c>
      <c r="H12" s="10">
        <v>0</v>
      </c>
      <c r="I12" s="10">
        <v>1</v>
      </c>
      <c r="J12" s="10">
        <v>1.5</v>
      </c>
      <c r="K12" s="10">
        <v>0.85</v>
      </c>
      <c r="L12" s="10">
        <v>0</v>
      </c>
      <c r="M12" s="10">
        <v>0</v>
      </c>
      <c r="N12" s="10">
        <v>0</v>
      </c>
      <c r="O12" s="10">
        <v>0</v>
      </c>
      <c r="P12" s="10">
        <f t="shared" si="0"/>
        <v>0.85</v>
      </c>
      <c r="Q12" s="10">
        <v>0</v>
      </c>
      <c r="R12" s="10">
        <v>0.5</v>
      </c>
      <c r="S12" s="10">
        <v>3.44</v>
      </c>
      <c r="T12" s="10">
        <f t="shared" si="1"/>
        <v>3.94</v>
      </c>
      <c r="U12" s="10">
        <v>0.15</v>
      </c>
      <c r="V12" s="10">
        <v>0</v>
      </c>
      <c r="W12" s="10">
        <v>1.73</v>
      </c>
      <c r="X12" s="10">
        <v>0.5</v>
      </c>
      <c r="Y12" s="10">
        <v>0</v>
      </c>
      <c r="Z12" s="10">
        <f t="shared" si="2"/>
        <v>2.38</v>
      </c>
      <c r="AA12" s="10">
        <v>0</v>
      </c>
      <c r="AB12" s="10">
        <v>0</v>
      </c>
      <c r="AC12" s="70">
        <f t="shared" si="3"/>
        <v>0</v>
      </c>
      <c r="AD12" s="3">
        <v>0</v>
      </c>
      <c r="AE12" s="10">
        <v>0</v>
      </c>
      <c r="AF12" s="10">
        <v>1.88</v>
      </c>
      <c r="AG12" s="70">
        <f t="shared" si="4"/>
        <v>1.88</v>
      </c>
      <c r="AH12" s="3">
        <v>0</v>
      </c>
      <c r="AI12" s="70">
        <v>0</v>
      </c>
      <c r="AJ12" s="3">
        <v>0.5</v>
      </c>
      <c r="AK12" s="10">
        <v>0</v>
      </c>
      <c r="AL12" s="70">
        <f t="shared" si="5"/>
        <v>0.5</v>
      </c>
      <c r="AM12" s="71">
        <v>17.18</v>
      </c>
    </row>
    <row r="13" spans="1:39">
      <c r="A13" s="3">
        <v>7</v>
      </c>
      <c r="B13" s="69" t="s">
        <v>25</v>
      </c>
      <c r="C13" s="4">
        <v>1131.55</v>
      </c>
      <c r="D13" s="3">
        <v>0</v>
      </c>
      <c r="E13" s="10">
        <v>2</v>
      </c>
      <c r="F13" s="10">
        <v>92.99</v>
      </c>
      <c r="G13" s="10">
        <v>60.27</v>
      </c>
      <c r="H13" s="10">
        <v>12</v>
      </c>
      <c r="I13" s="10">
        <v>3.06</v>
      </c>
      <c r="J13" s="10">
        <v>164.28</v>
      </c>
      <c r="K13" s="10">
        <v>1</v>
      </c>
      <c r="L13" s="10">
        <v>4</v>
      </c>
      <c r="M13" s="10">
        <v>11</v>
      </c>
      <c r="N13" s="10">
        <v>36.159999999999997</v>
      </c>
      <c r="O13" s="10">
        <v>76.989999999999995</v>
      </c>
      <c r="P13" s="10">
        <f t="shared" si="0"/>
        <v>129.14999999999998</v>
      </c>
      <c r="Q13" s="10">
        <v>8.8800000000000008</v>
      </c>
      <c r="R13" s="10">
        <v>6</v>
      </c>
      <c r="S13" s="10">
        <v>497.22</v>
      </c>
      <c r="T13" s="10">
        <f t="shared" si="1"/>
        <v>512.1</v>
      </c>
      <c r="U13" s="10">
        <v>8.48</v>
      </c>
      <c r="V13" s="10">
        <v>2</v>
      </c>
      <c r="W13" s="10">
        <v>147.19</v>
      </c>
      <c r="X13" s="10">
        <v>12</v>
      </c>
      <c r="Y13" s="10">
        <v>60.71</v>
      </c>
      <c r="Z13" s="10">
        <f t="shared" si="2"/>
        <v>230.38</v>
      </c>
      <c r="AA13" s="10">
        <v>4</v>
      </c>
      <c r="AB13" s="10">
        <v>59.83</v>
      </c>
      <c r="AC13" s="70">
        <f t="shared" si="3"/>
        <v>63.83</v>
      </c>
      <c r="AD13" s="3">
        <v>6.45</v>
      </c>
      <c r="AE13" s="10">
        <v>3.48</v>
      </c>
      <c r="AF13" s="10">
        <v>236.13</v>
      </c>
      <c r="AG13" s="70">
        <f t="shared" si="4"/>
        <v>246.06</v>
      </c>
      <c r="AH13" s="3">
        <v>0</v>
      </c>
      <c r="AI13" s="70">
        <v>0</v>
      </c>
      <c r="AJ13" s="3">
        <v>8</v>
      </c>
      <c r="AK13" s="10">
        <v>6</v>
      </c>
      <c r="AL13" s="70">
        <f t="shared" si="5"/>
        <v>14</v>
      </c>
      <c r="AM13" s="71">
        <v>2661.67</v>
      </c>
    </row>
    <row r="14" spans="1:39">
      <c r="A14" s="3">
        <v>8</v>
      </c>
      <c r="B14" s="69" t="s">
        <v>26</v>
      </c>
      <c r="C14" s="4">
        <v>88.76</v>
      </c>
      <c r="D14" s="3">
        <v>1</v>
      </c>
      <c r="E14" s="10">
        <v>0</v>
      </c>
      <c r="F14" s="10">
        <v>0</v>
      </c>
      <c r="G14" s="10">
        <v>4.93</v>
      </c>
      <c r="H14" s="10">
        <v>0</v>
      </c>
      <c r="I14" s="10">
        <v>1</v>
      </c>
      <c r="J14" s="10">
        <v>19.73</v>
      </c>
      <c r="K14" s="10">
        <v>1</v>
      </c>
      <c r="L14" s="10">
        <v>0</v>
      </c>
      <c r="M14" s="10">
        <v>3.5</v>
      </c>
      <c r="N14" s="10">
        <v>3</v>
      </c>
      <c r="O14" s="10">
        <v>3</v>
      </c>
      <c r="P14" s="10">
        <f t="shared" si="0"/>
        <v>10.5</v>
      </c>
      <c r="Q14" s="10">
        <v>0</v>
      </c>
      <c r="R14" s="10">
        <v>1</v>
      </c>
      <c r="S14" s="10">
        <v>39.35</v>
      </c>
      <c r="T14" s="10">
        <f t="shared" si="1"/>
        <v>40.35</v>
      </c>
      <c r="U14" s="10">
        <v>0.5</v>
      </c>
      <c r="V14" s="10">
        <v>1</v>
      </c>
      <c r="W14" s="10">
        <v>19.75</v>
      </c>
      <c r="X14" s="10">
        <v>3.38</v>
      </c>
      <c r="Y14" s="10">
        <v>0.25</v>
      </c>
      <c r="Z14" s="10">
        <f t="shared" si="2"/>
        <v>24.88</v>
      </c>
      <c r="AA14" s="10">
        <v>0</v>
      </c>
      <c r="AB14" s="10">
        <v>0</v>
      </c>
      <c r="AC14" s="70">
        <f t="shared" si="3"/>
        <v>0</v>
      </c>
      <c r="AD14" s="3">
        <v>1</v>
      </c>
      <c r="AE14" s="10">
        <v>1</v>
      </c>
      <c r="AF14" s="10">
        <v>24.46</v>
      </c>
      <c r="AG14" s="70">
        <f t="shared" si="4"/>
        <v>26.46</v>
      </c>
      <c r="AH14" s="3">
        <v>0</v>
      </c>
      <c r="AI14" s="70">
        <v>0</v>
      </c>
      <c r="AJ14" s="3">
        <v>4</v>
      </c>
      <c r="AK14" s="10">
        <v>0</v>
      </c>
      <c r="AL14" s="70">
        <f t="shared" si="5"/>
        <v>4</v>
      </c>
      <c r="AM14" s="71">
        <v>221.61</v>
      </c>
    </row>
    <row r="15" spans="1:39">
      <c r="A15" s="3">
        <v>9</v>
      </c>
      <c r="B15" s="69" t="s">
        <v>27</v>
      </c>
      <c r="C15" s="4">
        <v>35.51</v>
      </c>
      <c r="D15" s="3">
        <v>0</v>
      </c>
      <c r="E15" s="10">
        <v>0.88</v>
      </c>
      <c r="F15" s="10">
        <v>0</v>
      </c>
      <c r="G15" s="10">
        <v>8.52</v>
      </c>
      <c r="H15" s="10">
        <v>0</v>
      </c>
      <c r="I15" s="10">
        <v>1</v>
      </c>
      <c r="J15" s="10">
        <v>11</v>
      </c>
      <c r="K15" s="10">
        <v>1</v>
      </c>
      <c r="L15" s="10">
        <v>0</v>
      </c>
      <c r="M15" s="10">
        <v>2</v>
      </c>
      <c r="N15" s="10">
        <v>0</v>
      </c>
      <c r="O15" s="10">
        <v>0</v>
      </c>
      <c r="P15" s="10">
        <f t="shared" si="0"/>
        <v>3</v>
      </c>
      <c r="Q15" s="10">
        <v>1</v>
      </c>
      <c r="R15" s="10">
        <v>0</v>
      </c>
      <c r="S15" s="10">
        <v>32.25</v>
      </c>
      <c r="T15" s="10">
        <f t="shared" si="1"/>
        <v>33.25</v>
      </c>
      <c r="U15" s="10">
        <v>1</v>
      </c>
      <c r="V15" s="10">
        <v>1</v>
      </c>
      <c r="W15" s="10">
        <v>8.6999999999999993</v>
      </c>
      <c r="X15" s="10">
        <v>1</v>
      </c>
      <c r="Y15" s="10">
        <v>0</v>
      </c>
      <c r="Z15" s="10">
        <f t="shared" si="2"/>
        <v>11.7</v>
      </c>
      <c r="AA15" s="10">
        <v>0</v>
      </c>
      <c r="AB15" s="10">
        <v>0</v>
      </c>
      <c r="AC15" s="70">
        <f t="shared" si="3"/>
        <v>0</v>
      </c>
      <c r="AD15" s="3">
        <v>1</v>
      </c>
      <c r="AE15" s="10">
        <v>0</v>
      </c>
      <c r="AF15" s="10">
        <v>12</v>
      </c>
      <c r="AG15" s="70">
        <f t="shared" si="4"/>
        <v>13</v>
      </c>
      <c r="AH15" s="3">
        <v>0</v>
      </c>
      <c r="AI15" s="70">
        <v>0</v>
      </c>
      <c r="AJ15" s="3">
        <v>0</v>
      </c>
      <c r="AK15" s="10">
        <v>1</v>
      </c>
      <c r="AL15" s="70">
        <f t="shared" si="5"/>
        <v>1</v>
      </c>
      <c r="AM15" s="71">
        <v>118.86</v>
      </c>
    </row>
    <row r="16" spans="1:39">
      <c r="A16" s="3">
        <v>10</v>
      </c>
      <c r="B16" s="69" t="s">
        <v>28</v>
      </c>
      <c r="C16" s="4">
        <v>24.71</v>
      </c>
      <c r="D16" s="3">
        <v>0.5</v>
      </c>
      <c r="E16" s="10">
        <v>0</v>
      </c>
      <c r="F16" s="10">
        <v>0</v>
      </c>
      <c r="G16" s="10">
        <v>4.49</v>
      </c>
      <c r="H16" s="10">
        <v>1</v>
      </c>
      <c r="I16" s="10">
        <v>1</v>
      </c>
      <c r="J16" s="10">
        <v>7</v>
      </c>
      <c r="K16" s="10">
        <v>1</v>
      </c>
      <c r="L16" s="10">
        <v>0</v>
      </c>
      <c r="M16" s="10">
        <v>1</v>
      </c>
      <c r="N16" s="10">
        <v>0</v>
      </c>
      <c r="O16" s="10">
        <v>0</v>
      </c>
      <c r="P16" s="10">
        <f t="shared" si="0"/>
        <v>2</v>
      </c>
      <c r="Q16" s="10">
        <v>0</v>
      </c>
      <c r="R16" s="10">
        <v>0</v>
      </c>
      <c r="S16" s="10">
        <v>8.93</v>
      </c>
      <c r="T16" s="10">
        <f t="shared" si="1"/>
        <v>8.93</v>
      </c>
      <c r="U16" s="10">
        <v>0</v>
      </c>
      <c r="V16" s="10">
        <v>1</v>
      </c>
      <c r="W16" s="10">
        <v>3.91</v>
      </c>
      <c r="X16" s="10">
        <v>0</v>
      </c>
      <c r="Y16" s="10">
        <v>0</v>
      </c>
      <c r="Z16" s="10">
        <f t="shared" si="2"/>
        <v>4.91</v>
      </c>
      <c r="AA16" s="10">
        <v>0</v>
      </c>
      <c r="AB16" s="10">
        <v>0</v>
      </c>
      <c r="AC16" s="70">
        <f t="shared" si="3"/>
        <v>0</v>
      </c>
      <c r="AD16" s="3">
        <v>1</v>
      </c>
      <c r="AE16" s="10">
        <v>0</v>
      </c>
      <c r="AF16" s="10">
        <v>6.52</v>
      </c>
      <c r="AG16" s="70">
        <f t="shared" si="4"/>
        <v>7.52</v>
      </c>
      <c r="AH16" s="3">
        <v>0</v>
      </c>
      <c r="AI16" s="70">
        <v>0.21</v>
      </c>
      <c r="AJ16" s="3">
        <v>0</v>
      </c>
      <c r="AK16" s="10">
        <v>1</v>
      </c>
      <c r="AL16" s="70">
        <f t="shared" si="5"/>
        <v>1.21</v>
      </c>
      <c r="AM16" s="71">
        <v>63.27</v>
      </c>
    </row>
    <row r="17" spans="1:39">
      <c r="A17" s="3">
        <v>11</v>
      </c>
      <c r="B17" s="69" t="s">
        <v>29</v>
      </c>
      <c r="C17" s="4">
        <v>45.5</v>
      </c>
      <c r="D17" s="3">
        <v>0</v>
      </c>
      <c r="E17" s="10">
        <v>1</v>
      </c>
      <c r="F17" s="10">
        <v>0</v>
      </c>
      <c r="G17" s="10">
        <v>0</v>
      </c>
      <c r="H17" s="10">
        <v>0</v>
      </c>
      <c r="I17" s="10">
        <v>2</v>
      </c>
      <c r="J17" s="10">
        <v>8</v>
      </c>
      <c r="K17" s="10">
        <v>1</v>
      </c>
      <c r="L17" s="10">
        <v>1</v>
      </c>
      <c r="M17" s="10">
        <v>1</v>
      </c>
      <c r="N17" s="10">
        <v>0</v>
      </c>
      <c r="O17" s="10">
        <v>0</v>
      </c>
      <c r="P17" s="10">
        <f t="shared" si="0"/>
        <v>3</v>
      </c>
      <c r="Q17" s="10">
        <v>0</v>
      </c>
      <c r="R17" s="10">
        <v>1</v>
      </c>
      <c r="S17" s="10">
        <v>14.5</v>
      </c>
      <c r="T17" s="10">
        <f t="shared" si="1"/>
        <v>15.5</v>
      </c>
      <c r="U17" s="10">
        <v>0</v>
      </c>
      <c r="V17" s="10">
        <v>1</v>
      </c>
      <c r="W17" s="10">
        <v>8</v>
      </c>
      <c r="X17" s="10">
        <v>1</v>
      </c>
      <c r="Y17" s="10">
        <v>0</v>
      </c>
      <c r="Z17" s="10">
        <f t="shared" si="2"/>
        <v>10</v>
      </c>
      <c r="AA17" s="10">
        <v>2</v>
      </c>
      <c r="AB17" s="10">
        <v>1</v>
      </c>
      <c r="AC17" s="70">
        <f t="shared" si="3"/>
        <v>3</v>
      </c>
      <c r="AD17" s="3">
        <v>1</v>
      </c>
      <c r="AE17" s="10">
        <v>0</v>
      </c>
      <c r="AF17" s="10">
        <v>12</v>
      </c>
      <c r="AG17" s="70">
        <f t="shared" si="4"/>
        <v>13</v>
      </c>
      <c r="AH17" s="3">
        <v>0</v>
      </c>
      <c r="AI17" s="70">
        <v>0</v>
      </c>
      <c r="AJ17" s="3">
        <v>0</v>
      </c>
      <c r="AK17" s="10">
        <v>0</v>
      </c>
      <c r="AL17" s="70">
        <f t="shared" si="5"/>
        <v>0</v>
      </c>
      <c r="AM17" s="71">
        <v>101</v>
      </c>
    </row>
    <row r="18" spans="1:39">
      <c r="A18" s="3">
        <v>12</v>
      </c>
      <c r="B18" s="69" t="s">
        <v>30</v>
      </c>
      <c r="C18" s="4">
        <v>616.92999999999995</v>
      </c>
      <c r="D18" s="3">
        <v>20.83</v>
      </c>
      <c r="E18" s="10">
        <v>71.37</v>
      </c>
      <c r="F18" s="10">
        <v>76.92</v>
      </c>
      <c r="G18" s="10">
        <v>32.97</v>
      </c>
      <c r="H18" s="10">
        <v>0</v>
      </c>
      <c r="I18" s="10">
        <v>6.5</v>
      </c>
      <c r="J18" s="10">
        <v>157.96</v>
      </c>
      <c r="K18" s="10">
        <v>1</v>
      </c>
      <c r="L18" s="10">
        <v>7.87</v>
      </c>
      <c r="M18" s="10">
        <v>2.87</v>
      </c>
      <c r="N18" s="10">
        <v>33.880000000000003</v>
      </c>
      <c r="O18" s="10">
        <v>51.48</v>
      </c>
      <c r="P18" s="10">
        <f t="shared" si="0"/>
        <v>97.1</v>
      </c>
      <c r="Q18" s="10">
        <v>7.5</v>
      </c>
      <c r="R18" s="10">
        <v>24.75</v>
      </c>
      <c r="S18" s="10">
        <v>457.71</v>
      </c>
      <c r="T18" s="10">
        <f t="shared" si="1"/>
        <v>489.96</v>
      </c>
      <c r="U18" s="10">
        <v>3.5</v>
      </c>
      <c r="V18" s="10">
        <v>2</v>
      </c>
      <c r="W18" s="10">
        <v>144.59</v>
      </c>
      <c r="X18" s="10">
        <v>9</v>
      </c>
      <c r="Y18" s="10">
        <v>0</v>
      </c>
      <c r="Z18" s="10">
        <f t="shared" si="2"/>
        <v>159.09</v>
      </c>
      <c r="AA18" s="10">
        <v>0</v>
      </c>
      <c r="AB18" s="10">
        <v>0</v>
      </c>
      <c r="AC18" s="70">
        <f t="shared" si="3"/>
        <v>0</v>
      </c>
      <c r="AD18" s="3">
        <v>34.56</v>
      </c>
      <c r="AE18" s="10">
        <v>26.58</v>
      </c>
      <c r="AF18" s="10">
        <v>362.94</v>
      </c>
      <c r="AG18" s="70">
        <f t="shared" si="4"/>
        <v>424.08</v>
      </c>
      <c r="AH18" s="3">
        <v>0</v>
      </c>
      <c r="AI18" s="70">
        <v>0</v>
      </c>
      <c r="AJ18" s="3">
        <v>77.95</v>
      </c>
      <c r="AK18" s="10">
        <v>1</v>
      </c>
      <c r="AL18" s="70">
        <f t="shared" si="5"/>
        <v>78.95</v>
      </c>
      <c r="AM18" s="71">
        <v>2232.66</v>
      </c>
    </row>
    <row r="19" spans="1:39">
      <c r="A19" s="3">
        <v>13</v>
      </c>
      <c r="B19" s="69" t="s">
        <v>31</v>
      </c>
      <c r="C19" s="4">
        <v>234.1</v>
      </c>
      <c r="D19" s="3">
        <v>2.8</v>
      </c>
      <c r="E19" s="10">
        <v>2.7</v>
      </c>
      <c r="F19" s="10">
        <v>1.3</v>
      </c>
      <c r="G19" s="10">
        <v>10.1</v>
      </c>
      <c r="H19" s="10">
        <v>0</v>
      </c>
      <c r="I19" s="10">
        <v>0.5</v>
      </c>
      <c r="J19" s="10">
        <v>30.2</v>
      </c>
      <c r="K19" s="10">
        <v>1</v>
      </c>
      <c r="L19" s="10">
        <v>0</v>
      </c>
      <c r="M19" s="10">
        <v>2</v>
      </c>
      <c r="N19" s="10">
        <v>5.7</v>
      </c>
      <c r="O19" s="10">
        <v>6</v>
      </c>
      <c r="P19" s="10">
        <f t="shared" si="0"/>
        <v>14.7</v>
      </c>
      <c r="Q19" s="10">
        <v>0.2</v>
      </c>
      <c r="R19" s="10">
        <v>2</v>
      </c>
      <c r="S19" s="10">
        <v>66.8</v>
      </c>
      <c r="T19" s="10">
        <f t="shared" si="1"/>
        <v>69</v>
      </c>
      <c r="U19" s="10">
        <v>1.8</v>
      </c>
      <c r="V19" s="10">
        <v>1</v>
      </c>
      <c r="W19" s="10">
        <v>31.9</v>
      </c>
      <c r="X19" s="10">
        <v>5.4</v>
      </c>
      <c r="Y19" s="10">
        <v>1</v>
      </c>
      <c r="Z19" s="10">
        <f t="shared" si="2"/>
        <v>41.099999999999994</v>
      </c>
      <c r="AA19" s="10">
        <v>0</v>
      </c>
      <c r="AB19" s="10">
        <v>0</v>
      </c>
      <c r="AC19" s="70">
        <f t="shared" si="3"/>
        <v>0</v>
      </c>
      <c r="AD19" s="3">
        <v>1</v>
      </c>
      <c r="AE19" s="10">
        <v>0</v>
      </c>
      <c r="AF19" s="10">
        <v>40.299999999999997</v>
      </c>
      <c r="AG19" s="70">
        <f t="shared" si="4"/>
        <v>41.3</v>
      </c>
      <c r="AH19" s="3">
        <v>0</v>
      </c>
      <c r="AI19" s="70">
        <v>1</v>
      </c>
      <c r="AJ19" s="3">
        <v>3</v>
      </c>
      <c r="AK19" s="10">
        <v>0</v>
      </c>
      <c r="AL19" s="70">
        <f t="shared" si="5"/>
        <v>4</v>
      </c>
      <c r="AM19" s="71">
        <v>451.8</v>
      </c>
    </row>
    <row r="20" spans="1:39">
      <c r="A20" s="3">
        <v>14</v>
      </c>
      <c r="B20" s="69" t="s">
        <v>32</v>
      </c>
      <c r="C20" s="4">
        <v>917.92</v>
      </c>
      <c r="D20" s="3">
        <v>11.5</v>
      </c>
      <c r="E20" s="10">
        <v>20.2</v>
      </c>
      <c r="F20" s="10">
        <v>107.16</v>
      </c>
      <c r="G20" s="10">
        <v>77.83</v>
      </c>
      <c r="H20" s="10">
        <v>0</v>
      </c>
      <c r="I20" s="10">
        <v>9</v>
      </c>
      <c r="J20" s="10">
        <v>256.64999999999998</v>
      </c>
      <c r="K20" s="10">
        <v>1</v>
      </c>
      <c r="L20" s="10">
        <v>3</v>
      </c>
      <c r="M20" s="10">
        <v>8.5</v>
      </c>
      <c r="N20" s="10">
        <v>23.86</v>
      </c>
      <c r="O20" s="10">
        <v>0</v>
      </c>
      <c r="P20" s="10">
        <f t="shared" si="0"/>
        <v>36.36</v>
      </c>
      <c r="Q20" s="10">
        <v>13.86</v>
      </c>
      <c r="R20" s="10">
        <v>8</v>
      </c>
      <c r="S20" s="10">
        <v>400.79</v>
      </c>
      <c r="T20" s="10">
        <f t="shared" si="1"/>
        <v>422.65000000000003</v>
      </c>
      <c r="U20" s="10">
        <v>23.72</v>
      </c>
      <c r="V20" s="10">
        <v>5</v>
      </c>
      <c r="W20" s="10">
        <v>160.91999999999999</v>
      </c>
      <c r="X20" s="10">
        <v>19</v>
      </c>
      <c r="Y20" s="10">
        <v>0</v>
      </c>
      <c r="Z20" s="10">
        <f t="shared" si="2"/>
        <v>208.64</v>
      </c>
      <c r="AA20" s="10">
        <v>6</v>
      </c>
      <c r="AB20" s="10">
        <v>50.59</v>
      </c>
      <c r="AC20" s="70">
        <f t="shared" si="3"/>
        <v>56.59</v>
      </c>
      <c r="AD20" s="3">
        <v>1</v>
      </c>
      <c r="AE20" s="10">
        <v>11</v>
      </c>
      <c r="AF20" s="10">
        <v>417.92</v>
      </c>
      <c r="AG20" s="70">
        <f t="shared" si="4"/>
        <v>429.92</v>
      </c>
      <c r="AH20" s="3">
        <v>69.040000000000006</v>
      </c>
      <c r="AI20" s="70">
        <v>0</v>
      </c>
      <c r="AJ20" s="3">
        <v>4</v>
      </c>
      <c r="AK20" s="10">
        <v>1</v>
      </c>
      <c r="AL20" s="70">
        <f t="shared" si="5"/>
        <v>74.040000000000006</v>
      </c>
      <c r="AM20" s="71">
        <v>2628.46</v>
      </c>
    </row>
    <row r="21" spans="1:39">
      <c r="A21" s="3">
        <v>15</v>
      </c>
      <c r="B21" s="69" t="s">
        <v>33</v>
      </c>
      <c r="C21" s="4">
        <v>42.83</v>
      </c>
      <c r="D21" s="3">
        <v>0.48</v>
      </c>
      <c r="E21" s="10">
        <v>0</v>
      </c>
      <c r="F21" s="10">
        <v>1.33</v>
      </c>
      <c r="G21" s="10">
        <v>3.65</v>
      </c>
      <c r="H21" s="10">
        <v>0</v>
      </c>
      <c r="I21" s="10">
        <v>0.5</v>
      </c>
      <c r="J21" s="10">
        <v>6</v>
      </c>
      <c r="K21" s="10">
        <v>1</v>
      </c>
      <c r="L21" s="10">
        <v>0</v>
      </c>
      <c r="M21" s="10">
        <v>0</v>
      </c>
      <c r="N21" s="10">
        <v>1.64</v>
      </c>
      <c r="O21" s="10">
        <v>0</v>
      </c>
      <c r="P21" s="10">
        <f t="shared" si="0"/>
        <v>2.6399999999999997</v>
      </c>
      <c r="Q21" s="10">
        <v>0.33</v>
      </c>
      <c r="R21" s="10">
        <v>5</v>
      </c>
      <c r="S21" s="10">
        <v>14.31</v>
      </c>
      <c r="T21" s="10">
        <f t="shared" si="1"/>
        <v>19.64</v>
      </c>
      <c r="U21" s="10">
        <v>0.2</v>
      </c>
      <c r="V21" s="10">
        <v>0.25</v>
      </c>
      <c r="W21" s="10">
        <v>3.63</v>
      </c>
      <c r="X21" s="10">
        <v>0</v>
      </c>
      <c r="Y21" s="10">
        <v>0</v>
      </c>
      <c r="Z21" s="10">
        <f t="shared" si="2"/>
        <v>4.08</v>
      </c>
      <c r="AA21" s="10">
        <v>0</v>
      </c>
      <c r="AB21" s="10">
        <v>4.16</v>
      </c>
      <c r="AC21" s="70">
        <f t="shared" si="3"/>
        <v>4.16</v>
      </c>
      <c r="AD21" s="3">
        <v>5</v>
      </c>
      <c r="AE21" s="10">
        <v>0</v>
      </c>
      <c r="AF21" s="10">
        <v>9.43</v>
      </c>
      <c r="AG21" s="70">
        <f t="shared" si="4"/>
        <v>14.43</v>
      </c>
      <c r="AH21" s="3">
        <v>0</v>
      </c>
      <c r="AI21" s="70">
        <v>0</v>
      </c>
      <c r="AJ21" s="3">
        <v>0</v>
      </c>
      <c r="AK21" s="10">
        <v>0.25</v>
      </c>
      <c r="AL21" s="70">
        <f t="shared" si="5"/>
        <v>0.25</v>
      </c>
      <c r="AM21" s="71">
        <v>99.99</v>
      </c>
    </row>
    <row r="22" spans="1:39">
      <c r="A22" s="3">
        <v>16</v>
      </c>
      <c r="B22" s="69" t="s">
        <v>34</v>
      </c>
      <c r="C22" s="4">
        <v>33.24</v>
      </c>
      <c r="D22" s="3">
        <v>0</v>
      </c>
      <c r="E22" s="10">
        <v>0</v>
      </c>
      <c r="F22" s="10">
        <v>0</v>
      </c>
      <c r="G22" s="10">
        <v>3.25</v>
      </c>
      <c r="H22" s="10">
        <v>1</v>
      </c>
      <c r="I22" s="10">
        <v>1</v>
      </c>
      <c r="J22" s="10">
        <v>7.9</v>
      </c>
      <c r="K22" s="10">
        <v>1</v>
      </c>
      <c r="L22" s="10">
        <v>0</v>
      </c>
      <c r="M22" s="10">
        <v>0</v>
      </c>
      <c r="N22" s="10">
        <v>1.75</v>
      </c>
      <c r="O22" s="10">
        <v>0</v>
      </c>
      <c r="P22" s="10">
        <f t="shared" si="0"/>
        <v>2.75</v>
      </c>
      <c r="Q22" s="10">
        <v>0</v>
      </c>
      <c r="R22" s="10">
        <v>0.25</v>
      </c>
      <c r="S22" s="10">
        <v>12.74</v>
      </c>
      <c r="T22" s="10">
        <f t="shared" si="1"/>
        <v>12.99</v>
      </c>
      <c r="U22" s="10">
        <v>0</v>
      </c>
      <c r="V22" s="10">
        <v>0.75</v>
      </c>
      <c r="W22" s="10">
        <v>6.98</v>
      </c>
      <c r="X22" s="10">
        <v>0</v>
      </c>
      <c r="Y22" s="10">
        <v>0</v>
      </c>
      <c r="Z22" s="10">
        <f t="shared" si="2"/>
        <v>7.73</v>
      </c>
      <c r="AA22" s="10">
        <v>1</v>
      </c>
      <c r="AB22" s="10">
        <v>0</v>
      </c>
      <c r="AC22" s="70">
        <f t="shared" si="3"/>
        <v>1</v>
      </c>
      <c r="AD22" s="3">
        <v>0.25</v>
      </c>
      <c r="AE22" s="10">
        <v>0</v>
      </c>
      <c r="AF22" s="10">
        <v>8.35</v>
      </c>
      <c r="AG22" s="70">
        <f t="shared" si="4"/>
        <v>8.6</v>
      </c>
      <c r="AH22" s="3">
        <v>0</v>
      </c>
      <c r="AI22" s="70">
        <v>0</v>
      </c>
      <c r="AJ22" s="3">
        <v>0</v>
      </c>
      <c r="AK22" s="10">
        <v>0</v>
      </c>
      <c r="AL22" s="70">
        <f t="shared" si="5"/>
        <v>0</v>
      </c>
      <c r="AM22" s="71">
        <v>79.459999999999994</v>
      </c>
    </row>
    <row r="23" spans="1:39">
      <c r="A23" s="3">
        <v>39</v>
      </c>
      <c r="B23" s="69" t="s">
        <v>57</v>
      </c>
      <c r="C23" s="4">
        <v>151.75</v>
      </c>
      <c r="D23" s="3">
        <v>1</v>
      </c>
      <c r="E23" s="10">
        <v>3.5</v>
      </c>
      <c r="F23" s="10">
        <v>1.5</v>
      </c>
      <c r="G23" s="10">
        <v>7.5</v>
      </c>
      <c r="H23" s="10">
        <v>0</v>
      </c>
      <c r="I23" s="10">
        <v>7</v>
      </c>
      <c r="J23" s="10">
        <v>14</v>
      </c>
      <c r="K23" s="10">
        <v>1</v>
      </c>
      <c r="L23" s="10">
        <v>0</v>
      </c>
      <c r="M23" s="10">
        <v>1</v>
      </c>
      <c r="N23" s="10">
        <v>2</v>
      </c>
      <c r="O23" s="10">
        <v>0</v>
      </c>
      <c r="P23" s="10">
        <f t="shared" si="0"/>
        <v>4</v>
      </c>
      <c r="Q23" s="10">
        <v>0</v>
      </c>
      <c r="R23" s="10">
        <v>1</v>
      </c>
      <c r="S23" s="10">
        <v>45.5</v>
      </c>
      <c r="T23" s="10">
        <f t="shared" si="1"/>
        <v>46.5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f t="shared" si="2"/>
        <v>0</v>
      </c>
      <c r="AA23" s="10">
        <v>0</v>
      </c>
      <c r="AB23" s="10">
        <v>6</v>
      </c>
      <c r="AC23" s="70">
        <f t="shared" si="3"/>
        <v>6</v>
      </c>
      <c r="AD23" s="3">
        <v>1</v>
      </c>
      <c r="AE23" s="10">
        <v>3</v>
      </c>
      <c r="AF23" s="10">
        <v>35.5</v>
      </c>
      <c r="AG23" s="70">
        <f t="shared" si="4"/>
        <v>39.5</v>
      </c>
      <c r="AH23" s="3">
        <v>0</v>
      </c>
      <c r="AI23" s="70">
        <v>0</v>
      </c>
      <c r="AJ23" s="3">
        <v>0</v>
      </c>
      <c r="AK23" s="10">
        <v>0</v>
      </c>
      <c r="AL23" s="70">
        <f t="shared" si="5"/>
        <v>0</v>
      </c>
      <c r="AM23" s="71">
        <v>282.25</v>
      </c>
    </row>
    <row r="24" spans="1:39">
      <c r="A24" s="3">
        <v>17</v>
      </c>
      <c r="B24" s="69" t="s">
        <v>35</v>
      </c>
      <c r="C24" s="4">
        <v>60.88</v>
      </c>
      <c r="D24" s="3">
        <v>0</v>
      </c>
      <c r="E24" s="10">
        <v>0</v>
      </c>
      <c r="F24" s="10">
        <v>0</v>
      </c>
      <c r="G24" s="10">
        <v>4.5</v>
      </c>
      <c r="H24" s="10">
        <v>0</v>
      </c>
      <c r="I24" s="10">
        <v>1.75</v>
      </c>
      <c r="J24" s="10">
        <v>10</v>
      </c>
      <c r="K24" s="10">
        <v>1</v>
      </c>
      <c r="L24" s="10">
        <v>0</v>
      </c>
      <c r="M24" s="10">
        <v>2</v>
      </c>
      <c r="N24" s="10">
        <v>0</v>
      </c>
      <c r="O24" s="10">
        <v>0</v>
      </c>
      <c r="P24" s="10">
        <f t="shared" si="0"/>
        <v>3</v>
      </c>
      <c r="Q24" s="10">
        <v>0.25</v>
      </c>
      <c r="R24" s="10">
        <v>1</v>
      </c>
      <c r="S24" s="10">
        <v>29.34</v>
      </c>
      <c r="T24" s="10">
        <f t="shared" si="1"/>
        <v>30.59</v>
      </c>
      <c r="U24" s="10">
        <v>1</v>
      </c>
      <c r="V24" s="10">
        <v>1</v>
      </c>
      <c r="W24" s="10">
        <v>11.6</v>
      </c>
      <c r="X24" s="10">
        <v>1</v>
      </c>
      <c r="Y24" s="10">
        <v>0</v>
      </c>
      <c r="Z24" s="10">
        <f t="shared" si="2"/>
        <v>14.6</v>
      </c>
      <c r="AA24" s="10">
        <v>0</v>
      </c>
      <c r="AB24" s="10">
        <v>0</v>
      </c>
      <c r="AC24" s="70">
        <f t="shared" si="3"/>
        <v>0</v>
      </c>
      <c r="AD24" s="3">
        <v>1</v>
      </c>
      <c r="AE24" s="10">
        <v>0.25</v>
      </c>
      <c r="AF24" s="10">
        <v>26.09</v>
      </c>
      <c r="AG24" s="70">
        <f t="shared" si="4"/>
        <v>27.34</v>
      </c>
      <c r="AH24" s="3">
        <v>0</v>
      </c>
      <c r="AI24" s="70">
        <v>0</v>
      </c>
      <c r="AJ24" s="3">
        <v>0</v>
      </c>
      <c r="AK24" s="10">
        <v>0</v>
      </c>
      <c r="AL24" s="70">
        <f t="shared" si="5"/>
        <v>0</v>
      </c>
      <c r="AM24" s="71">
        <v>152.66</v>
      </c>
    </row>
    <row r="25" spans="1:39">
      <c r="A25" s="3">
        <v>18</v>
      </c>
      <c r="B25" s="69" t="s">
        <v>36</v>
      </c>
      <c r="C25" s="4">
        <v>30.46</v>
      </c>
      <c r="D25" s="3">
        <v>0</v>
      </c>
      <c r="E25" s="10">
        <v>0</v>
      </c>
      <c r="F25" s="10">
        <v>0</v>
      </c>
      <c r="G25" s="10">
        <v>4</v>
      </c>
      <c r="H25" s="10">
        <v>0</v>
      </c>
      <c r="I25" s="10">
        <v>1.8</v>
      </c>
      <c r="J25" s="10">
        <v>7</v>
      </c>
      <c r="K25" s="10">
        <v>1</v>
      </c>
      <c r="L25" s="10">
        <v>0</v>
      </c>
      <c r="M25" s="10">
        <v>0</v>
      </c>
      <c r="N25" s="10">
        <v>1.45</v>
      </c>
      <c r="O25" s="10">
        <v>1</v>
      </c>
      <c r="P25" s="10">
        <f t="shared" si="0"/>
        <v>3.45</v>
      </c>
      <c r="Q25" s="10">
        <v>0</v>
      </c>
      <c r="R25" s="10">
        <v>0.5</v>
      </c>
      <c r="S25" s="10">
        <v>12.21</v>
      </c>
      <c r="T25" s="10">
        <f t="shared" si="1"/>
        <v>12.71</v>
      </c>
      <c r="U25" s="10">
        <v>0.24</v>
      </c>
      <c r="V25" s="10">
        <v>0.7</v>
      </c>
      <c r="W25" s="10">
        <v>8.93</v>
      </c>
      <c r="X25" s="10">
        <v>1.3</v>
      </c>
      <c r="Y25" s="10">
        <v>0</v>
      </c>
      <c r="Z25" s="10">
        <f t="shared" si="2"/>
        <v>11.17</v>
      </c>
      <c r="AA25" s="10">
        <v>0</v>
      </c>
      <c r="AB25" s="10">
        <v>0</v>
      </c>
      <c r="AC25" s="70">
        <f t="shared" si="3"/>
        <v>0</v>
      </c>
      <c r="AD25" s="3">
        <v>0.75</v>
      </c>
      <c r="AE25" s="10">
        <v>0</v>
      </c>
      <c r="AF25" s="10">
        <v>10.15</v>
      </c>
      <c r="AG25" s="70">
        <f t="shared" si="4"/>
        <v>10.9</v>
      </c>
      <c r="AH25" s="3">
        <v>0</v>
      </c>
      <c r="AI25" s="70">
        <v>0</v>
      </c>
      <c r="AJ25" s="3">
        <v>0</v>
      </c>
      <c r="AK25" s="10">
        <v>0</v>
      </c>
      <c r="AL25" s="70">
        <f t="shared" si="5"/>
        <v>0</v>
      </c>
      <c r="AM25" s="71">
        <v>81.489999999999995</v>
      </c>
    </row>
    <row r="26" spans="1:39">
      <c r="A26" s="3">
        <v>40</v>
      </c>
      <c r="B26" s="69" t="s">
        <v>58</v>
      </c>
      <c r="C26" s="4">
        <v>103.68</v>
      </c>
      <c r="D26" s="3">
        <v>2.35</v>
      </c>
      <c r="E26" s="10">
        <v>0</v>
      </c>
      <c r="F26" s="10">
        <v>0.25</v>
      </c>
      <c r="G26" s="10">
        <v>6.75</v>
      </c>
      <c r="H26" s="10">
        <v>0</v>
      </c>
      <c r="I26" s="10">
        <v>2</v>
      </c>
      <c r="J26" s="10">
        <v>21.75</v>
      </c>
      <c r="K26" s="10">
        <v>1</v>
      </c>
      <c r="L26" s="10">
        <v>1</v>
      </c>
      <c r="M26" s="10">
        <v>2.5</v>
      </c>
      <c r="N26" s="10">
        <v>2</v>
      </c>
      <c r="O26" s="10">
        <v>6.25</v>
      </c>
      <c r="P26" s="10">
        <f t="shared" si="0"/>
        <v>12.75</v>
      </c>
      <c r="Q26" s="10">
        <v>0.5</v>
      </c>
      <c r="R26" s="10">
        <v>1.5</v>
      </c>
      <c r="S26" s="10">
        <v>39.5</v>
      </c>
      <c r="T26" s="10">
        <f t="shared" si="1"/>
        <v>41.5</v>
      </c>
      <c r="U26" s="10">
        <v>0.5</v>
      </c>
      <c r="V26" s="10">
        <v>0.4</v>
      </c>
      <c r="W26" s="10">
        <v>9.6</v>
      </c>
      <c r="X26" s="10">
        <v>0.5</v>
      </c>
      <c r="Y26" s="10">
        <v>0</v>
      </c>
      <c r="Z26" s="10">
        <f t="shared" si="2"/>
        <v>11</v>
      </c>
      <c r="AA26" s="10">
        <v>0</v>
      </c>
      <c r="AB26" s="10">
        <v>1.1499999999999999</v>
      </c>
      <c r="AC26" s="70">
        <f t="shared" si="3"/>
        <v>1.1499999999999999</v>
      </c>
      <c r="AD26" s="3">
        <v>3</v>
      </c>
      <c r="AE26" s="10">
        <v>1</v>
      </c>
      <c r="AF26" s="10">
        <v>32.9</v>
      </c>
      <c r="AG26" s="70">
        <f t="shared" si="4"/>
        <v>36.9</v>
      </c>
      <c r="AH26" s="3">
        <v>1</v>
      </c>
      <c r="AI26" s="70">
        <v>12.75</v>
      </c>
      <c r="AJ26" s="3">
        <v>0</v>
      </c>
      <c r="AK26" s="10">
        <v>0</v>
      </c>
      <c r="AL26" s="70">
        <f t="shared" si="5"/>
        <v>13.75</v>
      </c>
      <c r="AM26" s="71">
        <v>253.83</v>
      </c>
    </row>
    <row r="27" spans="1:39">
      <c r="A27" s="3">
        <v>19</v>
      </c>
      <c r="B27" s="69" t="s">
        <v>37</v>
      </c>
      <c r="C27" s="4">
        <v>399.88</v>
      </c>
      <c r="D27" s="3">
        <v>0</v>
      </c>
      <c r="E27" s="10">
        <v>11.24</v>
      </c>
      <c r="F27" s="10">
        <v>4.83</v>
      </c>
      <c r="G27" s="10">
        <v>17.88</v>
      </c>
      <c r="H27" s="10">
        <v>0</v>
      </c>
      <c r="I27" s="10">
        <v>16.2</v>
      </c>
      <c r="J27" s="10">
        <v>94.04</v>
      </c>
      <c r="K27" s="10">
        <v>1</v>
      </c>
      <c r="L27" s="10">
        <v>1</v>
      </c>
      <c r="M27" s="10">
        <v>1</v>
      </c>
      <c r="N27" s="10">
        <v>6</v>
      </c>
      <c r="O27" s="10">
        <v>0</v>
      </c>
      <c r="P27" s="10">
        <f t="shared" si="0"/>
        <v>9</v>
      </c>
      <c r="Q27" s="10">
        <v>2.89</v>
      </c>
      <c r="R27" s="10">
        <v>3.4</v>
      </c>
      <c r="S27" s="10">
        <v>190.14</v>
      </c>
      <c r="T27" s="10">
        <f t="shared" si="1"/>
        <v>196.42999999999998</v>
      </c>
      <c r="U27" s="10">
        <v>5.88</v>
      </c>
      <c r="V27" s="10">
        <v>2</v>
      </c>
      <c r="W27" s="10">
        <v>77.81</v>
      </c>
      <c r="X27" s="10">
        <v>8</v>
      </c>
      <c r="Y27" s="10">
        <v>0</v>
      </c>
      <c r="Z27" s="10">
        <f t="shared" si="2"/>
        <v>93.69</v>
      </c>
      <c r="AA27" s="10">
        <v>0</v>
      </c>
      <c r="AB27" s="10">
        <v>60.57</v>
      </c>
      <c r="AC27" s="70">
        <f t="shared" si="3"/>
        <v>60.57</v>
      </c>
      <c r="AD27" s="3">
        <v>1.6</v>
      </c>
      <c r="AE27" s="10">
        <v>15.98</v>
      </c>
      <c r="AF27" s="10">
        <v>113.61</v>
      </c>
      <c r="AG27" s="70">
        <f t="shared" si="4"/>
        <v>131.19</v>
      </c>
      <c r="AH27" s="3">
        <v>1</v>
      </c>
      <c r="AI27" s="70">
        <v>0</v>
      </c>
      <c r="AJ27" s="3">
        <v>2.5</v>
      </c>
      <c r="AK27" s="10">
        <v>0.5</v>
      </c>
      <c r="AL27" s="70">
        <f t="shared" si="5"/>
        <v>4</v>
      </c>
      <c r="AM27" s="71">
        <v>1038.95</v>
      </c>
    </row>
    <row r="28" spans="1:39">
      <c r="A28" s="3">
        <v>20</v>
      </c>
      <c r="B28" s="69" t="s">
        <v>38</v>
      </c>
      <c r="C28" s="4">
        <v>58.41</v>
      </c>
      <c r="D28" s="3">
        <v>0</v>
      </c>
      <c r="E28" s="10">
        <v>0</v>
      </c>
      <c r="F28" s="10">
        <v>0</v>
      </c>
      <c r="G28" s="10">
        <v>3.5</v>
      </c>
      <c r="H28" s="10">
        <v>0</v>
      </c>
      <c r="I28" s="10">
        <v>1</v>
      </c>
      <c r="J28" s="10">
        <v>7.71</v>
      </c>
      <c r="K28" s="10">
        <v>1</v>
      </c>
      <c r="L28" s="10">
        <v>0</v>
      </c>
      <c r="M28" s="10">
        <v>0</v>
      </c>
      <c r="N28" s="10">
        <v>1</v>
      </c>
      <c r="O28" s="10">
        <v>0</v>
      </c>
      <c r="P28" s="10">
        <f t="shared" si="0"/>
        <v>2</v>
      </c>
      <c r="Q28" s="10">
        <v>0</v>
      </c>
      <c r="R28" s="10">
        <v>1</v>
      </c>
      <c r="S28" s="10">
        <v>16.59</v>
      </c>
      <c r="T28" s="10">
        <f t="shared" si="1"/>
        <v>17.59</v>
      </c>
      <c r="U28" s="10">
        <v>1</v>
      </c>
      <c r="V28" s="10">
        <v>0</v>
      </c>
      <c r="W28" s="10">
        <v>11.17</v>
      </c>
      <c r="X28" s="10">
        <v>1.56</v>
      </c>
      <c r="Y28" s="10">
        <v>1.84</v>
      </c>
      <c r="Z28" s="10">
        <f t="shared" si="2"/>
        <v>15.57</v>
      </c>
      <c r="AA28" s="10">
        <v>0.88</v>
      </c>
      <c r="AB28" s="10">
        <v>0</v>
      </c>
      <c r="AC28" s="70">
        <f t="shared" si="3"/>
        <v>0.88</v>
      </c>
      <c r="AD28" s="3">
        <v>1</v>
      </c>
      <c r="AE28" s="10">
        <v>0</v>
      </c>
      <c r="AF28" s="10">
        <v>13.25</v>
      </c>
      <c r="AG28" s="70">
        <f t="shared" si="4"/>
        <v>14.25</v>
      </c>
      <c r="AH28" s="3">
        <v>0</v>
      </c>
      <c r="AI28" s="70">
        <v>0</v>
      </c>
      <c r="AJ28" s="3">
        <v>0</v>
      </c>
      <c r="AK28" s="10">
        <v>0</v>
      </c>
      <c r="AL28" s="70">
        <f t="shared" si="5"/>
        <v>0</v>
      </c>
      <c r="AM28" s="71">
        <v>120.91</v>
      </c>
    </row>
    <row r="29" spans="1:39">
      <c r="A29" s="3">
        <v>21</v>
      </c>
      <c r="B29" s="69" t="s">
        <v>39</v>
      </c>
      <c r="C29" s="4">
        <v>19.25</v>
      </c>
      <c r="D29" s="3">
        <v>0.5</v>
      </c>
      <c r="E29" s="10">
        <v>0</v>
      </c>
      <c r="F29" s="10">
        <v>0</v>
      </c>
      <c r="G29" s="10">
        <v>1.67</v>
      </c>
      <c r="H29" s="10">
        <v>0</v>
      </c>
      <c r="I29" s="10">
        <v>0.5</v>
      </c>
      <c r="J29" s="10">
        <v>4.33</v>
      </c>
      <c r="K29" s="10">
        <v>1</v>
      </c>
      <c r="L29" s="10">
        <v>0</v>
      </c>
      <c r="M29" s="10">
        <v>0</v>
      </c>
      <c r="N29" s="10">
        <v>0.5</v>
      </c>
      <c r="O29" s="10">
        <v>0</v>
      </c>
      <c r="P29" s="10">
        <f t="shared" si="0"/>
        <v>1.5</v>
      </c>
      <c r="Q29" s="10">
        <v>0</v>
      </c>
      <c r="R29" s="10">
        <v>0</v>
      </c>
      <c r="S29" s="10">
        <v>11.25</v>
      </c>
      <c r="T29" s="10">
        <f t="shared" si="1"/>
        <v>11.25</v>
      </c>
      <c r="U29" s="10">
        <v>0.5</v>
      </c>
      <c r="V29" s="10">
        <v>0.5</v>
      </c>
      <c r="W29" s="10">
        <v>12.5</v>
      </c>
      <c r="X29" s="10">
        <v>0.5</v>
      </c>
      <c r="Y29" s="10">
        <v>0</v>
      </c>
      <c r="Z29" s="10">
        <f t="shared" si="2"/>
        <v>14</v>
      </c>
      <c r="AA29" s="10">
        <v>0</v>
      </c>
      <c r="AB29" s="10">
        <v>1.5</v>
      </c>
      <c r="AC29" s="70">
        <f t="shared" si="3"/>
        <v>1.5</v>
      </c>
      <c r="AD29" s="3">
        <v>0.5</v>
      </c>
      <c r="AE29" s="10">
        <v>0</v>
      </c>
      <c r="AF29" s="10">
        <v>7.5</v>
      </c>
      <c r="AG29" s="70">
        <f t="shared" si="4"/>
        <v>8</v>
      </c>
      <c r="AH29" s="3">
        <v>0</v>
      </c>
      <c r="AI29" s="70">
        <v>0</v>
      </c>
      <c r="AJ29" s="3">
        <v>0</v>
      </c>
      <c r="AK29" s="10">
        <v>0</v>
      </c>
      <c r="AL29" s="70">
        <f t="shared" si="5"/>
        <v>0</v>
      </c>
      <c r="AM29" s="71">
        <v>62.5</v>
      </c>
    </row>
    <row r="30" spans="1:39">
      <c r="A30" s="3">
        <v>37</v>
      </c>
      <c r="B30" s="69" t="s">
        <v>55</v>
      </c>
      <c r="C30" s="4">
        <v>200.35</v>
      </c>
      <c r="D30" s="3">
        <v>1.49</v>
      </c>
      <c r="E30" s="10">
        <v>9.73</v>
      </c>
      <c r="F30" s="10">
        <v>18.88</v>
      </c>
      <c r="G30" s="10">
        <v>3.5</v>
      </c>
      <c r="H30" s="10">
        <v>1</v>
      </c>
      <c r="I30" s="10">
        <v>1</v>
      </c>
      <c r="J30" s="10">
        <v>35</v>
      </c>
      <c r="K30" s="10">
        <v>1</v>
      </c>
      <c r="L30" s="10">
        <v>0</v>
      </c>
      <c r="M30" s="10">
        <v>1</v>
      </c>
      <c r="N30" s="10">
        <v>10</v>
      </c>
      <c r="O30" s="10">
        <v>1.25</v>
      </c>
      <c r="P30" s="10">
        <f t="shared" si="0"/>
        <v>13.25</v>
      </c>
      <c r="Q30" s="10">
        <v>1.65</v>
      </c>
      <c r="R30" s="10">
        <v>1</v>
      </c>
      <c r="S30" s="10">
        <v>69.73</v>
      </c>
      <c r="T30" s="10">
        <f t="shared" si="1"/>
        <v>72.38000000000001</v>
      </c>
      <c r="U30" s="10">
        <v>0</v>
      </c>
      <c r="V30" s="10">
        <v>0</v>
      </c>
      <c r="W30" s="10">
        <v>1</v>
      </c>
      <c r="X30" s="10">
        <v>0</v>
      </c>
      <c r="Y30" s="10">
        <v>1.63</v>
      </c>
      <c r="Z30" s="10">
        <f t="shared" si="2"/>
        <v>2.63</v>
      </c>
      <c r="AA30" s="10">
        <v>0</v>
      </c>
      <c r="AB30" s="10">
        <v>1</v>
      </c>
      <c r="AC30" s="70">
        <f t="shared" si="3"/>
        <v>1</v>
      </c>
      <c r="AD30" s="3">
        <v>0</v>
      </c>
      <c r="AE30" s="10">
        <v>2</v>
      </c>
      <c r="AF30" s="10">
        <v>78.03</v>
      </c>
      <c r="AG30" s="70">
        <f t="shared" si="4"/>
        <v>80.03</v>
      </c>
      <c r="AH30" s="3">
        <v>4</v>
      </c>
      <c r="AI30" s="70">
        <v>2.44</v>
      </c>
      <c r="AJ30" s="3">
        <v>1</v>
      </c>
      <c r="AK30" s="10">
        <v>0</v>
      </c>
      <c r="AL30" s="70">
        <f t="shared" si="5"/>
        <v>7.4399999999999995</v>
      </c>
      <c r="AM30" s="71">
        <v>447.68</v>
      </c>
    </row>
    <row r="31" spans="1:39">
      <c r="A31" s="3">
        <v>22</v>
      </c>
      <c r="B31" s="69" t="s">
        <v>40</v>
      </c>
      <c r="C31" s="4">
        <v>74.48</v>
      </c>
      <c r="D31" s="3">
        <v>2</v>
      </c>
      <c r="E31" s="10">
        <v>0</v>
      </c>
      <c r="F31" s="10">
        <v>0</v>
      </c>
      <c r="G31" s="10">
        <v>1.99</v>
      </c>
      <c r="H31" s="10">
        <v>4</v>
      </c>
      <c r="I31" s="10">
        <v>5</v>
      </c>
      <c r="J31" s="10">
        <v>14</v>
      </c>
      <c r="K31" s="10">
        <v>1</v>
      </c>
      <c r="L31" s="10">
        <v>0</v>
      </c>
      <c r="M31" s="10">
        <v>1</v>
      </c>
      <c r="N31" s="10">
        <v>0.5</v>
      </c>
      <c r="O31" s="10">
        <v>3.5</v>
      </c>
      <c r="P31" s="10">
        <f t="shared" si="0"/>
        <v>6</v>
      </c>
      <c r="Q31" s="10">
        <v>0.5</v>
      </c>
      <c r="R31" s="10">
        <v>0.5</v>
      </c>
      <c r="S31" s="10">
        <v>31</v>
      </c>
      <c r="T31" s="10">
        <f t="shared" si="1"/>
        <v>32</v>
      </c>
      <c r="U31" s="10">
        <v>1.75</v>
      </c>
      <c r="V31" s="10">
        <v>1</v>
      </c>
      <c r="W31" s="10">
        <v>17.5</v>
      </c>
      <c r="X31" s="10">
        <v>3</v>
      </c>
      <c r="Y31" s="10">
        <v>1.5</v>
      </c>
      <c r="Z31" s="10">
        <f t="shared" si="2"/>
        <v>24.75</v>
      </c>
      <c r="AA31" s="10">
        <v>0</v>
      </c>
      <c r="AB31" s="10">
        <v>0</v>
      </c>
      <c r="AC31" s="70">
        <f t="shared" si="3"/>
        <v>0</v>
      </c>
      <c r="AD31" s="3">
        <v>2</v>
      </c>
      <c r="AE31" s="10">
        <v>0.41</v>
      </c>
      <c r="AF31" s="10">
        <v>19</v>
      </c>
      <c r="AG31" s="70">
        <f t="shared" si="4"/>
        <v>21.41</v>
      </c>
      <c r="AH31" s="3">
        <v>1</v>
      </c>
      <c r="AI31" s="70">
        <v>1</v>
      </c>
      <c r="AJ31" s="3">
        <v>0</v>
      </c>
      <c r="AK31" s="10">
        <v>0</v>
      </c>
      <c r="AL31" s="70">
        <f t="shared" si="5"/>
        <v>2</v>
      </c>
      <c r="AM31" s="71">
        <v>187.63</v>
      </c>
    </row>
    <row r="32" spans="1:39">
      <c r="A32" s="3">
        <v>23</v>
      </c>
      <c r="B32" s="69" t="s">
        <v>41</v>
      </c>
      <c r="C32" s="4">
        <v>10.7</v>
      </c>
      <c r="D32" s="3">
        <v>0</v>
      </c>
      <c r="E32" s="10">
        <v>0</v>
      </c>
      <c r="F32" s="10">
        <v>0</v>
      </c>
      <c r="G32" s="10">
        <v>0.8</v>
      </c>
      <c r="H32" s="10">
        <v>0</v>
      </c>
      <c r="I32" s="10">
        <v>1</v>
      </c>
      <c r="J32" s="10">
        <v>0</v>
      </c>
      <c r="K32" s="10">
        <v>1</v>
      </c>
      <c r="L32" s="10">
        <v>0</v>
      </c>
      <c r="M32" s="10">
        <v>0</v>
      </c>
      <c r="N32" s="10">
        <v>0</v>
      </c>
      <c r="O32" s="10">
        <v>0</v>
      </c>
      <c r="P32" s="10">
        <f t="shared" si="0"/>
        <v>1</v>
      </c>
      <c r="Q32" s="10">
        <v>0</v>
      </c>
      <c r="R32" s="10">
        <v>0</v>
      </c>
      <c r="S32" s="10">
        <v>4.25</v>
      </c>
      <c r="T32" s="10">
        <f t="shared" si="1"/>
        <v>4.25</v>
      </c>
      <c r="U32" s="10">
        <v>0.25</v>
      </c>
      <c r="V32" s="10">
        <v>0</v>
      </c>
      <c r="W32" s="10">
        <v>3.25</v>
      </c>
      <c r="X32" s="10">
        <v>0.75</v>
      </c>
      <c r="Y32" s="10">
        <v>0</v>
      </c>
      <c r="Z32" s="10">
        <f t="shared" si="2"/>
        <v>4.25</v>
      </c>
      <c r="AA32" s="10">
        <v>0</v>
      </c>
      <c r="AB32" s="10">
        <v>0</v>
      </c>
      <c r="AC32" s="70">
        <f t="shared" si="3"/>
        <v>0</v>
      </c>
      <c r="AD32" s="3">
        <v>1</v>
      </c>
      <c r="AE32" s="10">
        <v>0</v>
      </c>
      <c r="AF32" s="10">
        <v>2.5</v>
      </c>
      <c r="AG32" s="70">
        <f t="shared" si="4"/>
        <v>3.5</v>
      </c>
      <c r="AH32" s="3">
        <v>0</v>
      </c>
      <c r="AI32" s="70">
        <v>0</v>
      </c>
      <c r="AJ32" s="3">
        <v>0</v>
      </c>
      <c r="AK32" s="10">
        <v>0</v>
      </c>
      <c r="AL32" s="70">
        <f t="shared" si="5"/>
        <v>0</v>
      </c>
      <c r="AM32" s="71">
        <v>25.5</v>
      </c>
    </row>
    <row r="33" spans="1:39">
      <c r="A33" s="3">
        <v>38</v>
      </c>
      <c r="B33" s="72" t="s">
        <v>56</v>
      </c>
      <c r="C33" s="4">
        <v>250.72</v>
      </c>
      <c r="D33" s="3">
        <v>0.87</v>
      </c>
      <c r="E33" s="10">
        <v>6.77</v>
      </c>
      <c r="F33" s="10">
        <v>9.36</v>
      </c>
      <c r="G33" s="10">
        <v>11.42</v>
      </c>
      <c r="H33" s="10">
        <v>3</v>
      </c>
      <c r="I33" s="10">
        <v>3.81</v>
      </c>
      <c r="J33" s="10">
        <v>36.75</v>
      </c>
      <c r="K33" s="10">
        <v>1</v>
      </c>
      <c r="L33" s="10">
        <v>2</v>
      </c>
      <c r="M33" s="10">
        <v>2.44</v>
      </c>
      <c r="N33" s="10">
        <v>12.15</v>
      </c>
      <c r="O33" s="10">
        <v>0.5</v>
      </c>
      <c r="P33" s="10">
        <f t="shared" si="0"/>
        <v>18.09</v>
      </c>
      <c r="Q33" s="10">
        <v>0</v>
      </c>
      <c r="R33" s="10">
        <v>0</v>
      </c>
      <c r="S33" s="10">
        <v>58.07</v>
      </c>
      <c r="T33" s="10">
        <f t="shared" si="1"/>
        <v>58.07</v>
      </c>
      <c r="U33" s="10">
        <v>1</v>
      </c>
      <c r="V33" s="10">
        <v>0</v>
      </c>
      <c r="W33" s="10">
        <v>28.67</v>
      </c>
      <c r="X33" s="10">
        <v>3</v>
      </c>
      <c r="Y33" s="10">
        <v>0</v>
      </c>
      <c r="Z33" s="10">
        <f t="shared" si="2"/>
        <v>32.67</v>
      </c>
      <c r="AA33" s="10">
        <v>0</v>
      </c>
      <c r="AB33" s="10">
        <v>0</v>
      </c>
      <c r="AC33" s="70">
        <f t="shared" si="3"/>
        <v>0</v>
      </c>
      <c r="AD33" s="3">
        <v>1</v>
      </c>
      <c r="AE33" s="10">
        <v>7.09</v>
      </c>
      <c r="AF33" s="10">
        <v>61.46</v>
      </c>
      <c r="AG33" s="70">
        <f t="shared" si="4"/>
        <v>69.55</v>
      </c>
      <c r="AH33" s="3">
        <v>0</v>
      </c>
      <c r="AI33" s="70">
        <v>0</v>
      </c>
      <c r="AJ33" s="3">
        <v>7.07</v>
      </c>
      <c r="AK33" s="10">
        <v>0</v>
      </c>
      <c r="AL33" s="70">
        <f t="shared" si="5"/>
        <v>7.07</v>
      </c>
      <c r="AM33" s="71">
        <v>508.15</v>
      </c>
    </row>
    <row r="34" spans="1:39">
      <c r="A34" s="3">
        <v>24</v>
      </c>
      <c r="B34" s="69" t="s">
        <v>42</v>
      </c>
      <c r="C34" s="4">
        <v>7.26</v>
      </c>
      <c r="D34" s="3">
        <v>0</v>
      </c>
      <c r="E34" s="10">
        <v>0</v>
      </c>
      <c r="F34" s="10">
        <v>0</v>
      </c>
      <c r="G34" s="10">
        <v>1.5</v>
      </c>
      <c r="H34" s="10">
        <v>0</v>
      </c>
      <c r="I34" s="10">
        <v>0.8</v>
      </c>
      <c r="J34" s="10">
        <v>2.2000000000000002</v>
      </c>
      <c r="K34" s="10">
        <v>0.95</v>
      </c>
      <c r="L34" s="10">
        <v>0</v>
      </c>
      <c r="M34" s="10">
        <v>0</v>
      </c>
      <c r="N34" s="10">
        <v>0</v>
      </c>
      <c r="O34" s="10">
        <v>0</v>
      </c>
      <c r="P34" s="10">
        <f t="shared" si="0"/>
        <v>0.95</v>
      </c>
      <c r="Q34" s="10">
        <v>0</v>
      </c>
      <c r="R34" s="10">
        <v>1</v>
      </c>
      <c r="S34" s="10">
        <v>0</v>
      </c>
      <c r="T34" s="10">
        <f t="shared" si="1"/>
        <v>1</v>
      </c>
      <c r="U34" s="10">
        <v>0.05</v>
      </c>
      <c r="V34" s="10">
        <v>0.5</v>
      </c>
      <c r="W34" s="10">
        <v>4.68</v>
      </c>
      <c r="X34" s="10">
        <v>0</v>
      </c>
      <c r="Y34" s="10">
        <v>0</v>
      </c>
      <c r="Z34" s="10">
        <f t="shared" si="2"/>
        <v>5.2299999999999995</v>
      </c>
      <c r="AA34" s="10">
        <v>0</v>
      </c>
      <c r="AB34" s="10">
        <v>0</v>
      </c>
      <c r="AC34" s="70">
        <f t="shared" si="3"/>
        <v>0</v>
      </c>
      <c r="AD34" s="3">
        <v>0.5</v>
      </c>
      <c r="AE34" s="10">
        <v>0</v>
      </c>
      <c r="AF34" s="10">
        <v>4.57</v>
      </c>
      <c r="AG34" s="70">
        <f t="shared" si="4"/>
        <v>5.07</v>
      </c>
      <c r="AH34" s="3">
        <v>0</v>
      </c>
      <c r="AI34" s="70">
        <v>0</v>
      </c>
      <c r="AJ34" s="3">
        <v>0</v>
      </c>
      <c r="AK34" s="10">
        <v>0</v>
      </c>
      <c r="AL34" s="70">
        <f t="shared" si="5"/>
        <v>0</v>
      </c>
      <c r="AM34" s="71">
        <v>24.01</v>
      </c>
    </row>
    <row r="35" spans="1:39">
      <c r="A35" s="3">
        <v>36</v>
      </c>
      <c r="B35" s="69" t="s">
        <v>54</v>
      </c>
      <c r="C35" s="4">
        <v>478.32</v>
      </c>
      <c r="D35" s="3">
        <v>5.6</v>
      </c>
      <c r="E35" s="10">
        <v>3</v>
      </c>
      <c r="F35" s="10">
        <v>58.6</v>
      </c>
      <c r="G35" s="10">
        <v>6.06</v>
      </c>
      <c r="H35" s="10">
        <v>2</v>
      </c>
      <c r="I35" s="10">
        <v>4</v>
      </c>
      <c r="J35" s="10">
        <v>63.46</v>
      </c>
      <c r="K35" s="10">
        <v>1</v>
      </c>
      <c r="L35" s="10">
        <v>5</v>
      </c>
      <c r="M35" s="10">
        <v>2</v>
      </c>
      <c r="N35" s="10">
        <v>18.27</v>
      </c>
      <c r="O35" s="10">
        <v>48.21</v>
      </c>
      <c r="P35" s="10">
        <f t="shared" si="0"/>
        <v>74.48</v>
      </c>
      <c r="Q35" s="10">
        <v>3</v>
      </c>
      <c r="R35" s="10">
        <v>7</v>
      </c>
      <c r="S35" s="10">
        <v>207.03</v>
      </c>
      <c r="T35" s="10">
        <f t="shared" si="1"/>
        <v>217.03</v>
      </c>
      <c r="U35" s="10">
        <v>5</v>
      </c>
      <c r="V35" s="10">
        <v>2</v>
      </c>
      <c r="W35" s="10">
        <v>43.04</v>
      </c>
      <c r="X35" s="10">
        <v>5</v>
      </c>
      <c r="Y35" s="10">
        <v>0</v>
      </c>
      <c r="Z35" s="10">
        <f t="shared" si="2"/>
        <v>55.04</v>
      </c>
      <c r="AA35" s="10">
        <v>0</v>
      </c>
      <c r="AB35" s="10">
        <v>0</v>
      </c>
      <c r="AC35" s="70">
        <f t="shared" si="3"/>
        <v>0</v>
      </c>
      <c r="AD35" s="3">
        <v>4</v>
      </c>
      <c r="AE35" s="10">
        <v>0</v>
      </c>
      <c r="AF35" s="10">
        <v>121.17</v>
      </c>
      <c r="AG35" s="70">
        <f t="shared" si="4"/>
        <v>125.17</v>
      </c>
      <c r="AH35" s="3">
        <v>0</v>
      </c>
      <c r="AI35" s="70">
        <v>0</v>
      </c>
      <c r="AJ35" s="3">
        <v>0</v>
      </c>
      <c r="AK35" s="10">
        <v>5</v>
      </c>
      <c r="AL35" s="70">
        <f t="shared" si="5"/>
        <v>5</v>
      </c>
      <c r="AM35" s="71">
        <v>1097.76</v>
      </c>
    </row>
    <row r="36" spans="1:39">
      <c r="A36" s="3">
        <v>25</v>
      </c>
      <c r="B36" s="69" t="s">
        <v>43</v>
      </c>
      <c r="C36" s="4">
        <v>51.29</v>
      </c>
      <c r="D36" s="3">
        <v>2</v>
      </c>
      <c r="E36" s="10">
        <v>0</v>
      </c>
      <c r="F36" s="10">
        <v>3.38</v>
      </c>
      <c r="G36" s="10">
        <v>7.82</v>
      </c>
      <c r="H36" s="10">
        <v>0</v>
      </c>
      <c r="I36" s="10">
        <v>1</v>
      </c>
      <c r="J36" s="10">
        <v>14.88</v>
      </c>
      <c r="K36" s="10">
        <v>1</v>
      </c>
      <c r="L36" s="10">
        <v>1</v>
      </c>
      <c r="M36" s="10">
        <v>2.63</v>
      </c>
      <c r="N36" s="10">
        <v>2</v>
      </c>
      <c r="O36" s="10">
        <v>1</v>
      </c>
      <c r="P36" s="10">
        <f t="shared" si="0"/>
        <v>7.63</v>
      </c>
      <c r="Q36" s="10">
        <v>1</v>
      </c>
      <c r="R36" s="10">
        <v>3</v>
      </c>
      <c r="S36" s="10">
        <v>49.75</v>
      </c>
      <c r="T36" s="10">
        <f t="shared" si="1"/>
        <v>53.75</v>
      </c>
      <c r="U36" s="10">
        <v>1</v>
      </c>
      <c r="V36" s="10">
        <v>1</v>
      </c>
      <c r="W36" s="10">
        <v>28.78</v>
      </c>
      <c r="X36" s="10">
        <v>5</v>
      </c>
      <c r="Y36" s="10">
        <v>0</v>
      </c>
      <c r="Z36" s="10">
        <f t="shared" si="2"/>
        <v>35.78</v>
      </c>
      <c r="AA36" s="10">
        <v>0</v>
      </c>
      <c r="AB36" s="10">
        <v>0</v>
      </c>
      <c r="AC36" s="70">
        <f t="shared" si="3"/>
        <v>0</v>
      </c>
      <c r="AD36" s="3">
        <v>0</v>
      </c>
      <c r="AE36" s="10">
        <v>0</v>
      </c>
      <c r="AF36" s="10">
        <v>8</v>
      </c>
      <c r="AG36" s="70">
        <f t="shared" si="4"/>
        <v>8</v>
      </c>
      <c r="AH36" s="3">
        <v>0</v>
      </c>
      <c r="AI36" s="70">
        <v>0</v>
      </c>
      <c r="AJ36" s="3">
        <v>0</v>
      </c>
      <c r="AK36" s="10">
        <v>0</v>
      </c>
      <c r="AL36" s="70">
        <f t="shared" si="5"/>
        <v>0</v>
      </c>
      <c r="AM36" s="71">
        <v>185.53</v>
      </c>
    </row>
    <row r="37" spans="1:39">
      <c r="A37" s="3">
        <v>26</v>
      </c>
      <c r="B37" s="69" t="s">
        <v>44</v>
      </c>
      <c r="C37" s="4">
        <v>69.81</v>
      </c>
      <c r="D37" s="3">
        <v>1</v>
      </c>
      <c r="E37" s="10">
        <v>1</v>
      </c>
      <c r="F37" s="10">
        <v>0</v>
      </c>
      <c r="G37" s="10">
        <v>8.61</v>
      </c>
      <c r="H37" s="10">
        <v>0</v>
      </c>
      <c r="I37" s="10">
        <v>2.16</v>
      </c>
      <c r="J37" s="10">
        <v>10.86</v>
      </c>
      <c r="K37" s="10">
        <v>0.1</v>
      </c>
      <c r="L37" s="10">
        <v>0.5</v>
      </c>
      <c r="M37" s="10">
        <v>1.4</v>
      </c>
      <c r="N37" s="10">
        <v>4.72</v>
      </c>
      <c r="O37" s="10">
        <v>2.37</v>
      </c>
      <c r="P37" s="10">
        <f t="shared" si="0"/>
        <v>9.09</v>
      </c>
      <c r="Q37" s="10">
        <v>0.5</v>
      </c>
      <c r="R37" s="10">
        <v>1</v>
      </c>
      <c r="S37" s="10">
        <v>34.15</v>
      </c>
      <c r="T37" s="10">
        <f t="shared" si="1"/>
        <v>35.65</v>
      </c>
      <c r="U37" s="10">
        <v>1.23</v>
      </c>
      <c r="V37" s="10">
        <v>1</v>
      </c>
      <c r="W37" s="10">
        <v>17.52</v>
      </c>
      <c r="X37" s="10">
        <v>1.5</v>
      </c>
      <c r="Y37" s="10">
        <v>0</v>
      </c>
      <c r="Z37" s="10">
        <f t="shared" si="2"/>
        <v>21.25</v>
      </c>
      <c r="AA37" s="10">
        <v>0</v>
      </c>
      <c r="AB37" s="10">
        <v>0</v>
      </c>
      <c r="AC37" s="70">
        <f t="shared" si="3"/>
        <v>0</v>
      </c>
      <c r="AD37" s="3">
        <v>1</v>
      </c>
      <c r="AE37" s="10">
        <v>0.5</v>
      </c>
      <c r="AF37" s="10">
        <v>36.47</v>
      </c>
      <c r="AG37" s="70">
        <f t="shared" si="4"/>
        <v>37.97</v>
      </c>
      <c r="AH37" s="3">
        <v>0</v>
      </c>
      <c r="AI37" s="70">
        <v>0</v>
      </c>
      <c r="AJ37" s="3">
        <v>0</v>
      </c>
      <c r="AK37" s="10">
        <v>0</v>
      </c>
      <c r="AL37" s="70">
        <f t="shared" si="5"/>
        <v>0</v>
      </c>
      <c r="AM37" s="71">
        <v>197.4</v>
      </c>
    </row>
    <row r="38" spans="1:39">
      <c r="A38" s="3">
        <v>27</v>
      </c>
      <c r="B38" s="69" t="s">
        <v>45</v>
      </c>
      <c r="C38" s="4">
        <v>110</v>
      </c>
      <c r="D38" s="3">
        <v>1.25</v>
      </c>
      <c r="E38" s="10">
        <v>22</v>
      </c>
      <c r="F38" s="10">
        <v>0</v>
      </c>
      <c r="G38" s="10">
        <v>8</v>
      </c>
      <c r="H38" s="10">
        <v>2</v>
      </c>
      <c r="I38" s="10">
        <v>0.5</v>
      </c>
      <c r="J38" s="10">
        <v>2.5</v>
      </c>
      <c r="K38" s="10">
        <v>1</v>
      </c>
      <c r="L38" s="10">
        <v>0</v>
      </c>
      <c r="M38" s="10">
        <v>1</v>
      </c>
      <c r="N38" s="10">
        <v>0.75</v>
      </c>
      <c r="O38" s="10">
        <v>0</v>
      </c>
      <c r="P38" s="10">
        <f t="shared" si="0"/>
        <v>2.75</v>
      </c>
      <c r="Q38" s="10">
        <v>0</v>
      </c>
      <c r="R38" s="10">
        <v>1</v>
      </c>
      <c r="S38" s="10">
        <v>32.5</v>
      </c>
      <c r="T38" s="10">
        <f t="shared" si="1"/>
        <v>33.5</v>
      </c>
      <c r="U38" s="10">
        <v>0.5</v>
      </c>
      <c r="V38" s="10">
        <v>0.5</v>
      </c>
      <c r="W38" s="10">
        <v>9.25</v>
      </c>
      <c r="X38" s="10">
        <v>0</v>
      </c>
      <c r="Y38" s="10">
        <v>0</v>
      </c>
      <c r="Z38" s="10">
        <f t="shared" si="2"/>
        <v>10.25</v>
      </c>
      <c r="AA38" s="10">
        <v>0</v>
      </c>
      <c r="AB38" s="10">
        <v>0</v>
      </c>
      <c r="AC38" s="70">
        <f t="shared" si="3"/>
        <v>0</v>
      </c>
      <c r="AD38" s="3">
        <v>0.75</v>
      </c>
      <c r="AE38" s="10">
        <v>0</v>
      </c>
      <c r="AF38" s="10">
        <v>23</v>
      </c>
      <c r="AG38" s="70">
        <f t="shared" si="4"/>
        <v>23.75</v>
      </c>
      <c r="AH38" s="3">
        <v>0</v>
      </c>
      <c r="AI38" s="70">
        <v>0</v>
      </c>
      <c r="AJ38" s="3">
        <v>0</v>
      </c>
      <c r="AK38" s="10">
        <v>0</v>
      </c>
      <c r="AL38" s="70">
        <f t="shared" si="5"/>
        <v>0</v>
      </c>
      <c r="AM38" s="71">
        <v>216.5</v>
      </c>
    </row>
    <row r="39" spans="1:39">
      <c r="A39" s="3">
        <v>28</v>
      </c>
      <c r="B39" s="69" t="s">
        <v>46</v>
      </c>
      <c r="C39" s="4">
        <v>25.25</v>
      </c>
      <c r="D39" s="3">
        <v>1</v>
      </c>
      <c r="E39" s="10">
        <v>1</v>
      </c>
      <c r="F39" s="10">
        <v>0</v>
      </c>
      <c r="G39" s="10">
        <v>1.5</v>
      </c>
      <c r="H39" s="10">
        <v>0</v>
      </c>
      <c r="I39" s="10">
        <v>1.5</v>
      </c>
      <c r="J39" s="10">
        <v>4.5</v>
      </c>
      <c r="K39" s="10">
        <v>1</v>
      </c>
      <c r="L39" s="10">
        <v>0</v>
      </c>
      <c r="M39" s="10">
        <v>0</v>
      </c>
      <c r="N39" s="10">
        <v>1</v>
      </c>
      <c r="O39" s="10">
        <v>0</v>
      </c>
      <c r="P39" s="10">
        <f t="shared" si="0"/>
        <v>2</v>
      </c>
      <c r="Q39" s="10">
        <v>0</v>
      </c>
      <c r="R39" s="10">
        <v>0</v>
      </c>
      <c r="S39" s="10">
        <v>15.5</v>
      </c>
      <c r="T39" s="10">
        <f t="shared" si="1"/>
        <v>15.5</v>
      </c>
      <c r="U39" s="10">
        <v>0</v>
      </c>
      <c r="V39" s="10">
        <v>0.5</v>
      </c>
      <c r="W39" s="10">
        <v>9</v>
      </c>
      <c r="X39" s="10">
        <v>0.5</v>
      </c>
      <c r="Y39" s="10">
        <v>0</v>
      </c>
      <c r="Z39" s="10">
        <f t="shared" si="2"/>
        <v>10</v>
      </c>
      <c r="AA39" s="10">
        <v>3</v>
      </c>
      <c r="AB39" s="10">
        <v>0</v>
      </c>
      <c r="AC39" s="70">
        <f t="shared" si="3"/>
        <v>3</v>
      </c>
      <c r="AD39" s="3">
        <v>1</v>
      </c>
      <c r="AE39" s="10">
        <v>0</v>
      </c>
      <c r="AF39" s="10">
        <v>4.29</v>
      </c>
      <c r="AG39" s="70">
        <f t="shared" si="4"/>
        <v>5.29</v>
      </c>
      <c r="AH39" s="3">
        <v>0</v>
      </c>
      <c r="AI39" s="70">
        <v>0</v>
      </c>
      <c r="AJ39" s="3">
        <v>0</v>
      </c>
      <c r="AK39" s="10">
        <v>0</v>
      </c>
      <c r="AL39" s="70">
        <f t="shared" si="5"/>
        <v>0</v>
      </c>
      <c r="AM39" s="71">
        <v>70.540000000000006</v>
      </c>
    </row>
    <row r="40" spans="1:39">
      <c r="A40" s="3">
        <v>29</v>
      </c>
      <c r="B40" s="69" t="s">
        <v>47</v>
      </c>
      <c r="C40" s="4">
        <v>7.25</v>
      </c>
      <c r="D40" s="3">
        <v>0</v>
      </c>
      <c r="E40" s="10">
        <v>1.05</v>
      </c>
      <c r="F40" s="10">
        <v>0</v>
      </c>
      <c r="G40" s="10">
        <v>1.26</v>
      </c>
      <c r="H40" s="10">
        <v>0.44</v>
      </c>
      <c r="I40" s="10">
        <v>0</v>
      </c>
      <c r="J40" s="10">
        <v>1.06</v>
      </c>
      <c r="K40" s="10">
        <v>0.44</v>
      </c>
      <c r="L40" s="10">
        <v>0</v>
      </c>
      <c r="M40" s="10">
        <v>0</v>
      </c>
      <c r="N40" s="10">
        <v>0.88</v>
      </c>
      <c r="O40" s="10">
        <v>0</v>
      </c>
      <c r="P40" s="10">
        <f t="shared" si="0"/>
        <v>1.32</v>
      </c>
      <c r="Q40" s="10">
        <v>0</v>
      </c>
      <c r="R40" s="10">
        <v>0.52</v>
      </c>
      <c r="S40" s="10">
        <v>2.73</v>
      </c>
      <c r="T40" s="10">
        <f t="shared" si="1"/>
        <v>3.25</v>
      </c>
      <c r="U40" s="10">
        <v>0.12</v>
      </c>
      <c r="V40" s="10">
        <v>0.12</v>
      </c>
      <c r="W40" s="10">
        <v>0.5</v>
      </c>
      <c r="X40" s="10">
        <v>0.12</v>
      </c>
      <c r="Y40" s="10">
        <v>0</v>
      </c>
      <c r="Z40" s="10">
        <f t="shared" si="2"/>
        <v>0.86</v>
      </c>
      <c r="AA40" s="10">
        <v>0</v>
      </c>
      <c r="AB40" s="10">
        <v>0</v>
      </c>
      <c r="AC40" s="70">
        <f t="shared" si="3"/>
        <v>0</v>
      </c>
      <c r="AD40" s="3">
        <v>0.94</v>
      </c>
      <c r="AE40" s="10">
        <v>0.18</v>
      </c>
      <c r="AF40" s="10">
        <v>0.47</v>
      </c>
      <c r="AG40" s="70">
        <f t="shared" si="4"/>
        <v>1.5899999999999999</v>
      </c>
      <c r="AH40" s="3">
        <v>0</v>
      </c>
      <c r="AI40" s="70">
        <v>0</v>
      </c>
      <c r="AJ40" s="3">
        <v>0</v>
      </c>
      <c r="AK40" s="10">
        <v>0</v>
      </c>
      <c r="AL40" s="70">
        <f t="shared" si="5"/>
        <v>0</v>
      </c>
      <c r="AM40" s="71">
        <v>18.079999999999998</v>
      </c>
    </row>
    <row r="41" spans="1:39">
      <c r="A41" s="3">
        <v>30</v>
      </c>
      <c r="B41" s="69" t="s">
        <v>48</v>
      </c>
      <c r="C41" s="4">
        <v>178.97</v>
      </c>
      <c r="D41" s="3">
        <v>4.45</v>
      </c>
      <c r="E41" s="10">
        <v>6.86</v>
      </c>
      <c r="F41" s="10">
        <v>4</v>
      </c>
      <c r="G41" s="10">
        <v>20.54</v>
      </c>
      <c r="H41" s="10">
        <v>0</v>
      </c>
      <c r="I41" s="10">
        <v>1</v>
      </c>
      <c r="J41" s="10">
        <v>39.33</v>
      </c>
      <c r="K41" s="10">
        <v>1</v>
      </c>
      <c r="L41" s="10">
        <v>1</v>
      </c>
      <c r="M41" s="10">
        <v>1</v>
      </c>
      <c r="N41" s="10">
        <v>4.5</v>
      </c>
      <c r="O41" s="10">
        <v>0</v>
      </c>
      <c r="P41" s="10">
        <f t="shared" si="0"/>
        <v>7.5</v>
      </c>
      <c r="Q41" s="10">
        <v>1</v>
      </c>
      <c r="R41" s="10">
        <v>1</v>
      </c>
      <c r="S41" s="10">
        <v>13</v>
      </c>
      <c r="T41" s="10">
        <f t="shared" si="1"/>
        <v>15</v>
      </c>
      <c r="U41" s="10">
        <v>1</v>
      </c>
      <c r="V41" s="10">
        <v>1</v>
      </c>
      <c r="W41" s="10">
        <v>47.18</v>
      </c>
      <c r="X41" s="10">
        <v>3</v>
      </c>
      <c r="Y41" s="10">
        <v>7.75</v>
      </c>
      <c r="Z41" s="10">
        <f t="shared" si="2"/>
        <v>59.93</v>
      </c>
      <c r="AA41" s="10">
        <v>1</v>
      </c>
      <c r="AB41" s="10">
        <v>0</v>
      </c>
      <c r="AC41" s="70">
        <f t="shared" si="3"/>
        <v>1</v>
      </c>
      <c r="AD41" s="3">
        <v>1</v>
      </c>
      <c r="AE41" s="10">
        <v>2</v>
      </c>
      <c r="AF41" s="10">
        <v>106.29</v>
      </c>
      <c r="AG41" s="70">
        <f t="shared" si="4"/>
        <v>109.29</v>
      </c>
      <c r="AH41" s="3">
        <v>0</v>
      </c>
      <c r="AI41" s="70">
        <v>0</v>
      </c>
      <c r="AJ41" s="3">
        <v>0</v>
      </c>
      <c r="AK41" s="10">
        <v>0</v>
      </c>
      <c r="AL41" s="70">
        <f t="shared" si="5"/>
        <v>0</v>
      </c>
      <c r="AM41" s="71">
        <v>447.87</v>
      </c>
    </row>
    <row r="42" spans="1:39">
      <c r="A42" s="3">
        <v>31</v>
      </c>
      <c r="B42" s="69" t="s">
        <v>49</v>
      </c>
      <c r="C42" s="4">
        <v>94.25</v>
      </c>
      <c r="D42" s="3">
        <v>4.37</v>
      </c>
      <c r="E42" s="10">
        <v>1.5</v>
      </c>
      <c r="F42" s="10">
        <v>0</v>
      </c>
      <c r="G42" s="10">
        <v>10</v>
      </c>
      <c r="H42" s="10">
        <v>1</v>
      </c>
      <c r="I42" s="10">
        <v>4</v>
      </c>
      <c r="J42" s="10">
        <v>21.23</v>
      </c>
      <c r="K42" s="10">
        <v>1</v>
      </c>
      <c r="L42" s="10">
        <v>0</v>
      </c>
      <c r="M42" s="10">
        <v>5.28</v>
      </c>
      <c r="N42" s="10">
        <v>0</v>
      </c>
      <c r="O42" s="10">
        <v>0</v>
      </c>
      <c r="P42" s="10">
        <f t="shared" si="0"/>
        <v>6.28</v>
      </c>
      <c r="Q42" s="10">
        <v>1</v>
      </c>
      <c r="R42" s="10">
        <v>1</v>
      </c>
      <c r="S42" s="10">
        <v>43.64</v>
      </c>
      <c r="T42" s="10">
        <f t="shared" si="1"/>
        <v>45.64</v>
      </c>
      <c r="U42" s="10">
        <v>3.5</v>
      </c>
      <c r="V42" s="10">
        <v>1</v>
      </c>
      <c r="W42" s="10">
        <v>38.53</v>
      </c>
      <c r="X42" s="10">
        <v>2</v>
      </c>
      <c r="Y42" s="10">
        <v>1</v>
      </c>
      <c r="Z42" s="10">
        <f t="shared" si="2"/>
        <v>46.03</v>
      </c>
      <c r="AA42" s="10">
        <v>1</v>
      </c>
      <c r="AB42" s="10">
        <v>5</v>
      </c>
      <c r="AC42" s="70">
        <f t="shared" si="3"/>
        <v>6</v>
      </c>
      <c r="AD42" s="3">
        <v>1</v>
      </c>
      <c r="AE42" s="10">
        <v>1.73</v>
      </c>
      <c r="AF42" s="10">
        <v>41.81</v>
      </c>
      <c r="AG42" s="70">
        <f t="shared" si="4"/>
        <v>44.54</v>
      </c>
      <c r="AH42" s="3">
        <v>0</v>
      </c>
      <c r="AI42" s="70">
        <v>0</v>
      </c>
      <c r="AJ42" s="3">
        <v>0</v>
      </c>
      <c r="AK42" s="10">
        <v>0</v>
      </c>
      <c r="AL42" s="70">
        <f t="shared" si="5"/>
        <v>0</v>
      </c>
      <c r="AM42" s="71">
        <v>284.83999999999997</v>
      </c>
    </row>
    <row r="43" spans="1:39">
      <c r="A43" s="3">
        <v>32</v>
      </c>
      <c r="B43" s="69" t="s">
        <v>50</v>
      </c>
      <c r="C43" s="4">
        <v>88.92</v>
      </c>
      <c r="D43" s="3">
        <v>0.75</v>
      </c>
      <c r="E43" s="10">
        <v>0</v>
      </c>
      <c r="F43" s="10">
        <v>0</v>
      </c>
      <c r="G43" s="10">
        <v>1.5</v>
      </c>
      <c r="H43" s="10">
        <v>0.5</v>
      </c>
      <c r="I43" s="10">
        <v>5</v>
      </c>
      <c r="J43" s="10">
        <v>18.059999999999999</v>
      </c>
      <c r="K43" s="10">
        <v>1</v>
      </c>
      <c r="L43" s="10">
        <v>5</v>
      </c>
      <c r="M43" s="10">
        <v>1</v>
      </c>
      <c r="N43" s="10">
        <v>2</v>
      </c>
      <c r="O43" s="10">
        <v>0</v>
      </c>
      <c r="P43" s="10">
        <f t="shared" si="0"/>
        <v>9</v>
      </c>
      <c r="Q43" s="10">
        <v>0</v>
      </c>
      <c r="R43" s="10">
        <v>1</v>
      </c>
      <c r="S43" s="10">
        <v>29.48</v>
      </c>
      <c r="T43" s="10">
        <f t="shared" si="1"/>
        <v>30.48</v>
      </c>
      <c r="U43" s="10">
        <v>1</v>
      </c>
      <c r="V43" s="10">
        <v>1</v>
      </c>
      <c r="W43" s="10">
        <v>14.86</v>
      </c>
      <c r="X43" s="10">
        <v>2</v>
      </c>
      <c r="Y43" s="10">
        <v>1.82</v>
      </c>
      <c r="Z43" s="10">
        <f t="shared" si="2"/>
        <v>20.68</v>
      </c>
      <c r="AA43" s="10">
        <v>0</v>
      </c>
      <c r="AB43" s="10">
        <v>1</v>
      </c>
      <c r="AC43" s="70">
        <f t="shared" si="3"/>
        <v>1</v>
      </c>
      <c r="AD43" s="3">
        <v>1</v>
      </c>
      <c r="AE43" s="10">
        <v>4.9400000000000004</v>
      </c>
      <c r="AF43" s="10">
        <v>19.13</v>
      </c>
      <c r="AG43" s="70">
        <f t="shared" si="4"/>
        <v>25.07</v>
      </c>
      <c r="AH43" s="3">
        <v>0</v>
      </c>
      <c r="AI43" s="70">
        <v>6</v>
      </c>
      <c r="AJ43" s="3">
        <v>0</v>
      </c>
      <c r="AK43" s="10">
        <v>0</v>
      </c>
      <c r="AL43" s="70">
        <f t="shared" si="5"/>
        <v>6</v>
      </c>
      <c r="AM43" s="71">
        <v>206.96</v>
      </c>
    </row>
    <row r="44" spans="1:39">
      <c r="A44" s="3">
        <v>33</v>
      </c>
      <c r="B44" s="69" t="s">
        <v>51</v>
      </c>
      <c r="C44" s="4">
        <v>250.39</v>
      </c>
      <c r="D44" s="3">
        <v>11.5</v>
      </c>
      <c r="E44" s="10">
        <v>5.71</v>
      </c>
      <c r="F44" s="10">
        <v>12.8</v>
      </c>
      <c r="G44" s="10">
        <v>36.54</v>
      </c>
      <c r="H44" s="10">
        <v>1</v>
      </c>
      <c r="I44" s="10">
        <v>1</v>
      </c>
      <c r="J44" s="10">
        <v>107.49</v>
      </c>
      <c r="K44" s="10">
        <v>1</v>
      </c>
      <c r="L44" s="10">
        <v>7</v>
      </c>
      <c r="M44" s="10">
        <v>1</v>
      </c>
      <c r="N44" s="10">
        <v>12.45</v>
      </c>
      <c r="O44" s="10">
        <v>3.31</v>
      </c>
      <c r="P44" s="10">
        <f t="shared" si="0"/>
        <v>24.759999999999998</v>
      </c>
      <c r="Q44" s="10">
        <v>1</v>
      </c>
      <c r="R44" s="10">
        <v>2</v>
      </c>
      <c r="S44" s="10">
        <v>160.07</v>
      </c>
      <c r="T44" s="10">
        <f t="shared" si="1"/>
        <v>163.07</v>
      </c>
      <c r="U44" s="10">
        <v>3.69</v>
      </c>
      <c r="V44" s="10">
        <v>2</v>
      </c>
      <c r="W44" s="10">
        <v>54.87</v>
      </c>
      <c r="X44" s="10">
        <v>6.72</v>
      </c>
      <c r="Y44" s="10">
        <v>5.88</v>
      </c>
      <c r="Z44" s="10">
        <f t="shared" si="2"/>
        <v>73.16</v>
      </c>
      <c r="AA44" s="10">
        <v>0</v>
      </c>
      <c r="AB44" s="10">
        <v>21.87</v>
      </c>
      <c r="AC44" s="70">
        <f t="shared" si="3"/>
        <v>21.87</v>
      </c>
      <c r="AD44" s="3">
        <v>1</v>
      </c>
      <c r="AE44" s="10">
        <v>20.260000000000002</v>
      </c>
      <c r="AF44" s="10">
        <v>80.489999999999995</v>
      </c>
      <c r="AG44" s="70">
        <f t="shared" si="4"/>
        <v>101.75</v>
      </c>
      <c r="AH44" s="3">
        <v>0</v>
      </c>
      <c r="AI44" s="70">
        <v>0</v>
      </c>
      <c r="AJ44" s="3">
        <v>1</v>
      </c>
      <c r="AK44" s="10">
        <v>1</v>
      </c>
      <c r="AL44" s="70">
        <f t="shared" si="5"/>
        <v>2</v>
      </c>
      <c r="AM44" s="71">
        <v>813.04</v>
      </c>
    </row>
    <row r="45" spans="1:39">
      <c r="A45" s="3">
        <v>34</v>
      </c>
      <c r="B45" s="69" t="s">
        <v>52</v>
      </c>
      <c r="C45" s="4">
        <v>9.17</v>
      </c>
      <c r="D45" s="3">
        <v>0</v>
      </c>
      <c r="E45" s="10">
        <v>0</v>
      </c>
      <c r="F45" s="10">
        <v>0</v>
      </c>
      <c r="G45" s="10">
        <v>1.86</v>
      </c>
      <c r="H45" s="10">
        <v>1</v>
      </c>
      <c r="I45" s="10">
        <v>0</v>
      </c>
      <c r="J45" s="10">
        <v>3.5</v>
      </c>
      <c r="K45" s="10">
        <v>1</v>
      </c>
      <c r="L45" s="10">
        <v>0</v>
      </c>
      <c r="M45" s="10">
        <v>0</v>
      </c>
      <c r="N45" s="10">
        <v>1.34</v>
      </c>
      <c r="O45" s="10">
        <v>0</v>
      </c>
      <c r="P45" s="10">
        <f t="shared" si="0"/>
        <v>2.34</v>
      </c>
      <c r="Q45" s="10">
        <v>0</v>
      </c>
      <c r="R45" s="10">
        <v>1.85</v>
      </c>
      <c r="S45" s="10">
        <v>3.67</v>
      </c>
      <c r="T45" s="10">
        <f t="shared" si="1"/>
        <v>5.52</v>
      </c>
      <c r="U45" s="10">
        <v>0</v>
      </c>
      <c r="V45" s="10">
        <v>0.33</v>
      </c>
      <c r="W45" s="10">
        <v>0</v>
      </c>
      <c r="X45" s="10">
        <v>0.15</v>
      </c>
      <c r="Y45" s="10">
        <v>0</v>
      </c>
      <c r="Z45" s="10">
        <f t="shared" si="2"/>
        <v>0.48</v>
      </c>
      <c r="AA45" s="10">
        <v>0</v>
      </c>
      <c r="AB45" s="10">
        <v>0</v>
      </c>
      <c r="AC45" s="70">
        <f t="shared" si="3"/>
        <v>0</v>
      </c>
      <c r="AD45" s="3">
        <v>0.33</v>
      </c>
      <c r="AE45" s="10">
        <v>0</v>
      </c>
      <c r="AF45" s="10">
        <v>4.63</v>
      </c>
      <c r="AG45" s="70">
        <f t="shared" si="4"/>
        <v>4.96</v>
      </c>
      <c r="AH45" s="3">
        <v>0</v>
      </c>
      <c r="AI45" s="70">
        <v>0.13</v>
      </c>
      <c r="AJ45" s="3">
        <v>0</v>
      </c>
      <c r="AK45" s="10">
        <v>0</v>
      </c>
      <c r="AL45" s="70">
        <f t="shared" si="5"/>
        <v>0.13</v>
      </c>
      <c r="AM45" s="71">
        <v>28.96</v>
      </c>
    </row>
    <row r="46" spans="1:39" ht="15.75" thickBot="1">
      <c r="A46" s="3">
        <v>35</v>
      </c>
      <c r="B46" s="69" t="s">
        <v>53</v>
      </c>
      <c r="C46" s="4">
        <v>332.98</v>
      </c>
      <c r="D46" s="3">
        <v>14.33</v>
      </c>
      <c r="E46" s="10">
        <v>17.78</v>
      </c>
      <c r="F46" s="10">
        <v>10.01</v>
      </c>
      <c r="G46" s="10">
        <v>27.2</v>
      </c>
      <c r="H46" s="10">
        <v>1</v>
      </c>
      <c r="I46" s="10">
        <v>9.57</v>
      </c>
      <c r="J46" s="10">
        <v>66</v>
      </c>
      <c r="K46" s="10">
        <v>0</v>
      </c>
      <c r="L46" s="10">
        <v>0</v>
      </c>
      <c r="M46" s="10">
        <v>14.13</v>
      </c>
      <c r="N46" s="10">
        <v>0</v>
      </c>
      <c r="O46" s="10">
        <v>24</v>
      </c>
      <c r="P46" s="10">
        <f t="shared" si="0"/>
        <v>38.130000000000003</v>
      </c>
      <c r="Q46" s="10">
        <v>2</v>
      </c>
      <c r="R46" s="10">
        <v>2</v>
      </c>
      <c r="S46" s="10">
        <v>139.38</v>
      </c>
      <c r="T46" s="10">
        <f t="shared" si="1"/>
        <v>143.38</v>
      </c>
      <c r="U46" s="10">
        <v>3.5</v>
      </c>
      <c r="V46" s="10">
        <v>2</v>
      </c>
      <c r="W46" s="10">
        <v>89.84</v>
      </c>
      <c r="X46" s="10">
        <v>8</v>
      </c>
      <c r="Y46" s="10">
        <v>23.62</v>
      </c>
      <c r="Z46" s="10">
        <f t="shared" si="2"/>
        <v>126.96000000000001</v>
      </c>
      <c r="AA46" s="10">
        <v>0</v>
      </c>
      <c r="AB46" s="10">
        <v>0</v>
      </c>
      <c r="AC46" s="70">
        <f t="shared" si="3"/>
        <v>0</v>
      </c>
      <c r="AD46" s="3">
        <v>3</v>
      </c>
      <c r="AE46" s="10">
        <v>2</v>
      </c>
      <c r="AF46" s="10">
        <v>176.57</v>
      </c>
      <c r="AG46" s="70">
        <f t="shared" si="4"/>
        <v>181.57</v>
      </c>
      <c r="AH46" s="3">
        <v>0</v>
      </c>
      <c r="AI46" s="70">
        <v>0</v>
      </c>
      <c r="AJ46" s="3">
        <v>3.5</v>
      </c>
      <c r="AK46" s="10">
        <v>0</v>
      </c>
      <c r="AL46" s="70">
        <f t="shared" si="5"/>
        <v>3.5</v>
      </c>
      <c r="AM46" s="71">
        <v>972.41</v>
      </c>
    </row>
    <row r="47" spans="1:39" ht="15.75" thickBot="1">
      <c r="A47" s="73"/>
      <c r="B47" s="74" t="s">
        <v>59</v>
      </c>
      <c r="C47" s="75">
        <f>SUM(C7:C46)</f>
        <v>7471.2300000000014</v>
      </c>
      <c r="D47" s="76">
        <f t="shared" ref="D47:AM47" si="6">SUM(D7:D46)</f>
        <v>97.27</v>
      </c>
      <c r="E47" s="77">
        <f t="shared" si="6"/>
        <v>219.67000000000004</v>
      </c>
      <c r="F47" s="77">
        <f t="shared" si="6"/>
        <v>434.3</v>
      </c>
      <c r="G47" s="77">
        <f t="shared" si="6"/>
        <v>477.36000000000007</v>
      </c>
      <c r="H47" s="77">
        <f t="shared" si="6"/>
        <v>37.94</v>
      </c>
      <c r="I47" s="77">
        <f t="shared" si="6"/>
        <v>120.13</v>
      </c>
      <c r="J47" s="77">
        <f t="shared" si="6"/>
        <v>1526.61</v>
      </c>
      <c r="K47" s="77">
        <f t="shared" si="6"/>
        <v>35.340000000000003</v>
      </c>
      <c r="L47" s="77">
        <f t="shared" si="6"/>
        <v>49.370000000000005</v>
      </c>
      <c r="M47" s="77">
        <f t="shared" si="6"/>
        <v>83.469999999999985</v>
      </c>
      <c r="N47" s="77">
        <f t="shared" si="6"/>
        <v>208.82</v>
      </c>
      <c r="O47" s="77">
        <f t="shared" si="6"/>
        <v>312.59999999999997</v>
      </c>
      <c r="P47" s="77">
        <f t="shared" si="6"/>
        <v>689.6</v>
      </c>
      <c r="Q47" s="77">
        <f t="shared" si="6"/>
        <v>51.94</v>
      </c>
      <c r="R47" s="77">
        <f t="shared" si="6"/>
        <v>114.33999999999999</v>
      </c>
      <c r="S47" s="77">
        <f t="shared" si="6"/>
        <v>3301.9600000000009</v>
      </c>
      <c r="T47" s="77">
        <f t="shared" si="6"/>
        <v>3468.2400000000007</v>
      </c>
      <c r="U47" s="77">
        <f t="shared" si="6"/>
        <v>81.780000000000015</v>
      </c>
      <c r="V47" s="77">
        <f t="shared" si="6"/>
        <v>43.209999999999994</v>
      </c>
      <c r="W47" s="77">
        <f t="shared" si="6"/>
        <v>1427.7299999999996</v>
      </c>
      <c r="X47" s="77">
        <f t="shared" si="6"/>
        <v>122.37000000000002</v>
      </c>
      <c r="Y47" s="77">
        <f t="shared" si="6"/>
        <v>165.89999999999998</v>
      </c>
      <c r="Z47" s="77">
        <f t="shared" si="6"/>
        <v>1840.9900000000002</v>
      </c>
      <c r="AA47" s="77">
        <f t="shared" si="6"/>
        <v>20.880000000000003</v>
      </c>
      <c r="AB47" s="77">
        <f t="shared" si="6"/>
        <v>230.98000000000002</v>
      </c>
      <c r="AC47" s="78">
        <f t="shared" si="6"/>
        <v>251.86</v>
      </c>
      <c r="AD47" s="76">
        <f t="shared" si="6"/>
        <v>110.13</v>
      </c>
      <c r="AE47" s="77">
        <f t="shared" si="6"/>
        <v>109.09000000000002</v>
      </c>
      <c r="AF47" s="77">
        <f t="shared" si="6"/>
        <v>2576.3699999999994</v>
      </c>
      <c r="AG47" s="78">
        <f t="shared" si="6"/>
        <v>2795.5900000000006</v>
      </c>
      <c r="AH47" s="76">
        <f t="shared" si="6"/>
        <v>76.040000000000006</v>
      </c>
      <c r="AI47" s="79">
        <f t="shared" si="6"/>
        <v>23.53</v>
      </c>
      <c r="AJ47" s="76">
        <f t="shared" si="6"/>
        <v>115.02000000000001</v>
      </c>
      <c r="AK47" s="77">
        <f t="shared" si="6"/>
        <v>17.25</v>
      </c>
      <c r="AL47" s="78">
        <f t="shared" si="6"/>
        <v>231.83999999999997</v>
      </c>
      <c r="AM47" s="78">
        <f t="shared" si="6"/>
        <v>19662.63</v>
      </c>
    </row>
    <row r="48" spans="1:39" ht="15.75" thickBot="1">
      <c r="A48" s="5"/>
      <c r="B48" s="80" t="s">
        <v>66</v>
      </c>
      <c r="C48" s="11"/>
      <c r="D48" s="12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4"/>
      <c r="AD48" s="12"/>
      <c r="AE48" s="13"/>
      <c r="AF48" s="13"/>
      <c r="AG48" s="14"/>
      <c r="AH48" s="12"/>
      <c r="AI48" s="14"/>
      <c r="AJ48" s="12"/>
      <c r="AK48" s="13"/>
      <c r="AL48" s="14"/>
      <c r="AM48" s="78"/>
    </row>
    <row r="49" spans="1:39">
      <c r="A49" s="6" t="s">
        <v>67</v>
      </c>
      <c r="B49" s="81" t="s">
        <v>362</v>
      </c>
      <c r="C49" s="4">
        <v>14.73</v>
      </c>
      <c r="D49" s="3">
        <v>0</v>
      </c>
      <c r="E49" s="10">
        <v>1</v>
      </c>
      <c r="F49" s="10">
        <v>0.47</v>
      </c>
      <c r="G49" s="10">
        <v>1</v>
      </c>
      <c r="H49" s="10">
        <v>0</v>
      </c>
      <c r="I49" s="10">
        <v>0</v>
      </c>
      <c r="J49" s="10">
        <v>8.5</v>
      </c>
      <c r="K49" s="10">
        <v>0</v>
      </c>
      <c r="L49" s="10">
        <v>0</v>
      </c>
      <c r="M49" s="10">
        <v>0</v>
      </c>
      <c r="N49" s="10">
        <v>0.5</v>
      </c>
      <c r="O49" s="10">
        <v>0</v>
      </c>
      <c r="P49" s="10">
        <f>SUM(K49:O49)</f>
        <v>0.5</v>
      </c>
      <c r="Q49" s="10">
        <v>0</v>
      </c>
      <c r="R49" s="10">
        <v>0</v>
      </c>
      <c r="S49" s="10">
        <v>2</v>
      </c>
      <c r="T49" s="10">
        <f>SUM(Q49:S49)</f>
        <v>2</v>
      </c>
      <c r="U49" s="10">
        <v>0</v>
      </c>
      <c r="V49" s="10">
        <v>0</v>
      </c>
      <c r="W49" s="10">
        <v>1.71</v>
      </c>
      <c r="X49" s="10">
        <v>0</v>
      </c>
      <c r="Y49" s="10">
        <v>0</v>
      </c>
      <c r="Z49" s="10">
        <f>SUM(U49:Y49)</f>
        <v>1.71</v>
      </c>
      <c r="AA49" s="10">
        <v>0</v>
      </c>
      <c r="AB49" s="10">
        <v>0</v>
      </c>
      <c r="AC49" s="70">
        <f>SUM(AA49:AB49)</f>
        <v>0</v>
      </c>
      <c r="AD49" s="3">
        <v>0.25</v>
      </c>
      <c r="AE49" s="10">
        <v>0</v>
      </c>
      <c r="AF49" s="10">
        <v>0.25</v>
      </c>
      <c r="AG49" s="70">
        <f>SUM(AD49:AF49)</f>
        <v>0.5</v>
      </c>
      <c r="AH49" s="3">
        <v>0</v>
      </c>
      <c r="AI49" s="70">
        <v>0</v>
      </c>
      <c r="AJ49" s="3">
        <v>0</v>
      </c>
      <c r="AK49" s="10">
        <v>0</v>
      </c>
      <c r="AL49" s="70">
        <f>SUM(AJ49:AK49)</f>
        <v>0</v>
      </c>
      <c r="AM49" s="71">
        <v>30.41</v>
      </c>
    </row>
    <row r="50" spans="1:39">
      <c r="A50" s="6">
        <v>74</v>
      </c>
      <c r="B50" s="81" t="s">
        <v>363</v>
      </c>
      <c r="C50" s="4">
        <v>14.9</v>
      </c>
      <c r="D50" s="3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12.45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f t="shared" ref="P50:P113" si="7">SUM(K50:O50)</f>
        <v>0</v>
      </c>
      <c r="Q50" s="10">
        <v>0</v>
      </c>
      <c r="R50" s="10">
        <v>0</v>
      </c>
      <c r="S50" s="10">
        <v>1.95</v>
      </c>
      <c r="T50" s="10">
        <f t="shared" ref="T50:T113" si="8">SUM(Q50:S50)</f>
        <v>1.95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f t="shared" ref="Z50:Z113" si="9">SUM(U50:Y50)</f>
        <v>0</v>
      </c>
      <c r="AA50" s="10">
        <v>0</v>
      </c>
      <c r="AB50" s="10">
        <v>0</v>
      </c>
      <c r="AC50" s="70">
        <f t="shared" ref="AC50:AC113" si="10">SUM(AA50:AB50)</f>
        <v>0</v>
      </c>
      <c r="AD50" s="3">
        <v>0</v>
      </c>
      <c r="AE50" s="10">
        <v>0</v>
      </c>
      <c r="AF50" s="10">
        <v>0</v>
      </c>
      <c r="AG50" s="70">
        <f t="shared" ref="AG50:AG113" si="11">SUM(AD50:AF50)</f>
        <v>0</v>
      </c>
      <c r="AH50" s="3">
        <v>0</v>
      </c>
      <c r="AI50" s="70">
        <v>0</v>
      </c>
      <c r="AJ50" s="3">
        <v>0</v>
      </c>
      <c r="AK50" s="10">
        <v>0</v>
      </c>
      <c r="AL50" s="70">
        <f t="shared" ref="AL50:AL113" si="12">SUM(AJ50:AK50)</f>
        <v>0</v>
      </c>
      <c r="AM50" s="71">
        <v>29.3</v>
      </c>
    </row>
    <row r="51" spans="1:39">
      <c r="A51" s="6">
        <v>83</v>
      </c>
      <c r="B51" s="81" t="s">
        <v>68</v>
      </c>
      <c r="C51" s="4">
        <v>4.13</v>
      </c>
      <c r="D51" s="3">
        <v>0</v>
      </c>
      <c r="E51" s="10">
        <v>0.5</v>
      </c>
      <c r="F51" s="10">
        <v>0</v>
      </c>
      <c r="G51" s="10">
        <v>0</v>
      </c>
      <c r="H51" s="10">
        <v>0</v>
      </c>
      <c r="I51" s="10">
        <v>0</v>
      </c>
      <c r="J51" s="10">
        <v>1</v>
      </c>
      <c r="K51" s="10">
        <v>1</v>
      </c>
      <c r="L51" s="10">
        <v>0</v>
      </c>
      <c r="M51" s="10">
        <v>0.13</v>
      </c>
      <c r="N51" s="10">
        <v>0</v>
      </c>
      <c r="O51" s="10">
        <v>0</v>
      </c>
      <c r="P51" s="10">
        <f t="shared" si="7"/>
        <v>1.1299999999999999</v>
      </c>
      <c r="Q51" s="10">
        <v>0</v>
      </c>
      <c r="R51" s="10">
        <v>0</v>
      </c>
      <c r="S51" s="10">
        <v>0</v>
      </c>
      <c r="T51" s="10">
        <f t="shared" si="8"/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f t="shared" si="9"/>
        <v>0</v>
      </c>
      <c r="AA51" s="10">
        <v>0</v>
      </c>
      <c r="AB51" s="10">
        <v>1.32</v>
      </c>
      <c r="AC51" s="70">
        <f t="shared" si="10"/>
        <v>1.32</v>
      </c>
      <c r="AD51" s="3">
        <v>0</v>
      </c>
      <c r="AE51" s="10">
        <v>0</v>
      </c>
      <c r="AF51" s="10">
        <v>0</v>
      </c>
      <c r="AG51" s="70">
        <f t="shared" si="11"/>
        <v>0</v>
      </c>
      <c r="AH51" s="3">
        <v>0</v>
      </c>
      <c r="AI51" s="70">
        <v>0</v>
      </c>
      <c r="AJ51" s="3">
        <v>0</v>
      </c>
      <c r="AK51" s="10">
        <v>0</v>
      </c>
      <c r="AL51" s="70">
        <f t="shared" si="12"/>
        <v>0</v>
      </c>
      <c r="AM51" s="71">
        <v>8.08</v>
      </c>
    </row>
    <row r="52" spans="1:39">
      <c r="A52" s="6" t="s">
        <v>69</v>
      </c>
      <c r="B52" s="81" t="s">
        <v>70</v>
      </c>
      <c r="C52" s="4">
        <v>0</v>
      </c>
      <c r="D52" s="3">
        <v>0</v>
      </c>
      <c r="E52" s="10">
        <v>0.6</v>
      </c>
      <c r="F52" s="10">
        <v>0.4</v>
      </c>
      <c r="G52" s="10">
        <v>0</v>
      </c>
      <c r="H52" s="10">
        <v>0</v>
      </c>
      <c r="I52" s="10">
        <v>0</v>
      </c>
      <c r="J52" s="10">
        <v>1</v>
      </c>
      <c r="K52" s="10">
        <v>0</v>
      </c>
      <c r="L52" s="10">
        <v>0</v>
      </c>
      <c r="M52" s="10">
        <v>0.1</v>
      </c>
      <c r="N52" s="10">
        <v>0</v>
      </c>
      <c r="O52" s="10">
        <v>0</v>
      </c>
      <c r="P52" s="10">
        <f t="shared" si="7"/>
        <v>0.1</v>
      </c>
      <c r="Q52" s="10">
        <v>0</v>
      </c>
      <c r="R52" s="10">
        <v>0</v>
      </c>
      <c r="S52" s="10">
        <v>1</v>
      </c>
      <c r="T52" s="10">
        <f t="shared" si="8"/>
        <v>1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f t="shared" si="9"/>
        <v>0</v>
      </c>
      <c r="AA52" s="10">
        <v>0</v>
      </c>
      <c r="AB52" s="10">
        <v>0</v>
      </c>
      <c r="AC52" s="70">
        <f t="shared" si="10"/>
        <v>0</v>
      </c>
      <c r="AD52" s="3">
        <v>0</v>
      </c>
      <c r="AE52" s="10">
        <v>0</v>
      </c>
      <c r="AF52" s="10">
        <v>0</v>
      </c>
      <c r="AG52" s="70">
        <f t="shared" si="11"/>
        <v>0</v>
      </c>
      <c r="AH52" s="3">
        <v>0</v>
      </c>
      <c r="AI52" s="70">
        <v>0</v>
      </c>
      <c r="AJ52" s="3">
        <v>0</v>
      </c>
      <c r="AK52" s="10">
        <v>0</v>
      </c>
      <c r="AL52" s="70">
        <f t="shared" si="12"/>
        <v>0</v>
      </c>
      <c r="AM52" s="71">
        <v>3.1</v>
      </c>
    </row>
    <row r="53" spans="1:39">
      <c r="A53" s="6" t="s">
        <v>71</v>
      </c>
      <c r="B53" s="81" t="s">
        <v>72</v>
      </c>
      <c r="C53" s="4">
        <v>8.65</v>
      </c>
      <c r="D53" s="3">
        <v>0</v>
      </c>
      <c r="E53" s="10">
        <v>0</v>
      </c>
      <c r="F53" s="10">
        <v>0</v>
      </c>
      <c r="G53" s="10">
        <v>0</v>
      </c>
      <c r="H53" s="10">
        <v>2</v>
      </c>
      <c r="I53" s="10">
        <v>0</v>
      </c>
      <c r="J53" s="10">
        <v>2.21</v>
      </c>
      <c r="K53" s="10">
        <v>1</v>
      </c>
      <c r="L53" s="10">
        <v>0</v>
      </c>
      <c r="M53" s="10">
        <v>0</v>
      </c>
      <c r="N53" s="10">
        <v>0</v>
      </c>
      <c r="O53" s="10">
        <v>0</v>
      </c>
      <c r="P53" s="10">
        <f t="shared" si="7"/>
        <v>1</v>
      </c>
      <c r="Q53" s="10">
        <v>0</v>
      </c>
      <c r="R53" s="10">
        <v>0</v>
      </c>
      <c r="S53" s="10">
        <v>1.65</v>
      </c>
      <c r="T53" s="10">
        <f t="shared" si="8"/>
        <v>1.65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f t="shared" si="9"/>
        <v>0</v>
      </c>
      <c r="AA53" s="10">
        <v>0</v>
      </c>
      <c r="AB53" s="10">
        <v>0</v>
      </c>
      <c r="AC53" s="70">
        <f t="shared" si="10"/>
        <v>0</v>
      </c>
      <c r="AD53" s="3">
        <v>0.76</v>
      </c>
      <c r="AE53" s="10">
        <v>0.25</v>
      </c>
      <c r="AF53" s="10">
        <v>0.88</v>
      </c>
      <c r="AG53" s="70">
        <f t="shared" si="11"/>
        <v>1.8900000000000001</v>
      </c>
      <c r="AH53" s="3">
        <v>0</v>
      </c>
      <c r="AI53" s="70">
        <v>0</v>
      </c>
      <c r="AJ53" s="3">
        <v>0</v>
      </c>
      <c r="AK53" s="10">
        <v>0</v>
      </c>
      <c r="AL53" s="70">
        <f t="shared" si="12"/>
        <v>0</v>
      </c>
      <c r="AM53" s="71">
        <v>17.399999999999999</v>
      </c>
    </row>
    <row r="54" spans="1:39">
      <c r="A54" s="6">
        <v>84</v>
      </c>
      <c r="B54" s="81" t="s">
        <v>73</v>
      </c>
      <c r="C54" s="4">
        <v>1.25</v>
      </c>
      <c r="D54" s="3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f t="shared" si="7"/>
        <v>0</v>
      </c>
      <c r="Q54" s="10">
        <v>0</v>
      </c>
      <c r="R54" s="10">
        <v>0</v>
      </c>
      <c r="S54" s="10">
        <v>0.31</v>
      </c>
      <c r="T54" s="10">
        <f t="shared" si="8"/>
        <v>0.31</v>
      </c>
      <c r="U54" s="10">
        <v>0</v>
      </c>
      <c r="V54" s="10">
        <v>0</v>
      </c>
      <c r="W54" s="10">
        <v>0.47</v>
      </c>
      <c r="X54" s="10">
        <v>0</v>
      </c>
      <c r="Y54" s="10">
        <v>0</v>
      </c>
      <c r="Z54" s="10">
        <f t="shared" si="9"/>
        <v>0.47</v>
      </c>
      <c r="AA54" s="10">
        <v>0</v>
      </c>
      <c r="AB54" s="10">
        <v>0</v>
      </c>
      <c r="AC54" s="70">
        <f t="shared" si="10"/>
        <v>0</v>
      </c>
      <c r="AD54" s="3">
        <v>0</v>
      </c>
      <c r="AE54" s="10">
        <v>0</v>
      </c>
      <c r="AF54" s="10">
        <v>0</v>
      </c>
      <c r="AG54" s="70">
        <f t="shared" si="11"/>
        <v>0</v>
      </c>
      <c r="AH54" s="3">
        <v>0</v>
      </c>
      <c r="AI54" s="70">
        <v>0</v>
      </c>
      <c r="AJ54" s="3">
        <v>0</v>
      </c>
      <c r="AK54" s="10">
        <v>0</v>
      </c>
      <c r="AL54" s="70">
        <f t="shared" si="12"/>
        <v>0</v>
      </c>
      <c r="AM54" s="71">
        <v>2.0299999999999998</v>
      </c>
    </row>
    <row r="55" spans="1:39">
      <c r="A55" s="6" t="s">
        <v>74</v>
      </c>
      <c r="B55" s="81" t="s">
        <v>75</v>
      </c>
      <c r="C55" s="4">
        <v>11.1</v>
      </c>
      <c r="D55" s="3">
        <v>0</v>
      </c>
      <c r="E55" s="10">
        <v>0</v>
      </c>
      <c r="F55" s="10">
        <v>0</v>
      </c>
      <c r="G55" s="10">
        <v>1.47</v>
      </c>
      <c r="H55" s="10">
        <v>0</v>
      </c>
      <c r="I55" s="10">
        <v>0</v>
      </c>
      <c r="J55" s="10">
        <v>2</v>
      </c>
      <c r="K55" s="10">
        <v>1</v>
      </c>
      <c r="L55" s="10">
        <v>0</v>
      </c>
      <c r="M55" s="10">
        <v>0.42</v>
      </c>
      <c r="N55" s="10">
        <v>0</v>
      </c>
      <c r="O55" s="10">
        <v>0</v>
      </c>
      <c r="P55" s="10">
        <f t="shared" si="7"/>
        <v>1.42</v>
      </c>
      <c r="Q55" s="10">
        <v>0</v>
      </c>
      <c r="R55" s="10">
        <v>1</v>
      </c>
      <c r="S55" s="10">
        <v>1.92</v>
      </c>
      <c r="T55" s="10">
        <f t="shared" si="8"/>
        <v>2.92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f t="shared" si="9"/>
        <v>0</v>
      </c>
      <c r="AA55" s="10">
        <v>0</v>
      </c>
      <c r="AB55" s="10">
        <v>0</v>
      </c>
      <c r="AC55" s="70">
        <f t="shared" si="10"/>
        <v>0</v>
      </c>
      <c r="AD55" s="3">
        <v>0</v>
      </c>
      <c r="AE55" s="10">
        <v>0</v>
      </c>
      <c r="AF55" s="10">
        <v>0</v>
      </c>
      <c r="AG55" s="70">
        <f t="shared" si="11"/>
        <v>0</v>
      </c>
      <c r="AH55" s="3">
        <v>0</v>
      </c>
      <c r="AI55" s="70">
        <v>0</v>
      </c>
      <c r="AJ55" s="3">
        <v>0</v>
      </c>
      <c r="AK55" s="10">
        <v>0</v>
      </c>
      <c r="AL55" s="70">
        <f t="shared" si="12"/>
        <v>0</v>
      </c>
      <c r="AM55" s="71">
        <v>18.91</v>
      </c>
    </row>
    <row r="56" spans="1:39">
      <c r="A56" s="6">
        <v>87</v>
      </c>
      <c r="B56" s="81" t="s">
        <v>76</v>
      </c>
      <c r="C56" s="4">
        <v>6.66</v>
      </c>
      <c r="D56" s="3">
        <v>0</v>
      </c>
      <c r="E56" s="10">
        <v>1</v>
      </c>
      <c r="F56" s="10">
        <v>0</v>
      </c>
      <c r="G56" s="10">
        <v>0.69</v>
      </c>
      <c r="H56" s="10">
        <v>0</v>
      </c>
      <c r="I56" s="10">
        <v>0</v>
      </c>
      <c r="J56" s="10">
        <v>0</v>
      </c>
      <c r="K56" s="10">
        <v>0.5</v>
      </c>
      <c r="L56" s="10">
        <v>0</v>
      </c>
      <c r="M56" s="10">
        <v>0</v>
      </c>
      <c r="N56" s="10">
        <v>0.22</v>
      </c>
      <c r="O56" s="10">
        <v>0</v>
      </c>
      <c r="P56" s="10">
        <f t="shared" si="7"/>
        <v>0.72</v>
      </c>
      <c r="Q56" s="10">
        <v>0</v>
      </c>
      <c r="R56" s="10">
        <v>1</v>
      </c>
      <c r="S56" s="10">
        <v>0.97</v>
      </c>
      <c r="T56" s="10">
        <f t="shared" si="8"/>
        <v>1.97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f t="shared" si="9"/>
        <v>0</v>
      </c>
      <c r="AA56" s="10">
        <v>0</v>
      </c>
      <c r="AB56" s="10">
        <v>0</v>
      </c>
      <c r="AC56" s="70">
        <f t="shared" si="10"/>
        <v>0</v>
      </c>
      <c r="AD56" s="3">
        <v>0</v>
      </c>
      <c r="AE56" s="10">
        <v>0</v>
      </c>
      <c r="AF56" s="10">
        <v>0</v>
      </c>
      <c r="AG56" s="70">
        <f t="shared" si="11"/>
        <v>0</v>
      </c>
      <c r="AH56" s="3">
        <v>0.39</v>
      </c>
      <c r="AI56" s="70">
        <v>1</v>
      </c>
      <c r="AJ56" s="3">
        <v>0</v>
      </c>
      <c r="AK56" s="10">
        <v>0</v>
      </c>
      <c r="AL56" s="70">
        <f t="shared" si="12"/>
        <v>0</v>
      </c>
      <c r="AM56" s="71">
        <v>12.43</v>
      </c>
    </row>
    <row r="57" spans="1:39">
      <c r="A57" s="6" t="s">
        <v>77</v>
      </c>
      <c r="B57" s="81" t="s">
        <v>78</v>
      </c>
      <c r="C57" s="4">
        <v>3</v>
      </c>
      <c r="D57" s="3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1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f t="shared" si="7"/>
        <v>0</v>
      </c>
      <c r="Q57" s="10">
        <v>0</v>
      </c>
      <c r="R57" s="10">
        <v>0</v>
      </c>
      <c r="S57" s="10">
        <v>1</v>
      </c>
      <c r="T57" s="10">
        <f t="shared" si="8"/>
        <v>1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f t="shared" si="9"/>
        <v>0</v>
      </c>
      <c r="AA57" s="10">
        <v>0</v>
      </c>
      <c r="AB57" s="10">
        <v>0</v>
      </c>
      <c r="AC57" s="70">
        <f t="shared" si="10"/>
        <v>0</v>
      </c>
      <c r="AD57" s="3">
        <v>0</v>
      </c>
      <c r="AE57" s="10">
        <v>0</v>
      </c>
      <c r="AF57" s="10">
        <v>0</v>
      </c>
      <c r="AG57" s="70">
        <f t="shared" si="11"/>
        <v>0</v>
      </c>
      <c r="AH57" s="3">
        <v>0</v>
      </c>
      <c r="AI57" s="70">
        <v>0</v>
      </c>
      <c r="AJ57" s="3">
        <v>0</v>
      </c>
      <c r="AK57" s="10">
        <v>0</v>
      </c>
      <c r="AL57" s="70">
        <f t="shared" si="12"/>
        <v>0</v>
      </c>
      <c r="AM57" s="71">
        <v>5</v>
      </c>
    </row>
    <row r="58" spans="1:39">
      <c r="A58" s="6" t="s">
        <v>79</v>
      </c>
      <c r="B58" s="81" t="s">
        <v>197</v>
      </c>
      <c r="C58" s="4">
        <v>2.8</v>
      </c>
      <c r="D58" s="3">
        <v>1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2</v>
      </c>
      <c r="K58" s="10">
        <v>1</v>
      </c>
      <c r="L58" s="10">
        <v>0</v>
      </c>
      <c r="M58" s="10">
        <v>0</v>
      </c>
      <c r="N58" s="10">
        <v>0</v>
      </c>
      <c r="O58" s="10">
        <v>1</v>
      </c>
      <c r="P58" s="10">
        <f t="shared" si="7"/>
        <v>2</v>
      </c>
      <c r="Q58" s="10">
        <v>0</v>
      </c>
      <c r="R58" s="10">
        <v>0</v>
      </c>
      <c r="S58" s="10">
        <v>1</v>
      </c>
      <c r="T58" s="10">
        <f t="shared" si="8"/>
        <v>1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f t="shared" si="9"/>
        <v>0</v>
      </c>
      <c r="AA58" s="10">
        <v>0</v>
      </c>
      <c r="AB58" s="10">
        <v>0</v>
      </c>
      <c r="AC58" s="70">
        <f t="shared" si="10"/>
        <v>0</v>
      </c>
      <c r="AD58" s="3">
        <v>1</v>
      </c>
      <c r="AE58" s="10">
        <v>0</v>
      </c>
      <c r="AF58" s="10">
        <v>1.3</v>
      </c>
      <c r="AG58" s="70">
        <f t="shared" si="11"/>
        <v>2.2999999999999998</v>
      </c>
      <c r="AH58" s="3">
        <v>0</v>
      </c>
      <c r="AI58" s="70">
        <v>0</v>
      </c>
      <c r="AJ58" s="3">
        <v>0</v>
      </c>
      <c r="AK58" s="10">
        <v>0</v>
      </c>
      <c r="AL58" s="70">
        <f t="shared" si="12"/>
        <v>0</v>
      </c>
      <c r="AM58" s="71">
        <v>11.1</v>
      </c>
    </row>
    <row r="59" spans="1:39">
      <c r="A59" s="6" t="s">
        <v>80</v>
      </c>
      <c r="B59" s="81" t="s">
        <v>81</v>
      </c>
      <c r="C59" s="4">
        <v>7</v>
      </c>
      <c r="D59" s="3">
        <v>0</v>
      </c>
      <c r="E59" s="10">
        <v>0</v>
      </c>
      <c r="F59" s="10">
        <v>0</v>
      </c>
      <c r="G59" s="10">
        <v>0</v>
      </c>
      <c r="H59" s="10">
        <v>2</v>
      </c>
      <c r="I59" s="10">
        <v>2</v>
      </c>
      <c r="J59" s="10">
        <v>0</v>
      </c>
      <c r="K59" s="10">
        <v>0</v>
      </c>
      <c r="L59" s="10">
        <v>0</v>
      </c>
      <c r="M59" s="10">
        <v>1</v>
      </c>
      <c r="N59" s="10">
        <v>0</v>
      </c>
      <c r="O59" s="10">
        <v>0</v>
      </c>
      <c r="P59" s="10">
        <f t="shared" si="7"/>
        <v>1</v>
      </c>
      <c r="Q59" s="10">
        <v>0</v>
      </c>
      <c r="R59" s="10">
        <v>1</v>
      </c>
      <c r="S59" s="10">
        <v>2</v>
      </c>
      <c r="T59" s="10">
        <f t="shared" si="8"/>
        <v>3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f t="shared" si="9"/>
        <v>0</v>
      </c>
      <c r="AA59" s="10">
        <v>0</v>
      </c>
      <c r="AB59" s="10">
        <v>0</v>
      </c>
      <c r="AC59" s="70">
        <f t="shared" si="10"/>
        <v>0</v>
      </c>
      <c r="AD59" s="3">
        <v>0</v>
      </c>
      <c r="AE59" s="10">
        <v>0</v>
      </c>
      <c r="AF59" s="10">
        <v>3</v>
      </c>
      <c r="AG59" s="70">
        <f t="shared" si="11"/>
        <v>3</v>
      </c>
      <c r="AH59" s="3">
        <v>0</v>
      </c>
      <c r="AI59" s="70">
        <v>4</v>
      </c>
      <c r="AJ59" s="3">
        <v>0</v>
      </c>
      <c r="AK59" s="10">
        <v>0</v>
      </c>
      <c r="AL59" s="70">
        <f t="shared" si="12"/>
        <v>0</v>
      </c>
      <c r="AM59" s="71">
        <v>22</v>
      </c>
    </row>
    <row r="60" spans="1:39">
      <c r="A60" s="6" t="s">
        <v>82</v>
      </c>
      <c r="B60" s="81" t="s">
        <v>364</v>
      </c>
      <c r="C60" s="4">
        <v>2.5</v>
      </c>
      <c r="D60" s="3">
        <v>0</v>
      </c>
      <c r="E60" s="10">
        <v>0</v>
      </c>
      <c r="F60" s="10">
        <v>0</v>
      </c>
      <c r="G60" s="10">
        <v>0.75</v>
      </c>
      <c r="H60" s="10">
        <v>1</v>
      </c>
      <c r="I60" s="10">
        <v>0</v>
      </c>
      <c r="J60" s="10">
        <v>2</v>
      </c>
      <c r="K60" s="10">
        <v>0.6</v>
      </c>
      <c r="L60" s="10">
        <v>0</v>
      </c>
      <c r="M60" s="10">
        <v>0</v>
      </c>
      <c r="N60" s="10">
        <v>0</v>
      </c>
      <c r="O60" s="10">
        <v>0</v>
      </c>
      <c r="P60" s="10">
        <f t="shared" si="7"/>
        <v>0.6</v>
      </c>
      <c r="Q60" s="10">
        <v>0</v>
      </c>
      <c r="R60" s="10">
        <v>0</v>
      </c>
      <c r="S60" s="10">
        <v>2</v>
      </c>
      <c r="T60" s="10">
        <f t="shared" si="8"/>
        <v>2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f t="shared" si="9"/>
        <v>0</v>
      </c>
      <c r="AA60" s="10">
        <v>0</v>
      </c>
      <c r="AB60" s="10">
        <v>0.5</v>
      </c>
      <c r="AC60" s="70">
        <f t="shared" si="10"/>
        <v>0.5</v>
      </c>
      <c r="AD60" s="3">
        <v>0</v>
      </c>
      <c r="AE60" s="10">
        <v>0</v>
      </c>
      <c r="AF60" s="10">
        <v>0.2</v>
      </c>
      <c r="AG60" s="70">
        <f t="shared" si="11"/>
        <v>0.2</v>
      </c>
      <c r="AH60" s="3">
        <v>0</v>
      </c>
      <c r="AI60" s="70">
        <v>0</v>
      </c>
      <c r="AJ60" s="3">
        <v>0</v>
      </c>
      <c r="AK60" s="10">
        <v>0</v>
      </c>
      <c r="AL60" s="70">
        <f t="shared" si="12"/>
        <v>0</v>
      </c>
      <c r="AM60" s="71">
        <v>9.5500000000000007</v>
      </c>
    </row>
    <row r="61" spans="1:39">
      <c r="A61" s="6" t="s">
        <v>83</v>
      </c>
      <c r="B61" s="81" t="s">
        <v>84</v>
      </c>
      <c r="C61" s="4">
        <v>0.38</v>
      </c>
      <c r="D61" s="3">
        <v>0</v>
      </c>
      <c r="E61" s="10">
        <v>0.78</v>
      </c>
      <c r="F61" s="10">
        <v>0</v>
      </c>
      <c r="G61" s="10">
        <v>0</v>
      </c>
      <c r="H61" s="10">
        <v>0</v>
      </c>
      <c r="I61" s="10">
        <v>0</v>
      </c>
      <c r="J61" s="10">
        <v>1</v>
      </c>
      <c r="K61" s="10">
        <v>0</v>
      </c>
      <c r="L61" s="10">
        <v>0</v>
      </c>
      <c r="M61" s="10">
        <v>1</v>
      </c>
      <c r="N61" s="10">
        <v>0</v>
      </c>
      <c r="O61" s="10">
        <v>0</v>
      </c>
      <c r="P61" s="10">
        <f t="shared" si="7"/>
        <v>1</v>
      </c>
      <c r="Q61" s="10">
        <v>0</v>
      </c>
      <c r="R61" s="10">
        <v>0</v>
      </c>
      <c r="S61" s="10">
        <v>0</v>
      </c>
      <c r="T61" s="10">
        <f t="shared" si="8"/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f t="shared" si="9"/>
        <v>0</v>
      </c>
      <c r="AA61" s="10">
        <v>0</v>
      </c>
      <c r="AB61" s="10">
        <v>0</v>
      </c>
      <c r="AC61" s="70">
        <f t="shared" si="10"/>
        <v>0</v>
      </c>
      <c r="AD61" s="3">
        <v>1</v>
      </c>
      <c r="AE61" s="10">
        <v>0</v>
      </c>
      <c r="AF61" s="10">
        <v>0.5</v>
      </c>
      <c r="AG61" s="70">
        <f t="shared" si="11"/>
        <v>1.5</v>
      </c>
      <c r="AH61" s="3">
        <v>0</v>
      </c>
      <c r="AI61" s="70">
        <v>0</v>
      </c>
      <c r="AJ61" s="3">
        <v>0</v>
      </c>
      <c r="AK61" s="10">
        <v>0</v>
      </c>
      <c r="AL61" s="70">
        <f t="shared" si="12"/>
        <v>0</v>
      </c>
      <c r="AM61" s="71">
        <v>4.66</v>
      </c>
    </row>
    <row r="62" spans="1:39">
      <c r="A62" s="6" t="s">
        <v>85</v>
      </c>
      <c r="B62" s="81" t="s">
        <v>199</v>
      </c>
      <c r="C62" s="4">
        <v>6.6</v>
      </c>
      <c r="D62" s="3">
        <v>0</v>
      </c>
      <c r="E62" s="10">
        <v>0</v>
      </c>
      <c r="F62" s="10">
        <v>0</v>
      </c>
      <c r="G62" s="10">
        <v>0.6</v>
      </c>
      <c r="H62" s="10">
        <v>0</v>
      </c>
      <c r="I62" s="10">
        <v>0.1</v>
      </c>
      <c r="J62" s="10">
        <v>1.7</v>
      </c>
      <c r="K62" s="10">
        <v>0</v>
      </c>
      <c r="L62" s="10">
        <v>0</v>
      </c>
      <c r="M62" s="10">
        <v>0</v>
      </c>
      <c r="N62" s="10">
        <v>0.3</v>
      </c>
      <c r="O62" s="10">
        <v>0</v>
      </c>
      <c r="P62" s="10">
        <f t="shared" si="7"/>
        <v>0.3</v>
      </c>
      <c r="Q62" s="10">
        <v>0</v>
      </c>
      <c r="R62" s="10">
        <v>0</v>
      </c>
      <c r="S62" s="10">
        <v>1</v>
      </c>
      <c r="T62" s="10">
        <f t="shared" si="8"/>
        <v>1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f t="shared" si="9"/>
        <v>0</v>
      </c>
      <c r="AA62" s="10">
        <v>0</v>
      </c>
      <c r="AB62" s="10">
        <v>0</v>
      </c>
      <c r="AC62" s="70">
        <f t="shared" si="10"/>
        <v>0</v>
      </c>
      <c r="AD62" s="3">
        <v>0</v>
      </c>
      <c r="AE62" s="10">
        <v>0.4</v>
      </c>
      <c r="AF62" s="10">
        <v>1.6</v>
      </c>
      <c r="AG62" s="70">
        <f t="shared" si="11"/>
        <v>2</v>
      </c>
      <c r="AH62" s="3">
        <v>0</v>
      </c>
      <c r="AI62" s="70">
        <v>0</v>
      </c>
      <c r="AJ62" s="3">
        <v>0</v>
      </c>
      <c r="AK62" s="10">
        <v>0</v>
      </c>
      <c r="AL62" s="70">
        <f t="shared" si="12"/>
        <v>0</v>
      </c>
      <c r="AM62" s="71">
        <v>12.3</v>
      </c>
    </row>
    <row r="63" spans="1:39">
      <c r="A63" s="6">
        <v>98</v>
      </c>
      <c r="B63" s="81" t="s">
        <v>365</v>
      </c>
      <c r="C63" s="4">
        <v>2.5</v>
      </c>
      <c r="D63" s="3">
        <v>0</v>
      </c>
      <c r="E63" s="10">
        <v>0</v>
      </c>
      <c r="F63" s="10">
        <v>0</v>
      </c>
      <c r="G63" s="10">
        <v>0.5</v>
      </c>
      <c r="H63" s="10">
        <v>0.5</v>
      </c>
      <c r="I63" s="10">
        <v>1</v>
      </c>
      <c r="J63" s="10">
        <v>0</v>
      </c>
      <c r="K63" s="10">
        <v>0.5</v>
      </c>
      <c r="L63" s="10">
        <v>0</v>
      </c>
      <c r="M63" s="10">
        <v>0</v>
      </c>
      <c r="N63" s="10">
        <v>0</v>
      </c>
      <c r="O63" s="10">
        <v>1</v>
      </c>
      <c r="P63" s="10">
        <f t="shared" si="7"/>
        <v>1.5</v>
      </c>
      <c r="Q63" s="10">
        <v>0</v>
      </c>
      <c r="R63" s="10">
        <v>0</v>
      </c>
      <c r="S63" s="10">
        <v>1</v>
      </c>
      <c r="T63" s="10">
        <f t="shared" si="8"/>
        <v>1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f t="shared" si="9"/>
        <v>0</v>
      </c>
      <c r="AA63" s="10">
        <v>0</v>
      </c>
      <c r="AB63" s="10">
        <v>0</v>
      </c>
      <c r="AC63" s="70">
        <f t="shared" si="10"/>
        <v>0</v>
      </c>
      <c r="AD63" s="3">
        <v>0</v>
      </c>
      <c r="AE63" s="10">
        <v>0</v>
      </c>
      <c r="AF63" s="10">
        <v>0</v>
      </c>
      <c r="AG63" s="70">
        <f t="shared" si="11"/>
        <v>0</v>
      </c>
      <c r="AH63" s="3">
        <v>0</v>
      </c>
      <c r="AI63" s="70">
        <v>0</v>
      </c>
      <c r="AJ63" s="3">
        <v>0</v>
      </c>
      <c r="AK63" s="10">
        <v>0</v>
      </c>
      <c r="AL63" s="70">
        <f t="shared" si="12"/>
        <v>0</v>
      </c>
      <c r="AM63" s="71">
        <v>7</v>
      </c>
    </row>
    <row r="64" spans="1:39">
      <c r="A64" s="6">
        <v>82</v>
      </c>
      <c r="B64" s="81" t="s">
        <v>201</v>
      </c>
      <c r="C64" s="4">
        <v>9.75</v>
      </c>
      <c r="D64" s="3">
        <v>0</v>
      </c>
      <c r="E64" s="10">
        <v>2</v>
      </c>
      <c r="F64" s="10">
        <v>0</v>
      </c>
      <c r="G64" s="10">
        <v>0.5</v>
      </c>
      <c r="H64" s="10">
        <v>0</v>
      </c>
      <c r="I64" s="10">
        <v>0</v>
      </c>
      <c r="J64" s="10">
        <v>0</v>
      </c>
      <c r="K64" s="10">
        <v>1</v>
      </c>
      <c r="L64" s="10">
        <v>0</v>
      </c>
      <c r="M64" s="10">
        <v>0</v>
      </c>
      <c r="N64" s="10">
        <v>0.5</v>
      </c>
      <c r="O64" s="10">
        <v>0</v>
      </c>
      <c r="P64" s="10">
        <f t="shared" si="7"/>
        <v>1.5</v>
      </c>
      <c r="Q64" s="10">
        <v>0</v>
      </c>
      <c r="R64" s="10">
        <v>1</v>
      </c>
      <c r="S64" s="10">
        <v>1</v>
      </c>
      <c r="T64" s="10">
        <f t="shared" si="8"/>
        <v>2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f t="shared" si="9"/>
        <v>0</v>
      </c>
      <c r="AA64" s="10">
        <v>0</v>
      </c>
      <c r="AB64" s="10">
        <v>0</v>
      </c>
      <c r="AC64" s="70">
        <f t="shared" si="10"/>
        <v>0</v>
      </c>
      <c r="AD64" s="3">
        <v>0</v>
      </c>
      <c r="AE64" s="10">
        <v>0</v>
      </c>
      <c r="AF64" s="10">
        <v>6.69</v>
      </c>
      <c r="AG64" s="70">
        <f t="shared" si="11"/>
        <v>6.69</v>
      </c>
      <c r="AH64" s="3">
        <v>0</v>
      </c>
      <c r="AI64" s="70">
        <v>0</v>
      </c>
      <c r="AJ64" s="3">
        <v>0</v>
      </c>
      <c r="AK64" s="10">
        <v>0</v>
      </c>
      <c r="AL64" s="70">
        <f t="shared" si="12"/>
        <v>0</v>
      </c>
      <c r="AM64" s="71">
        <v>22.44</v>
      </c>
    </row>
    <row r="65" spans="1:39">
      <c r="A65" s="82" t="s">
        <v>300</v>
      </c>
      <c r="B65" s="81" t="s">
        <v>366</v>
      </c>
      <c r="C65" s="4">
        <v>21.75</v>
      </c>
      <c r="D65" s="3">
        <v>0.79</v>
      </c>
      <c r="E65" s="10">
        <v>0</v>
      </c>
      <c r="F65" s="10">
        <v>0</v>
      </c>
      <c r="G65" s="10">
        <v>1.43</v>
      </c>
      <c r="H65" s="10">
        <v>0</v>
      </c>
      <c r="I65" s="10">
        <v>2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f t="shared" si="7"/>
        <v>0</v>
      </c>
      <c r="Q65" s="10">
        <v>0</v>
      </c>
      <c r="R65" s="10">
        <v>0</v>
      </c>
      <c r="S65" s="10">
        <v>1.96</v>
      </c>
      <c r="T65" s="10">
        <f t="shared" si="8"/>
        <v>1.96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f t="shared" si="9"/>
        <v>0</v>
      </c>
      <c r="AA65" s="10">
        <v>0</v>
      </c>
      <c r="AB65" s="10">
        <v>0</v>
      </c>
      <c r="AC65" s="70">
        <f t="shared" si="10"/>
        <v>0</v>
      </c>
      <c r="AD65" s="3">
        <v>0</v>
      </c>
      <c r="AE65" s="10">
        <v>0</v>
      </c>
      <c r="AF65" s="10">
        <v>0</v>
      </c>
      <c r="AG65" s="70">
        <f t="shared" si="11"/>
        <v>0</v>
      </c>
      <c r="AH65" s="3">
        <v>0</v>
      </c>
      <c r="AI65" s="70">
        <v>0</v>
      </c>
      <c r="AJ65" s="3">
        <v>0</v>
      </c>
      <c r="AK65" s="10">
        <v>0</v>
      </c>
      <c r="AL65" s="70">
        <f t="shared" si="12"/>
        <v>0</v>
      </c>
      <c r="AM65" s="71">
        <v>27.93</v>
      </c>
    </row>
    <row r="66" spans="1:39">
      <c r="A66" s="6" t="s">
        <v>86</v>
      </c>
      <c r="B66" s="81" t="s">
        <v>87</v>
      </c>
      <c r="C66" s="4">
        <v>4.95</v>
      </c>
      <c r="D66" s="3">
        <v>0</v>
      </c>
      <c r="E66" s="10">
        <v>0</v>
      </c>
      <c r="F66" s="10">
        <v>0.13</v>
      </c>
      <c r="G66" s="10">
        <v>0.18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1.0900000000000001</v>
      </c>
      <c r="O66" s="10">
        <v>0</v>
      </c>
      <c r="P66" s="10">
        <f t="shared" si="7"/>
        <v>1.0900000000000001</v>
      </c>
      <c r="Q66" s="10">
        <v>0</v>
      </c>
      <c r="R66" s="10">
        <v>0</v>
      </c>
      <c r="S66" s="10">
        <v>1</v>
      </c>
      <c r="T66" s="10">
        <f t="shared" si="8"/>
        <v>1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f t="shared" si="9"/>
        <v>0</v>
      </c>
      <c r="AA66" s="10">
        <v>0</v>
      </c>
      <c r="AB66" s="10">
        <v>0</v>
      </c>
      <c r="AC66" s="70">
        <f t="shared" si="10"/>
        <v>0</v>
      </c>
      <c r="AD66" s="3">
        <v>0</v>
      </c>
      <c r="AE66" s="10">
        <v>0</v>
      </c>
      <c r="AF66" s="10">
        <v>0</v>
      </c>
      <c r="AG66" s="70">
        <f t="shared" si="11"/>
        <v>0</v>
      </c>
      <c r="AH66" s="3">
        <v>0</v>
      </c>
      <c r="AI66" s="70">
        <v>0</v>
      </c>
      <c r="AJ66" s="3">
        <v>0</v>
      </c>
      <c r="AK66" s="10">
        <v>0</v>
      </c>
      <c r="AL66" s="70">
        <f t="shared" si="12"/>
        <v>0</v>
      </c>
      <c r="AM66" s="71">
        <v>7.35</v>
      </c>
    </row>
    <row r="67" spans="1:39">
      <c r="A67" s="6" t="s">
        <v>88</v>
      </c>
      <c r="B67" s="81" t="s">
        <v>89</v>
      </c>
      <c r="C67" s="4">
        <v>4.5</v>
      </c>
      <c r="D67" s="3">
        <v>0</v>
      </c>
      <c r="E67" s="10">
        <v>0.25</v>
      </c>
      <c r="F67" s="10">
        <v>0</v>
      </c>
      <c r="G67" s="10">
        <v>0.5</v>
      </c>
      <c r="H67" s="10">
        <v>0.33</v>
      </c>
      <c r="I67" s="10">
        <v>0</v>
      </c>
      <c r="J67" s="10">
        <v>1</v>
      </c>
      <c r="K67" s="10">
        <v>0.5</v>
      </c>
      <c r="L67" s="10">
        <v>0</v>
      </c>
      <c r="M67" s="10">
        <v>0.75</v>
      </c>
      <c r="N67" s="10">
        <v>0</v>
      </c>
      <c r="O67" s="10">
        <v>0</v>
      </c>
      <c r="P67" s="10">
        <f t="shared" si="7"/>
        <v>1.25</v>
      </c>
      <c r="Q67" s="10">
        <v>0</v>
      </c>
      <c r="R67" s="10">
        <v>0</v>
      </c>
      <c r="S67" s="10">
        <v>0</v>
      </c>
      <c r="T67" s="10">
        <f t="shared" si="8"/>
        <v>0</v>
      </c>
      <c r="U67" s="10">
        <v>0</v>
      </c>
      <c r="V67" s="10">
        <v>0</v>
      </c>
      <c r="W67" s="10">
        <v>1.5</v>
      </c>
      <c r="X67" s="10">
        <v>0</v>
      </c>
      <c r="Y67" s="10">
        <v>0</v>
      </c>
      <c r="Z67" s="10">
        <f t="shared" si="9"/>
        <v>1.5</v>
      </c>
      <c r="AA67" s="10">
        <v>0</v>
      </c>
      <c r="AB67" s="10">
        <v>0</v>
      </c>
      <c r="AC67" s="70">
        <f t="shared" si="10"/>
        <v>0</v>
      </c>
      <c r="AD67" s="3">
        <v>0</v>
      </c>
      <c r="AE67" s="10">
        <v>0</v>
      </c>
      <c r="AF67" s="10">
        <v>1.38</v>
      </c>
      <c r="AG67" s="70">
        <f t="shared" si="11"/>
        <v>1.38</v>
      </c>
      <c r="AH67" s="3">
        <v>0</v>
      </c>
      <c r="AI67" s="70">
        <v>0</v>
      </c>
      <c r="AJ67" s="3">
        <v>0</v>
      </c>
      <c r="AK67" s="10">
        <v>0</v>
      </c>
      <c r="AL67" s="70">
        <f t="shared" si="12"/>
        <v>0</v>
      </c>
      <c r="AM67" s="71">
        <v>10.71</v>
      </c>
    </row>
    <row r="68" spans="1:39">
      <c r="A68" s="6" t="s">
        <v>90</v>
      </c>
      <c r="B68" s="81" t="s">
        <v>91</v>
      </c>
      <c r="C68" s="4">
        <v>1.63</v>
      </c>
      <c r="D68" s="3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0.69</v>
      </c>
      <c r="K68" s="10">
        <v>0.3</v>
      </c>
      <c r="L68" s="10">
        <v>0</v>
      </c>
      <c r="M68" s="10">
        <v>0</v>
      </c>
      <c r="N68" s="10">
        <v>0</v>
      </c>
      <c r="O68" s="10">
        <v>0</v>
      </c>
      <c r="P68" s="10">
        <f t="shared" si="7"/>
        <v>0.3</v>
      </c>
      <c r="Q68" s="10">
        <v>0</v>
      </c>
      <c r="R68" s="10">
        <v>0</v>
      </c>
      <c r="S68" s="10">
        <v>0.75</v>
      </c>
      <c r="T68" s="10">
        <f t="shared" si="8"/>
        <v>0.75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f t="shared" si="9"/>
        <v>0</v>
      </c>
      <c r="AA68" s="10">
        <v>0</v>
      </c>
      <c r="AB68" s="10">
        <v>0</v>
      </c>
      <c r="AC68" s="70">
        <f t="shared" si="10"/>
        <v>0</v>
      </c>
      <c r="AD68" s="3">
        <v>0</v>
      </c>
      <c r="AE68" s="10">
        <v>0</v>
      </c>
      <c r="AF68" s="10">
        <v>0.31</v>
      </c>
      <c r="AG68" s="70">
        <f t="shared" si="11"/>
        <v>0.31</v>
      </c>
      <c r="AH68" s="3">
        <v>0</v>
      </c>
      <c r="AI68" s="70">
        <v>1</v>
      </c>
      <c r="AJ68" s="3">
        <v>0</v>
      </c>
      <c r="AK68" s="10">
        <v>0</v>
      </c>
      <c r="AL68" s="70">
        <f t="shared" si="12"/>
        <v>0</v>
      </c>
      <c r="AM68" s="71">
        <v>4.68</v>
      </c>
    </row>
    <row r="69" spans="1:39">
      <c r="A69" s="6" t="s">
        <v>92</v>
      </c>
      <c r="B69" s="81" t="s">
        <v>93</v>
      </c>
      <c r="C69" s="4">
        <v>0</v>
      </c>
      <c r="D69" s="3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3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f t="shared" si="7"/>
        <v>0</v>
      </c>
      <c r="Q69" s="10">
        <v>0</v>
      </c>
      <c r="R69" s="10">
        <v>0</v>
      </c>
      <c r="S69" s="10">
        <v>0</v>
      </c>
      <c r="T69" s="10">
        <f t="shared" si="8"/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f t="shared" si="9"/>
        <v>0</v>
      </c>
      <c r="AA69" s="10">
        <v>0</v>
      </c>
      <c r="AB69" s="10">
        <v>0</v>
      </c>
      <c r="AC69" s="70">
        <f t="shared" si="10"/>
        <v>0</v>
      </c>
      <c r="AD69" s="3">
        <v>0</v>
      </c>
      <c r="AE69" s="10">
        <v>0</v>
      </c>
      <c r="AF69" s="10">
        <v>0</v>
      </c>
      <c r="AG69" s="70">
        <f t="shared" si="11"/>
        <v>0</v>
      </c>
      <c r="AH69" s="3">
        <v>0</v>
      </c>
      <c r="AI69" s="70">
        <v>0</v>
      </c>
      <c r="AJ69" s="3">
        <v>0</v>
      </c>
      <c r="AK69" s="10">
        <v>0</v>
      </c>
      <c r="AL69" s="70">
        <f t="shared" si="12"/>
        <v>0</v>
      </c>
      <c r="AM69" s="71">
        <v>3</v>
      </c>
    </row>
    <row r="70" spans="1:39">
      <c r="A70" s="6">
        <v>93</v>
      </c>
      <c r="B70" s="81" t="s">
        <v>94</v>
      </c>
      <c r="C70" s="4">
        <v>5.12</v>
      </c>
      <c r="D70" s="3">
        <v>0</v>
      </c>
      <c r="E70" s="10">
        <v>0</v>
      </c>
      <c r="F70" s="10">
        <v>0</v>
      </c>
      <c r="G70" s="10">
        <v>0.09</v>
      </c>
      <c r="H70" s="10">
        <v>0</v>
      </c>
      <c r="I70" s="10">
        <v>0</v>
      </c>
      <c r="J70" s="10">
        <v>1</v>
      </c>
      <c r="K70" s="10">
        <v>1</v>
      </c>
      <c r="L70" s="10">
        <v>0</v>
      </c>
      <c r="M70" s="10">
        <v>0</v>
      </c>
      <c r="N70" s="10">
        <v>0</v>
      </c>
      <c r="O70" s="10">
        <v>0</v>
      </c>
      <c r="P70" s="10">
        <f t="shared" si="7"/>
        <v>1</v>
      </c>
      <c r="Q70" s="10">
        <v>0</v>
      </c>
      <c r="R70" s="10">
        <v>0</v>
      </c>
      <c r="S70" s="10">
        <v>0</v>
      </c>
      <c r="T70" s="10">
        <f t="shared" si="8"/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f t="shared" si="9"/>
        <v>0</v>
      </c>
      <c r="AA70" s="10">
        <v>0</v>
      </c>
      <c r="AB70" s="10">
        <v>0</v>
      </c>
      <c r="AC70" s="70">
        <f t="shared" si="10"/>
        <v>0</v>
      </c>
      <c r="AD70" s="3">
        <v>0</v>
      </c>
      <c r="AE70" s="10">
        <v>0</v>
      </c>
      <c r="AF70" s="10">
        <v>0</v>
      </c>
      <c r="AG70" s="70">
        <f t="shared" si="11"/>
        <v>0</v>
      </c>
      <c r="AH70" s="3">
        <v>0</v>
      </c>
      <c r="AI70" s="70">
        <v>0</v>
      </c>
      <c r="AJ70" s="3">
        <v>0</v>
      </c>
      <c r="AK70" s="10">
        <v>0</v>
      </c>
      <c r="AL70" s="70">
        <f t="shared" si="12"/>
        <v>0</v>
      </c>
      <c r="AM70" s="71">
        <v>7.21</v>
      </c>
    </row>
    <row r="71" spans="1:39">
      <c r="A71" s="6" t="s">
        <v>99</v>
      </c>
      <c r="B71" s="81" t="s">
        <v>206</v>
      </c>
      <c r="C71" s="4">
        <v>0</v>
      </c>
      <c r="D71" s="3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0.2</v>
      </c>
      <c r="J71" s="10">
        <v>1.8</v>
      </c>
      <c r="K71" s="10">
        <v>0</v>
      </c>
      <c r="L71" s="10">
        <v>0</v>
      </c>
      <c r="M71" s="10">
        <v>0</v>
      </c>
      <c r="N71" s="10">
        <v>0</v>
      </c>
      <c r="O71" s="10">
        <v>0.65</v>
      </c>
      <c r="P71" s="10">
        <f t="shared" si="7"/>
        <v>0.65</v>
      </c>
      <c r="Q71" s="10">
        <v>0</v>
      </c>
      <c r="R71" s="10">
        <v>0</v>
      </c>
      <c r="S71" s="10">
        <v>0</v>
      </c>
      <c r="T71" s="10">
        <f t="shared" si="8"/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f t="shared" si="9"/>
        <v>0</v>
      </c>
      <c r="AA71" s="10">
        <v>0</v>
      </c>
      <c r="AB71" s="10">
        <v>0</v>
      </c>
      <c r="AC71" s="70">
        <f t="shared" si="10"/>
        <v>0</v>
      </c>
      <c r="AD71" s="3">
        <v>0</v>
      </c>
      <c r="AE71" s="10">
        <v>0</v>
      </c>
      <c r="AF71" s="10">
        <v>0</v>
      </c>
      <c r="AG71" s="70">
        <f t="shared" si="11"/>
        <v>0</v>
      </c>
      <c r="AH71" s="3">
        <v>0</v>
      </c>
      <c r="AI71" s="70">
        <v>0</v>
      </c>
      <c r="AJ71" s="3">
        <v>0</v>
      </c>
      <c r="AK71" s="10">
        <v>0</v>
      </c>
      <c r="AL71" s="70">
        <f t="shared" si="12"/>
        <v>0</v>
      </c>
      <c r="AM71" s="71">
        <v>2.65</v>
      </c>
    </row>
    <row r="72" spans="1:39">
      <c r="A72" s="6" t="s">
        <v>95</v>
      </c>
      <c r="B72" s="81" t="s">
        <v>207</v>
      </c>
      <c r="C72" s="4">
        <v>19.75</v>
      </c>
      <c r="D72" s="3">
        <v>0</v>
      </c>
      <c r="E72" s="10">
        <v>0</v>
      </c>
      <c r="F72" s="10">
        <v>0</v>
      </c>
      <c r="G72" s="10">
        <v>0</v>
      </c>
      <c r="H72" s="10">
        <v>2</v>
      </c>
      <c r="I72" s="10">
        <v>0</v>
      </c>
      <c r="J72" s="10">
        <v>2.5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f t="shared" si="7"/>
        <v>0</v>
      </c>
      <c r="Q72" s="10">
        <v>0</v>
      </c>
      <c r="R72" s="10">
        <v>0</v>
      </c>
      <c r="S72" s="10">
        <v>3</v>
      </c>
      <c r="T72" s="10">
        <f t="shared" si="8"/>
        <v>3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f t="shared" si="9"/>
        <v>0</v>
      </c>
      <c r="AA72" s="10">
        <v>0</v>
      </c>
      <c r="AB72" s="10">
        <v>0</v>
      </c>
      <c r="AC72" s="70">
        <f t="shared" si="10"/>
        <v>0</v>
      </c>
      <c r="AD72" s="3">
        <v>0</v>
      </c>
      <c r="AE72" s="10">
        <v>0</v>
      </c>
      <c r="AF72" s="10">
        <v>2</v>
      </c>
      <c r="AG72" s="70">
        <f t="shared" si="11"/>
        <v>2</v>
      </c>
      <c r="AH72" s="3">
        <v>0</v>
      </c>
      <c r="AI72" s="70">
        <v>0</v>
      </c>
      <c r="AJ72" s="3">
        <v>0</v>
      </c>
      <c r="AK72" s="10">
        <v>0</v>
      </c>
      <c r="AL72" s="70">
        <f t="shared" si="12"/>
        <v>0</v>
      </c>
      <c r="AM72" s="71">
        <v>29.25</v>
      </c>
    </row>
    <row r="73" spans="1:39">
      <c r="A73" s="6" t="s">
        <v>96</v>
      </c>
      <c r="B73" s="81" t="s">
        <v>208</v>
      </c>
      <c r="C73" s="4">
        <v>23.76</v>
      </c>
      <c r="D73" s="3">
        <v>0</v>
      </c>
      <c r="E73" s="10">
        <v>0</v>
      </c>
      <c r="F73" s="10">
        <v>0</v>
      </c>
      <c r="G73" s="10">
        <v>1</v>
      </c>
      <c r="H73" s="10">
        <v>3</v>
      </c>
      <c r="I73" s="10">
        <v>1</v>
      </c>
      <c r="J73" s="10">
        <v>1</v>
      </c>
      <c r="K73" s="10">
        <v>1</v>
      </c>
      <c r="L73" s="10">
        <v>2</v>
      </c>
      <c r="M73" s="10">
        <v>0</v>
      </c>
      <c r="N73" s="10">
        <v>1</v>
      </c>
      <c r="O73" s="10">
        <v>0</v>
      </c>
      <c r="P73" s="10">
        <f t="shared" si="7"/>
        <v>4</v>
      </c>
      <c r="Q73" s="10">
        <v>0</v>
      </c>
      <c r="R73" s="10">
        <v>1</v>
      </c>
      <c r="S73" s="10">
        <v>2.4</v>
      </c>
      <c r="T73" s="10">
        <f t="shared" si="8"/>
        <v>3.4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f t="shared" si="9"/>
        <v>0</v>
      </c>
      <c r="AA73" s="10">
        <v>0</v>
      </c>
      <c r="AB73" s="10">
        <v>0</v>
      </c>
      <c r="AC73" s="70">
        <f t="shared" si="10"/>
        <v>0</v>
      </c>
      <c r="AD73" s="3">
        <v>0</v>
      </c>
      <c r="AE73" s="10">
        <v>0</v>
      </c>
      <c r="AF73" s="10">
        <v>0</v>
      </c>
      <c r="AG73" s="70">
        <f t="shared" si="11"/>
        <v>0</v>
      </c>
      <c r="AH73" s="3">
        <v>0</v>
      </c>
      <c r="AI73" s="70">
        <v>0</v>
      </c>
      <c r="AJ73" s="3">
        <v>0</v>
      </c>
      <c r="AK73" s="10">
        <v>0</v>
      </c>
      <c r="AL73" s="70">
        <f t="shared" si="12"/>
        <v>0</v>
      </c>
      <c r="AM73" s="71">
        <v>37.159999999999997</v>
      </c>
    </row>
    <row r="74" spans="1:39">
      <c r="A74" s="6" t="s">
        <v>97</v>
      </c>
      <c r="B74" s="81" t="s">
        <v>209</v>
      </c>
      <c r="C74" s="4">
        <v>13</v>
      </c>
      <c r="D74" s="3">
        <v>0</v>
      </c>
      <c r="E74" s="10">
        <v>0</v>
      </c>
      <c r="F74" s="10">
        <v>1</v>
      </c>
      <c r="G74" s="10">
        <v>0.88</v>
      </c>
      <c r="H74" s="10">
        <v>0</v>
      </c>
      <c r="I74" s="10">
        <v>0</v>
      </c>
      <c r="J74" s="10">
        <v>1</v>
      </c>
      <c r="K74" s="10">
        <v>0.5</v>
      </c>
      <c r="L74" s="10">
        <v>0</v>
      </c>
      <c r="M74" s="10">
        <v>0</v>
      </c>
      <c r="N74" s="10">
        <v>0</v>
      </c>
      <c r="O74" s="10">
        <v>0</v>
      </c>
      <c r="P74" s="10">
        <f t="shared" si="7"/>
        <v>0.5</v>
      </c>
      <c r="Q74" s="10">
        <v>0</v>
      </c>
      <c r="R74" s="10">
        <v>0</v>
      </c>
      <c r="S74" s="10">
        <v>1</v>
      </c>
      <c r="T74" s="10">
        <f t="shared" si="8"/>
        <v>1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f t="shared" si="9"/>
        <v>0</v>
      </c>
      <c r="AA74" s="10">
        <v>0</v>
      </c>
      <c r="AB74" s="10">
        <v>0</v>
      </c>
      <c r="AC74" s="70">
        <f t="shared" si="10"/>
        <v>0</v>
      </c>
      <c r="AD74" s="3">
        <v>0</v>
      </c>
      <c r="AE74" s="10">
        <v>0</v>
      </c>
      <c r="AF74" s="10">
        <v>0</v>
      </c>
      <c r="AG74" s="70">
        <f t="shared" si="11"/>
        <v>0</v>
      </c>
      <c r="AH74" s="3">
        <v>0</v>
      </c>
      <c r="AI74" s="70">
        <v>0</v>
      </c>
      <c r="AJ74" s="3">
        <v>0</v>
      </c>
      <c r="AK74" s="10">
        <v>0</v>
      </c>
      <c r="AL74" s="70">
        <f t="shared" si="12"/>
        <v>0</v>
      </c>
      <c r="AM74" s="71">
        <v>17.38</v>
      </c>
    </row>
    <row r="75" spans="1:39">
      <c r="A75" s="6" t="s">
        <v>98</v>
      </c>
      <c r="B75" s="81" t="s">
        <v>210</v>
      </c>
      <c r="C75" s="4">
        <v>22.34</v>
      </c>
      <c r="D75" s="3">
        <v>0</v>
      </c>
      <c r="E75" s="10">
        <v>0</v>
      </c>
      <c r="F75" s="10">
        <v>0</v>
      </c>
      <c r="G75" s="10">
        <v>1</v>
      </c>
      <c r="H75" s="10">
        <v>0</v>
      </c>
      <c r="I75" s="10">
        <v>0.1</v>
      </c>
      <c r="J75" s="10">
        <v>1.9</v>
      </c>
      <c r="K75" s="10">
        <v>1</v>
      </c>
      <c r="L75" s="10">
        <v>0</v>
      </c>
      <c r="M75" s="10">
        <v>0.64</v>
      </c>
      <c r="N75" s="10">
        <v>0</v>
      </c>
      <c r="O75" s="10">
        <v>0.46</v>
      </c>
      <c r="P75" s="10">
        <f t="shared" si="7"/>
        <v>2.1</v>
      </c>
      <c r="Q75" s="10">
        <v>0</v>
      </c>
      <c r="R75" s="10">
        <v>0</v>
      </c>
      <c r="S75" s="10">
        <v>0</v>
      </c>
      <c r="T75" s="10">
        <f t="shared" si="8"/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f t="shared" si="9"/>
        <v>0</v>
      </c>
      <c r="AA75" s="10">
        <v>0</v>
      </c>
      <c r="AB75" s="10">
        <v>0</v>
      </c>
      <c r="AC75" s="70">
        <f t="shared" si="10"/>
        <v>0</v>
      </c>
      <c r="AD75" s="3">
        <v>0</v>
      </c>
      <c r="AE75" s="10">
        <v>0</v>
      </c>
      <c r="AF75" s="10">
        <v>0</v>
      </c>
      <c r="AG75" s="70">
        <f t="shared" si="11"/>
        <v>0</v>
      </c>
      <c r="AH75" s="3">
        <v>0</v>
      </c>
      <c r="AI75" s="70">
        <v>0</v>
      </c>
      <c r="AJ75" s="3">
        <v>0</v>
      </c>
      <c r="AK75" s="10">
        <v>0</v>
      </c>
      <c r="AL75" s="70">
        <f t="shared" si="12"/>
        <v>0</v>
      </c>
      <c r="AM75" s="71">
        <v>27.44</v>
      </c>
    </row>
    <row r="76" spans="1:39">
      <c r="A76" s="82" t="s">
        <v>312</v>
      </c>
      <c r="B76" s="81" t="s">
        <v>367</v>
      </c>
      <c r="C76" s="4">
        <v>0</v>
      </c>
      <c r="D76" s="3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f t="shared" si="7"/>
        <v>0</v>
      </c>
      <c r="Q76" s="10">
        <v>0</v>
      </c>
      <c r="R76" s="10">
        <v>0</v>
      </c>
      <c r="S76" s="10">
        <v>0</v>
      </c>
      <c r="T76" s="10">
        <f t="shared" si="8"/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f t="shared" si="9"/>
        <v>0</v>
      </c>
      <c r="AA76" s="10">
        <v>0</v>
      </c>
      <c r="AB76" s="10">
        <v>0</v>
      </c>
      <c r="AC76" s="70">
        <f t="shared" si="10"/>
        <v>0</v>
      </c>
      <c r="AD76" s="3">
        <v>0</v>
      </c>
      <c r="AE76" s="10">
        <v>0</v>
      </c>
      <c r="AF76" s="10">
        <v>0</v>
      </c>
      <c r="AG76" s="70">
        <f t="shared" si="11"/>
        <v>0</v>
      </c>
      <c r="AH76" s="3">
        <v>0</v>
      </c>
      <c r="AI76" s="70">
        <v>0</v>
      </c>
      <c r="AJ76" s="3">
        <v>0</v>
      </c>
      <c r="AK76" s="10">
        <v>0</v>
      </c>
      <c r="AL76" s="70">
        <f t="shared" si="12"/>
        <v>0</v>
      </c>
      <c r="AM76" s="71">
        <v>0</v>
      </c>
    </row>
    <row r="77" spans="1:39">
      <c r="A77" s="6" t="s">
        <v>100</v>
      </c>
      <c r="B77" s="81" t="s">
        <v>211</v>
      </c>
      <c r="C77" s="4">
        <v>1.76</v>
      </c>
      <c r="D77" s="3">
        <v>0</v>
      </c>
      <c r="E77" s="10">
        <v>0</v>
      </c>
      <c r="F77" s="10">
        <v>0</v>
      </c>
      <c r="G77" s="10">
        <v>0</v>
      </c>
      <c r="H77" s="10">
        <v>0</v>
      </c>
      <c r="I77" s="10">
        <v>1</v>
      </c>
      <c r="J77" s="10">
        <v>0</v>
      </c>
      <c r="K77" s="10">
        <v>0</v>
      </c>
      <c r="L77" s="10">
        <v>0</v>
      </c>
      <c r="M77" s="10">
        <v>0.5</v>
      </c>
      <c r="N77" s="10">
        <v>0</v>
      </c>
      <c r="O77" s="10">
        <v>0</v>
      </c>
      <c r="P77" s="10">
        <f t="shared" si="7"/>
        <v>0.5</v>
      </c>
      <c r="Q77" s="10">
        <v>0</v>
      </c>
      <c r="R77" s="10">
        <v>0</v>
      </c>
      <c r="S77" s="10">
        <v>0</v>
      </c>
      <c r="T77" s="10">
        <f t="shared" si="8"/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f t="shared" si="9"/>
        <v>0</v>
      </c>
      <c r="AA77" s="10">
        <v>0</v>
      </c>
      <c r="AB77" s="10">
        <v>0</v>
      </c>
      <c r="AC77" s="70">
        <f t="shared" si="10"/>
        <v>0</v>
      </c>
      <c r="AD77" s="3">
        <v>0</v>
      </c>
      <c r="AE77" s="10">
        <v>0</v>
      </c>
      <c r="AF77" s="10">
        <v>0.88</v>
      </c>
      <c r="AG77" s="70">
        <f t="shared" si="11"/>
        <v>0.88</v>
      </c>
      <c r="AH77" s="3">
        <v>0</v>
      </c>
      <c r="AI77" s="70">
        <v>0</v>
      </c>
      <c r="AJ77" s="3">
        <v>0</v>
      </c>
      <c r="AK77" s="10">
        <v>0</v>
      </c>
      <c r="AL77" s="70">
        <f t="shared" si="12"/>
        <v>0</v>
      </c>
      <c r="AM77" s="71">
        <v>4.1399999999999997</v>
      </c>
    </row>
    <row r="78" spans="1:39">
      <c r="A78" s="6" t="s">
        <v>101</v>
      </c>
      <c r="B78" s="81" t="s">
        <v>102</v>
      </c>
      <c r="C78" s="4">
        <v>6.24</v>
      </c>
      <c r="D78" s="3">
        <v>0</v>
      </c>
      <c r="E78" s="10">
        <v>0</v>
      </c>
      <c r="F78" s="10">
        <v>0.9</v>
      </c>
      <c r="G78" s="10">
        <v>1</v>
      </c>
      <c r="H78" s="10">
        <v>1</v>
      </c>
      <c r="I78" s="10">
        <v>0</v>
      </c>
      <c r="J78" s="10">
        <v>2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f t="shared" si="7"/>
        <v>0</v>
      </c>
      <c r="Q78" s="10">
        <v>0</v>
      </c>
      <c r="R78" s="10">
        <v>0.25</v>
      </c>
      <c r="S78" s="10">
        <v>1.2</v>
      </c>
      <c r="T78" s="10">
        <f t="shared" si="8"/>
        <v>1.45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f t="shared" si="9"/>
        <v>0</v>
      </c>
      <c r="AA78" s="10">
        <v>0.5</v>
      </c>
      <c r="AB78" s="10">
        <v>0</v>
      </c>
      <c r="AC78" s="70">
        <f t="shared" si="10"/>
        <v>0.5</v>
      </c>
      <c r="AD78" s="3">
        <v>1</v>
      </c>
      <c r="AE78" s="10">
        <v>0.88</v>
      </c>
      <c r="AF78" s="10">
        <v>3.08</v>
      </c>
      <c r="AG78" s="70">
        <f t="shared" si="11"/>
        <v>4.96</v>
      </c>
      <c r="AH78" s="3">
        <v>0</v>
      </c>
      <c r="AI78" s="70">
        <v>0</v>
      </c>
      <c r="AJ78" s="3">
        <v>0</v>
      </c>
      <c r="AK78" s="10">
        <v>0</v>
      </c>
      <c r="AL78" s="70">
        <f t="shared" si="12"/>
        <v>0</v>
      </c>
      <c r="AM78" s="71">
        <v>18.05</v>
      </c>
    </row>
    <row r="79" spans="1:39">
      <c r="A79" s="6" t="s">
        <v>103</v>
      </c>
      <c r="B79" s="81" t="s">
        <v>104</v>
      </c>
      <c r="C79" s="4">
        <v>12</v>
      </c>
      <c r="D79" s="3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2.5</v>
      </c>
      <c r="K79" s="10">
        <v>0</v>
      </c>
      <c r="L79" s="10">
        <v>1</v>
      </c>
      <c r="M79" s="10">
        <v>0</v>
      </c>
      <c r="N79" s="10">
        <v>0</v>
      </c>
      <c r="O79" s="10">
        <v>0</v>
      </c>
      <c r="P79" s="10">
        <f t="shared" si="7"/>
        <v>1</v>
      </c>
      <c r="Q79" s="10">
        <v>0</v>
      </c>
      <c r="R79" s="10">
        <v>0</v>
      </c>
      <c r="S79" s="10">
        <v>2.5</v>
      </c>
      <c r="T79" s="10">
        <f t="shared" si="8"/>
        <v>2.5</v>
      </c>
      <c r="U79" s="10">
        <v>0</v>
      </c>
      <c r="V79" s="10">
        <v>0</v>
      </c>
      <c r="W79" s="10">
        <v>0.5</v>
      </c>
      <c r="X79" s="10">
        <v>0</v>
      </c>
      <c r="Y79" s="10">
        <v>0</v>
      </c>
      <c r="Z79" s="10">
        <f t="shared" si="9"/>
        <v>0.5</v>
      </c>
      <c r="AA79" s="10">
        <v>0</v>
      </c>
      <c r="AB79" s="10">
        <v>0</v>
      </c>
      <c r="AC79" s="70">
        <f t="shared" si="10"/>
        <v>0</v>
      </c>
      <c r="AD79" s="3">
        <v>0</v>
      </c>
      <c r="AE79" s="10">
        <v>0</v>
      </c>
      <c r="AF79" s="10">
        <v>0</v>
      </c>
      <c r="AG79" s="70">
        <f t="shared" si="11"/>
        <v>0</v>
      </c>
      <c r="AH79" s="3">
        <v>0</v>
      </c>
      <c r="AI79" s="70">
        <v>0</v>
      </c>
      <c r="AJ79" s="3">
        <v>0</v>
      </c>
      <c r="AK79" s="10">
        <v>0</v>
      </c>
      <c r="AL79" s="70">
        <f t="shared" si="12"/>
        <v>0</v>
      </c>
      <c r="AM79" s="71">
        <v>18.5</v>
      </c>
    </row>
    <row r="80" spans="1:39">
      <c r="A80" s="6" t="s">
        <v>105</v>
      </c>
      <c r="B80" s="81" t="s">
        <v>106</v>
      </c>
      <c r="C80" s="4">
        <v>11.94</v>
      </c>
      <c r="D80" s="3">
        <v>3.18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1.74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f t="shared" si="7"/>
        <v>0</v>
      </c>
      <c r="Q80" s="10">
        <v>0</v>
      </c>
      <c r="R80" s="10">
        <v>0</v>
      </c>
      <c r="S80" s="10">
        <v>1.94</v>
      </c>
      <c r="T80" s="10">
        <f t="shared" si="8"/>
        <v>1.94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f t="shared" si="9"/>
        <v>0</v>
      </c>
      <c r="AA80" s="10">
        <v>0</v>
      </c>
      <c r="AB80" s="10">
        <v>0</v>
      </c>
      <c r="AC80" s="70">
        <f t="shared" si="10"/>
        <v>0</v>
      </c>
      <c r="AD80" s="3">
        <v>0</v>
      </c>
      <c r="AE80" s="10">
        <v>0</v>
      </c>
      <c r="AF80" s="10">
        <v>0</v>
      </c>
      <c r="AG80" s="70">
        <f t="shared" si="11"/>
        <v>0</v>
      </c>
      <c r="AH80" s="3">
        <v>0</v>
      </c>
      <c r="AI80" s="70">
        <v>0</v>
      </c>
      <c r="AJ80" s="3">
        <v>0</v>
      </c>
      <c r="AK80" s="10">
        <v>0</v>
      </c>
      <c r="AL80" s="70">
        <f t="shared" si="12"/>
        <v>0</v>
      </c>
      <c r="AM80" s="71">
        <v>18.8</v>
      </c>
    </row>
    <row r="81" spans="1:39">
      <c r="A81" s="6" t="s">
        <v>107</v>
      </c>
      <c r="B81" s="81" t="s">
        <v>108</v>
      </c>
      <c r="C81" s="4">
        <v>10.68</v>
      </c>
      <c r="D81" s="3">
        <v>0.1</v>
      </c>
      <c r="E81" s="10">
        <v>0.71</v>
      </c>
      <c r="F81" s="10">
        <v>0.89</v>
      </c>
      <c r="G81" s="10">
        <v>1</v>
      </c>
      <c r="H81" s="10">
        <v>0</v>
      </c>
      <c r="I81" s="10">
        <v>0</v>
      </c>
      <c r="J81" s="10">
        <v>1</v>
      </c>
      <c r="K81" s="10">
        <v>0.7</v>
      </c>
      <c r="L81" s="10">
        <v>0</v>
      </c>
      <c r="M81" s="10">
        <v>0</v>
      </c>
      <c r="N81" s="10">
        <v>0</v>
      </c>
      <c r="O81" s="10">
        <v>0</v>
      </c>
      <c r="P81" s="10">
        <f t="shared" si="7"/>
        <v>0.7</v>
      </c>
      <c r="Q81" s="10">
        <v>0</v>
      </c>
      <c r="R81" s="10">
        <v>0</v>
      </c>
      <c r="S81" s="10">
        <v>0</v>
      </c>
      <c r="T81" s="10">
        <f t="shared" si="8"/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f t="shared" si="9"/>
        <v>0</v>
      </c>
      <c r="AA81" s="10">
        <v>0</v>
      </c>
      <c r="AB81" s="10">
        <v>0</v>
      </c>
      <c r="AC81" s="70">
        <f t="shared" si="10"/>
        <v>0</v>
      </c>
      <c r="AD81" s="3">
        <v>0.2</v>
      </c>
      <c r="AE81" s="10">
        <v>0</v>
      </c>
      <c r="AF81" s="10">
        <v>0</v>
      </c>
      <c r="AG81" s="70">
        <f t="shared" si="11"/>
        <v>0.2</v>
      </c>
      <c r="AH81" s="3">
        <v>0</v>
      </c>
      <c r="AI81" s="70">
        <v>0</v>
      </c>
      <c r="AJ81" s="3">
        <v>0</v>
      </c>
      <c r="AK81" s="10">
        <v>0</v>
      </c>
      <c r="AL81" s="70">
        <f t="shared" si="12"/>
        <v>0</v>
      </c>
      <c r="AM81" s="71">
        <v>15.28</v>
      </c>
    </row>
    <row r="82" spans="1:39">
      <c r="A82" s="6" t="s">
        <v>109</v>
      </c>
      <c r="B82" s="81" t="s">
        <v>110</v>
      </c>
      <c r="C82" s="4">
        <v>10.43</v>
      </c>
      <c r="D82" s="3">
        <v>0</v>
      </c>
      <c r="E82" s="10">
        <v>0</v>
      </c>
      <c r="F82" s="10">
        <v>0</v>
      </c>
      <c r="G82" s="10">
        <v>0.23</v>
      </c>
      <c r="H82" s="10">
        <v>0</v>
      </c>
      <c r="I82" s="10">
        <v>0</v>
      </c>
      <c r="J82" s="10">
        <v>3.53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f t="shared" si="7"/>
        <v>0</v>
      </c>
      <c r="Q82" s="10">
        <v>0</v>
      </c>
      <c r="R82" s="10">
        <v>1</v>
      </c>
      <c r="S82" s="10">
        <v>2.0499999999999998</v>
      </c>
      <c r="T82" s="10">
        <f t="shared" si="8"/>
        <v>3.05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f t="shared" si="9"/>
        <v>0</v>
      </c>
      <c r="AA82" s="10">
        <v>0</v>
      </c>
      <c r="AB82" s="10">
        <v>1.05</v>
      </c>
      <c r="AC82" s="70">
        <f t="shared" si="10"/>
        <v>1.05</v>
      </c>
      <c r="AD82" s="3">
        <v>1</v>
      </c>
      <c r="AE82" s="10">
        <v>0</v>
      </c>
      <c r="AF82" s="10">
        <v>3.18</v>
      </c>
      <c r="AG82" s="70">
        <f t="shared" si="11"/>
        <v>4.18</v>
      </c>
      <c r="AH82" s="3">
        <v>0</v>
      </c>
      <c r="AI82" s="70">
        <v>0</v>
      </c>
      <c r="AJ82" s="3">
        <v>0</v>
      </c>
      <c r="AK82" s="10">
        <v>0</v>
      </c>
      <c r="AL82" s="70">
        <f t="shared" si="12"/>
        <v>0</v>
      </c>
      <c r="AM82" s="71">
        <v>22.47</v>
      </c>
    </row>
    <row r="83" spans="1:39">
      <c r="A83" s="6" t="s">
        <v>111</v>
      </c>
      <c r="B83" s="81" t="s">
        <v>112</v>
      </c>
      <c r="C83" s="4">
        <v>11.66</v>
      </c>
      <c r="D83" s="3">
        <v>0</v>
      </c>
      <c r="E83" s="10">
        <v>0</v>
      </c>
      <c r="F83" s="10">
        <v>0</v>
      </c>
      <c r="G83" s="10">
        <v>0.31</v>
      </c>
      <c r="H83" s="10">
        <v>0</v>
      </c>
      <c r="I83" s="10">
        <v>0</v>
      </c>
      <c r="J83" s="10">
        <v>2.74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f t="shared" si="7"/>
        <v>0</v>
      </c>
      <c r="Q83" s="10">
        <v>0</v>
      </c>
      <c r="R83" s="10">
        <v>1</v>
      </c>
      <c r="S83" s="10">
        <v>0.39</v>
      </c>
      <c r="T83" s="10">
        <f t="shared" si="8"/>
        <v>1.3900000000000001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f t="shared" si="9"/>
        <v>0</v>
      </c>
      <c r="AA83" s="10">
        <v>0</v>
      </c>
      <c r="AB83" s="10">
        <v>0</v>
      </c>
      <c r="AC83" s="70">
        <f t="shared" si="10"/>
        <v>0</v>
      </c>
      <c r="AD83" s="3">
        <v>0.83</v>
      </c>
      <c r="AE83" s="10">
        <v>0</v>
      </c>
      <c r="AF83" s="10">
        <v>1.33</v>
      </c>
      <c r="AG83" s="70">
        <f t="shared" si="11"/>
        <v>2.16</v>
      </c>
      <c r="AH83" s="3">
        <v>0</v>
      </c>
      <c r="AI83" s="70">
        <v>0</v>
      </c>
      <c r="AJ83" s="3">
        <v>0</v>
      </c>
      <c r="AK83" s="10">
        <v>0</v>
      </c>
      <c r="AL83" s="70">
        <f t="shared" si="12"/>
        <v>0</v>
      </c>
      <c r="AM83" s="71">
        <v>18.260000000000002</v>
      </c>
    </row>
    <row r="84" spans="1:39">
      <c r="A84" s="6" t="s">
        <v>113</v>
      </c>
      <c r="B84" s="81" t="s">
        <v>114</v>
      </c>
      <c r="C84" s="4">
        <v>1</v>
      </c>
      <c r="D84" s="3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1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f t="shared" si="7"/>
        <v>0</v>
      </c>
      <c r="Q84" s="10">
        <v>0</v>
      </c>
      <c r="R84" s="10">
        <v>0</v>
      </c>
      <c r="S84" s="10">
        <v>0</v>
      </c>
      <c r="T84" s="10">
        <f t="shared" si="8"/>
        <v>0</v>
      </c>
      <c r="U84" s="10">
        <v>0</v>
      </c>
      <c r="V84" s="10">
        <v>0</v>
      </c>
      <c r="W84" s="10">
        <v>2.7</v>
      </c>
      <c r="X84" s="10">
        <v>0</v>
      </c>
      <c r="Y84" s="10">
        <v>0</v>
      </c>
      <c r="Z84" s="10">
        <f t="shared" si="9"/>
        <v>2.7</v>
      </c>
      <c r="AA84" s="10">
        <v>0</v>
      </c>
      <c r="AB84" s="10">
        <v>0</v>
      </c>
      <c r="AC84" s="70">
        <f t="shared" si="10"/>
        <v>0</v>
      </c>
      <c r="AD84" s="3">
        <v>0</v>
      </c>
      <c r="AE84" s="10">
        <v>0</v>
      </c>
      <c r="AF84" s="10">
        <v>0</v>
      </c>
      <c r="AG84" s="70">
        <f t="shared" si="11"/>
        <v>0</v>
      </c>
      <c r="AH84" s="3">
        <v>0</v>
      </c>
      <c r="AI84" s="70">
        <v>0</v>
      </c>
      <c r="AJ84" s="3">
        <v>0</v>
      </c>
      <c r="AK84" s="10">
        <v>0</v>
      </c>
      <c r="AL84" s="70">
        <f t="shared" si="12"/>
        <v>0</v>
      </c>
      <c r="AM84" s="71">
        <v>4.7</v>
      </c>
    </row>
    <row r="85" spans="1:39">
      <c r="A85" s="6" t="s">
        <v>115</v>
      </c>
      <c r="B85" s="81" t="s">
        <v>116</v>
      </c>
      <c r="C85" s="4">
        <v>8.64</v>
      </c>
      <c r="D85" s="3">
        <v>0</v>
      </c>
      <c r="E85" s="10">
        <v>0</v>
      </c>
      <c r="F85" s="10">
        <v>0</v>
      </c>
      <c r="G85" s="10">
        <v>0.5</v>
      </c>
      <c r="H85" s="10">
        <v>0</v>
      </c>
      <c r="I85" s="10">
        <v>0</v>
      </c>
      <c r="J85" s="10">
        <v>2</v>
      </c>
      <c r="K85" s="10">
        <v>1</v>
      </c>
      <c r="L85" s="10">
        <v>0</v>
      </c>
      <c r="M85" s="10">
        <v>0</v>
      </c>
      <c r="N85" s="10">
        <v>0</v>
      </c>
      <c r="O85" s="10">
        <v>0</v>
      </c>
      <c r="P85" s="10">
        <f t="shared" si="7"/>
        <v>1</v>
      </c>
      <c r="Q85" s="10">
        <v>0</v>
      </c>
      <c r="R85" s="10">
        <v>0</v>
      </c>
      <c r="S85" s="10">
        <v>2.2000000000000002</v>
      </c>
      <c r="T85" s="10">
        <f t="shared" si="8"/>
        <v>2.2000000000000002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f t="shared" si="9"/>
        <v>0</v>
      </c>
      <c r="AA85" s="10">
        <v>0</v>
      </c>
      <c r="AB85" s="10">
        <v>0</v>
      </c>
      <c r="AC85" s="70">
        <f t="shared" si="10"/>
        <v>0</v>
      </c>
      <c r="AD85" s="3">
        <v>0</v>
      </c>
      <c r="AE85" s="10">
        <v>0</v>
      </c>
      <c r="AF85" s="10">
        <v>0</v>
      </c>
      <c r="AG85" s="70">
        <f t="shared" si="11"/>
        <v>0</v>
      </c>
      <c r="AH85" s="3">
        <v>0</v>
      </c>
      <c r="AI85" s="70">
        <v>0</v>
      </c>
      <c r="AJ85" s="3">
        <v>0</v>
      </c>
      <c r="AK85" s="10">
        <v>0</v>
      </c>
      <c r="AL85" s="70">
        <f t="shared" si="12"/>
        <v>0</v>
      </c>
      <c r="AM85" s="71">
        <v>14.34</v>
      </c>
    </row>
    <row r="86" spans="1:39">
      <c r="A86" s="6">
        <v>68</v>
      </c>
      <c r="B86" s="81" t="s">
        <v>117</v>
      </c>
      <c r="C86" s="4">
        <v>13.11</v>
      </c>
      <c r="D86" s="3">
        <v>0</v>
      </c>
      <c r="E86" s="10">
        <v>0</v>
      </c>
      <c r="F86" s="10">
        <v>0</v>
      </c>
      <c r="G86" s="10">
        <v>1</v>
      </c>
      <c r="H86" s="10">
        <v>0</v>
      </c>
      <c r="I86" s="10">
        <v>0</v>
      </c>
      <c r="J86" s="10">
        <v>2.67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f t="shared" si="7"/>
        <v>0</v>
      </c>
      <c r="Q86" s="10">
        <v>0</v>
      </c>
      <c r="R86" s="10">
        <v>0</v>
      </c>
      <c r="S86" s="10">
        <v>0</v>
      </c>
      <c r="T86" s="10">
        <f t="shared" si="8"/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f t="shared" si="9"/>
        <v>0</v>
      </c>
      <c r="AA86" s="10">
        <v>0</v>
      </c>
      <c r="AB86" s="10">
        <v>0</v>
      </c>
      <c r="AC86" s="70">
        <f t="shared" si="10"/>
        <v>0</v>
      </c>
      <c r="AD86" s="3">
        <v>1</v>
      </c>
      <c r="AE86" s="10">
        <v>0</v>
      </c>
      <c r="AF86" s="10">
        <v>2.39</v>
      </c>
      <c r="AG86" s="70">
        <f t="shared" si="11"/>
        <v>3.39</v>
      </c>
      <c r="AH86" s="3">
        <v>0</v>
      </c>
      <c r="AI86" s="70">
        <v>0</v>
      </c>
      <c r="AJ86" s="3">
        <v>0</v>
      </c>
      <c r="AK86" s="10">
        <v>0</v>
      </c>
      <c r="AL86" s="70">
        <f t="shared" si="12"/>
        <v>0</v>
      </c>
      <c r="AM86" s="71">
        <v>20.170000000000002</v>
      </c>
    </row>
    <row r="87" spans="1:39">
      <c r="A87" s="6" t="s">
        <v>118</v>
      </c>
      <c r="B87" s="81" t="s">
        <v>119</v>
      </c>
      <c r="C87" s="4">
        <v>4.5</v>
      </c>
      <c r="D87" s="3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1.4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f t="shared" si="7"/>
        <v>0</v>
      </c>
      <c r="Q87" s="10">
        <v>0</v>
      </c>
      <c r="R87" s="10">
        <v>0</v>
      </c>
      <c r="S87" s="10">
        <v>2.5</v>
      </c>
      <c r="T87" s="10">
        <f t="shared" si="8"/>
        <v>2.5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f t="shared" si="9"/>
        <v>0</v>
      </c>
      <c r="AA87" s="10">
        <v>0</v>
      </c>
      <c r="AB87" s="10">
        <v>0</v>
      </c>
      <c r="AC87" s="70">
        <f t="shared" si="10"/>
        <v>0</v>
      </c>
      <c r="AD87" s="3">
        <v>0</v>
      </c>
      <c r="AE87" s="10">
        <v>0</v>
      </c>
      <c r="AF87" s="10">
        <v>2.4500000000000002</v>
      </c>
      <c r="AG87" s="70">
        <f t="shared" si="11"/>
        <v>2.4500000000000002</v>
      </c>
      <c r="AH87" s="3">
        <v>0</v>
      </c>
      <c r="AI87" s="70">
        <v>0</v>
      </c>
      <c r="AJ87" s="3">
        <v>0</v>
      </c>
      <c r="AK87" s="10">
        <v>0</v>
      </c>
      <c r="AL87" s="70">
        <f t="shared" si="12"/>
        <v>0</v>
      </c>
      <c r="AM87" s="71">
        <v>10.85</v>
      </c>
    </row>
    <row r="88" spans="1:39">
      <c r="A88" s="6" t="s">
        <v>120</v>
      </c>
      <c r="B88" s="81" t="s">
        <v>121</v>
      </c>
      <c r="C88" s="4">
        <v>0</v>
      </c>
      <c r="D88" s="3">
        <v>0</v>
      </c>
      <c r="E88" s="10">
        <v>1</v>
      </c>
      <c r="F88" s="10">
        <v>0</v>
      </c>
      <c r="G88" s="10">
        <v>2</v>
      </c>
      <c r="H88" s="10">
        <v>0</v>
      </c>
      <c r="I88" s="10">
        <v>1.33</v>
      </c>
      <c r="J88" s="10">
        <v>1.33</v>
      </c>
      <c r="K88" s="10">
        <v>0</v>
      </c>
      <c r="L88" s="10">
        <v>0</v>
      </c>
      <c r="M88" s="10">
        <v>0</v>
      </c>
      <c r="N88" s="10">
        <v>0.34</v>
      </c>
      <c r="O88" s="10">
        <v>0</v>
      </c>
      <c r="P88" s="10">
        <f t="shared" si="7"/>
        <v>0.34</v>
      </c>
      <c r="Q88" s="10">
        <v>0</v>
      </c>
      <c r="R88" s="10">
        <v>0</v>
      </c>
      <c r="S88" s="10">
        <v>1</v>
      </c>
      <c r="T88" s="10">
        <f t="shared" si="8"/>
        <v>1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f t="shared" si="9"/>
        <v>0</v>
      </c>
      <c r="AA88" s="10">
        <v>0</v>
      </c>
      <c r="AB88" s="10">
        <v>0</v>
      </c>
      <c r="AC88" s="70">
        <f t="shared" si="10"/>
        <v>0</v>
      </c>
      <c r="AD88" s="3">
        <v>0</v>
      </c>
      <c r="AE88" s="10">
        <v>0</v>
      </c>
      <c r="AF88" s="10">
        <v>0</v>
      </c>
      <c r="AG88" s="70">
        <f t="shared" si="11"/>
        <v>0</v>
      </c>
      <c r="AH88" s="3">
        <v>0</v>
      </c>
      <c r="AI88" s="70">
        <v>0</v>
      </c>
      <c r="AJ88" s="3">
        <v>0</v>
      </c>
      <c r="AK88" s="10">
        <v>0</v>
      </c>
      <c r="AL88" s="70">
        <f t="shared" si="12"/>
        <v>0</v>
      </c>
      <c r="AM88" s="71">
        <v>7</v>
      </c>
    </row>
    <row r="89" spans="1:39">
      <c r="A89" s="6">
        <v>86</v>
      </c>
      <c r="B89" s="81" t="s">
        <v>122</v>
      </c>
      <c r="C89" s="4">
        <v>18.82</v>
      </c>
      <c r="D89" s="3">
        <v>0</v>
      </c>
      <c r="E89" s="10">
        <v>0</v>
      </c>
      <c r="F89" s="10">
        <v>1</v>
      </c>
      <c r="G89" s="10">
        <v>0</v>
      </c>
      <c r="H89" s="10">
        <v>0</v>
      </c>
      <c r="I89" s="10">
        <v>0</v>
      </c>
      <c r="J89" s="10">
        <v>0.22</v>
      </c>
      <c r="K89" s="10">
        <v>1</v>
      </c>
      <c r="L89" s="10">
        <v>0</v>
      </c>
      <c r="M89" s="10">
        <v>0.3</v>
      </c>
      <c r="N89" s="10">
        <v>0</v>
      </c>
      <c r="O89" s="10">
        <v>0.5</v>
      </c>
      <c r="P89" s="10">
        <f t="shared" si="7"/>
        <v>1.8</v>
      </c>
      <c r="Q89" s="10">
        <v>0</v>
      </c>
      <c r="R89" s="10">
        <v>0</v>
      </c>
      <c r="S89" s="10">
        <v>2.2200000000000002</v>
      </c>
      <c r="T89" s="10">
        <f t="shared" si="8"/>
        <v>2.2200000000000002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f t="shared" si="9"/>
        <v>0</v>
      </c>
      <c r="AA89" s="10">
        <v>0</v>
      </c>
      <c r="AB89" s="10">
        <v>3.41</v>
      </c>
      <c r="AC89" s="70">
        <f t="shared" si="10"/>
        <v>3.41</v>
      </c>
      <c r="AD89" s="3">
        <v>0</v>
      </c>
      <c r="AE89" s="10">
        <v>1</v>
      </c>
      <c r="AF89" s="10">
        <v>1.03</v>
      </c>
      <c r="AG89" s="70">
        <f t="shared" si="11"/>
        <v>2.0300000000000002</v>
      </c>
      <c r="AH89" s="3">
        <v>0</v>
      </c>
      <c r="AI89" s="70">
        <v>1</v>
      </c>
      <c r="AJ89" s="3">
        <v>0</v>
      </c>
      <c r="AK89" s="10">
        <v>0</v>
      </c>
      <c r="AL89" s="70">
        <f t="shared" si="12"/>
        <v>0</v>
      </c>
      <c r="AM89" s="71">
        <v>30.5</v>
      </c>
    </row>
    <row r="90" spans="1:39">
      <c r="A90" s="82" t="s">
        <v>327</v>
      </c>
      <c r="B90" s="81" t="s">
        <v>368</v>
      </c>
      <c r="C90" s="4">
        <v>16.53</v>
      </c>
      <c r="D90" s="3">
        <v>0</v>
      </c>
      <c r="E90" s="10">
        <v>0</v>
      </c>
      <c r="F90" s="10">
        <v>0</v>
      </c>
      <c r="G90" s="10">
        <v>0.87</v>
      </c>
      <c r="H90" s="10">
        <v>0.63</v>
      </c>
      <c r="I90" s="10">
        <v>1.84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f t="shared" si="7"/>
        <v>0</v>
      </c>
      <c r="Q90" s="10">
        <v>0</v>
      </c>
      <c r="R90" s="10">
        <v>0</v>
      </c>
      <c r="S90" s="10">
        <v>2.12</v>
      </c>
      <c r="T90" s="10">
        <f t="shared" si="8"/>
        <v>2.12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f t="shared" si="9"/>
        <v>0</v>
      </c>
      <c r="AA90" s="10">
        <v>0</v>
      </c>
      <c r="AB90" s="10">
        <v>0</v>
      </c>
      <c r="AC90" s="70">
        <f t="shared" si="10"/>
        <v>0</v>
      </c>
      <c r="AD90" s="3">
        <v>0</v>
      </c>
      <c r="AE90" s="10">
        <v>0</v>
      </c>
      <c r="AF90" s="10">
        <v>0</v>
      </c>
      <c r="AG90" s="70">
        <f t="shared" si="11"/>
        <v>0</v>
      </c>
      <c r="AH90" s="3">
        <v>0</v>
      </c>
      <c r="AI90" s="70">
        <v>0</v>
      </c>
      <c r="AJ90" s="3">
        <v>0</v>
      </c>
      <c r="AK90" s="10">
        <v>0</v>
      </c>
      <c r="AL90" s="70">
        <f t="shared" si="12"/>
        <v>0</v>
      </c>
      <c r="AM90" s="71">
        <v>21.99</v>
      </c>
    </row>
    <row r="91" spans="1:39">
      <c r="A91" s="82" t="s">
        <v>329</v>
      </c>
      <c r="B91" s="81" t="s">
        <v>369</v>
      </c>
      <c r="C91" s="4">
        <v>6.65</v>
      </c>
      <c r="D91" s="3">
        <v>0</v>
      </c>
      <c r="E91" s="10">
        <v>0</v>
      </c>
      <c r="F91" s="10">
        <v>0</v>
      </c>
      <c r="G91" s="10">
        <v>1</v>
      </c>
      <c r="H91" s="10">
        <v>0</v>
      </c>
      <c r="I91" s="10">
        <v>0</v>
      </c>
      <c r="J91" s="10">
        <v>2.0299999999999998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f t="shared" si="7"/>
        <v>0</v>
      </c>
      <c r="Q91" s="10">
        <v>0</v>
      </c>
      <c r="R91" s="10">
        <v>0</v>
      </c>
      <c r="S91" s="10">
        <v>1</v>
      </c>
      <c r="T91" s="10">
        <f t="shared" si="8"/>
        <v>1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f t="shared" si="9"/>
        <v>0</v>
      </c>
      <c r="AA91" s="10">
        <v>0</v>
      </c>
      <c r="AB91" s="10">
        <v>0</v>
      </c>
      <c r="AC91" s="70">
        <f t="shared" si="10"/>
        <v>0</v>
      </c>
      <c r="AD91" s="3">
        <v>1</v>
      </c>
      <c r="AE91" s="10">
        <v>0</v>
      </c>
      <c r="AF91" s="10">
        <v>1.28</v>
      </c>
      <c r="AG91" s="70">
        <f t="shared" si="11"/>
        <v>2.2800000000000002</v>
      </c>
      <c r="AH91" s="3">
        <v>0</v>
      </c>
      <c r="AI91" s="70">
        <v>0</v>
      </c>
      <c r="AJ91" s="3">
        <v>0</v>
      </c>
      <c r="AK91" s="10">
        <v>0</v>
      </c>
      <c r="AL91" s="70">
        <f t="shared" si="12"/>
        <v>0</v>
      </c>
      <c r="AM91" s="71">
        <v>12.96</v>
      </c>
    </row>
    <row r="92" spans="1:39">
      <c r="A92" s="6" t="s">
        <v>123</v>
      </c>
      <c r="B92" s="81" t="s">
        <v>124</v>
      </c>
      <c r="C92" s="4">
        <v>13.19</v>
      </c>
      <c r="D92" s="3">
        <v>0</v>
      </c>
      <c r="E92" s="10">
        <v>0</v>
      </c>
      <c r="F92" s="10">
        <v>0</v>
      </c>
      <c r="G92" s="10">
        <v>1.86</v>
      </c>
      <c r="H92" s="10">
        <v>1</v>
      </c>
      <c r="I92" s="10">
        <v>0</v>
      </c>
      <c r="J92" s="10">
        <v>1</v>
      </c>
      <c r="K92" s="10">
        <v>1</v>
      </c>
      <c r="L92" s="10">
        <v>0</v>
      </c>
      <c r="M92" s="10">
        <v>0</v>
      </c>
      <c r="N92" s="10">
        <v>0</v>
      </c>
      <c r="O92" s="10">
        <v>0</v>
      </c>
      <c r="P92" s="10">
        <f t="shared" si="7"/>
        <v>1</v>
      </c>
      <c r="Q92" s="10">
        <v>0</v>
      </c>
      <c r="R92" s="10">
        <v>0</v>
      </c>
      <c r="S92" s="10">
        <v>1</v>
      </c>
      <c r="T92" s="10">
        <f t="shared" si="8"/>
        <v>1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f t="shared" si="9"/>
        <v>0</v>
      </c>
      <c r="AA92" s="10">
        <v>0</v>
      </c>
      <c r="AB92" s="10">
        <v>0</v>
      </c>
      <c r="AC92" s="70">
        <f t="shared" si="10"/>
        <v>0</v>
      </c>
      <c r="AD92" s="3">
        <v>0</v>
      </c>
      <c r="AE92" s="10">
        <v>0</v>
      </c>
      <c r="AF92" s="10">
        <v>0</v>
      </c>
      <c r="AG92" s="70">
        <f t="shared" si="11"/>
        <v>0</v>
      </c>
      <c r="AH92" s="3">
        <v>0</v>
      </c>
      <c r="AI92" s="70">
        <v>0</v>
      </c>
      <c r="AJ92" s="3">
        <v>0</v>
      </c>
      <c r="AK92" s="10">
        <v>0</v>
      </c>
      <c r="AL92" s="70">
        <f t="shared" si="12"/>
        <v>0</v>
      </c>
      <c r="AM92" s="71">
        <v>19.05</v>
      </c>
    </row>
    <row r="93" spans="1:39">
      <c r="A93" s="6" t="s">
        <v>125</v>
      </c>
      <c r="B93" s="81" t="s">
        <v>126</v>
      </c>
      <c r="C93" s="4">
        <v>16.3</v>
      </c>
      <c r="D93" s="3">
        <v>0</v>
      </c>
      <c r="E93" s="10">
        <v>4</v>
      </c>
      <c r="F93" s="10">
        <v>0</v>
      </c>
      <c r="G93" s="10">
        <v>0.5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1</v>
      </c>
      <c r="N93" s="10">
        <v>0</v>
      </c>
      <c r="O93" s="10">
        <v>0</v>
      </c>
      <c r="P93" s="10">
        <f t="shared" si="7"/>
        <v>1</v>
      </c>
      <c r="Q93" s="10">
        <v>0</v>
      </c>
      <c r="R93" s="10">
        <v>0</v>
      </c>
      <c r="S93" s="10">
        <v>1</v>
      </c>
      <c r="T93" s="10">
        <f t="shared" si="8"/>
        <v>1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f t="shared" si="9"/>
        <v>0</v>
      </c>
      <c r="AA93" s="10">
        <v>0</v>
      </c>
      <c r="AB93" s="10">
        <v>0</v>
      </c>
      <c r="AC93" s="70">
        <f t="shared" si="10"/>
        <v>0</v>
      </c>
      <c r="AD93" s="3">
        <v>1</v>
      </c>
      <c r="AE93" s="10">
        <v>0</v>
      </c>
      <c r="AF93" s="10">
        <v>2.5</v>
      </c>
      <c r="AG93" s="70">
        <f t="shared" si="11"/>
        <v>3.5</v>
      </c>
      <c r="AH93" s="3">
        <v>0</v>
      </c>
      <c r="AI93" s="70">
        <v>0</v>
      </c>
      <c r="AJ93" s="3">
        <v>0</v>
      </c>
      <c r="AK93" s="10">
        <v>0</v>
      </c>
      <c r="AL93" s="70">
        <f t="shared" si="12"/>
        <v>0</v>
      </c>
      <c r="AM93" s="71">
        <v>26.3</v>
      </c>
    </row>
    <row r="94" spans="1:39">
      <c r="A94" s="6" t="s">
        <v>127</v>
      </c>
      <c r="B94" s="81" t="s">
        <v>128</v>
      </c>
      <c r="C94" s="4">
        <v>9.42</v>
      </c>
      <c r="D94" s="3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2.5</v>
      </c>
      <c r="K94" s="10">
        <v>1</v>
      </c>
      <c r="L94" s="10">
        <v>0</v>
      </c>
      <c r="M94" s="10">
        <v>0</v>
      </c>
      <c r="N94" s="10">
        <v>0</v>
      </c>
      <c r="O94" s="10">
        <v>0</v>
      </c>
      <c r="P94" s="10">
        <f t="shared" si="7"/>
        <v>1</v>
      </c>
      <c r="Q94" s="10">
        <v>0</v>
      </c>
      <c r="R94" s="10">
        <v>0</v>
      </c>
      <c r="S94" s="10">
        <v>1.55</v>
      </c>
      <c r="T94" s="10">
        <f t="shared" si="8"/>
        <v>1.55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f t="shared" si="9"/>
        <v>0</v>
      </c>
      <c r="AA94" s="10">
        <v>0</v>
      </c>
      <c r="AB94" s="10">
        <v>0</v>
      </c>
      <c r="AC94" s="70">
        <f t="shared" si="10"/>
        <v>0</v>
      </c>
      <c r="AD94" s="3">
        <v>0</v>
      </c>
      <c r="AE94" s="10">
        <v>0</v>
      </c>
      <c r="AF94" s="10">
        <v>0</v>
      </c>
      <c r="AG94" s="70">
        <f t="shared" si="11"/>
        <v>0</v>
      </c>
      <c r="AH94" s="3">
        <v>0</v>
      </c>
      <c r="AI94" s="70">
        <v>0</v>
      </c>
      <c r="AJ94" s="3">
        <v>0</v>
      </c>
      <c r="AK94" s="10">
        <v>0</v>
      </c>
      <c r="AL94" s="70">
        <f t="shared" si="12"/>
        <v>0</v>
      </c>
      <c r="AM94" s="71">
        <v>14.47</v>
      </c>
    </row>
    <row r="95" spans="1:39">
      <c r="A95" s="82" t="s">
        <v>334</v>
      </c>
      <c r="B95" s="81" t="s">
        <v>370</v>
      </c>
      <c r="C95" s="4">
        <v>1.0900000000000001</v>
      </c>
      <c r="D95" s="3">
        <v>0</v>
      </c>
      <c r="E95" s="10">
        <v>0</v>
      </c>
      <c r="F95" s="10">
        <v>0</v>
      </c>
      <c r="G95" s="10">
        <v>0.5</v>
      </c>
      <c r="H95" s="10">
        <v>0</v>
      </c>
      <c r="I95" s="10">
        <v>0</v>
      </c>
      <c r="J95" s="10">
        <v>3</v>
      </c>
      <c r="K95" s="10">
        <v>1</v>
      </c>
      <c r="L95" s="10">
        <v>0</v>
      </c>
      <c r="M95" s="10">
        <v>0</v>
      </c>
      <c r="N95" s="10">
        <v>0</v>
      </c>
      <c r="O95" s="10">
        <v>0</v>
      </c>
      <c r="P95" s="10">
        <f t="shared" si="7"/>
        <v>1</v>
      </c>
      <c r="Q95" s="10">
        <v>0</v>
      </c>
      <c r="R95" s="10">
        <v>0</v>
      </c>
      <c r="S95" s="10">
        <v>0.78</v>
      </c>
      <c r="T95" s="10">
        <f t="shared" si="8"/>
        <v>0.78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f t="shared" si="9"/>
        <v>0</v>
      </c>
      <c r="AA95" s="10">
        <v>0</v>
      </c>
      <c r="AB95" s="10">
        <v>0</v>
      </c>
      <c r="AC95" s="70">
        <f t="shared" si="10"/>
        <v>0</v>
      </c>
      <c r="AD95" s="3">
        <v>0</v>
      </c>
      <c r="AE95" s="10">
        <v>0</v>
      </c>
      <c r="AF95" s="10">
        <v>0</v>
      </c>
      <c r="AG95" s="70">
        <f t="shared" si="11"/>
        <v>0</v>
      </c>
      <c r="AH95" s="3">
        <v>0</v>
      </c>
      <c r="AI95" s="70">
        <v>0</v>
      </c>
      <c r="AJ95" s="3">
        <v>0</v>
      </c>
      <c r="AK95" s="10">
        <v>0</v>
      </c>
      <c r="AL95" s="70">
        <f t="shared" si="12"/>
        <v>0</v>
      </c>
      <c r="AM95" s="71">
        <v>6.37</v>
      </c>
    </row>
    <row r="96" spans="1:39">
      <c r="A96" s="6">
        <v>97</v>
      </c>
      <c r="B96" s="81" t="s">
        <v>129</v>
      </c>
      <c r="C96" s="4">
        <v>2.25</v>
      </c>
      <c r="D96" s="3">
        <v>0</v>
      </c>
      <c r="E96" s="10">
        <v>0</v>
      </c>
      <c r="F96" s="10">
        <v>0</v>
      </c>
      <c r="G96" s="10">
        <v>0</v>
      </c>
      <c r="H96" s="10">
        <v>3</v>
      </c>
      <c r="I96" s="10">
        <v>1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f t="shared" si="7"/>
        <v>0</v>
      </c>
      <c r="Q96" s="10">
        <v>0</v>
      </c>
      <c r="R96" s="10">
        <v>0</v>
      </c>
      <c r="S96" s="10">
        <v>0</v>
      </c>
      <c r="T96" s="10">
        <f t="shared" si="8"/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f t="shared" si="9"/>
        <v>0</v>
      </c>
      <c r="AA96" s="10">
        <v>0</v>
      </c>
      <c r="AB96" s="10">
        <v>0</v>
      </c>
      <c r="AC96" s="70">
        <f t="shared" si="10"/>
        <v>0</v>
      </c>
      <c r="AD96" s="3">
        <v>0</v>
      </c>
      <c r="AE96" s="10">
        <v>0</v>
      </c>
      <c r="AF96" s="10">
        <v>0</v>
      </c>
      <c r="AG96" s="70">
        <f t="shared" si="11"/>
        <v>0</v>
      </c>
      <c r="AH96" s="3">
        <v>0</v>
      </c>
      <c r="AI96" s="70">
        <v>0</v>
      </c>
      <c r="AJ96" s="3">
        <v>0</v>
      </c>
      <c r="AK96" s="10">
        <v>0</v>
      </c>
      <c r="AL96" s="70">
        <f t="shared" si="12"/>
        <v>0</v>
      </c>
      <c r="AM96" s="71">
        <v>6.25</v>
      </c>
    </row>
    <row r="97" spans="1:39">
      <c r="A97" s="82" t="s">
        <v>337</v>
      </c>
      <c r="B97" s="81" t="s">
        <v>371</v>
      </c>
      <c r="C97" s="4">
        <v>1.38</v>
      </c>
      <c r="D97" s="3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2.48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f t="shared" si="7"/>
        <v>0</v>
      </c>
      <c r="Q97" s="10">
        <v>0</v>
      </c>
      <c r="R97" s="10">
        <v>0</v>
      </c>
      <c r="S97" s="10">
        <v>2</v>
      </c>
      <c r="T97" s="10">
        <f t="shared" si="8"/>
        <v>2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f t="shared" si="9"/>
        <v>0</v>
      </c>
      <c r="AA97" s="10">
        <v>0</v>
      </c>
      <c r="AB97" s="10">
        <v>0</v>
      </c>
      <c r="AC97" s="70">
        <f t="shared" si="10"/>
        <v>0</v>
      </c>
      <c r="AD97" s="3">
        <v>0</v>
      </c>
      <c r="AE97" s="10">
        <v>0</v>
      </c>
      <c r="AF97" s="10">
        <v>0.25</v>
      </c>
      <c r="AG97" s="70">
        <f t="shared" si="11"/>
        <v>0.25</v>
      </c>
      <c r="AH97" s="3">
        <v>0</v>
      </c>
      <c r="AI97" s="70">
        <v>0</v>
      </c>
      <c r="AJ97" s="3">
        <v>0</v>
      </c>
      <c r="AK97" s="10">
        <v>0</v>
      </c>
      <c r="AL97" s="70">
        <f t="shared" si="12"/>
        <v>0</v>
      </c>
      <c r="AM97" s="71">
        <v>6.11</v>
      </c>
    </row>
    <row r="98" spans="1:39">
      <c r="A98" s="6" t="s">
        <v>130</v>
      </c>
      <c r="B98" s="81" t="s">
        <v>131</v>
      </c>
      <c r="C98" s="4">
        <v>0.55000000000000004</v>
      </c>
      <c r="D98" s="3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1</v>
      </c>
      <c r="K98" s="10">
        <v>0</v>
      </c>
      <c r="L98" s="10">
        <v>0</v>
      </c>
      <c r="M98" s="10">
        <v>1</v>
      </c>
      <c r="N98" s="10">
        <v>0</v>
      </c>
      <c r="O98" s="10">
        <v>0</v>
      </c>
      <c r="P98" s="10">
        <f t="shared" si="7"/>
        <v>1</v>
      </c>
      <c r="Q98" s="10">
        <v>0</v>
      </c>
      <c r="R98" s="10">
        <v>0</v>
      </c>
      <c r="S98" s="10">
        <v>0</v>
      </c>
      <c r="T98" s="10">
        <f t="shared" si="8"/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f t="shared" si="9"/>
        <v>0</v>
      </c>
      <c r="AA98" s="10">
        <v>0</v>
      </c>
      <c r="AB98" s="10">
        <v>0</v>
      </c>
      <c r="AC98" s="70">
        <f t="shared" si="10"/>
        <v>0</v>
      </c>
      <c r="AD98" s="3">
        <v>0</v>
      </c>
      <c r="AE98" s="10">
        <v>0</v>
      </c>
      <c r="AF98" s="10">
        <v>0</v>
      </c>
      <c r="AG98" s="70">
        <f t="shared" si="11"/>
        <v>0</v>
      </c>
      <c r="AH98" s="3">
        <v>0</v>
      </c>
      <c r="AI98" s="70">
        <v>0</v>
      </c>
      <c r="AJ98" s="3">
        <v>0</v>
      </c>
      <c r="AK98" s="10">
        <v>0</v>
      </c>
      <c r="AL98" s="70">
        <f t="shared" si="12"/>
        <v>0</v>
      </c>
      <c r="AM98" s="71">
        <v>2.5499999999999998</v>
      </c>
    </row>
    <row r="99" spans="1:39">
      <c r="A99" s="6">
        <v>89</v>
      </c>
      <c r="B99" s="81" t="s">
        <v>132</v>
      </c>
      <c r="C99" s="4">
        <v>0</v>
      </c>
      <c r="D99" s="3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2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f t="shared" si="7"/>
        <v>0</v>
      </c>
      <c r="Q99" s="10">
        <v>0</v>
      </c>
      <c r="R99" s="10">
        <v>0</v>
      </c>
      <c r="S99" s="10">
        <v>0</v>
      </c>
      <c r="T99" s="10">
        <f t="shared" si="8"/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f t="shared" si="9"/>
        <v>0</v>
      </c>
      <c r="AA99" s="10">
        <v>0</v>
      </c>
      <c r="AB99" s="10">
        <v>0</v>
      </c>
      <c r="AC99" s="70">
        <f t="shared" si="10"/>
        <v>0</v>
      </c>
      <c r="AD99" s="3">
        <v>0</v>
      </c>
      <c r="AE99" s="10">
        <v>0</v>
      </c>
      <c r="AF99" s="10">
        <v>0</v>
      </c>
      <c r="AG99" s="70">
        <f t="shared" si="11"/>
        <v>0</v>
      </c>
      <c r="AH99" s="3">
        <v>0</v>
      </c>
      <c r="AI99" s="70">
        <v>0</v>
      </c>
      <c r="AJ99" s="3">
        <v>0</v>
      </c>
      <c r="AK99" s="10">
        <v>0</v>
      </c>
      <c r="AL99" s="70">
        <f t="shared" si="12"/>
        <v>0</v>
      </c>
      <c r="AM99" s="71">
        <v>2</v>
      </c>
    </row>
    <row r="100" spans="1:39">
      <c r="A100" s="6" t="s">
        <v>133</v>
      </c>
      <c r="B100" s="81" t="s">
        <v>134</v>
      </c>
      <c r="C100" s="4">
        <v>6</v>
      </c>
      <c r="D100" s="3">
        <v>0</v>
      </c>
      <c r="E100" s="10">
        <v>0.43</v>
      </c>
      <c r="F100" s="10">
        <v>0</v>
      </c>
      <c r="G100" s="10">
        <v>0</v>
      </c>
      <c r="H100" s="10">
        <v>0</v>
      </c>
      <c r="I100" s="10">
        <v>0</v>
      </c>
      <c r="J100" s="10">
        <v>4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f t="shared" si="7"/>
        <v>0</v>
      </c>
      <c r="Q100" s="10">
        <v>0</v>
      </c>
      <c r="R100" s="10">
        <v>0</v>
      </c>
      <c r="S100" s="10">
        <v>0.25</v>
      </c>
      <c r="T100" s="10">
        <f t="shared" si="8"/>
        <v>0.25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f t="shared" si="9"/>
        <v>0</v>
      </c>
      <c r="AA100" s="10">
        <v>0</v>
      </c>
      <c r="AB100" s="10">
        <v>0</v>
      </c>
      <c r="AC100" s="70">
        <f t="shared" si="10"/>
        <v>0</v>
      </c>
      <c r="AD100" s="3">
        <v>0</v>
      </c>
      <c r="AE100" s="10">
        <v>0</v>
      </c>
      <c r="AF100" s="10">
        <v>0</v>
      </c>
      <c r="AG100" s="70">
        <f t="shared" si="11"/>
        <v>0</v>
      </c>
      <c r="AH100" s="3">
        <v>0</v>
      </c>
      <c r="AI100" s="70">
        <v>0</v>
      </c>
      <c r="AJ100" s="3">
        <v>0</v>
      </c>
      <c r="AK100" s="10">
        <v>0</v>
      </c>
      <c r="AL100" s="70">
        <f t="shared" si="12"/>
        <v>0</v>
      </c>
      <c r="AM100" s="71">
        <v>10.68</v>
      </c>
    </row>
    <row r="101" spans="1:39">
      <c r="A101" s="6" t="s">
        <v>135</v>
      </c>
      <c r="B101" s="81" t="s">
        <v>136</v>
      </c>
      <c r="C101" s="4">
        <v>0.34</v>
      </c>
      <c r="D101" s="3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f t="shared" si="7"/>
        <v>0</v>
      </c>
      <c r="Q101" s="10">
        <v>0</v>
      </c>
      <c r="R101" s="10">
        <v>0</v>
      </c>
      <c r="S101" s="10">
        <v>0</v>
      </c>
      <c r="T101" s="10">
        <f t="shared" si="8"/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f t="shared" si="9"/>
        <v>0</v>
      </c>
      <c r="AA101" s="10">
        <v>0</v>
      </c>
      <c r="AB101" s="10">
        <v>0</v>
      </c>
      <c r="AC101" s="70">
        <f t="shared" si="10"/>
        <v>0</v>
      </c>
      <c r="AD101" s="3">
        <v>0</v>
      </c>
      <c r="AE101" s="10">
        <v>0</v>
      </c>
      <c r="AF101" s="10">
        <v>0</v>
      </c>
      <c r="AG101" s="70">
        <f t="shared" si="11"/>
        <v>0</v>
      </c>
      <c r="AH101" s="3">
        <v>0</v>
      </c>
      <c r="AI101" s="70">
        <v>0</v>
      </c>
      <c r="AJ101" s="3">
        <v>0</v>
      </c>
      <c r="AK101" s="10">
        <v>0</v>
      </c>
      <c r="AL101" s="70">
        <f t="shared" si="12"/>
        <v>0</v>
      </c>
      <c r="AM101" s="71">
        <v>0.34</v>
      </c>
    </row>
    <row r="102" spans="1:39">
      <c r="A102" s="6">
        <v>88</v>
      </c>
      <c r="B102" s="81" t="s">
        <v>137</v>
      </c>
      <c r="C102" s="4">
        <v>0</v>
      </c>
      <c r="D102" s="3">
        <v>0</v>
      </c>
      <c r="E102" s="10">
        <v>0</v>
      </c>
      <c r="F102" s="10">
        <v>0.75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f t="shared" si="7"/>
        <v>0</v>
      </c>
      <c r="Q102" s="10">
        <v>0</v>
      </c>
      <c r="R102" s="10">
        <v>0</v>
      </c>
      <c r="S102" s="10">
        <v>0</v>
      </c>
      <c r="T102" s="10">
        <f t="shared" si="8"/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f t="shared" si="9"/>
        <v>0</v>
      </c>
      <c r="AA102" s="10">
        <v>0</v>
      </c>
      <c r="AB102" s="10">
        <v>0</v>
      </c>
      <c r="AC102" s="70">
        <f t="shared" si="10"/>
        <v>0</v>
      </c>
      <c r="AD102" s="3">
        <v>0</v>
      </c>
      <c r="AE102" s="10">
        <v>0</v>
      </c>
      <c r="AF102" s="10">
        <v>0</v>
      </c>
      <c r="AG102" s="70">
        <f t="shared" si="11"/>
        <v>0</v>
      </c>
      <c r="AH102" s="3">
        <v>0</v>
      </c>
      <c r="AI102" s="70">
        <v>0</v>
      </c>
      <c r="AJ102" s="3">
        <v>0</v>
      </c>
      <c r="AK102" s="10">
        <v>0</v>
      </c>
      <c r="AL102" s="70">
        <f t="shared" si="12"/>
        <v>0</v>
      </c>
      <c r="AM102" s="71">
        <v>0.75</v>
      </c>
    </row>
    <row r="103" spans="1:39">
      <c r="A103" s="6" t="s">
        <v>138</v>
      </c>
      <c r="B103" s="81" t="s">
        <v>139</v>
      </c>
      <c r="C103" s="4">
        <v>18.75</v>
      </c>
      <c r="D103" s="3">
        <v>0</v>
      </c>
      <c r="E103" s="10">
        <v>0</v>
      </c>
      <c r="F103" s="10">
        <v>0</v>
      </c>
      <c r="G103" s="10">
        <v>0.5</v>
      </c>
      <c r="H103" s="10">
        <v>1</v>
      </c>
      <c r="I103" s="10">
        <v>2</v>
      </c>
      <c r="J103" s="10">
        <v>2.5</v>
      </c>
      <c r="K103" s="10">
        <v>0.38</v>
      </c>
      <c r="L103" s="10">
        <v>0</v>
      </c>
      <c r="M103" s="10">
        <v>0</v>
      </c>
      <c r="N103" s="10">
        <v>0</v>
      </c>
      <c r="O103" s="10">
        <v>0</v>
      </c>
      <c r="P103" s="10">
        <f t="shared" si="7"/>
        <v>0.38</v>
      </c>
      <c r="Q103" s="10">
        <v>0</v>
      </c>
      <c r="R103" s="10">
        <v>1</v>
      </c>
      <c r="S103" s="10">
        <v>0</v>
      </c>
      <c r="T103" s="10">
        <f t="shared" si="8"/>
        <v>1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f t="shared" si="9"/>
        <v>0</v>
      </c>
      <c r="AA103" s="10">
        <v>0</v>
      </c>
      <c r="AB103" s="10">
        <v>0</v>
      </c>
      <c r="AC103" s="70">
        <f t="shared" si="10"/>
        <v>0</v>
      </c>
      <c r="AD103" s="3">
        <v>1</v>
      </c>
      <c r="AE103" s="10">
        <v>0.25</v>
      </c>
      <c r="AF103" s="10">
        <v>3.38</v>
      </c>
      <c r="AG103" s="70">
        <f t="shared" si="11"/>
        <v>4.63</v>
      </c>
      <c r="AH103" s="3">
        <v>0</v>
      </c>
      <c r="AI103" s="70">
        <v>0</v>
      </c>
      <c r="AJ103" s="3">
        <v>0</v>
      </c>
      <c r="AK103" s="10">
        <v>0</v>
      </c>
      <c r="AL103" s="70">
        <f t="shared" si="12"/>
        <v>0</v>
      </c>
      <c r="AM103" s="71">
        <v>30.76</v>
      </c>
    </row>
    <row r="104" spans="1:39">
      <c r="A104" s="6" t="s">
        <v>140</v>
      </c>
      <c r="B104" s="81" t="s">
        <v>141</v>
      </c>
      <c r="C104" s="4">
        <v>4.91</v>
      </c>
      <c r="D104" s="3">
        <v>0</v>
      </c>
      <c r="E104" s="10">
        <v>0</v>
      </c>
      <c r="F104" s="10">
        <v>0.11</v>
      </c>
      <c r="G104" s="10">
        <v>0.74</v>
      </c>
      <c r="H104" s="10">
        <v>0</v>
      </c>
      <c r="I104" s="10">
        <v>0</v>
      </c>
      <c r="J104" s="10">
        <v>1.8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f t="shared" si="7"/>
        <v>0</v>
      </c>
      <c r="Q104" s="10">
        <v>0</v>
      </c>
      <c r="R104" s="10">
        <v>0</v>
      </c>
      <c r="S104" s="10">
        <v>0.75</v>
      </c>
      <c r="T104" s="10">
        <f t="shared" si="8"/>
        <v>0.75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f t="shared" si="9"/>
        <v>0</v>
      </c>
      <c r="AA104" s="10">
        <v>0</v>
      </c>
      <c r="AB104" s="10">
        <v>0.75</v>
      </c>
      <c r="AC104" s="70">
        <f t="shared" si="10"/>
        <v>0.75</v>
      </c>
      <c r="AD104" s="3">
        <v>0.46</v>
      </c>
      <c r="AE104" s="10">
        <v>0</v>
      </c>
      <c r="AF104" s="10">
        <v>0.81</v>
      </c>
      <c r="AG104" s="70">
        <f t="shared" si="11"/>
        <v>1.27</v>
      </c>
      <c r="AH104" s="3">
        <v>0</v>
      </c>
      <c r="AI104" s="70">
        <v>0</v>
      </c>
      <c r="AJ104" s="3">
        <v>0</v>
      </c>
      <c r="AK104" s="10">
        <v>0</v>
      </c>
      <c r="AL104" s="70">
        <f t="shared" si="12"/>
        <v>0</v>
      </c>
      <c r="AM104" s="71">
        <v>10.33</v>
      </c>
    </row>
    <row r="105" spans="1:39">
      <c r="A105" s="6">
        <v>94</v>
      </c>
      <c r="B105" s="81" t="s">
        <v>142</v>
      </c>
      <c r="C105" s="4">
        <v>15</v>
      </c>
      <c r="D105" s="3">
        <v>0.5</v>
      </c>
      <c r="E105" s="10">
        <v>0.2</v>
      </c>
      <c r="F105" s="10">
        <v>0</v>
      </c>
      <c r="G105" s="10">
        <v>1.5</v>
      </c>
      <c r="H105" s="10">
        <v>0</v>
      </c>
      <c r="I105" s="10">
        <v>0.1</v>
      </c>
      <c r="J105" s="10">
        <v>4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f t="shared" si="7"/>
        <v>0</v>
      </c>
      <c r="Q105" s="10">
        <v>0</v>
      </c>
      <c r="R105" s="10">
        <v>0</v>
      </c>
      <c r="S105" s="10">
        <v>5</v>
      </c>
      <c r="T105" s="10">
        <f t="shared" si="8"/>
        <v>5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f t="shared" si="9"/>
        <v>0</v>
      </c>
      <c r="AA105" s="10">
        <v>0</v>
      </c>
      <c r="AB105" s="10">
        <v>0</v>
      </c>
      <c r="AC105" s="70">
        <f t="shared" si="10"/>
        <v>0</v>
      </c>
      <c r="AD105" s="3">
        <v>0</v>
      </c>
      <c r="AE105" s="10">
        <v>0</v>
      </c>
      <c r="AF105" s="10">
        <v>0</v>
      </c>
      <c r="AG105" s="70">
        <f t="shared" si="11"/>
        <v>0</v>
      </c>
      <c r="AH105" s="3">
        <v>0</v>
      </c>
      <c r="AI105" s="70">
        <v>0</v>
      </c>
      <c r="AJ105" s="3">
        <v>0</v>
      </c>
      <c r="AK105" s="10">
        <v>0</v>
      </c>
      <c r="AL105" s="70">
        <f t="shared" si="12"/>
        <v>0</v>
      </c>
      <c r="AM105" s="71">
        <v>26.3</v>
      </c>
    </row>
    <row r="106" spans="1:39">
      <c r="A106" s="6">
        <v>95</v>
      </c>
      <c r="B106" s="81" t="s">
        <v>143</v>
      </c>
      <c r="C106" s="4">
        <v>4</v>
      </c>
      <c r="D106" s="3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2</v>
      </c>
      <c r="K106" s="10">
        <v>0.75</v>
      </c>
      <c r="L106" s="10">
        <v>0</v>
      </c>
      <c r="M106" s="10">
        <v>1</v>
      </c>
      <c r="N106" s="10">
        <v>0</v>
      </c>
      <c r="O106" s="10">
        <v>0</v>
      </c>
      <c r="P106" s="10">
        <f t="shared" si="7"/>
        <v>1.75</v>
      </c>
      <c r="Q106" s="10">
        <v>0</v>
      </c>
      <c r="R106" s="10">
        <v>1</v>
      </c>
      <c r="S106" s="10">
        <v>0</v>
      </c>
      <c r="T106" s="10">
        <f t="shared" si="8"/>
        <v>1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f t="shared" si="9"/>
        <v>0</v>
      </c>
      <c r="AA106" s="10">
        <v>0</v>
      </c>
      <c r="AB106" s="10">
        <v>0</v>
      </c>
      <c r="AC106" s="70">
        <f t="shared" si="10"/>
        <v>0</v>
      </c>
      <c r="AD106" s="3">
        <v>0</v>
      </c>
      <c r="AE106" s="10">
        <v>0</v>
      </c>
      <c r="AF106" s="10">
        <v>0</v>
      </c>
      <c r="AG106" s="70">
        <f t="shared" si="11"/>
        <v>0</v>
      </c>
      <c r="AH106" s="3">
        <v>0</v>
      </c>
      <c r="AI106" s="70">
        <v>0</v>
      </c>
      <c r="AJ106" s="3">
        <v>0</v>
      </c>
      <c r="AK106" s="10">
        <v>0</v>
      </c>
      <c r="AL106" s="70">
        <f t="shared" si="12"/>
        <v>0</v>
      </c>
      <c r="AM106" s="71">
        <v>8.75</v>
      </c>
    </row>
    <row r="107" spans="1:39">
      <c r="A107" s="6">
        <v>90</v>
      </c>
      <c r="B107" s="81" t="s">
        <v>144</v>
      </c>
      <c r="C107" s="4">
        <v>0.5</v>
      </c>
      <c r="D107" s="3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1</v>
      </c>
      <c r="K107" s="10">
        <v>1</v>
      </c>
      <c r="L107" s="10">
        <v>0</v>
      </c>
      <c r="M107" s="10">
        <v>0</v>
      </c>
      <c r="N107" s="10">
        <v>0</v>
      </c>
      <c r="O107" s="10">
        <v>0</v>
      </c>
      <c r="P107" s="10">
        <f t="shared" si="7"/>
        <v>1</v>
      </c>
      <c r="Q107" s="10">
        <v>0</v>
      </c>
      <c r="R107" s="10">
        <v>0</v>
      </c>
      <c r="S107" s="10">
        <v>0</v>
      </c>
      <c r="T107" s="10">
        <f t="shared" si="8"/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f t="shared" si="9"/>
        <v>0</v>
      </c>
      <c r="AA107" s="10">
        <v>0</v>
      </c>
      <c r="AB107" s="10">
        <v>0</v>
      </c>
      <c r="AC107" s="70">
        <f t="shared" si="10"/>
        <v>0</v>
      </c>
      <c r="AD107" s="3">
        <v>0</v>
      </c>
      <c r="AE107" s="10">
        <v>0</v>
      </c>
      <c r="AF107" s="10">
        <v>0</v>
      </c>
      <c r="AG107" s="70">
        <f t="shared" si="11"/>
        <v>0</v>
      </c>
      <c r="AH107" s="3">
        <v>0</v>
      </c>
      <c r="AI107" s="70">
        <v>0</v>
      </c>
      <c r="AJ107" s="3">
        <v>0</v>
      </c>
      <c r="AK107" s="10">
        <v>0</v>
      </c>
      <c r="AL107" s="70">
        <f t="shared" si="12"/>
        <v>0</v>
      </c>
      <c r="AM107" s="71">
        <v>2.5</v>
      </c>
    </row>
    <row r="108" spans="1:39">
      <c r="A108" s="6" t="s">
        <v>145</v>
      </c>
      <c r="B108" s="81" t="s">
        <v>146</v>
      </c>
      <c r="C108" s="4">
        <v>0.31</v>
      </c>
      <c r="D108" s="3">
        <v>0</v>
      </c>
      <c r="E108" s="10">
        <v>0</v>
      </c>
      <c r="F108" s="10">
        <v>0</v>
      </c>
      <c r="G108" s="10">
        <v>0</v>
      </c>
      <c r="H108" s="10">
        <v>1</v>
      </c>
      <c r="I108" s="10">
        <v>0.69</v>
      </c>
      <c r="J108" s="10">
        <v>1</v>
      </c>
      <c r="K108" s="10">
        <v>0.2</v>
      </c>
      <c r="L108" s="10">
        <v>0</v>
      </c>
      <c r="M108" s="10">
        <v>0</v>
      </c>
      <c r="N108" s="10">
        <v>0.63</v>
      </c>
      <c r="O108" s="10">
        <v>0</v>
      </c>
      <c r="P108" s="10">
        <f t="shared" si="7"/>
        <v>0.83000000000000007</v>
      </c>
      <c r="Q108" s="10">
        <v>0</v>
      </c>
      <c r="R108" s="10">
        <v>0</v>
      </c>
      <c r="S108" s="10">
        <v>0</v>
      </c>
      <c r="T108" s="10">
        <f t="shared" si="8"/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f t="shared" si="9"/>
        <v>0</v>
      </c>
      <c r="AA108" s="10">
        <v>0</v>
      </c>
      <c r="AB108" s="10">
        <v>0</v>
      </c>
      <c r="AC108" s="70">
        <f t="shared" si="10"/>
        <v>0</v>
      </c>
      <c r="AD108" s="3">
        <v>0.75</v>
      </c>
      <c r="AE108" s="10">
        <v>0</v>
      </c>
      <c r="AF108" s="10">
        <v>0</v>
      </c>
      <c r="AG108" s="70">
        <f t="shared" si="11"/>
        <v>0.75</v>
      </c>
      <c r="AH108" s="3">
        <v>0</v>
      </c>
      <c r="AI108" s="70">
        <v>0</v>
      </c>
      <c r="AJ108" s="3">
        <v>0</v>
      </c>
      <c r="AK108" s="10">
        <v>0</v>
      </c>
      <c r="AL108" s="70">
        <f t="shared" si="12"/>
        <v>0</v>
      </c>
      <c r="AM108" s="71">
        <v>4.58</v>
      </c>
    </row>
    <row r="109" spans="1:39">
      <c r="A109" s="6">
        <v>92</v>
      </c>
      <c r="B109" s="81" t="s">
        <v>147</v>
      </c>
      <c r="C109" s="4">
        <v>0</v>
      </c>
      <c r="D109" s="3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1</v>
      </c>
      <c r="K109" s="10">
        <v>0.17</v>
      </c>
      <c r="L109" s="10">
        <v>0</v>
      </c>
      <c r="M109" s="10">
        <v>0</v>
      </c>
      <c r="N109" s="10">
        <v>0</v>
      </c>
      <c r="O109" s="10">
        <v>0</v>
      </c>
      <c r="P109" s="10">
        <f t="shared" si="7"/>
        <v>0.17</v>
      </c>
      <c r="Q109" s="10">
        <v>0</v>
      </c>
      <c r="R109" s="10">
        <v>0</v>
      </c>
      <c r="S109" s="10">
        <v>0</v>
      </c>
      <c r="T109" s="10">
        <f t="shared" si="8"/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f t="shared" si="9"/>
        <v>0</v>
      </c>
      <c r="AA109" s="10">
        <v>0</v>
      </c>
      <c r="AB109" s="10">
        <v>0</v>
      </c>
      <c r="AC109" s="70">
        <f t="shared" si="10"/>
        <v>0</v>
      </c>
      <c r="AD109" s="3">
        <v>0</v>
      </c>
      <c r="AE109" s="10">
        <v>0</v>
      </c>
      <c r="AF109" s="10">
        <v>0</v>
      </c>
      <c r="AG109" s="70">
        <f t="shared" si="11"/>
        <v>0</v>
      </c>
      <c r="AH109" s="3">
        <v>0</v>
      </c>
      <c r="AI109" s="70">
        <v>0</v>
      </c>
      <c r="AJ109" s="3">
        <v>0</v>
      </c>
      <c r="AK109" s="10">
        <v>0</v>
      </c>
      <c r="AL109" s="70">
        <f t="shared" si="12"/>
        <v>0</v>
      </c>
      <c r="AM109" s="71">
        <v>1.17</v>
      </c>
    </row>
    <row r="110" spans="1:39">
      <c r="A110" s="82" t="s">
        <v>351</v>
      </c>
      <c r="B110" s="81" t="s">
        <v>372</v>
      </c>
      <c r="C110" s="4">
        <v>0</v>
      </c>
      <c r="D110" s="3">
        <v>0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f t="shared" si="7"/>
        <v>0</v>
      </c>
      <c r="Q110" s="10">
        <v>0</v>
      </c>
      <c r="R110" s="10">
        <v>0</v>
      </c>
      <c r="S110" s="10">
        <v>0</v>
      </c>
      <c r="T110" s="10">
        <f t="shared" si="8"/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f t="shared" si="9"/>
        <v>0</v>
      </c>
      <c r="AA110" s="10">
        <v>0</v>
      </c>
      <c r="AB110" s="10">
        <v>0</v>
      </c>
      <c r="AC110" s="70">
        <f t="shared" si="10"/>
        <v>0</v>
      </c>
      <c r="AD110" s="3">
        <v>0</v>
      </c>
      <c r="AE110" s="10">
        <v>0</v>
      </c>
      <c r="AF110" s="10">
        <v>0</v>
      </c>
      <c r="AG110" s="70">
        <f t="shared" si="11"/>
        <v>0</v>
      </c>
      <c r="AH110" s="3">
        <v>0</v>
      </c>
      <c r="AI110" s="70">
        <v>0</v>
      </c>
      <c r="AJ110" s="3">
        <v>0</v>
      </c>
      <c r="AK110" s="10">
        <v>0</v>
      </c>
      <c r="AL110" s="70">
        <f t="shared" si="12"/>
        <v>0</v>
      </c>
      <c r="AM110" s="71">
        <v>0</v>
      </c>
    </row>
    <row r="111" spans="1:39">
      <c r="A111" s="82" t="s">
        <v>353</v>
      </c>
      <c r="B111" s="81" t="s">
        <v>373</v>
      </c>
      <c r="C111" s="4">
        <v>3.8</v>
      </c>
      <c r="D111" s="3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0.1</v>
      </c>
      <c r="J111" s="10">
        <v>1.5</v>
      </c>
      <c r="K111" s="10">
        <v>1</v>
      </c>
      <c r="L111" s="10">
        <v>0</v>
      </c>
      <c r="M111" s="10">
        <v>0</v>
      </c>
      <c r="N111" s="10">
        <v>0.3</v>
      </c>
      <c r="O111" s="10">
        <v>0</v>
      </c>
      <c r="P111" s="10">
        <f t="shared" si="7"/>
        <v>1.3</v>
      </c>
      <c r="Q111" s="10">
        <v>0</v>
      </c>
      <c r="R111" s="10">
        <v>0</v>
      </c>
      <c r="S111" s="10">
        <v>0</v>
      </c>
      <c r="T111" s="10">
        <f t="shared" si="8"/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f t="shared" si="9"/>
        <v>0</v>
      </c>
      <c r="AA111" s="10">
        <v>0</v>
      </c>
      <c r="AB111" s="10">
        <v>0</v>
      </c>
      <c r="AC111" s="70">
        <f t="shared" si="10"/>
        <v>0</v>
      </c>
      <c r="AD111" s="3">
        <v>0</v>
      </c>
      <c r="AE111" s="10">
        <v>0</v>
      </c>
      <c r="AF111" s="10">
        <v>0</v>
      </c>
      <c r="AG111" s="70">
        <f t="shared" si="11"/>
        <v>0</v>
      </c>
      <c r="AH111" s="3">
        <v>0</v>
      </c>
      <c r="AI111" s="70">
        <v>0</v>
      </c>
      <c r="AJ111" s="3">
        <v>0</v>
      </c>
      <c r="AK111" s="10">
        <v>0</v>
      </c>
      <c r="AL111" s="70">
        <f t="shared" si="12"/>
        <v>0</v>
      </c>
      <c r="AM111" s="71">
        <v>6.7</v>
      </c>
    </row>
    <row r="112" spans="1:39">
      <c r="A112" s="6">
        <v>81</v>
      </c>
      <c r="B112" s="81" t="s">
        <v>148</v>
      </c>
      <c r="C112" s="4">
        <v>7.98</v>
      </c>
      <c r="D112" s="3">
        <v>0.55000000000000004</v>
      </c>
      <c r="E112" s="10">
        <v>0.85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1</v>
      </c>
      <c r="L112" s="10">
        <v>0</v>
      </c>
      <c r="M112" s="10">
        <v>0</v>
      </c>
      <c r="N112" s="10">
        <v>0</v>
      </c>
      <c r="O112" s="10">
        <v>0</v>
      </c>
      <c r="P112" s="10">
        <f t="shared" si="7"/>
        <v>1</v>
      </c>
      <c r="Q112" s="10">
        <v>0</v>
      </c>
      <c r="R112" s="10">
        <v>0</v>
      </c>
      <c r="S112" s="10">
        <v>0</v>
      </c>
      <c r="T112" s="10">
        <f t="shared" si="8"/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f t="shared" si="9"/>
        <v>0</v>
      </c>
      <c r="AA112" s="10">
        <v>0</v>
      </c>
      <c r="AB112" s="10">
        <v>0</v>
      </c>
      <c r="AC112" s="70">
        <f t="shared" si="10"/>
        <v>0</v>
      </c>
      <c r="AD112" s="3">
        <v>0</v>
      </c>
      <c r="AE112" s="10">
        <v>0</v>
      </c>
      <c r="AF112" s="10">
        <v>0.35</v>
      </c>
      <c r="AG112" s="70">
        <f t="shared" si="11"/>
        <v>0.35</v>
      </c>
      <c r="AH112" s="3">
        <v>0</v>
      </c>
      <c r="AI112" s="70">
        <v>0</v>
      </c>
      <c r="AJ112" s="3">
        <v>0</v>
      </c>
      <c r="AK112" s="10">
        <v>0</v>
      </c>
      <c r="AL112" s="70">
        <f t="shared" si="12"/>
        <v>0</v>
      </c>
      <c r="AM112" s="71">
        <v>10.73</v>
      </c>
    </row>
    <row r="113" spans="1:39" ht="15.75" thickBot="1">
      <c r="A113" s="6" t="s">
        <v>149</v>
      </c>
      <c r="B113" s="81" t="s">
        <v>150</v>
      </c>
      <c r="C113" s="4">
        <v>8.73</v>
      </c>
      <c r="D113" s="3">
        <v>0</v>
      </c>
      <c r="E113" s="10">
        <v>0</v>
      </c>
      <c r="F113" s="10">
        <v>0</v>
      </c>
      <c r="G113" s="10">
        <v>0.4</v>
      </c>
      <c r="H113" s="10">
        <v>0</v>
      </c>
      <c r="I113" s="10">
        <v>0</v>
      </c>
      <c r="J113" s="10">
        <v>1.6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f t="shared" si="7"/>
        <v>0</v>
      </c>
      <c r="Q113" s="10">
        <v>0</v>
      </c>
      <c r="R113" s="10">
        <v>0</v>
      </c>
      <c r="S113" s="10">
        <v>1</v>
      </c>
      <c r="T113" s="10">
        <f t="shared" si="8"/>
        <v>1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f t="shared" si="9"/>
        <v>0</v>
      </c>
      <c r="AA113" s="10">
        <v>0</v>
      </c>
      <c r="AB113" s="10">
        <v>0</v>
      </c>
      <c r="AC113" s="70">
        <f t="shared" si="10"/>
        <v>0</v>
      </c>
      <c r="AD113" s="3">
        <v>0.94</v>
      </c>
      <c r="AE113" s="10">
        <v>0</v>
      </c>
      <c r="AF113" s="10">
        <v>0.75</v>
      </c>
      <c r="AG113" s="70">
        <f t="shared" si="11"/>
        <v>1.69</v>
      </c>
      <c r="AH113" s="3">
        <v>0</v>
      </c>
      <c r="AI113" s="70">
        <v>0</v>
      </c>
      <c r="AJ113" s="3">
        <v>0</v>
      </c>
      <c r="AK113" s="10">
        <v>0</v>
      </c>
      <c r="AL113" s="70">
        <f t="shared" si="12"/>
        <v>0</v>
      </c>
      <c r="AM113" s="71">
        <v>13.42</v>
      </c>
    </row>
    <row r="114" spans="1:39" ht="15.75" thickBot="1">
      <c r="A114" s="7"/>
      <c r="B114" s="83" t="s">
        <v>151</v>
      </c>
      <c r="C114" s="84">
        <f>SUM(C49:C113)</f>
        <v>461.21000000000009</v>
      </c>
      <c r="D114" s="85">
        <f t="shared" ref="D114:AM114" si="13">SUM(D49:D113)</f>
        <v>6.12</v>
      </c>
      <c r="E114" s="86">
        <f t="shared" si="13"/>
        <v>13.319999999999999</v>
      </c>
      <c r="F114" s="86">
        <f t="shared" si="13"/>
        <v>5.65</v>
      </c>
      <c r="G114" s="86">
        <f t="shared" si="13"/>
        <v>24.5</v>
      </c>
      <c r="H114" s="86">
        <f t="shared" si="13"/>
        <v>18.46</v>
      </c>
      <c r="I114" s="86">
        <f t="shared" si="13"/>
        <v>14.459999999999999</v>
      </c>
      <c r="J114" s="86">
        <f t="shared" si="13"/>
        <v>105.28999999999999</v>
      </c>
      <c r="K114" s="86">
        <f t="shared" si="13"/>
        <v>21.099999999999998</v>
      </c>
      <c r="L114" s="86">
        <f t="shared" si="13"/>
        <v>3</v>
      </c>
      <c r="M114" s="86">
        <f t="shared" si="13"/>
        <v>7.84</v>
      </c>
      <c r="N114" s="86">
        <f t="shared" si="13"/>
        <v>4.88</v>
      </c>
      <c r="O114" s="86">
        <f t="shared" si="13"/>
        <v>3.61</v>
      </c>
      <c r="P114" s="86">
        <f t="shared" si="13"/>
        <v>40.43</v>
      </c>
      <c r="Q114" s="86">
        <f t="shared" si="13"/>
        <v>0</v>
      </c>
      <c r="R114" s="86">
        <f t="shared" si="13"/>
        <v>9.25</v>
      </c>
      <c r="S114" s="86">
        <f t="shared" si="13"/>
        <v>61.359999999999992</v>
      </c>
      <c r="T114" s="86">
        <f t="shared" si="13"/>
        <v>70.609999999999985</v>
      </c>
      <c r="U114" s="86">
        <f t="shared" si="13"/>
        <v>0</v>
      </c>
      <c r="V114" s="86">
        <f t="shared" si="13"/>
        <v>0</v>
      </c>
      <c r="W114" s="86">
        <f t="shared" si="13"/>
        <v>6.88</v>
      </c>
      <c r="X114" s="86">
        <f t="shared" si="13"/>
        <v>0</v>
      </c>
      <c r="Y114" s="86">
        <f t="shared" si="13"/>
        <v>0</v>
      </c>
      <c r="Z114" s="86">
        <f t="shared" si="13"/>
        <v>6.88</v>
      </c>
      <c r="AA114" s="86">
        <f t="shared" si="13"/>
        <v>0.5</v>
      </c>
      <c r="AB114" s="86">
        <f t="shared" si="13"/>
        <v>7.03</v>
      </c>
      <c r="AC114" s="87">
        <f t="shared" si="13"/>
        <v>7.53</v>
      </c>
      <c r="AD114" s="85">
        <f t="shared" si="13"/>
        <v>12.19</v>
      </c>
      <c r="AE114" s="86">
        <f t="shared" si="13"/>
        <v>2.7800000000000002</v>
      </c>
      <c r="AF114" s="86">
        <f t="shared" si="13"/>
        <v>41.77</v>
      </c>
      <c r="AG114" s="87">
        <f t="shared" si="13"/>
        <v>56.740000000000009</v>
      </c>
      <c r="AH114" s="85">
        <f t="shared" si="13"/>
        <v>0.39</v>
      </c>
      <c r="AI114" s="87">
        <f t="shared" si="13"/>
        <v>7</v>
      </c>
      <c r="AJ114" s="85">
        <f t="shared" si="13"/>
        <v>0</v>
      </c>
      <c r="AK114" s="86">
        <f t="shared" si="13"/>
        <v>0</v>
      </c>
      <c r="AL114" s="87">
        <f t="shared" si="13"/>
        <v>0</v>
      </c>
      <c r="AM114" s="87">
        <f t="shared" si="13"/>
        <v>838.5899999999998</v>
      </c>
    </row>
    <row r="115" spans="1:39" ht="15.75" thickBot="1">
      <c r="A115" s="8"/>
      <c r="B115" s="88" t="s">
        <v>152</v>
      </c>
      <c r="C115" s="89">
        <f>C114+C47</f>
        <v>7932.4400000000014</v>
      </c>
      <c r="D115" s="76">
        <f t="shared" ref="D115:AM115" si="14">D114+D47</f>
        <v>103.39</v>
      </c>
      <c r="E115" s="77">
        <f t="shared" si="14"/>
        <v>232.99000000000004</v>
      </c>
      <c r="F115" s="77">
        <f t="shared" si="14"/>
        <v>439.95</v>
      </c>
      <c r="G115" s="77">
        <f t="shared" si="14"/>
        <v>501.86000000000007</v>
      </c>
      <c r="H115" s="77">
        <f t="shared" si="14"/>
        <v>56.4</v>
      </c>
      <c r="I115" s="77">
        <f t="shared" si="14"/>
        <v>134.59</v>
      </c>
      <c r="J115" s="77">
        <f t="shared" si="14"/>
        <v>1631.8999999999999</v>
      </c>
      <c r="K115" s="77">
        <f t="shared" si="14"/>
        <v>56.44</v>
      </c>
      <c r="L115" s="77">
        <f t="shared" si="14"/>
        <v>52.370000000000005</v>
      </c>
      <c r="M115" s="77">
        <f t="shared" si="14"/>
        <v>91.309999999999988</v>
      </c>
      <c r="N115" s="77">
        <f t="shared" si="14"/>
        <v>213.7</v>
      </c>
      <c r="O115" s="77">
        <f t="shared" si="14"/>
        <v>316.20999999999998</v>
      </c>
      <c r="P115" s="77">
        <f t="shared" si="14"/>
        <v>730.03</v>
      </c>
      <c r="Q115" s="77">
        <f t="shared" si="14"/>
        <v>51.94</v>
      </c>
      <c r="R115" s="77">
        <f t="shared" si="14"/>
        <v>123.58999999999999</v>
      </c>
      <c r="S115" s="77">
        <f t="shared" si="14"/>
        <v>3363.3200000000011</v>
      </c>
      <c r="T115" s="77">
        <f t="shared" si="14"/>
        <v>3538.8500000000008</v>
      </c>
      <c r="U115" s="77">
        <f t="shared" si="14"/>
        <v>81.780000000000015</v>
      </c>
      <c r="V115" s="77">
        <f t="shared" si="14"/>
        <v>43.209999999999994</v>
      </c>
      <c r="W115" s="77">
        <f t="shared" si="14"/>
        <v>1434.6099999999997</v>
      </c>
      <c r="X115" s="77">
        <f t="shared" si="14"/>
        <v>122.37000000000002</v>
      </c>
      <c r="Y115" s="77">
        <f t="shared" si="14"/>
        <v>165.89999999999998</v>
      </c>
      <c r="Z115" s="77">
        <f t="shared" si="14"/>
        <v>1847.8700000000003</v>
      </c>
      <c r="AA115" s="77">
        <f t="shared" si="14"/>
        <v>21.380000000000003</v>
      </c>
      <c r="AB115" s="77">
        <f t="shared" si="14"/>
        <v>238.01000000000002</v>
      </c>
      <c r="AC115" s="78">
        <f t="shared" si="14"/>
        <v>259.39</v>
      </c>
      <c r="AD115" s="76">
        <f t="shared" si="14"/>
        <v>122.32</v>
      </c>
      <c r="AE115" s="77">
        <f t="shared" si="14"/>
        <v>111.87000000000002</v>
      </c>
      <c r="AF115" s="77">
        <f t="shared" si="14"/>
        <v>2618.1399999999994</v>
      </c>
      <c r="AG115" s="78">
        <f t="shared" si="14"/>
        <v>2852.3300000000008</v>
      </c>
      <c r="AH115" s="76">
        <f t="shared" si="14"/>
        <v>76.430000000000007</v>
      </c>
      <c r="AI115" s="78">
        <f t="shared" si="14"/>
        <v>30.53</v>
      </c>
      <c r="AJ115" s="76">
        <f t="shared" si="14"/>
        <v>115.02000000000001</v>
      </c>
      <c r="AK115" s="77">
        <f t="shared" si="14"/>
        <v>17.25</v>
      </c>
      <c r="AL115" s="78">
        <f t="shared" si="14"/>
        <v>231.83999999999997</v>
      </c>
      <c r="AM115" s="78">
        <f t="shared" si="14"/>
        <v>20501.22</v>
      </c>
    </row>
    <row r="116" spans="1:39"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  <c r="AM116" s="90"/>
    </row>
    <row r="117" spans="1:39"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90"/>
    </row>
  </sheetData>
  <mergeCells count="15">
    <mergeCell ref="C4:C5"/>
    <mergeCell ref="D4:AC4"/>
    <mergeCell ref="A1:AM1"/>
    <mergeCell ref="A2:AM2"/>
    <mergeCell ref="AD4:AG5"/>
    <mergeCell ref="AH4:AI5"/>
    <mergeCell ref="AJ4:AL5"/>
    <mergeCell ref="AM4:AM6"/>
    <mergeCell ref="D5:E5"/>
    <mergeCell ref="F5:G5"/>
    <mergeCell ref="H5:I5"/>
    <mergeCell ref="K5:P5"/>
    <mergeCell ref="Q5:T5"/>
    <mergeCell ref="U5:Z5"/>
    <mergeCell ref="AA5:AC5"/>
  </mergeCells>
  <pageMargins left="0.7" right="0.7" top="0.75" bottom="0.75" header="0.3" footer="0.3"/>
  <pageSetup orientation="portrait" horizontalDpi="1200" verticalDpi="0" r:id="rId1"/>
  <headerFooter>
    <oddFooter>&amp;LDATA SOURCE:
Year-End Web Survey FY 2009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instruction-districts</vt:lpstr>
      <vt:lpstr>instruction-charters</vt:lpstr>
      <vt:lpstr>support-districts</vt:lpstr>
      <vt:lpstr>support-charters</vt:lpstr>
      <vt:lpstr>Licensed FTEs</vt:lpstr>
      <vt:lpstr>Classified FTEs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Eyre</dc:creator>
  <cp:lastModifiedBy>Emily Eyre</cp:lastModifiedBy>
  <cp:lastPrinted>2009-12-15T17:28:41Z</cp:lastPrinted>
  <dcterms:created xsi:type="dcterms:W3CDTF">2008-10-06T17:22:04Z</dcterms:created>
  <dcterms:modified xsi:type="dcterms:W3CDTF">2009-12-15T17:28:45Z</dcterms:modified>
</cp:coreProperties>
</file>