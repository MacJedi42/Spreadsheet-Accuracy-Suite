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35" windowWidth="15135" windowHeight="8385"/>
  </bookViews>
  <sheets>
    <sheet name="Fund Order" sheetId="2" r:id="rId1"/>
    <sheet name="FB-OSR Funds-other" sheetId="5" r:id="rId2"/>
  </sheets>
  <definedNames>
    <definedName name="_xlnm.Print_Titles" localSheetId="0">'Fund Order'!$1:$8</definedName>
  </definedNames>
  <calcPr calcId="145621"/>
</workbook>
</file>

<file path=xl/calcChain.xml><?xml version="1.0" encoding="utf-8"?>
<calcChain xmlns="http://schemas.openxmlformats.org/spreadsheetml/2006/main">
  <c r="C58" i="2" l="1"/>
  <c r="D20" i="5"/>
  <c r="C98" i="2"/>
  <c r="C110" i="2"/>
  <c r="G114" i="2"/>
  <c r="F106" i="2"/>
  <c r="C74" i="2" l="1"/>
  <c r="C88" i="2"/>
  <c r="C93" i="2"/>
  <c r="C114" i="2" s="1"/>
  <c r="C26" i="2"/>
  <c r="H94" i="2" l="1"/>
  <c r="H92" i="2"/>
  <c r="H91" i="2"/>
  <c r="E87" i="2"/>
  <c r="H69" i="2"/>
  <c r="H68" i="2"/>
  <c r="H62" i="2"/>
  <c r="H47" i="2"/>
  <c r="H46" i="2"/>
  <c r="E41" i="2"/>
  <c r="H38" i="2"/>
  <c r="H34" i="2"/>
  <c r="H96" i="2" l="1"/>
  <c r="H55" i="2" l="1"/>
  <c r="H80" i="2" l="1"/>
  <c r="H74" i="2" l="1"/>
  <c r="H25" i="2"/>
  <c r="E45" i="2"/>
  <c r="H44" i="2"/>
  <c r="H40" i="2"/>
  <c r="H39" i="2"/>
  <c r="E37" i="2"/>
  <c r="E36" i="2"/>
  <c r="H35" i="2"/>
  <c r="H33" i="2"/>
  <c r="H88" i="2"/>
  <c r="H77" i="2"/>
  <c r="G110" i="2"/>
  <c r="E110" i="2"/>
  <c r="G98" i="2"/>
  <c r="F98" i="2"/>
  <c r="E98" i="2"/>
  <c r="E114" i="2" s="1"/>
  <c r="G93" i="2"/>
  <c r="F93" i="2"/>
  <c r="E42" i="2"/>
  <c r="H105" i="2"/>
  <c r="H102" i="2"/>
  <c r="H95" i="2"/>
  <c r="H49" i="2"/>
  <c r="H73" i="2"/>
  <c r="H24" i="2"/>
  <c r="H15" i="2"/>
  <c r="H14" i="2"/>
  <c r="E63" i="2"/>
  <c r="H59" i="2"/>
  <c r="E65" i="2"/>
  <c r="H57" i="2"/>
  <c r="H56" i="2"/>
  <c r="H54" i="2"/>
  <c r="H53" i="2"/>
  <c r="E52" i="2"/>
  <c r="H75" i="2"/>
  <c r="H31" i="2"/>
  <c r="H16" i="2"/>
  <c r="H101" i="2"/>
  <c r="H28" i="2"/>
  <c r="H89" i="2"/>
  <c r="F113" i="2"/>
  <c r="F112" i="2"/>
  <c r="H29" i="2"/>
  <c r="H86" i="2"/>
  <c r="H76" i="2"/>
  <c r="H79" i="2"/>
  <c r="H78" i="2"/>
  <c r="H81" i="2"/>
  <c r="H72" i="2"/>
  <c r="H83" i="2"/>
  <c r="H97" i="2"/>
  <c r="F108" i="2"/>
  <c r="F109" i="2"/>
  <c r="F107" i="2"/>
  <c r="F103" i="2"/>
  <c r="F104" i="2"/>
  <c r="F100" i="2"/>
  <c r="E43" i="2"/>
  <c r="E27" i="2"/>
  <c r="E26" i="2"/>
  <c r="H30" i="2"/>
  <c r="H23" i="2"/>
  <c r="H22" i="2"/>
  <c r="H19" i="2"/>
  <c r="H18" i="2"/>
  <c r="H13" i="2"/>
  <c r="E10" i="2"/>
  <c r="E9" i="2"/>
  <c r="F110" i="2" l="1"/>
  <c r="F114" i="2" s="1"/>
  <c r="H98" i="2"/>
  <c r="H110" i="2"/>
  <c r="H58" i="2"/>
  <c r="H93" i="2" s="1"/>
  <c r="E93" i="2"/>
  <c r="H114" i="2" l="1"/>
</calcChain>
</file>

<file path=xl/comments1.xml><?xml version="1.0" encoding="utf-8"?>
<comments xmlns="http://schemas.openxmlformats.org/spreadsheetml/2006/main">
  <authors>
    <author>Peter Collinson</author>
  </authors>
  <commentList>
    <comment ref="E94" authorId="0">
      <text>
        <r>
          <rPr>
            <b/>
            <sz val="9"/>
            <color indexed="81"/>
            <rFont val="Tahoma"/>
            <family val="2"/>
          </rPr>
          <t>Peter Collinson:</t>
        </r>
        <r>
          <rPr>
            <sz val="9"/>
            <color indexed="81"/>
            <rFont val="Tahoma"/>
            <family val="2"/>
          </rPr>
          <t xml:space="preserve">
year end fund balance in delinquent tax revolving fund (5150)</t>
        </r>
      </text>
    </comment>
    <comment ref="E106" authorId="0">
      <text>
        <r>
          <rPr>
            <b/>
            <sz val="9"/>
            <color indexed="81"/>
            <rFont val="Tahoma"/>
            <charset val="1"/>
          </rPr>
          <t>Peter Collinson:</t>
        </r>
        <r>
          <rPr>
            <sz val="9"/>
            <color indexed="81"/>
            <rFont val="Tahoma"/>
            <charset val="1"/>
          </rPr>
          <t xml:space="preserve">
total transfers in to 64402020.69650 from General Fund</t>
        </r>
      </text>
    </comment>
  </commentList>
</comments>
</file>

<file path=xl/sharedStrings.xml><?xml version="1.0" encoding="utf-8"?>
<sst xmlns="http://schemas.openxmlformats.org/spreadsheetml/2006/main" count="209" uniqueCount="180">
  <si>
    <t>General Fund</t>
  </si>
  <si>
    <t>Revenue Sharing Reserve Fund</t>
  </si>
  <si>
    <t>Aerial Photo</t>
  </si>
  <si>
    <t>Building Services</t>
  </si>
  <si>
    <t>Child Care</t>
  </si>
  <si>
    <t>Community Corrections</t>
  </si>
  <si>
    <t>E-911</t>
  </si>
  <si>
    <t>Head Start</t>
  </si>
  <si>
    <t>Inmate Concessions</t>
  </si>
  <si>
    <t>Veterans' Trust</t>
  </si>
  <si>
    <t>Property Foreclosure</t>
  </si>
  <si>
    <t>Principal Residence Exemption</t>
  </si>
  <si>
    <t>Facilities Management</t>
  </si>
  <si>
    <t>Fleet Management</t>
  </si>
  <si>
    <t>Fringe Benefit Revolving</t>
  </si>
  <si>
    <t>Copier Fund / Warehouse Fund</t>
  </si>
  <si>
    <t>Insurance Revolving</t>
  </si>
  <si>
    <t>Medical Insurance Revolving</t>
  </si>
  <si>
    <t>Telephone Revolving</t>
  </si>
  <si>
    <t>Worker's Compensation</t>
  </si>
  <si>
    <t>Severance Fund</t>
  </si>
  <si>
    <t>Unemployment Benefits Fund</t>
  </si>
  <si>
    <t>Public Works Solid Waste Program</t>
  </si>
  <si>
    <t>Other SR Funds:</t>
  </si>
  <si>
    <t>Housing Contingency Fund</t>
  </si>
  <si>
    <t>EECS Millage Maintenance Fund</t>
  </si>
  <si>
    <t xml:space="preserve">WASHTENAW  COUNTY  </t>
  </si>
  <si>
    <t>Fund #</t>
  </si>
  <si>
    <t>Fund Name</t>
  </si>
  <si>
    <t>Homeland Security Grants</t>
  </si>
  <si>
    <t>Shared with</t>
  </si>
  <si>
    <t>Other Funds</t>
  </si>
  <si>
    <t>For</t>
  </si>
  <si>
    <t>Specific</t>
  </si>
  <si>
    <t>Purpose</t>
  </si>
  <si>
    <t>Potential</t>
  </si>
  <si>
    <t>For Future</t>
  </si>
  <si>
    <t>Use By</t>
  </si>
  <si>
    <t xml:space="preserve">General </t>
  </si>
  <si>
    <t>Fund</t>
  </si>
  <si>
    <t>Contributing</t>
  </si>
  <si>
    <t>Used to pay unemployment benefits to laid off workers</t>
  </si>
  <si>
    <t>Used to pay for inmate items in Jail</t>
  </si>
  <si>
    <t>Telephone/cell phone surcharge- required for technology</t>
  </si>
  <si>
    <t>Used to pay unused sick/vacation to employees on termination</t>
  </si>
  <si>
    <t>Special voted millage - restricted</t>
  </si>
  <si>
    <t>Used for cash flow to purchase new copiers</t>
  </si>
  <si>
    <t>Veteran's Relief millage monies-restricted</t>
  </si>
  <si>
    <t>Drug Forefeiture monies</t>
  </si>
  <si>
    <t>Sheriff's Grants:</t>
  </si>
  <si>
    <t>Sheriff's Special Projects fund</t>
  </si>
  <si>
    <t>Sheriff's Training funds</t>
  </si>
  <si>
    <t>1490-92</t>
  </si>
  <si>
    <t>Sheriff Connectivity fund</t>
  </si>
  <si>
    <t>LAWNET reimbursement fund</t>
  </si>
  <si>
    <t>Law Enforcement Block grant</t>
  </si>
  <si>
    <t>Water Resources Commissioner Grants:</t>
  </si>
  <si>
    <t>Resource Remediation</t>
  </si>
  <si>
    <t>Stormwater General Permit</t>
  </si>
  <si>
    <t>Clean Michigan Initiative grants</t>
  </si>
  <si>
    <t>1871-1872</t>
  </si>
  <si>
    <t>Diversity Scholarship Fund</t>
  </si>
  <si>
    <t>Mortgage Foreclosure Prevention</t>
  </si>
  <si>
    <t>Law Library</t>
  </si>
  <si>
    <t>National CASA Expansion grant</t>
  </si>
  <si>
    <t>Various other funds</t>
  </si>
  <si>
    <t>County Capital Projects:</t>
  </si>
  <si>
    <t>EECS construction</t>
  </si>
  <si>
    <t>District Court project</t>
  </si>
  <si>
    <t>Capital Reserve Fund</t>
  </si>
  <si>
    <t>Capital Equipment Fund (Tech Fund)</t>
  </si>
  <si>
    <t>1/8 Mill Capital Improvement Fund</t>
  </si>
  <si>
    <t>Register of Deeds Technology Fund</t>
  </si>
  <si>
    <t>Non-bond Projects</t>
  </si>
  <si>
    <t>Fiber Network project</t>
  </si>
  <si>
    <t>various</t>
  </si>
  <si>
    <t>Prosecuting Attorney Grants:</t>
  </si>
  <si>
    <t>PA Drug Forfeiture fund</t>
  </si>
  <si>
    <t>PA Cooperative Reimbursement</t>
  </si>
  <si>
    <t>Public Works:</t>
  </si>
  <si>
    <t>Solid Waste Management Planning</t>
  </si>
  <si>
    <t>Reserved for construction expenditures</t>
  </si>
  <si>
    <t>Reserved for debt service payments</t>
  </si>
  <si>
    <t>Reserved to pay for future aerial flight over County</t>
  </si>
  <si>
    <t>Delinquent Tax Funds</t>
  </si>
  <si>
    <t>Department of Human Services</t>
  </si>
  <si>
    <t>2970-2980</t>
  </si>
  <si>
    <t>A State fund</t>
  </si>
  <si>
    <t>Juvenile Grants</t>
  </si>
  <si>
    <t>County Debt Service</t>
  </si>
  <si>
    <t>Building Authority debt service</t>
  </si>
  <si>
    <t>Stormwater Controls Demonstration Park</t>
  </si>
  <si>
    <t>Cash that is  remaining (after the delinquent tax notes have been paid off) is transferred to the Capital Reserve fund for use in paying County debt service</t>
  </si>
  <si>
    <t>Available but used for ongoing building maintenance</t>
  </si>
  <si>
    <t>Available  but used for ongoing technology expenditures</t>
  </si>
  <si>
    <t>Reserved for Register of Deeds technology</t>
  </si>
  <si>
    <t>Available but needed for fiscal stability  of County</t>
  </si>
  <si>
    <t>Explanation</t>
  </si>
  <si>
    <t>Available but used for ongoing  housing program initiatives</t>
  </si>
  <si>
    <r>
      <t>Natural Areas Millage</t>
    </r>
    <r>
      <rPr>
        <i/>
        <sz val="11"/>
        <color indexed="8"/>
        <rFont val="Calibri"/>
        <family val="2"/>
      </rPr>
      <t xml:space="preserve"> </t>
    </r>
    <r>
      <rPr>
        <i/>
        <sz val="9"/>
        <color indexed="8"/>
        <rFont val="Calibri"/>
        <family val="2"/>
      </rPr>
      <t>(reserved for land acquisition)</t>
    </r>
  </si>
  <si>
    <t>Natural Areas Millage Administration Fund</t>
  </si>
  <si>
    <t>Administrative portion of Natural Areas monies</t>
  </si>
  <si>
    <t>Accommodation Ordinance Tax</t>
  </si>
  <si>
    <t>Economic Development Millage</t>
  </si>
  <si>
    <t>Other</t>
  </si>
  <si>
    <t>Historic District Commission</t>
  </si>
  <si>
    <t>Reserved for tourism related expenditures</t>
  </si>
  <si>
    <t>Reserved for Act 88 expenditures</t>
  </si>
  <si>
    <t>Reserved for debt service and maintenance expenditures</t>
  </si>
  <si>
    <t>Grant monies</t>
  </si>
  <si>
    <t>Historic District Commission monies</t>
  </si>
  <si>
    <t>Reserved for solid waste expenditures</t>
  </si>
  <si>
    <t>Monies reserved for training purposes</t>
  </si>
  <si>
    <t>Secondary Road Patrol</t>
  </si>
  <si>
    <t>Used for cash flow to purchase new vehicles</t>
  </si>
  <si>
    <r>
      <t>Natural Areas Millage</t>
    </r>
    <r>
      <rPr>
        <i/>
        <sz val="11"/>
        <color indexed="8"/>
        <rFont val="Calibri"/>
        <family val="2"/>
      </rPr>
      <t xml:space="preserve"> </t>
    </r>
    <r>
      <rPr>
        <i/>
        <sz val="9"/>
        <color indexed="8"/>
        <rFont val="Calibri"/>
        <family val="2"/>
      </rPr>
      <t>(reserved for agricultural land acquisition)</t>
    </r>
  </si>
  <si>
    <t>Reserved for paying back Capital Reserve Fund</t>
  </si>
  <si>
    <t>HIDTA Grant</t>
  </si>
  <si>
    <t>Reserved to pay lease costs for space occupied by FBI task force</t>
  </si>
  <si>
    <t>Federal Drug Forefeiture monies</t>
  </si>
  <si>
    <t>Mental Health Donation (Haarer Bequest)</t>
  </si>
  <si>
    <t>Reserved for mental health services</t>
  </si>
  <si>
    <t>fund #</t>
  </si>
  <si>
    <t>amount</t>
  </si>
  <si>
    <t>Reserved for expenses of the property foreclosure program</t>
  </si>
  <si>
    <t>Net book value of fleet vehicles</t>
  </si>
  <si>
    <t>Fleet Management (capital asset portion)</t>
  </si>
  <si>
    <t>Copier Fund / Warehouse Fund (capital asset portion)</t>
  </si>
  <si>
    <t>Net book value of County copiers</t>
  </si>
  <si>
    <t>Friend of the Court</t>
  </si>
  <si>
    <t>Parks and Recreation:</t>
  </si>
  <si>
    <t>Parks and Recreation Fund</t>
  </si>
  <si>
    <t>Total for Governmental Funds</t>
  </si>
  <si>
    <t>Total for Enterprise Funds</t>
  </si>
  <si>
    <t>Total for Internal Service Funds</t>
  </si>
  <si>
    <t>Unobligated</t>
  </si>
  <si>
    <t>But Should Be</t>
  </si>
  <si>
    <t>Purpose)</t>
  </si>
  <si>
    <t>For A Specific</t>
  </si>
  <si>
    <t>(Not Reserved</t>
  </si>
  <si>
    <t xml:space="preserve">Fund Balances </t>
  </si>
  <si>
    <t>Salvage Vehicle Inspections</t>
  </si>
  <si>
    <t>/ Net Position</t>
  </si>
  <si>
    <t>at 12-31-13</t>
  </si>
  <si>
    <t>Office of Community and Economic Development</t>
  </si>
  <si>
    <t>Infr Mgmt Spec Proj</t>
  </si>
  <si>
    <t>Sheriff Revenue Surpluses</t>
  </si>
  <si>
    <t>Washtenaw County-Road Commission</t>
  </si>
  <si>
    <t>Set Aside</t>
  </si>
  <si>
    <t>Property Foreclosure (capital asset portion)</t>
  </si>
  <si>
    <t>Monies set aside for collaborations between the BOC and RC</t>
  </si>
  <si>
    <t>Sheriff Reserve for future projects</t>
  </si>
  <si>
    <t>General Infrastructure Management Reserve</t>
  </si>
  <si>
    <t>Reserved for drug forfeiture related expenditures</t>
  </si>
  <si>
    <t>Reserved for Sheriff's Office special projects</t>
  </si>
  <si>
    <t>Net book value of property foreclosure vehicles</t>
  </si>
  <si>
    <t>Available  but used for ongoing Child Care Fund expenditures</t>
  </si>
  <si>
    <t>Available  but used for ongoing Community Correctionsexpenditures</t>
  </si>
  <si>
    <t>Available  but used for ongoing OCED expenditures</t>
  </si>
  <si>
    <t>Available but used for ongoing Public Health expenditures</t>
  </si>
  <si>
    <t>Used to pay insurance premiums and litigation/settlement costs</t>
  </si>
  <si>
    <t>Used to pay medical expenses for employees and retirees</t>
  </si>
  <si>
    <t>Used to pay expenses for employees hurt while working</t>
  </si>
  <si>
    <t>Fund Balance for Various Other Funds (row 58) in Other Special Revenue Funds section</t>
  </si>
  <si>
    <t>rounding</t>
  </si>
  <si>
    <t>Reserved for Sheriff's Office operations</t>
  </si>
  <si>
    <t>Reserved for grant expenditures</t>
  </si>
  <si>
    <t>Available but used for ongoing stormwater planning expenditures</t>
  </si>
  <si>
    <t>Reserved for resource remediation expenditures</t>
  </si>
  <si>
    <t>Reserved for expenses of the P.R.E. program</t>
  </si>
  <si>
    <t>Reserved for debt service expenditures</t>
  </si>
  <si>
    <t>Reserved for solid waste management planning expenditures</t>
  </si>
  <si>
    <t>Reserved for expenditures of the Law Library</t>
  </si>
  <si>
    <t>Reserved for diversity scholarship expenditures</t>
  </si>
  <si>
    <t>Reserved for mortgage foreclosure expenditures</t>
  </si>
  <si>
    <t>Used to pay for ongoing Facilities Management expenses</t>
  </si>
  <si>
    <t>Used to pay fringe benefit expenses for County employees</t>
  </si>
  <si>
    <t>12/31/13 Fund Balances / Net Position</t>
  </si>
  <si>
    <r>
      <t xml:space="preserve">CSTS </t>
    </r>
    <r>
      <rPr>
        <i/>
        <sz val="11"/>
        <color theme="1"/>
        <rFont val="Calibri"/>
        <family val="2"/>
        <scheme val="minor"/>
      </rPr>
      <t>(as of their year end 9-30-13)</t>
    </r>
  </si>
  <si>
    <r>
      <t>Public Health</t>
    </r>
    <r>
      <rPr>
        <i/>
        <sz val="11"/>
        <color theme="1"/>
        <rFont val="Calibri"/>
        <family val="2"/>
        <scheme val="minor"/>
      </rPr>
      <t xml:space="preserve"> (as of their year end 9-30-13)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</si>
</sst>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i/>
      <sz val="11"/>
      <color indexed="8"/>
      <name val="Calibri"/>
      <family val="2"/>
    </font>
    <font>
      <i/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5">
    <xf numFmtId="0" fontId="0" fillId="0" borderId="0" xfId="0"/>
    <xf numFmtId="0" fontId="5" fillId="0" borderId="0" xfId="0" applyFont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5" fillId="0" borderId="0" xfId="0" applyFont="1" applyFill="1" applyAlignment="1">
      <alignment horizontal="center"/>
    </xf>
    <xf numFmtId="164" fontId="3" fillId="0" borderId="1" xfId="1" applyNumberFormat="1" applyFont="1" applyFill="1" applyBorder="1"/>
    <xf numFmtId="0" fontId="0" fillId="0" borderId="0" xfId="0" applyFill="1" applyAlignment="1">
      <alignment horizontal="left" indent="2"/>
    </xf>
    <xf numFmtId="164" fontId="3" fillId="0" borderId="0" xfId="1" applyNumberFormat="1" applyFont="1" applyFill="1"/>
    <xf numFmtId="0" fontId="5" fillId="0" borderId="0" xfId="0" applyFont="1" applyFill="1" applyBorder="1" applyAlignment="1">
      <alignment horizontal="center"/>
    </xf>
    <xf numFmtId="0" fontId="0" fillId="0" borderId="0" xfId="0" applyFill="1" applyAlignment="1">
      <alignment horizontal="right"/>
    </xf>
    <xf numFmtId="0" fontId="0" fillId="0" borderId="0" xfId="0" applyFill="1" applyAlignment="1">
      <alignment wrapText="1"/>
    </xf>
    <xf numFmtId="164" fontId="3" fillId="0" borderId="2" xfId="1" applyNumberFormat="1" applyFont="1" applyFill="1" applyBorder="1"/>
    <xf numFmtId="0" fontId="6" fillId="0" borderId="0" xfId="0" applyFont="1"/>
    <xf numFmtId="0" fontId="3" fillId="0" borderId="0" xfId="1" applyNumberFormat="1" applyFont="1" applyFill="1"/>
    <xf numFmtId="0" fontId="7" fillId="0" borderId="0" xfId="0" applyFont="1" applyFill="1"/>
    <xf numFmtId="0" fontId="8" fillId="0" borderId="0" xfId="0" applyFont="1" applyFill="1"/>
    <xf numFmtId="14" fontId="9" fillId="0" borderId="0" xfId="0" applyNumberFormat="1" applyFont="1" applyFill="1" applyAlignment="1">
      <alignment horizontal="left"/>
    </xf>
    <xf numFmtId="164" fontId="3" fillId="0" borderId="0" xfId="1" applyNumberFormat="1" applyFont="1" applyFill="1" applyAlignment="1">
      <alignment horizontal="center"/>
    </xf>
    <xf numFmtId="0" fontId="5" fillId="0" borderId="0" xfId="0" applyFont="1" applyFill="1" applyAlignment="1">
      <alignment horizontal="right"/>
    </xf>
    <xf numFmtId="0" fontId="5" fillId="0" borderId="0" xfId="0" applyFont="1" applyFill="1"/>
    <xf numFmtId="0" fontId="0" fillId="0" borderId="0" xfId="0" applyFill="1" applyAlignment="1">
      <alignment horizontal="left"/>
    </xf>
    <xf numFmtId="0" fontId="4" fillId="0" borderId="0" xfId="0" applyFont="1" applyFill="1"/>
    <xf numFmtId="0" fontId="4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164" fontId="4" fillId="0" borderId="0" xfId="1" applyNumberFormat="1" applyFont="1" applyFill="1"/>
    <xf numFmtId="164" fontId="4" fillId="0" borderId="1" xfId="1" applyNumberFormat="1" applyFont="1" applyFill="1" applyBorder="1"/>
    <xf numFmtId="0" fontId="0" fillId="0" borderId="0" xfId="0" applyFill="1" applyBorder="1"/>
    <xf numFmtId="164" fontId="4" fillId="0" borderId="0" xfId="1" applyNumberFormat="1" applyFont="1" applyFill="1" applyBorder="1"/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horizontal="left" indent="2"/>
    </xf>
    <xf numFmtId="164" fontId="4" fillId="0" borderId="2" xfId="1" applyNumberFormat="1" applyFont="1" applyFill="1" applyBorder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left" indent="4"/>
    </xf>
    <xf numFmtId="0" fontId="0" fillId="0" borderId="0" xfId="0" applyFill="1" applyBorder="1" applyAlignment="1">
      <alignment horizontal="center"/>
    </xf>
    <xf numFmtId="0" fontId="11" fillId="0" borderId="0" xfId="0" applyFont="1" applyFill="1" applyBorder="1"/>
    <xf numFmtId="0" fontId="11" fillId="0" borderId="0" xfId="0" applyFont="1" applyFill="1" applyBorder="1" applyAlignment="1">
      <alignment horizontal="right"/>
    </xf>
    <xf numFmtId="0" fontId="11" fillId="0" borderId="0" xfId="0" applyFont="1" applyFill="1"/>
    <xf numFmtId="0" fontId="11" fillId="2" borderId="0" xfId="1" applyNumberFormat="1" applyFont="1" applyFill="1"/>
    <xf numFmtId="164" fontId="3" fillId="2" borderId="0" xfId="1" applyNumberFormat="1" applyFont="1" applyFill="1"/>
    <xf numFmtId="0" fontId="0" fillId="2" borderId="0" xfId="0" applyFill="1"/>
    <xf numFmtId="164" fontId="0" fillId="2" borderId="1" xfId="0" applyNumberFormat="1" applyFill="1" applyBorder="1"/>
    <xf numFmtId="164" fontId="0" fillId="0" borderId="0" xfId="0" applyNumberFormat="1" applyFill="1"/>
    <xf numFmtId="0" fontId="0" fillId="0" borderId="0" xfId="0" applyFill="1" applyBorder="1" applyAlignment="1">
      <alignment horizontal="left" wrapText="1" indent="2"/>
    </xf>
    <xf numFmtId="164" fontId="3" fillId="0" borderId="0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118"/>
  <sheetViews>
    <sheetView tabSelected="1" zoomScale="90" zoomScaleNormal="90" workbookViewId="0"/>
  </sheetViews>
  <sheetFormatPr defaultRowHeight="15" x14ac:dyDescent="0.25"/>
  <cols>
    <col min="1" max="1" width="10.7109375" customWidth="1"/>
    <col min="2" max="2" width="45.7109375" bestFit="1" customWidth="1"/>
    <col min="3" max="3" width="15" style="21" bestFit="1" customWidth="1"/>
    <col min="4" max="4" width="2.7109375" style="2" customWidth="1"/>
    <col min="5" max="5" width="15.5703125" style="2" bestFit="1" customWidth="1"/>
    <col min="6" max="6" width="13.42578125" style="2" bestFit="1" customWidth="1"/>
    <col min="7" max="7" width="10.140625" style="2" hidden="1" customWidth="1"/>
    <col min="8" max="8" width="12.7109375" style="2" bestFit="1" customWidth="1"/>
    <col min="9" max="9" width="63.42578125" style="2" bestFit="1" customWidth="1"/>
    <col min="10" max="10" width="15" bestFit="1" customWidth="1"/>
    <col min="11" max="11" width="12.140625" bestFit="1" customWidth="1"/>
  </cols>
  <sheetData>
    <row r="1" spans="1:10" ht="23.25" x14ac:dyDescent="0.35">
      <c r="A1" s="14" t="s">
        <v>26</v>
      </c>
      <c r="B1" s="2"/>
      <c r="E1" s="31"/>
      <c r="F1" s="31"/>
      <c r="G1" s="31"/>
      <c r="H1" s="31"/>
    </row>
    <row r="2" spans="1:10" ht="18.75" x14ac:dyDescent="0.3">
      <c r="A2" s="15" t="s">
        <v>177</v>
      </c>
      <c r="B2" s="2"/>
      <c r="E2" s="31"/>
      <c r="F2" s="31"/>
      <c r="G2" s="31"/>
      <c r="H2" s="31"/>
    </row>
    <row r="3" spans="1:10" ht="18.75" x14ac:dyDescent="0.3">
      <c r="A3" s="15"/>
      <c r="B3" s="2"/>
      <c r="E3" s="31"/>
      <c r="F3" s="31"/>
      <c r="G3" s="31"/>
      <c r="H3" s="31"/>
    </row>
    <row r="4" spans="1:10" ht="15.75" customHeight="1" x14ac:dyDescent="0.3">
      <c r="A4" s="15"/>
      <c r="B4" s="2"/>
      <c r="E4" s="3"/>
      <c r="F4" s="3" t="s">
        <v>135</v>
      </c>
      <c r="G4" s="32" t="s">
        <v>35</v>
      </c>
      <c r="H4" s="32"/>
    </row>
    <row r="5" spans="1:10" ht="15.75" x14ac:dyDescent="0.25">
      <c r="A5" s="2"/>
      <c r="B5" s="16"/>
      <c r="C5" s="22"/>
      <c r="E5" s="34" t="s">
        <v>135</v>
      </c>
      <c r="F5" s="3" t="s">
        <v>136</v>
      </c>
      <c r="G5" s="32" t="s">
        <v>36</v>
      </c>
      <c r="H5" s="32" t="s">
        <v>148</v>
      </c>
    </row>
    <row r="6" spans="1:10" x14ac:dyDescent="0.25">
      <c r="A6" s="2"/>
      <c r="B6" s="17"/>
      <c r="C6" s="22" t="s">
        <v>140</v>
      </c>
      <c r="E6" s="3" t="s">
        <v>139</v>
      </c>
      <c r="F6" s="32" t="s">
        <v>30</v>
      </c>
      <c r="G6" s="32" t="s">
        <v>37</v>
      </c>
      <c r="H6" s="32" t="s">
        <v>32</v>
      </c>
    </row>
    <row r="7" spans="1:10" x14ac:dyDescent="0.25">
      <c r="A7" s="2"/>
      <c r="B7" s="2"/>
      <c r="C7" s="22" t="s">
        <v>142</v>
      </c>
      <c r="E7" s="3" t="s">
        <v>138</v>
      </c>
      <c r="F7" s="32" t="s">
        <v>31</v>
      </c>
      <c r="G7" s="32" t="s">
        <v>38</v>
      </c>
      <c r="H7" s="32" t="s">
        <v>33</v>
      </c>
    </row>
    <row r="8" spans="1:10" x14ac:dyDescent="0.25">
      <c r="A8" s="18" t="s">
        <v>27</v>
      </c>
      <c r="B8" s="19" t="s">
        <v>28</v>
      </c>
      <c r="C8" s="23" t="s">
        <v>143</v>
      </c>
      <c r="E8" s="8" t="s">
        <v>137</v>
      </c>
      <c r="F8" s="4" t="s">
        <v>40</v>
      </c>
      <c r="G8" s="4" t="s">
        <v>39</v>
      </c>
      <c r="H8" s="4" t="s">
        <v>34</v>
      </c>
      <c r="I8" s="4" t="s">
        <v>97</v>
      </c>
    </row>
    <row r="9" spans="1:10" x14ac:dyDescent="0.25">
      <c r="A9" s="2">
        <v>1010</v>
      </c>
      <c r="B9" s="2" t="s">
        <v>0</v>
      </c>
      <c r="C9" s="24">
        <v>20708905</v>
      </c>
      <c r="E9" s="7">
        <f>C9</f>
        <v>20708905</v>
      </c>
      <c r="F9" s="7">
        <v>0</v>
      </c>
      <c r="G9" s="7">
        <v>0</v>
      </c>
      <c r="H9" s="7">
        <v>0</v>
      </c>
      <c r="I9" s="10" t="s">
        <v>96</v>
      </c>
    </row>
    <row r="10" spans="1:10" x14ac:dyDescent="0.25">
      <c r="A10" s="26">
        <v>2930</v>
      </c>
      <c r="B10" s="26" t="s">
        <v>178</v>
      </c>
      <c r="C10" s="27">
        <v>0</v>
      </c>
      <c r="E10" s="7">
        <f>C10</f>
        <v>0</v>
      </c>
      <c r="F10" s="7">
        <v>0</v>
      </c>
      <c r="G10" s="7">
        <v>0</v>
      </c>
      <c r="H10" s="7">
        <v>0</v>
      </c>
    </row>
    <row r="11" spans="1:10" x14ac:dyDescent="0.25">
      <c r="A11" s="26"/>
      <c r="B11" s="26"/>
      <c r="C11" s="27"/>
      <c r="E11" s="7"/>
      <c r="F11" s="7"/>
      <c r="G11" s="7"/>
      <c r="H11" s="7"/>
    </row>
    <row r="12" spans="1:10" x14ac:dyDescent="0.25">
      <c r="A12" s="26"/>
      <c r="B12" s="26" t="s">
        <v>130</v>
      </c>
      <c r="C12" s="27"/>
      <c r="E12" s="7"/>
      <c r="F12" s="7"/>
      <c r="G12" s="7"/>
      <c r="H12" s="7"/>
    </row>
    <row r="13" spans="1:10" x14ac:dyDescent="0.25">
      <c r="A13" s="26">
        <v>2080</v>
      </c>
      <c r="B13" s="29" t="s">
        <v>131</v>
      </c>
      <c r="C13" s="27">
        <v>10510719.390000001</v>
      </c>
      <c r="E13" s="7">
        <v>0</v>
      </c>
      <c r="F13" s="7">
        <v>0</v>
      </c>
      <c r="G13" s="7">
        <v>0</v>
      </c>
      <c r="H13" s="7">
        <f t="shared" ref="H13:H25" si="0">C13</f>
        <v>10510719.390000001</v>
      </c>
      <c r="I13" s="2" t="s">
        <v>45</v>
      </c>
      <c r="J13" s="7"/>
    </row>
    <row r="14" spans="1:10" x14ac:dyDescent="0.25">
      <c r="A14" s="26">
        <v>2090</v>
      </c>
      <c r="B14" s="43" t="s">
        <v>99</v>
      </c>
      <c r="C14" s="27">
        <v>2382377.77</v>
      </c>
      <c r="E14" s="7">
        <v>0</v>
      </c>
      <c r="F14" s="7">
        <v>0</v>
      </c>
      <c r="G14" s="7">
        <v>0</v>
      </c>
      <c r="H14" s="7">
        <f>C14</f>
        <v>2382377.77</v>
      </c>
      <c r="I14" s="2" t="s">
        <v>45</v>
      </c>
    </row>
    <row r="15" spans="1:10" ht="27.75" x14ac:dyDescent="0.25">
      <c r="A15" s="26">
        <v>2091</v>
      </c>
      <c r="B15" s="43" t="s">
        <v>115</v>
      </c>
      <c r="C15" s="27">
        <v>1742882.86</v>
      </c>
      <c r="E15" s="7">
        <v>0</v>
      </c>
      <c r="F15" s="7">
        <v>0</v>
      </c>
      <c r="G15" s="7">
        <v>0</v>
      </c>
      <c r="H15" s="7">
        <f>C15</f>
        <v>1742882.86</v>
      </c>
      <c r="I15" s="2" t="s">
        <v>45</v>
      </c>
    </row>
    <row r="16" spans="1:10" x14ac:dyDescent="0.25">
      <c r="A16" s="26">
        <v>2095</v>
      </c>
      <c r="B16" s="43" t="s">
        <v>100</v>
      </c>
      <c r="C16" s="27">
        <v>3066587</v>
      </c>
      <c r="E16" s="7">
        <v>0</v>
      </c>
      <c r="F16" s="7">
        <v>0</v>
      </c>
      <c r="G16" s="7">
        <v>0</v>
      </c>
      <c r="H16" s="7">
        <f>C16</f>
        <v>3066587</v>
      </c>
      <c r="I16" s="10" t="s">
        <v>101</v>
      </c>
    </row>
    <row r="17" spans="1:10" x14ac:dyDescent="0.25">
      <c r="A17" s="26"/>
      <c r="B17" s="28"/>
      <c r="C17" s="27"/>
      <c r="E17" s="7"/>
      <c r="F17" s="7"/>
      <c r="G17" s="7"/>
      <c r="H17" s="7"/>
      <c r="I17" s="10"/>
    </row>
    <row r="18" spans="1:10" x14ac:dyDescent="0.25">
      <c r="A18" s="26">
        <v>2850</v>
      </c>
      <c r="B18" s="26" t="s">
        <v>1</v>
      </c>
      <c r="C18" s="24">
        <v>0</v>
      </c>
      <c r="E18" s="7">
        <v>0</v>
      </c>
      <c r="F18" s="7">
        <v>0</v>
      </c>
      <c r="G18" s="7">
        <v>0</v>
      </c>
      <c r="H18" s="7">
        <f t="shared" si="0"/>
        <v>0</v>
      </c>
      <c r="I18" s="10"/>
    </row>
    <row r="19" spans="1:10" x14ac:dyDescent="0.25">
      <c r="A19" s="2">
        <v>1990</v>
      </c>
      <c r="B19" s="2" t="s">
        <v>25</v>
      </c>
      <c r="C19" s="24">
        <v>925736</v>
      </c>
      <c r="E19" s="7">
        <v>0</v>
      </c>
      <c r="F19" s="7">
        <v>0</v>
      </c>
      <c r="G19" s="7">
        <v>0</v>
      </c>
      <c r="H19" s="7">
        <f t="shared" si="0"/>
        <v>925736</v>
      </c>
      <c r="I19" s="10" t="s">
        <v>108</v>
      </c>
    </row>
    <row r="20" spans="1:10" x14ac:dyDescent="0.25">
      <c r="A20" s="2"/>
      <c r="B20" s="2"/>
      <c r="C20" s="24"/>
      <c r="E20" s="7"/>
      <c r="F20" s="7"/>
      <c r="G20" s="7"/>
      <c r="H20" s="7"/>
    </row>
    <row r="21" spans="1:10" x14ac:dyDescent="0.25">
      <c r="A21" s="26"/>
      <c r="B21" s="26" t="s">
        <v>66</v>
      </c>
      <c r="C21" s="27"/>
      <c r="E21" s="7"/>
      <c r="F21" s="7"/>
      <c r="G21" s="7"/>
      <c r="H21" s="7"/>
    </row>
    <row r="22" spans="1:10" x14ac:dyDescent="0.25">
      <c r="A22" s="26">
        <v>4016</v>
      </c>
      <c r="B22" s="29" t="s">
        <v>67</v>
      </c>
      <c r="C22" s="27">
        <v>5749333.79</v>
      </c>
      <c r="E22" s="7">
        <v>0</v>
      </c>
      <c r="F22" s="7">
        <v>0</v>
      </c>
      <c r="G22" s="7">
        <v>0</v>
      </c>
      <c r="H22" s="7">
        <f t="shared" si="0"/>
        <v>5749333.79</v>
      </c>
      <c r="I22" s="2" t="s">
        <v>81</v>
      </c>
      <c r="J22" s="7"/>
    </row>
    <row r="23" spans="1:10" x14ac:dyDescent="0.25">
      <c r="A23" s="26">
        <v>4019</v>
      </c>
      <c r="B23" s="29" t="s">
        <v>68</v>
      </c>
      <c r="C23" s="27">
        <v>0</v>
      </c>
      <c r="E23" s="7">
        <v>0</v>
      </c>
      <c r="F23" s="7">
        <v>0</v>
      </c>
      <c r="G23" s="7">
        <v>0</v>
      </c>
      <c r="H23" s="7">
        <f t="shared" si="0"/>
        <v>0</v>
      </c>
      <c r="I23" s="2" t="s">
        <v>81</v>
      </c>
      <c r="J23" s="7"/>
    </row>
    <row r="24" spans="1:10" x14ac:dyDescent="0.25">
      <c r="A24" s="26">
        <v>4060</v>
      </c>
      <c r="B24" s="29" t="s">
        <v>69</v>
      </c>
      <c r="C24" s="27">
        <v>2587948.33</v>
      </c>
      <c r="E24" s="7">
        <v>0</v>
      </c>
      <c r="F24" s="7">
        <v>0</v>
      </c>
      <c r="G24" s="7">
        <v>0</v>
      </c>
      <c r="H24" s="7">
        <f t="shared" si="0"/>
        <v>2587948.33</v>
      </c>
      <c r="I24" s="2" t="s">
        <v>82</v>
      </c>
      <c r="J24" s="7"/>
    </row>
    <row r="25" spans="1:10" x14ac:dyDescent="0.25">
      <c r="A25" s="26">
        <v>4080</v>
      </c>
      <c r="B25" s="29" t="s">
        <v>145</v>
      </c>
      <c r="C25" s="27">
        <v>300000</v>
      </c>
      <c r="E25" s="7">
        <v>0</v>
      </c>
      <c r="F25" s="7">
        <v>0</v>
      </c>
      <c r="G25" s="7">
        <v>0</v>
      </c>
      <c r="H25" s="7">
        <f t="shared" si="0"/>
        <v>300000</v>
      </c>
      <c r="I25" s="2" t="s">
        <v>152</v>
      </c>
      <c r="J25" s="7"/>
    </row>
    <row r="26" spans="1:10" x14ac:dyDescent="0.25">
      <c r="A26" s="26">
        <v>4050</v>
      </c>
      <c r="B26" s="29" t="s">
        <v>70</v>
      </c>
      <c r="C26" s="27">
        <f>4454774.45+0.96</f>
        <v>4454775.41</v>
      </c>
      <c r="E26" s="7">
        <f>C26</f>
        <v>4454775.41</v>
      </c>
      <c r="F26" s="7">
        <v>0</v>
      </c>
      <c r="G26" s="7">
        <v>0</v>
      </c>
      <c r="H26" s="7">
        <v>0</v>
      </c>
      <c r="I26" s="10" t="s">
        <v>94</v>
      </c>
    </row>
    <row r="27" spans="1:10" x14ac:dyDescent="0.25">
      <c r="A27" s="26">
        <v>4010</v>
      </c>
      <c r="B27" s="29" t="s">
        <v>71</v>
      </c>
      <c r="C27" s="27">
        <v>1419228.65</v>
      </c>
      <c r="E27" s="7">
        <f>C27</f>
        <v>1419228.65</v>
      </c>
      <c r="F27" s="7">
        <v>0</v>
      </c>
      <c r="G27" s="7">
        <v>0</v>
      </c>
      <c r="H27" s="7">
        <v>0</v>
      </c>
      <c r="I27" s="10" t="s">
        <v>93</v>
      </c>
    </row>
    <row r="28" spans="1:10" x14ac:dyDescent="0.25">
      <c r="A28" s="26">
        <v>4040</v>
      </c>
      <c r="B28" s="29" t="s">
        <v>72</v>
      </c>
      <c r="C28" s="27">
        <v>218863.42</v>
      </c>
      <c r="E28" s="7">
        <v>0</v>
      </c>
      <c r="F28" s="7">
        <v>0</v>
      </c>
      <c r="G28" s="7">
        <v>0</v>
      </c>
      <c r="H28" s="7">
        <f>C28</f>
        <v>218863.42</v>
      </c>
      <c r="I28" s="2" t="s">
        <v>95</v>
      </c>
    </row>
    <row r="29" spans="1:10" x14ac:dyDescent="0.25">
      <c r="A29" s="26">
        <v>4020</v>
      </c>
      <c r="B29" s="29" t="s">
        <v>73</v>
      </c>
      <c r="C29" s="27">
        <v>5120639.08</v>
      </c>
      <c r="E29" s="7">
        <v>0</v>
      </c>
      <c r="F29" s="7">
        <v>0</v>
      </c>
      <c r="G29" s="7">
        <v>0</v>
      </c>
      <c r="H29" s="7">
        <f>C29</f>
        <v>5120639.08</v>
      </c>
      <c r="I29" s="2" t="s">
        <v>81</v>
      </c>
    </row>
    <row r="30" spans="1:10" x14ac:dyDescent="0.25">
      <c r="A30" s="26">
        <v>4021</v>
      </c>
      <c r="B30" s="29" t="s">
        <v>74</v>
      </c>
      <c r="C30" s="27">
        <v>46665.33</v>
      </c>
      <c r="E30" s="7">
        <v>0</v>
      </c>
      <c r="F30" s="7">
        <v>0</v>
      </c>
      <c r="G30" s="7">
        <v>0</v>
      </c>
      <c r="H30" s="7">
        <f>C30</f>
        <v>46665.33</v>
      </c>
      <c r="I30" s="2" t="s">
        <v>81</v>
      </c>
    </row>
    <row r="31" spans="1:10" x14ac:dyDescent="0.25">
      <c r="A31" s="26">
        <v>4017</v>
      </c>
      <c r="B31" s="29" t="s">
        <v>104</v>
      </c>
      <c r="C31" s="27">
        <v>44.53</v>
      </c>
      <c r="E31" s="7">
        <v>0</v>
      </c>
      <c r="F31" s="7">
        <v>0</v>
      </c>
      <c r="G31" s="7">
        <v>0</v>
      </c>
      <c r="H31" s="7">
        <f>C31</f>
        <v>44.53</v>
      </c>
      <c r="I31" s="2" t="s">
        <v>81</v>
      </c>
    </row>
    <row r="32" spans="1:10" x14ac:dyDescent="0.25">
      <c r="A32" s="2"/>
      <c r="B32" s="2"/>
      <c r="C32" s="24"/>
      <c r="E32" s="7"/>
      <c r="F32" s="7"/>
      <c r="G32" s="7"/>
      <c r="H32" s="7"/>
    </row>
    <row r="33" spans="1:9" x14ac:dyDescent="0.25">
      <c r="A33" s="2">
        <v>2290</v>
      </c>
      <c r="B33" s="20" t="s">
        <v>102</v>
      </c>
      <c r="C33" s="24">
        <v>472846</v>
      </c>
      <c r="E33" s="7">
        <v>0</v>
      </c>
      <c r="F33" s="7">
        <v>0</v>
      </c>
      <c r="G33" s="7">
        <v>0</v>
      </c>
      <c r="H33" s="7">
        <f>C33</f>
        <v>472846</v>
      </c>
      <c r="I33" s="2" t="s">
        <v>106</v>
      </c>
    </row>
    <row r="34" spans="1:9" s="2" customFormat="1" x14ac:dyDescent="0.25">
      <c r="A34" s="2">
        <v>1090</v>
      </c>
      <c r="B34" s="2" t="s">
        <v>2</v>
      </c>
      <c r="C34" s="24">
        <v>124310</v>
      </c>
      <c r="E34" s="7">
        <v>0</v>
      </c>
      <c r="F34" s="7">
        <v>0</v>
      </c>
      <c r="G34" s="7">
        <v>0</v>
      </c>
      <c r="H34" s="7">
        <f>C34</f>
        <v>124310</v>
      </c>
      <c r="I34" s="10" t="s">
        <v>83</v>
      </c>
    </row>
    <row r="35" spans="1:9" s="2" customFormat="1" x14ac:dyDescent="0.25">
      <c r="A35" s="2">
        <v>1750</v>
      </c>
      <c r="B35" s="2" t="s">
        <v>3</v>
      </c>
      <c r="C35" s="24">
        <v>207277</v>
      </c>
      <c r="E35" s="7">
        <v>0</v>
      </c>
      <c r="F35" s="7">
        <v>0</v>
      </c>
      <c r="G35" s="7">
        <v>0</v>
      </c>
      <c r="H35" s="7">
        <f>C35</f>
        <v>207277</v>
      </c>
      <c r="I35" s="2" t="s">
        <v>116</v>
      </c>
    </row>
    <row r="36" spans="1:9" s="2" customFormat="1" x14ac:dyDescent="0.25">
      <c r="A36" s="2">
        <v>2990</v>
      </c>
      <c r="B36" s="2" t="s">
        <v>4</v>
      </c>
      <c r="C36" s="24">
        <v>1041883</v>
      </c>
      <c r="E36" s="7">
        <f>C36</f>
        <v>1041883</v>
      </c>
      <c r="F36" s="7">
        <v>0</v>
      </c>
      <c r="G36" s="7">
        <v>0</v>
      </c>
      <c r="H36" s="7">
        <v>0</v>
      </c>
      <c r="I36" s="10" t="s">
        <v>156</v>
      </c>
    </row>
    <row r="37" spans="1:9" s="2" customFormat="1" x14ac:dyDescent="0.25">
      <c r="A37" s="2">
        <v>2804</v>
      </c>
      <c r="B37" s="2" t="s">
        <v>5</v>
      </c>
      <c r="C37" s="24">
        <v>277574</v>
      </c>
      <c r="E37" s="7">
        <f>C37</f>
        <v>277574</v>
      </c>
      <c r="F37" s="7">
        <v>0</v>
      </c>
      <c r="G37" s="7">
        <v>0</v>
      </c>
      <c r="H37" s="7">
        <v>0</v>
      </c>
      <c r="I37" s="2" t="s">
        <v>157</v>
      </c>
    </row>
    <row r="38" spans="1:9" s="2" customFormat="1" x14ac:dyDescent="0.25">
      <c r="A38" s="2" t="s">
        <v>86</v>
      </c>
      <c r="B38" s="2" t="s">
        <v>85</v>
      </c>
      <c r="C38" s="24">
        <v>28404</v>
      </c>
      <c r="E38" s="7">
        <v>0</v>
      </c>
      <c r="F38" s="7">
        <v>0</v>
      </c>
      <c r="G38" s="7">
        <v>0</v>
      </c>
      <c r="H38" s="7">
        <f>C38</f>
        <v>28404</v>
      </c>
      <c r="I38" s="2" t="s">
        <v>87</v>
      </c>
    </row>
    <row r="39" spans="1:9" s="2" customFormat="1" x14ac:dyDescent="0.25">
      <c r="A39" s="9" t="s">
        <v>75</v>
      </c>
      <c r="B39" s="2" t="s">
        <v>6</v>
      </c>
      <c r="C39" s="24">
        <v>860519</v>
      </c>
      <c r="E39" s="7">
        <v>0</v>
      </c>
      <c r="F39" s="7">
        <v>0</v>
      </c>
      <c r="G39" s="7">
        <v>0</v>
      </c>
      <c r="H39" s="7">
        <f>C39</f>
        <v>860519</v>
      </c>
      <c r="I39" s="10" t="s">
        <v>43</v>
      </c>
    </row>
    <row r="40" spans="1:9" s="2" customFormat="1" x14ac:dyDescent="0.25">
      <c r="A40" s="9">
        <v>1212</v>
      </c>
      <c r="B40" s="20" t="s">
        <v>103</v>
      </c>
      <c r="C40" s="24">
        <v>8743</v>
      </c>
      <c r="E40" s="7">
        <v>0</v>
      </c>
      <c r="F40" s="7">
        <v>0</v>
      </c>
      <c r="G40" s="7">
        <v>0</v>
      </c>
      <c r="H40" s="7">
        <f>C40</f>
        <v>8743</v>
      </c>
      <c r="I40" s="10" t="s">
        <v>107</v>
      </c>
    </row>
    <row r="41" spans="1:9" s="2" customFormat="1" x14ac:dyDescent="0.25">
      <c r="A41" s="9" t="s">
        <v>75</v>
      </c>
      <c r="B41" s="2" t="s">
        <v>144</v>
      </c>
      <c r="C41" s="24">
        <v>1342035</v>
      </c>
      <c r="E41" s="7">
        <f>C41</f>
        <v>1342035</v>
      </c>
      <c r="F41" s="7">
        <v>0</v>
      </c>
      <c r="G41" s="7">
        <v>0</v>
      </c>
      <c r="H41" s="7">
        <v>0</v>
      </c>
      <c r="I41" s="10" t="s">
        <v>158</v>
      </c>
    </row>
    <row r="42" spans="1:9" s="2" customFormat="1" x14ac:dyDescent="0.25">
      <c r="A42" s="9">
        <v>2150</v>
      </c>
      <c r="B42" s="2" t="s">
        <v>129</v>
      </c>
      <c r="C42" s="24">
        <v>0</v>
      </c>
      <c r="E42" s="7">
        <f>C42</f>
        <v>0</v>
      </c>
      <c r="F42" s="7">
        <v>0</v>
      </c>
      <c r="G42" s="7">
        <v>0</v>
      </c>
      <c r="H42" s="7">
        <v>0</v>
      </c>
    </row>
    <row r="43" spans="1:9" s="2" customFormat="1" x14ac:dyDescent="0.25">
      <c r="A43" s="9" t="s">
        <v>75</v>
      </c>
      <c r="B43" s="2" t="s">
        <v>7</v>
      </c>
      <c r="C43" s="24">
        <v>0</v>
      </c>
      <c r="E43" s="7">
        <f>C43</f>
        <v>0</v>
      </c>
      <c r="F43" s="7">
        <v>0</v>
      </c>
      <c r="G43" s="7">
        <v>0</v>
      </c>
      <c r="H43" s="7">
        <v>0</v>
      </c>
    </row>
    <row r="44" spans="1:9" s="2" customFormat="1" x14ac:dyDescent="0.25">
      <c r="A44" s="9" t="s">
        <v>75</v>
      </c>
      <c r="B44" s="2" t="s">
        <v>117</v>
      </c>
      <c r="C44" s="24">
        <v>93317</v>
      </c>
      <c r="E44" s="7">
        <v>0</v>
      </c>
      <c r="F44" s="7">
        <v>0</v>
      </c>
      <c r="G44" s="7">
        <v>0</v>
      </c>
      <c r="H44" s="7">
        <f>C44</f>
        <v>93317</v>
      </c>
      <c r="I44" s="10" t="s">
        <v>118</v>
      </c>
    </row>
    <row r="45" spans="1:9" s="2" customFormat="1" x14ac:dyDescent="0.25">
      <c r="A45" s="9">
        <v>1950</v>
      </c>
      <c r="B45" s="2" t="s">
        <v>29</v>
      </c>
      <c r="C45" s="24">
        <v>22525</v>
      </c>
      <c r="E45" s="7">
        <f>C45</f>
        <v>22525</v>
      </c>
      <c r="F45" s="7">
        <v>0</v>
      </c>
      <c r="G45" s="7">
        <v>0</v>
      </c>
      <c r="H45" s="7">
        <v>0</v>
      </c>
    </row>
    <row r="46" spans="1:9" s="2" customFormat="1" x14ac:dyDescent="0.25">
      <c r="A46" s="9">
        <v>1572</v>
      </c>
      <c r="B46" s="2" t="s">
        <v>8</v>
      </c>
      <c r="C46" s="24">
        <v>71211</v>
      </c>
      <c r="E46" s="7">
        <v>0</v>
      </c>
      <c r="F46" s="7">
        <v>0</v>
      </c>
      <c r="G46" s="7">
        <v>0</v>
      </c>
      <c r="H46" s="7">
        <f>C46</f>
        <v>71211</v>
      </c>
      <c r="I46" s="2" t="s">
        <v>42</v>
      </c>
    </row>
    <row r="47" spans="1:9" s="2" customFormat="1" x14ac:dyDescent="0.25">
      <c r="A47" s="9" t="s">
        <v>75</v>
      </c>
      <c r="B47" s="2" t="s">
        <v>88</v>
      </c>
      <c r="C47" s="24">
        <v>16628</v>
      </c>
      <c r="E47" s="7">
        <v>0</v>
      </c>
      <c r="F47" s="7">
        <v>0</v>
      </c>
      <c r="G47" s="7">
        <v>0</v>
      </c>
      <c r="H47" s="7">
        <f>C47</f>
        <v>16628</v>
      </c>
    </row>
    <row r="48" spans="1:9" s="2" customFormat="1" x14ac:dyDescent="0.25">
      <c r="A48" s="9"/>
      <c r="C48" s="24"/>
      <c r="E48" s="7"/>
      <c r="F48" s="7"/>
      <c r="G48" s="7"/>
      <c r="H48" s="7"/>
    </row>
    <row r="49" spans="1:11" s="2" customFormat="1" x14ac:dyDescent="0.25">
      <c r="A49" s="9">
        <v>2972</v>
      </c>
      <c r="B49" s="2" t="s">
        <v>120</v>
      </c>
      <c r="C49" s="24">
        <v>255892</v>
      </c>
      <c r="E49" s="7">
        <v>0</v>
      </c>
      <c r="F49" s="7">
        <v>0</v>
      </c>
      <c r="G49" s="7">
        <v>0</v>
      </c>
      <c r="H49" s="7">
        <f>C49</f>
        <v>255892</v>
      </c>
      <c r="I49" s="2" t="s">
        <v>121</v>
      </c>
    </row>
    <row r="50" spans="1:11" s="2" customFormat="1" x14ac:dyDescent="0.25">
      <c r="A50" s="9"/>
      <c r="C50" s="24"/>
      <c r="E50" s="7"/>
      <c r="F50" s="7"/>
      <c r="G50" s="7"/>
      <c r="H50" s="7"/>
    </row>
    <row r="51" spans="1:11" s="2" customFormat="1" x14ac:dyDescent="0.25">
      <c r="A51" s="26"/>
      <c r="B51" s="26" t="s">
        <v>23</v>
      </c>
      <c r="C51" s="27"/>
      <c r="E51" s="7"/>
      <c r="F51" s="7"/>
      <c r="G51" s="7"/>
      <c r="H51" s="7"/>
    </row>
    <row r="52" spans="1:11" s="2" customFormat="1" x14ac:dyDescent="0.25">
      <c r="A52" s="35">
        <v>1670</v>
      </c>
      <c r="B52" s="29" t="s">
        <v>24</v>
      </c>
      <c r="C52" s="27">
        <v>119862.29</v>
      </c>
      <c r="E52" s="7">
        <f>C52</f>
        <v>119862.29</v>
      </c>
      <c r="F52" s="7">
        <v>0</v>
      </c>
      <c r="G52" s="7">
        <v>0</v>
      </c>
      <c r="H52" s="7">
        <v>0</v>
      </c>
      <c r="I52" s="10" t="s">
        <v>98</v>
      </c>
      <c r="J52" s="7"/>
    </row>
    <row r="53" spans="1:11" s="2" customFormat="1" x14ac:dyDescent="0.25">
      <c r="A53" s="35">
        <v>1120</v>
      </c>
      <c r="B53" s="29" t="s">
        <v>62</v>
      </c>
      <c r="C53" s="27">
        <v>16763.32</v>
      </c>
      <c r="E53" s="7">
        <v>0</v>
      </c>
      <c r="F53" s="7">
        <v>0</v>
      </c>
      <c r="G53" s="7">
        <v>0</v>
      </c>
      <c r="H53" s="7">
        <f t="shared" ref="H53:H58" si="1">C53</f>
        <v>16763.32</v>
      </c>
      <c r="I53" s="2" t="s">
        <v>174</v>
      </c>
      <c r="J53" s="7"/>
      <c r="K53" s="7"/>
    </row>
    <row r="54" spans="1:11" s="2" customFormat="1" x14ac:dyDescent="0.25">
      <c r="A54" s="35">
        <v>2070</v>
      </c>
      <c r="B54" s="29" t="s">
        <v>61</v>
      </c>
      <c r="C54" s="27">
        <v>43527.87</v>
      </c>
      <c r="E54" s="7">
        <v>0</v>
      </c>
      <c r="F54" s="7">
        <v>0</v>
      </c>
      <c r="G54" s="7">
        <v>0</v>
      </c>
      <c r="H54" s="7">
        <f t="shared" si="1"/>
        <v>43527.87</v>
      </c>
      <c r="I54" s="2" t="s">
        <v>173</v>
      </c>
      <c r="J54" s="7"/>
      <c r="K54" s="7"/>
    </row>
    <row r="55" spans="1:11" s="2" customFormat="1" x14ac:dyDescent="0.25">
      <c r="A55" s="35">
        <v>2011</v>
      </c>
      <c r="B55" s="29" t="s">
        <v>147</v>
      </c>
      <c r="C55" s="27">
        <v>10000</v>
      </c>
      <c r="E55" s="7">
        <v>0</v>
      </c>
      <c r="F55" s="7">
        <v>0</v>
      </c>
      <c r="G55" s="7">
        <v>0</v>
      </c>
      <c r="H55" s="7">
        <f>C55</f>
        <v>10000</v>
      </c>
      <c r="I55" s="2" t="s">
        <v>150</v>
      </c>
      <c r="J55" s="7"/>
      <c r="K55" s="7"/>
    </row>
    <row r="56" spans="1:11" s="2" customFormat="1" x14ac:dyDescent="0.25">
      <c r="A56" s="35">
        <v>2991</v>
      </c>
      <c r="B56" s="29" t="s">
        <v>64</v>
      </c>
      <c r="C56" s="27">
        <v>97121.38</v>
      </c>
      <c r="E56" s="7">
        <v>0</v>
      </c>
      <c r="F56" s="7">
        <v>0</v>
      </c>
      <c r="G56" s="7">
        <v>0</v>
      </c>
      <c r="H56" s="7">
        <f t="shared" si="1"/>
        <v>97121.38</v>
      </c>
      <c r="I56" s="2" t="s">
        <v>109</v>
      </c>
      <c r="J56" s="13"/>
      <c r="K56" s="7"/>
    </row>
    <row r="57" spans="1:11" s="2" customFormat="1" x14ac:dyDescent="0.25">
      <c r="A57" s="35">
        <v>2060</v>
      </c>
      <c r="B57" s="29" t="s">
        <v>63</v>
      </c>
      <c r="C57" s="27">
        <v>42461.96</v>
      </c>
      <c r="E57" s="7">
        <v>0</v>
      </c>
      <c r="F57" s="7">
        <v>0</v>
      </c>
      <c r="G57" s="7">
        <v>0</v>
      </c>
      <c r="H57" s="7">
        <f t="shared" si="1"/>
        <v>42461.96</v>
      </c>
      <c r="I57" s="2" t="s">
        <v>172</v>
      </c>
      <c r="J57" s="13"/>
      <c r="K57" s="7"/>
    </row>
    <row r="58" spans="1:11" s="2" customFormat="1" x14ac:dyDescent="0.25">
      <c r="A58" s="36" t="s">
        <v>75</v>
      </c>
      <c r="B58" s="29" t="s">
        <v>65</v>
      </c>
      <c r="C58" s="27">
        <f>'FB-OSR Funds-other'!D20</f>
        <v>153583.69999999998</v>
      </c>
      <c r="E58" s="7">
        <v>0</v>
      </c>
      <c r="F58" s="7">
        <v>0</v>
      </c>
      <c r="G58" s="7">
        <v>0</v>
      </c>
      <c r="H58" s="7">
        <f t="shared" si="1"/>
        <v>153583.69999999998</v>
      </c>
      <c r="J58" s="13"/>
      <c r="K58" s="7"/>
    </row>
    <row r="59" spans="1:11" s="2" customFormat="1" x14ac:dyDescent="0.25">
      <c r="A59" s="36">
        <v>1260</v>
      </c>
      <c r="B59" s="29" t="s">
        <v>105</v>
      </c>
      <c r="C59" s="27">
        <v>5083.41</v>
      </c>
      <c r="E59" s="7">
        <v>0</v>
      </c>
      <c r="F59" s="7">
        <v>0</v>
      </c>
      <c r="G59" s="7">
        <v>0</v>
      </c>
      <c r="H59" s="7">
        <f>C59</f>
        <v>5083.41</v>
      </c>
      <c r="I59" s="2" t="s">
        <v>110</v>
      </c>
      <c r="J59" s="13"/>
      <c r="K59" s="7"/>
    </row>
    <row r="60" spans="1:11" s="2" customFormat="1" x14ac:dyDescent="0.25">
      <c r="C60" s="21"/>
      <c r="E60" s="31"/>
      <c r="F60" s="31"/>
      <c r="G60" s="31"/>
      <c r="H60" s="31"/>
      <c r="I60" s="10"/>
      <c r="K60" s="7"/>
    </row>
    <row r="61" spans="1:11" s="2" customFormat="1" x14ac:dyDescent="0.25">
      <c r="B61" s="2" t="s">
        <v>76</v>
      </c>
      <c r="C61" s="24"/>
      <c r="E61" s="7"/>
      <c r="F61" s="7"/>
      <c r="G61" s="7"/>
      <c r="H61" s="7"/>
      <c r="I61" s="10"/>
    </row>
    <row r="62" spans="1:11" s="2" customFormat="1" x14ac:dyDescent="0.25">
      <c r="A62" s="2">
        <v>1610</v>
      </c>
      <c r="B62" s="6" t="s">
        <v>77</v>
      </c>
      <c r="C62" s="24">
        <v>208377.24</v>
      </c>
      <c r="E62" s="7">
        <v>0</v>
      </c>
      <c r="F62" s="7">
        <v>0</v>
      </c>
      <c r="G62" s="7">
        <v>0</v>
      </c>
      <c r="H62" s="7">
        <f>C62</f>
        <v>208377.24</v>
      </c>
      <c r="I62" s="2" t="s">
        <v>153</v>
      </c>
    </row>
    <row r="63" spans="1:11" s="2" customFormat="1" x14ac:dyDescent="0.25">
      <c r="A63" s="2">
        <v>1620</v>
      </c>
      <c r="B63" s="6" t="s">
        <v>78</v>
      </c>
      <c r="C63" s="24">
        <v>69874.710000000006</v>
      </c>
      <c r="E63" s="7">
        <f>C63</f>
        <v>69874.710000000006</v>
      </c>
      <c r="F63" s="7">
        <v>0</v>
      </c>
      <c r="G63" s="7">
        <v>0</v>
      </c>
      <c r="H63" s="7">
        <v>0</v>
      </c>
    </row>
    <row r="64" spans="1:11" s="2" customFormat="1" x14ac:dyDescent="0.25">
      <c r="C64" s="24"/>
      <c r="E64" s="7"/>
      <c r="F64" s="7"/>
      <c r="G64" s="7"/>
      <c r="H64" s="7"/>
    </row>
    <row r="65" spans="1:10" s="2" customFormat="1" x14ac:dyDescent="0.25">
      <c r="B65" s="2" t="s">
        <v>179</v>
      </c>
      <c r="C65" s="24">
        <v>2271045.48</v>
      </c>
      <c r="E65" s="7">
        <f>C65</f>
        <v>2271045.48</v>
      </c>
      <c r="F65" s="7">
        <v>0</v>
      </c>
      <c r="G65" s="7">
        <v>0</v>
      </c>
      <c r="H65" s="7">
        <v>0</v>
      </c>
      <c r="I65" s="10" t="s">
        <v>159</v>
      </c>
    </row>
    <row r="66" spans="1:10" s="2" customFormat="1" x14ac:dyDescent="0.25">
      <c r="C66" s="21"/>
      <c r="E66" s="31"/>
      <c r="F66" s="31"/>
      <c r="G66" s="31"/>
      <c r="H66" s="31"/>
    </row>
    <row r="67" spans="1:10" s="2" customFormat="1" x14ac:dyDescent="0.25">
      <c r="B67" s="2" t="s">
        <v>79</v>
      </c>
      <c r="C67" s="24"/>
      <c r="E67" s="7"/>
      <c r="F67" s="7"/>
      <c r="G67" s="7"/>
      <c r="H67" s="7"/>
    </row>
    <row r="68" spans="1:10" s="2" customFormat="1" x14ac:dyDescent="0.25">
      <c r="A68" s="2">
        <v>1710</v>
      </c>
      <c r="B68" s="6" t="s">
        <v>22</v>
      </c>
      <c r="C68" s="24">
        <v>978109.03</v>
      </c>
      <c r="E68" s="7">
        <v>0</v>
      </c>
      <c r="F68" s="7">
        <v>0</v>
      </c>
      <c r="G68" s="7">
        <v>0</v>
      </c>
      <c r="H68" s="7">
        <f>C68</f>
        <v>978109.03</v>
      </c>
      <c r="I68" s="2" t="s">
        <v>111</v>
      </c>
      <c r="J68" s="7"/>
    </row>
    <row r="69" spans="1:10" s="2" customFormat="1" x14ac:dyDescent="0.25">
      <c r="A69" s="2">
        <v>1740</v>
      </c>
      <c r="B69" s="6" t="s">
        <v>80</v>
      </c>
      <c r="C69" s="24">
        <v>12562.98</v>
      </c>
      <c r="E69" s="7">
        <v>0</v>
      </c>
      <c r="F69" s="7">
        <v>0</v>
      </c>
      <c r="G69" s="7">
        <v>0</v>
      </c>
      <c r="H69" s="7">
        <f>C69</f>
        <v>12562.98</v>
      </c>
      <c r="I69" s="2" t="s">
        <v>171</v>
      </c>
    </row>
    <row r="70" spans="1:10" s="2" customFormat="1" x14ac:dyDescent="0.25">
      <c r="C70" s="21"/>
      <c r="E70" s="31"/>
      <c r="F70" s="31"/>
      <c r="G70" s="31"/>
      <c r="H70" s="31"/>
    </row>
    <row r="71" spans="1:10" s="2" customFormat="1" x14ac:dyDescent="0.25">
      <c r="B71" s="2" t="s">
        <v>49</v>
      </c>
      <c r="C71" s="24"/>
      <c r="E71" s="7"/>
      <c r="F71" s="7"/>
      <c r="G71" s="7"/>
      <c r="H71" s="7"/>
    </row>
    <row r="72" spans="1:10" s="2" customFormat="1" x14ac:dyDescent="0.25">
      <c r="A72" s="2">
        <v>1300</v>
      </c>
      <c r="B72" s="6" t="s">
        <v>48</v>
      </c>
      <c r="C72" s="24">
        <v>68871.69</v>
      </c>
      <c r="E72" s="7">
        <v>0</v>
      </c>
      <c r="F72" s="7">
        <v>0</v>
      </c>
      <c r="G72" s="7">
        <v>0</v>
      </c>
      <c r="H72" s="7">
        <f t="shared" ref="H72:H81" si="2">C72</f>
        <v>68871.69</v>
      </c>
      <c r="I72" s="2" t="s">
        <v>153</v>
      </c>
      <c r="J72" s="7"/>
    </row>
    <row r="73" spans="1:10" s="2" customFormat="1" x14ac:dyDescent="0.25">
      <c r="A73" s="2">
        <v>1301</v>
      </c>
      <c r="B73" s="6" t="s">
        <v>119</v>
      </c>
      <c r="C73" s="24">
        <v>288791.90999999997</v>
      </c>
      <c r="E73" s="7">
        <v>0</v>
      </c>
      <c r="F73" s="7">
        <v>0</v>
      </c>
      <c r="G73" s="7">
        <v>0</v>
      </c>
      <c r="H73" s="7">
        <f>C73</f>
        <v>288791.90999999997</v>
      </c>
      <c r="I73" s="2" t="s">
        <v>153</v>
      </c>
    </row>
    <row r="74" spans="1:10" s="2" customFormat="1" x14ac:dyDescent="0.25">
      <c r="A74" s="9" t="s">
        <v>52</v>
      </c>
      <c r="B74" s="6" t="s">
        <v>51</v>
      </c>
      <c r="C74" s="24">
        <f>39782.32+40373.56+390442.78+0.5</f>
        <v>470599.16000000003</v>
      </c>
      <c r="E74" s="7">
        <v>0</v>
      </c>
      <c r="F74" s="7">
        <v>0</v>
      </c>
      <c r="G74" s="7">
        <v>0</v>
      </c>
      <c r="H74" s="7">
        <f t="shared" si="2"/>
        <v>470599.16000000003</v>
      </c>
      <c r="I74" s="10" t="s">
        <v>112</v>
      </c>
      <c r="J74" s="7"/>
    </row>
    <row r="75" spans="1:10" s="2" customFormat="1" x14ac:dyDescent="0.25">
      <c r="A75" s="2">
        <v>1400</v>
      </c>
      <c r="B75" s="6" t="s">
        <v>113</v>
      </c>
      <c r="C75" s="24">
        <v>24218.83</v>
      </c>
      <c r="E75" s="7">
        <v>0</v>
      </c>
      <c r="F75" s="7">
        <v>0</v>
      </c>
      <c r="G75" s="7">
        <v>0</v>
      </c>
      <c r="H75" s="7">
        <f t="shared" si="2"/>
        <v>24218.83</v>
      </c>
      <c r="I75" s="2" t="s">
        <v>166</v>
      </c>
      <c r="J75" s="42"/>
    </row>
    <row r="76" spans="1:10" s="2" customFormat="1" x14ac:dyDescent="0.25">
      <c r="A76" s="37">
        <v>1590</v>
      </c>
      <c r="B76" s="6" t="s">
        <v>50</v>
      </c>
      <c r="C76" s="24">
        <v>57291.94</v>
      </c>
      <c r="E76" s="7">
        <v>0</v>
      </c>
      <c r="F76" s="7">
        <v>0</v>
      </c>
      <c r="G76" s="7">
        <v>0</v>
      </c>
      <c r="H76" s="7">
        <f t="shared" si="2"/>
        <v>57291.94</v>
      </c>
      <c r="I76" s="2" t="s">
        <v>154</v>
      </c>
    </row>
    <row r="77" spans="1:10" s="2" customFormat="1" x14ac:dyDescent="0.25">
      <c r="A77" s="37">
        <v>1451</v>
      </c>
      <c r="B77" s="6" t="s">
        <v>141</v>
      </c>
      <c r="C77" s="24">
        <v>64982.62</v>
      </c>
      <c r="E77" s="7">
        <v>0</v>
      </c>
      <c r="F77" s="7">
        <v>0</v>
      </c>
      <c r="G77" s="7">
        <v>0</v>
      </c>
      <c r="H77" s="7">
        <f t="shared" si="2"/>
        <v>64982.62</v>
      </c>
      <c r="I77" s="2" t="s">
        <v>165</v>
      </c>
    </row>
    <row r="78" spans="1:10" s="2" customFormat="1" x14ac:dyDescent="0.25">
      <c r="A78" s="37">
        <v>1570</v>
      </c>
      <c r="B78" s="6" t="s">
        <v>54</v>
      </c>
      <c r="C78" s="24">
        <v>18363.169999999998</v>
      </c>
      <c r="E78" s="7">
        <v>0</v>
      </c>
      <c r="F78" s="7">
        <v>0</v>
      </c>
      <c r="G78" s="7">
        <v>0</v>
      </c>
      <c r="H78" s="7">
        <f t="shared" si="2"/>
        <v>18363.169999999998</v>
      </c>
      <c r="I78" s="2" t="s">
        <v>165</v>
      </c>
    </row>
    <row r="79" spans="1:10" s="2" customFormat="1" x14ac:dyDescent="0.25">
      <c r="A79" s="37">
        <v>1573</v>
      </c>
      <c r="B79" s="6" t="s">
        <v>53</v>
      </c>
      <c r="C79" s="24">
        <v>17609.45</v>
      </c>
      <c r="E79" s="7">
        <v>0</v>
      </c>
      <c r="F79" s="7">
        <v>0</v>
      </c>
      <c r="G79" s="7">
        <v>0</v>
      </c>
      <c r="H79" s="7">
        <f t="shared" si="2"/>
        <v>17609.45</v>
      </c>
      <c r="I79" s="2" t="s">
        <v>165</v>
      </c>
    </row>
    <row r="80" spans="1:10" s="2" customFormat="1" x14ac:dyDescent="0.25">
      <c r="A80" s="37">
        <v>1591</v>
      </c>
      <c r="B80" s="6" t="s">
        <v>146</v>
      </c>
      <c r="C80" s="24">
        <v>50000</v>
      </c>
      <c r="E80" s="7">
        <v>0</v>
      </c>
      <c r="F80" s="7">
        <v>0</v>
      </c>
      <c r="G80" s="7">
        <v>0</v>
      </c>
      <c r="H80" s="7">
        <f t="shared" si="2"/>
        <v>50000</v>
      </c>
      <c r="I80" s="2" t="s">
        <v>151</v>
      </c>
    </row>
    <row r="81" spans="1:10" s="2" customFormat="1" x14ac:dyDescent="0.25">
      <c r="A81" s="2">
        <v>1390</v>
      </c>
      <c r="B81" s="6" t="s">
        <v>55</v>
      </c>
      <c r="C81" s="24">
        <v>10527.38</v>
      </c>
      <c r="E81" s="7">
        <v>0</v>
      </c>
      <c r="F81" s="7">
        <v>0</v>
      </c>
      <c r="G81" s="7">
        <v>0</v>
      </c>
      <c r="H81" s="7">
        <f t="shared" si="2"/>
        <v>10527.38</v>
      </c>
      <c r="I81" s="2" t="s">
        <v>109</v>
      </c>
    </row>
    <row r="82" spans="1:10" s="2" customFormat="1" x14ac:dyDescent="0.25">
      <c r="C82" s="21"/>
      <c r="E82" s="31"/>
      <c r="F82" s="31"/>
      <c r="G82" s="31"/>
      <c r="H82" s="31"/>
    </row>
    <row r="83" spans="1:10" s="2" customFormat="1" x14ac:dyDescent="0.25">
      <c r="A83" s="9" t="s">
        <v>75</v>
      </c>
      <c r="B83" s="2" t="s">
        <v>9</v>
      </c>
      <c r="C83" s="24">
        <v>46578</v>
      </c>
      <c r="E83" s="7">
        <v>0</v>
      </c>
      <c r="F83" s="7">
        <v>0</v>
      </c>
      <c r="G83" s="7">
        <v>0</v>
      </c>
      <c r="H83" s="7">
        <f>C83</f>
        <v>46578</v>
      </c>
      <c r="I83" s="2" t="s">
        <v>47</v>
      </c>
    </row>
    <row r="84" spans="1:10" s="2" customFormat="1" x14ac:dyDescent="0.25">
      <c r="C84" s="24"/>
      <c r="E84" s="7"/>
      <c r="F84" s="7"/>
      <c r="G84" s="7"/>
      <c r="H84" s="7"/>
    </row>
    <row r="85" spans="1:10" s="2" customFormat="1" x14ac:dyDescent="0.25">
      <c r="B85" s="2" t="s">
        <v>56</v>
      </c>
      <c r="C85" s="24"/>
      <c r="E85" s="7"/>
      <c r="F85" s="7"/>
      <c r="G85" s="7"/>
      <c r="H85" s="7"/>
    </row>
    <row r="86" spans="1:10" s="2" customFormat="1" x14ac:dyDescent="0.25">
      <c r="A86" s="2">
        <v>1780</v>
      </c>
      <c r="B86" s="6" t="s">
        <v>57</v>
      </c>
      <c r="C86" s="24">
        <v>105289.66</v>
      </c>
      <c r="D86" s="7"/>
      <c r="E86" s="7">
        <v>0</v>
      </c>
      <c r="F86" s="7">
        <v>0</v>
      </c>
      <c r="G86" s="7">
        <v>0</v>
      </c>
      <c r="H86" s="7">
        <f>C86</f>
        <v>105289.66</v>
      </c>
      <c r="I86" s="2" t="s">
        <v>168</v>
      </c>
      <c r="J86" s="7"/>
    </row>
    <row r="87" spans="1:10" s="2" customFormat="1" x14ac:dyDescent="0.25">
      <c r="A87" s="2">
        <v>1850</v>
      </c>
      <c r="B87" s="6" t="s">
        <v>58</v>
      </c>
      <c r="C87" s="24">
        <v>112415.72</v>
      </c>
      <c r="D87" s="7"/>
      <c r="E87" s="7">
        <f>C87</f>
        <v>112415.72</v>
      </c>
      <c r="F87" s="7">
        <v>0</v>
      </c>
      <c r="G87" s="7">
        <v>0</v>
      </c>
      <c r="H87" s="7">
        <v>0</v>
      </c>
      <c r="I87" s="10" t="s">
        <v>167</v>
      </c>
    </row>
    <row r="88" spans="1:10" s="2" customFormat="1" x14ac:dyDescent="0.25">
      <c r="A88" s="2" t="s">
        <v>60</v>
      </c>
      <c r="B88" s="6" t="s">
        <v>59</v>
      </c>
      <c r="C88" s="24">
        <f>12540.6+20.41-1</f>
        <v>12560.01</v>
      </c>
      <c r="D88" s="7"/>
      <c r="E88" s="7">
        <v>0</v>
      </c>
      <c r="F88" s="7">
        <v>0</v>
      </c>
      <c r="G88" s="7">
        <v>0</v>
      </c>
      <c r="H88" s="7">
        <f>C88</f>
        <v>12560.01</v>
      </c>
      <c r="I88" s="2" t="s">
        <v>109</v>
      </c>
    </row>
    <row r="89" spans="1:10" s="2" customFormat="1" x14ac:dyDescent="0.25">
      <c r="A89" s="2">
        <v>1860</v>
      </c>
      <c r="B89" s="6" t="s">
        <v>91</v>
      </c>
      <c r="C89" s="24">
        <v>129.58000000000001</v>
      </c>
      <c r="D89" s="7"/>
      <c r="E89" s="7">
        <v>0</v>
      </c>
      <c r="F89" s="7">
        <v>0</v>
      </c>
      <c r="G89" s="7">
        <v>0</v>
      </c>
      <c r="H89" s="7">
        <f>C89</f>
        <v>129.58000000000001</v>
      </c>
      <c r="I89" s="2" t="s">
        <v>109</v>
      </c>
    </row>
    <row r="90" spans="1:10" s="2" customFormat="1" x14ac:dyDescent="0.25">
      <c r="C90" s="21"/>
      <c r="E90" s="31"/>
      <c r="F90" s="31"/>
      <c r="G90" s="31"/>
      <c r="H90" s="31"/>
    </row>
    <row r="91" spans="1:10" s="2" customFormat="1" x14ac:dyDescent="0.25">
      <c r="A91" s="9" t="s">
        <v>75</v>
      </c>
      <c r="B91" s="6" t="s">
        <v>89</v>
      </c>
      <c r="C91" s="24">
        <v>67</v>
      </c>
      <c r="E91" s="7">
        <v>0</v>
      </c>
      <c r="F91" s="7">
        <v>0</v>
      </c>
      <c r="G91" s="7">
        <v>0</v>
      </c>
      <c r="H91" s="7">
        <f>C91</f>
        <v>67</v>
      </c>
      <c r="I91" s="2" t="s">
        <v>170</v>
      </c>
    </row>
    <row r="92" spans="1:10" s="2" customFormat="1" x14ac:dyDescent="0.25">
      <c r="A92" s="9" t="s">
        <v>75</v>
      </c>
      <c r="B92" s="6" t="s">
        <v>90</v>
      </c>
      <c r="C92" s="24">
        <v>1</v>
      </c>
      <c r="E92" s="7">
        <v>0</v>
      </c>
      <c r="F92" s="7">
        <v>0</v>
      </c>
      <c r="G92" s="7">
        <v>0</v>
      </c>
      <c r="H92" s="7">
        <f>C92</f>
        <v>1</v>
      </c>
      <c r="I92" s="2" t="s">
        <v>170</v>
      </c>
    </row>
    <row r="93" spans="1:10" s="2" customFormat="1" x14ac:dyDescent="0.25">
      <c r="A93" s="9"/>
      <c r="B93" s="33" t="s">
        <v>132</v>
      </c>
      <c r="C93" s="30">
        <f>SUM(C9:C92)</f>
        <v>69434541.049999982</v>
      </c>
      <c r="E93" s="11">
        <f>SUM(E9:E92)</f>
        <v>31840124.259999998</v>
      </c>
      <c r="F93" s="11">
        <f>SUM(F9:F92)</f>
        <v>0</v>
      </c>
      <c r="G93" s="11">
        <f>SUM(G9:G92)</f>
        <v>0</v>
      </c>
      <c r="H93" s="11">
        <f>SUM(H9:H92)</f>
        <v>37594416.789999984</v>
      </c>
    </row>
    <row r="94" spans="1:10" s="2" customFormat="1" ht="48.75" customHeight="1" x14ac:dyDescent="0.25">
      <c r="A94" s="9" t="s">
        <v>75</v>
      </c>
      <c r="B94" s="2" t="s">
        <v>84</v>
      </c>
      <c r="C94" s="24">
        <v>16397716</v>
      </c>
      <c r="E94" s="7">
        <v>3891147</v>
      </c>
      <c r="F94" s="7">
        <v>0</v>
      </c>
      <c r="G94" s="7">
        <v>0</v>
      </c>
      <c r="H94" s="7">
        <f>C94-E94</f>
        <v>12506569</v>
      </c>
      <c r="I94" s="10" t="s">
        <v>92</v>
      </c>
    </row>
    <row r="95" spans="1:10" s="2" customFormat="1" x14ac:dyDescent="0.25">
      <c r="A95" s="9" t="s">
        <v>75</v>
      </c>
      <c r="B95" s="2" t="s">
        <v>10</v>
      </c>
      <c r="C95" s="24">
        <v>2232675</v>
      </c>
      <c r="E95" s="7">
        <v>0</v>
      </c>
      <c r="F95" s="7">
        <v>0</v>
      </c>
      <c r="G95" s="7">
        <v>0</v>
      </c>
      <c r="H95" s="7">
        <f>C95</f>
        <v>2232675</v>
      </c>
      <c r="I95" s="10" t="s">
        <v>124</v>
      </c>
      <c r="J95" s="7"/>
    </row>
    <row r="96" spans="1:10" s="2" customFormat="1" x14ac:dyDescent="0.25">
      <c r="A96" s="9" t="s">
        <v>75</v>
      </c>
      <c r="B96" s="2" t="s">
        <v>149</v>
      </c>
      <c r="C96" s="24">
        <v>5446</v>
      </c>
      <c r="E96" s="7">
        <v>0</v>
      </c>
      <c r="F96" s="7">
        <v>0</v>
      </c>
      <c r="G96" s="7">
        <v>0</v>
      </c>
      <c r="H96" s="7">
        <f>C96</f>
        <v>5446</v>
      </c>
      <c r="I96" s="10" t="s">
        <v>155</v>
      </c>
      <c r="J96" s="7"/>
    </row>
    <row r="97" spans="1:10" s="2" customFormat="1" x14ac:dyDescent="0.25">
      <c r="A97" s="9" t="s">
        <v>75</v>
      </c>
      <c r="B97" s="2" t="s">
        <v>11</v>
      </c>
      <c r="C97" s="24">
        <v>33703</v>
      </c>
      <c r="E97" s="7">
        <v>0</v>
      </c>
      <c r="F97" s="7">
        <v>0</v>
      </c>
      <c r="G97" s="7">
        <v>0</v>
      </c>
      <c r="H97" s="7">
        <f>C97</f>
        <v>33703</v>
      </c>
      <c r="I97" s="10" t="s">
        <v>169</v>
      </c>
    </row>
    <row r="98" spans="1:10" s="2" customFormat="1" x14ac:dyDescent="0.25">
      <c r="A98" s="9"/>
      <c r="B98" s="6" t="s">
        <v>133</v>
      </c>
      <c r="C98" s="30">
        <f>SUM(C94:C97)</f>
        <v>18669540</v>
      </c>
      <c r="E98" s="11">
        <f>SUM(E94:E97)</f>
        <v>3891147</v>
      </c>
      <c r="F98" s="11">
        <f>SUM(F94:F97)</f>
        <v>0</v>
      </c>
      <c r="G98" s="11">
        <f>SUM(G94:G97)</f>
        <v>0</v>
      </c>
      <c r="H98" s="11">
        <f>SUM(H94:H97)</f>
        <v>14778393</v>
      </c>
    </row>
    <row r="99" spans="1:10" s="2" customFormat="1" x14ac:dyDescent="0.25">
      <c r="A99" s="9"/>
      <c r="C99" s="24"/>
      <c r="E99" s="7"/>
      <c r="F99" s="7"/>
      <c r="G99" s="7"/>
      <c r="H99" s="7"/>
    </row>
    <row r="100" spans="1:10" s="2" customFormat="1" x14ac:dyDescent="0.25">
      <c r="A100" s="2">
        <v>6310</v>
      </c>
      <c r="B100" s="2" t="s">
        <v>12</v>
      </c>
      <c r="C100" s="24">
        <v>473096</v>
      </c>
      <c r="E100" s="7">
        <v>0</v>
      </c>
      <c r="F100" s="7">
        <f>C100</f>
        <v>473096</v>
      </c>
      <c r="G100" s="7">
        <v>0</v>
      </c>
      <c r="H100" s="7">
        <v>0</v>
      </c>
      <c r="I100" s="10" t="s">
        <v>175</v>
      </c>
    </row>
    <row r="101" spans="1:10" s="2" customFormat="1" x14ac:dyDescent="0.25">
      <c r="A101" s="2">
        <v>6320</v>
      </c>
      <c r="B101" s="2" t="s">
        <v>13</v>
      </c>
      <c r="C101" s="24">
        <v>1028733</v>
      </c>
      <c r="E101" s="7">
        <v>0</v>
      </c>
      <c r="F101" s="7">
        <v>0</v>
      </c>
      <c r="G101" s="7">
        <v>0</v>
      </c>
      <c r="H101" s="7">
        <f>C101</f>
        <v>1028733</v>
      </c>
      <c r="I101" s="10" t="s">
        <v>114</v>
      </c>
      <c r="J101" s="7"/>
    </row>
    <row r="102" spans="1:10" s="2" customFormat="1" x14ac:dyDescent="0.25">
      <c r="A102" s="2">
        <v>6320</v>
      </c>
      <c r="B102" s="2" t="s">
        <v>126</v>
      </c>
      <c r="C102" s="24">
        <v>2815293</v>
      </c>
      <c r="E102" s="7">
        <v>0</v>
      </c>
      <c r="F102" s="7">
        <v>0</v>
      </c>
      <c r="G102" s="7">
        <v>0</v>
      </c>
      <c r="H102" s="7">
        <f>C102</f>
        <v>2815293</v>
      </c>
      <c r="I102" s="10" t="s">
        <v>125</v>
      </c>
    </row>
    <row r="103" spans="1:10" s="2" customFormat="1" x14ac:dyDescent="0.25">
      <c r="A103" s="2">
        <v>6650</v>
      </c>
      <c r="B103" s="2" t="s">
        <v>14</v>
      </c>
      <c r="C103" s="24">
        <v>731965</v>
      </c>
      <c r="E103" s="7">
        <v>0</v>
      </c>
      <c r="F103" s="7">
        <f t="shared" ref="F103:F109" si="3">C103</f>
        <v>731965</v>
      </c>
      <c r="G103" s="7">
        <v>0</v>
      </c>
      <c r="H103" s="7">
        <v>0</v>
      </c>
      <c r="I103" s="10" t="s">
        <v>176</v>
      </c>
    </row>
    <row r="104" spans="1:10" s="2" customFormat="1" x14ac:dyDescent="0.25">
      <c r="A104" s="9" t="s">
        <v>75</v>
      </c>
      <c r="B104" s="2" t="s">
        <v>15</v>
      </c>
      <c r="C104" s="24">
        <v>123758</v>
      </c>
      <c r="E104" s="7">
        <v>0</v>
      </c>
      <c r="F104" s="7">
        <f t="shared" si="3"/>
        <v>123758</v>
      </c>
      <c r="G104" s="7">
        <v>0</v>
      </c>
      <c r="H104" s="7">
        <v>0</v>
      </c>
      <c r="I104" s="10" t="s">
        <v>46</v>
      </c>
    </row>
    <row r="105" spans="1:10" s="2" customFormat="1" ht="30" x14ac:dyDescent="0.25">
      <c r="A105" s="9" t="s">
        <v>75</v>
      </c>
      <c r="B105" s="10" t="s">
        <v>127</v>
      </c>
      <c r="C105" s="24">
        <v>426700</v>
      </c>
      <c r="E105" s="7">
        <v>0</v>
      </c>
      <c r="F105" s="7">
        <v>0</v>
      </c>
      <c r="G105" s="7">
        <v>0</v>
      </c>
      <c r="H105" s="7">
        <f>C105</f>
        <v>426700</v>
      </c>
      <c r="I105" s="10" t="s">
        <v>128</v>
      </c>
    </row>
    <row r="106" spans="1:10" s="2" customFormat="1" x14ac:dyDescent="0.25">
      <c r="A106" s="2">
        <v>6440</v>
      </c>
      <c r="B106" s="2" t="s">
        <v>16</v>
      </c>
      <c r="C106" s="24">
        <v>1539117</v>
      </c>
      <c r="E106" s="7">
        <v>1401000</v>
      </c>
      <c r="F106" s="7">
        <f>C106-E106</f>
        <v>138117</v>
      </c>
      <c r="G106" s="7">
        <v>0</v>
      </c>
      <c r="H106" s="7">
        <v>0</v>
      </c>
      <c r="I106" s="10" t="s">
        <v>160</v>
      </c>
    </row>
    <row r="107" spans="1:10" s="2" customFormat="1" x14ac:dyDescent="0.25">
      <c r="A107" s="2">
        <v>6630</v>
      </c>
      <c r="B107" s="2" t="s">
        <v>17</v>
      </c>
      <c r="C107" s="24">
        <v>4327971</v>
      </c>
      <c r="E107" s="7">
        <v>0</v>
      </c>
      <c r="F107" s="7">
        <f t="shared" si="3"/>
        <v>4327971</v>
      </c>
      <c r="G107" s="7">
        <v>0</v>
      </c>
      <c r="H107" s="7">
        <v>0</v>
      </c>
      <c r="I107" s="10" t="s">
        <v>161</v>
      </c>
    </row>
    <row r="108" spans="1:10" s="2" customFormat="1" x14ac:dyDescent="0.25">
      <c r="A108" s="2">
        <v>6900</v>
      </c>
      <c r="B108" s="2" t="s">
        <v>18</v>
      </c>
      <c r="C108" s="24">
        <v>0</v>
      </c>
      <c r="E108" s="7">
        <v>0</v>
      </c>
      <c r="F108" s="7">
        <f t="shared" si="3"/>
        <v>0</v>
      </c>
      <c r="G108" s="7">
        <v>0</v>
      </c>
      <c r="H108" s="7">
        <v>0</v>
      </c>
    </row>
    <row r="109" spans="1:10" s="2" customFormat="1" x14ac:dyDescent="0.25">
      <c r="A109" s="2">
        <v>6660</v>
      </c>
      <c r="B109" s="2" t="s">
        <v>19</v>
      </c>
      <c r="C109" s="24">
        <v>229680</v>
      </c>
      <c r="E109" s="7">
        <v>0</v>
      </c>
      <c r="F109" s="7">
        <f t="shared" si="3"/>
        <v>229680</v>
      </c>
      <c r="G109" s="7">
        <v>0</v>
      </c>
      <c r="H109" s="7">
        <v>0</v>
      </c>
      <c r="I109" s="10" t="s">
        <v>162</v>
      </c>
    </row>
    <row r="110" spans="1:10" s="2" customFormat="1" x14ac:dyDescent="0.25">
      <c r="B110" s="6" t="s">
        <v>134</v>
      </c>
      <c r="C110" s="30">
        <f>SUM(C100:C109)</f>
        <v>11696313</v>
      </c>
      <c r="E110" s="11">
        <f>SUM(E100:E109)</f>
        <v>1401000</v>
      </c>
      <c r="F110" s="11">
        <f>SUM(F100:F109)</f>
        <v>6024587</v>
      </c>
      <c r="G110" s="11">
        <f>SUM(G100:G109)</f>
        <v>0</v>
      </c>
      <c r="H110" s="11">
        <f>SUM(H100:H109)</f>
        <v>4270726</v>
      </c>
    </row>
    <row r="111" spans="1:10" s="2" customFormat="1" x14ac:dyDescent="0.25">
      <c r="B111" s="6"/>
      <c r="C111" s="27"/>
      <c r="E111" s="44"/>
      <c r="F111" s="44"/>
      <c r="G111" s="44"/>
      <c r="H111" s="44"/>
    </row>
    <row r="112" spans="1:10" s="2" customFormat="1" x14ac:dyDescent="0.25">
      <c r="A112" s="2">
        <v>6670</v>
      </c>
      <c r="B112" s="2" t="s">
        <v>20</v>
      </c>
      <c r="C112" s="24">
        <v>2361710</v>
      </c>
      <c r="E112" s="7">
        <v>0</v>
      </c>
      <c r="F112" s="7">
        <f>C112</f>
        <v>2361710</v>
      </c>
      <c r="G112" s="7">
        <v>0</v>
      </c>
      <c r="H112" s="7">
        <v>0</v>
      </c>
      <c r="I112" s="10" t="s">
        <v>44</v>
      </c>
    </row>
    <row r="113" spans="1:9" s="2" customFormat="1" x14ac:dyDescent="0.25">
      <c r="A113" s="2">
        <v>6680</v>
      </c>
      <c r="B113" s="2" t="s">
        <v>21</v>
      </c>
      <c r="C113" s="24">
        <v>250642</v>
      </c>
      <c r="E113" s="7">
        <v>0</v>
      </c>
      <c r="F113" s="7">
        <f>C113</f>
        <v>250642</v>
      </c>
      <c r="G113" s="7">
        <v>0</v>
      </c>
      <c r="H113" s="7">
        <v>0</v>
      </c>
      <c r="I113" s="10" t="s">
        <v>41</v>
      </c>
    </row>
    <row r="114" spans="1:9" ht="15.75" thickBot="1" x14ac:dyDescent="0.3">
      <c r="C114" s="25">
        <f>C110+C98+C93+C112+C113</f>
        <v>102412746.04999998</v>
      </c>
      <c r="E114" s="5">
        <f t="shared" ref="E114:H114" si="4">E110+E98+E93+E112+E113</f>
        <v>37132271.259999998</v>
      </c>
      <c r="F114" s="5">
        <f t="shared" si="4"/>
        <v>8636939</v>
      </c>
      <c r="G114" s="5">
        <f t="shared" si="4"/>
        <v>0</v>
      </c>
      <c r="H114" s="5">
        <f t="shared" si="4"/>
        <v>56643535.789999984</v>
      </c>
    </row>
    <row r="115" spans="1:9" ht="15.75" thickTop="1" x14ac:dyDescent="0.25">
      <c r="C115" s="24"/>
      <c r="E115" s="7"/>
      <c r="F115" s="7"/>
      <c r="G115" s="7"/>
      <c r="H115" s="7"/>
    </row>
    <row r="116" spans="1:9" x14ac:dyDescent="0.25">
      <c r="C116" s="24"/>
      <c r="E116" s="7"/>
      <c r="F116" s="7"/>
      <c r="G116" s="7"/>
      <c r="H116" s="7"/>
    </row>
    <row r="117" spans="1:9" x14ac:dyDescent="0.25">
      <c r="C117" s="24"/>
      <c r="E117" s="7"/>
      <c r="F117" s="7"/>
      <c r="G117" s="7"/>
      <c r="H117" s="7"/>
    </row>
    <row r="118" spans="1:9" x14ac:dyDescent="0.25">
      <c r="C118" s="24"/>
    </row>
  </sheetData>
  <printOptions gridLines="1"/>
  <pageMargins left="0.2" right="0.2" top="0.25" bottom="0.25" header="0.3" footer="0.3"/>
  <pageSetup scale="75" fitToHeight="3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D21"/>
  <sheetViews>
    <sheetView workbookViewId="0">
      <selection activeCell="D20" sqref="D20"/>
    </sheetView>
  </sheetViews>
  <sheetFormatPr defaultRowHeight="15" x14ac:dyDescent="0.25"/>
  <sheetData>
    <row r="6" spans="1:4" ht="18.75" x14ac:dyDescent="0.3">
      <c r="A6" s="12" t="s">
        <v>163</v>
      </c>
    </row>
    <row r="9" spans="1:4" x14ac:dyDescent="0.25">
      <c r="C9" s="1" t="s">
        <v>122</v>
      </c>
      <c r="D9" s="1" t="s">
        <v>123</v>
      </c>
    </row>
    <row r="10" spans="1:4" x14ac:dyDescent="0.25">
      <c r="C10" s="38">
        <v>2830</v>
      </c>
      <c r="D10" s="39">
        <v>24.91</v>
      </c>
    </row>
    <row r="11" spans="1:4" x14ac:dyDescent="0.25">
      <c r="C11" s="38">
        <v>1690</v>
      </c>
      <c r="D11" s="39">
        <v>123331</v>
      </c>
    </row>
    <row r="12" spans="1:4" x14ac:dyDescent="0.25">
      <c r="C12" s="38">
        <v>2110</v>
      </c>
      <c r="D12" s="39">
        <v>593</v>
      </c>
    </row>
    <row r="13" spans="1:4" x14ac:dyDescent="0.25">
      <c r="C13" s="38">
        <v>1230</v>
      </c>
      <c r="D13" s="39">
        <v>0.56000000000000005</v>
      </c>
    </row>
    <row r="14" spans="1:4" x14ac:dyDescent="0.25">
      <c r="C14" s="38">
        <v>1041</v>
      </c>
      <c r="D14" s="39">
        <v>27104.62</v>
      </c>
    </row>
    <row r="15" spans="1:4" x14ac:dyDescent="0.25">
      <c r="C15" s="38">
        <v>1680</v>
      </c>
      <c r="D15" s="39">
        <v>16.61</v>
      </c>
    </row>
    <row r="16" spans="1:4" x14ac:dyDescent="0.25">
      <c r="C16" s="38">
        <v>1270</v>
      </c>
      <c r="D16" s="39">
        <v>9</v>
      </c>
    </row>
    <row r="17" spans="3:4" x14ac:dyDescent="0.25">
      <c r="C17" s="38">
        <v>1250</v>
      </c>
      <c r="D17" s="39">
        <v>1</v>
      </c>
    </row>
    <row r="18" spans="3:4" x14ac:dyDescent="0.25">
      <c r="C18" s="38">
        <v>1211</v>
      </c>
      <c r="D18" s="39">
        <v>2504</v>
      </c>
    </row>
    <row r="19" spans="3:4" x14ac:dyDescent="0.25">
      <c r="C19" s="38" t="s">
        <v>164</v>
      </c>
      <c r="D19" s="39">
        <v>-1</v>
      </c>
    </row>
    <row r="20" spans="3:4" ht="15.75" thickBot="1" x14ac:dyDescent="0.3">
      <c r="C20" s="40"/>
      <c r="D20" s="41">
        <f>SUM(D10:D19)</f>
        <v>153583.69999999998</v>
      </c>
    </row>
    <row r="21" spans="3:4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Fund Order</vt:lpstr>
      <vt:lpstr>FB-OSR Funds-other</vt:lpstr>
      <vt:lpstr>'Fund Order'!Print_Titles</vt:lpstr>
    </vt:vector>
  </TitlesOfParts>
  <Company>Washtenaw County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Peter Collinson</cp:lastModifiedBy>
  <cp:lastPrinted>2014-03-27T19:47:38Z</cp:lastPrinted>
  <dcterms:created xsi:type="dcterms:W3CDTF">2010-03-10T21:36:56Z</dcterms:created>
  <dcterms:modified xsi:type="dcterms:W3CDTF">2014-03-27T19:49:48Z</dcterms:modified>
</cp:coreProperties>
</file>