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0" windowHeight="9690"/>
  </bookViews>
  <sheets>
    <sheet name="QtrTruckrates2012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<sst xmlns="http://schemas.openxmlformats.org/spreadsheetml/2006/main" count="72" uniqueCount="44">
  <si>
    <t>Route #</t>
  </si>
  <si>
    <t>Destination</t>
  </si>
  <si>
    <t>Freight Price (US$)</t>
  </si>
  <si>
    <t>Rio Grande</t>
  </si>
  <si>
    <t>Santos</t>
  </si>
  <si>
    <t>Paranaguá</t>
  </si>
  <si>
    <t>Source: ESALQ/USP (University of São Paulo, Brazil) and USDA/AMS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</si>
  <si>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Although each origin region comprises several cities, the main city is considered as a reference to establish the freight price; na = not available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</si>
  <si>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Distance from the main city of the considered region to the mentioned ports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</si>
  <si>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Share is measured as a percentage of total production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</si>
  <si>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US$ per metric ton (average monthly exchange rate from “Banco Central do Brasil” was used to convert Brazilian reais to the U.S. dollar)</t>
    </r>
  </si>
  <si>
    <r>
      <rPr>
        <vertAlign val="superscript"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>RS = Rio Grande do Sul, MT= Mato Grosso, GO = Goiás, PR = Paraná, MG = Minas Gerais,  BA = Bahia, MS = Mato Grosso do Sul, SP = São Paulo</t>
    </r>
  </si>
  <si>
    <r>
      <t>Origin</t>
    </r>
    <r>
      <rPr>
        <b/>
        <vertAlign val="superscript"/>
        <sz val="11"/>
        <color theme="0"/>
        <rFont val="Calibri"/>
        <family val="2"/>
        <scheme val="minor"/>
      </rPr>
      <t>1</t>
    </r>
    <r>
      <rPr>
        <b/>
        <sz val="11"/>
        <color theme="0"/>
        <rFont val="Calibri"/>
        <family val="2"/>
        <scheme val="minor"/>
      </rPr>
      <t xml:space="preserve">                                                                          (reference city)</t>
    </r>
  </si>
  <si>
    <r>
      <t>Distance                  (miles)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</si>
  <si>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r>
      <t>Share (%)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</si>
  <si>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>––– (per 100 miles)</t>
    </r>
    <r>
      <rPr>
        <b/>
        <vertAlign val="superscript"/>
        <sz val="11"/>
        <color theme="0"/>
        <rFont val="Calibri"/>
        <family val="2"/>
      </rPr>
      <t xml:space="preserve">4 </t>
    </r>
    <r>
      <rPr>
        <b/>
        <sz val="11"/>
        <color theme="0"/>
        <rFont val="Calibri"/>
        <family val="2"/>
      </rPr>
      <t>–––</t>
    </r>
  </si>
  <si>
    <t>1st qtr</t>
  </si>
  <si>
    <t>2nd qtr</t>
  </si>
  <si>
    <t>3rd qtr</t>
  </si>
  <si>
    <t>4th qtr</t>
  </si>
  <si>
    <t>Avg</t>
  </si>
  <si>
    <t>Salvador</t>
  </si>
  <si>
    <t>Southwest PR(Chopinzinho)</t>
  </si>
  <si>
    <t>Average</t>
  </si>
  <si>
    <r>
      <t>Northwest RS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(Cruz Alta)</t>
    </r>
  </si>
  <si>
    <t>North MT (Sorriso)</t>
  </si>
  <si>
    <t>South GO (Rio Verde)</t>
  </si>
  <si>
    <t>North Central PR (Londrina)</t>
  </si>
  <si>
    <t>Western Central PR (Mamborê)</t>
  </si>
  <si>
    <t>Triangle MG (Uberaba)</t>
  </si>
  <si>
    <t>West PR (Assis Chateaubriand)</t>
  </si>
  <si>
    <t>West Extreme BA (São Desidério)</t>
  </si>
  <si>
    <t>Southeast MT (Primavera do Leste)</t>
  </si>
  <si>
    <t>Southwest MS (Maracaju)</t>
  </si>
  <si>
    <t>East GO (Cristalina)</t>
  </si>
  <si>
    <t>North PR (Cornélio Procópio)</t>
  </si>
  <si>
    <t>Eastern Central PR (Castro)</t>
  </si>
  <si>
    <t>South Central PR (Guarapuava)</t>
  </si>
  <si>
    <t>North Central MS (São Gabriel do Oeste)</t>
  </si>
  <si>
    <t>Ribeirão Preto SP (Guairá)</t>
  </si>
  <si>
    <t>Northeast MT (Canarana)</t>
  </si>
  <si>
    <t>East MS (Chapadão do Sul)</t>
  </si>
  <si>
    <t>Western Central RS (Tupanciretã)</t>
  </si>
  <si>
    <t xml:space="preserve"> Quarterly truck rates for selected Brazilian soybean export transportation routes,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</si>
</sst>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E6728"/>
        <bgColor indexed="64"/>
      </patternFill>
    </fill>
    <fill>
      <patternFill patternType="solid">
        <fgColor rgb="FFE09262"/>
        <bgColor indexed="64"/>
      </patternFill>
    </fill>
    <fill>
      <patternFill patternType="solid">
        <fgColor rgb="FFF4D9C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4" borderId="12" xfId="0" applyFont="1" applyFill="1" applyBorder="1"/>
    <xf numFmtId="0" fontId="0" fillId="4" borderId="1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165" fontId="0" fillId="4" borderId="14" xfId="1" applyNumberFormat="1" applyFont="1" applyFill="1" applyBorder="1" applyAlignment="1">
      <alignment horizontal="center" vertical="center"/>
    </xf>
    <xf numFmtId="165" fontId="1" fillId="4" borderId="1" xfId="1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4D9C8"/>
      <color rgb="FFCE6617"/>
      <color rgb="FFE09262"/>
      <color rgb="FFCE6728"/>
      <color rgb="FFEFDFCD"/>
      <color rgb="FFDFBE99"/>
      <color rgb="FFD09F6A"/>
      <color rgb="FFAC7436"/>
      <color rgb="FF845929"/>
      <color rgb="FFFBFB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Q2" sqref="Q2"/>
    </sheetView>
  </sheetViews>
  <sheetFormatPr defaultRowHeight="15" x14ac:dyDescent="0.25"/>
  <cols>
    <col min="1" max="1" width="9.140625" style="1"/>
    <col min="2" max="2" width="47.28515625" bestFit="1" customWidth="1"/>
    <col min="3" max="3" width="11.28515625" bestFit="1" customWidth="1"/>
    <col min="4" max="4" width="9.140625" bestFit="1" customWidth="1"/>
    <col min="5" max="5" width="10.28515625" customWidth="1"/>
    <col min="6" max="10" width="10.7109375" customWidth="1"/>
  </cols>
  <sheetData>
    <row r="1" spans="1:10" ht="40.5" customHeight="1" x14ac:dyDescent="0.25">
      <c r="A1" s="21" t="s">
        <v>43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26.25" customHeight="1" x14ac:dyDescent="0.25">
      <c r="A2" s="32" t="s">
        <v>0</v>
      </c>
      <c r="B2" s="24" t="s">
        <v>12</v>
      </c>
      <c r="C2" s="32" t="s">
        <v>1</v>
      </c>
      <c r="D2" s="24" t="s">
        <v>13</v>
      </c>
      <c r="E2" s="24" t="s">
        <v>14</v>
      </c>
      <c r="F2" s="27" t="s">
        <v>2</v>
      </c>
      <c r="G2" s="27"/>
      <c r="H2" s="27"/>
      <c r="I2" s="27"/>
      <c r="J2" s="28"/>
    </row>
    <row r="3" spans="1:10" x14ac:dyDescent="0.25">
      <c r="A3" s="33"/>
      <c r="B3" s="25"/>
      <c r="C3" s="33"/>
      <c r="D3" s="25"/>
      <c r="E3" s="25"/>
      <c r="F3" s="12" t="s">
        <v>16</v>
      </c>
      <c r="G3" s="13" t="s">
        <v>17</v>
      </c>
      <c r="H3" s="13" t="s">
        <v>18</v>
      </c>
      <c r="I3" s="13" t="s">
        <v>19</v>
      </c>
      <c r="J3" s="13" t="s">
        <v>20</v>
      </c>
    </row>
    <row r="4" spans="1:10" ht="24" customHeight="1" x14ac:dyDescent="0.25">
      <c r="A4" s="34"/>
      <c r="B4" s="26"/>
      <c r="C4" s="34"/>
      <c r="D4" s="26"/>
      <c r="E4" s="26"/>
      <c r="F4" s="29" t="s">
        <v>15</v>
      </c>
      <c r="G4" s="30"/>
      <c r="H4" s="30"/>
      <c r="I4" s="30"/>
      <c r="J4" s="31"/>
    </row>
    <row r="5" spans="1:10" ht="21" customHeight="1" x14ac:dyDescent="0.25">
      <c r="A5" s="3">
        <v>1</v>
      </c>
      <c r="B5" s="7" t="s">
        <v>24</v>
      </c>
      <c r="C5" s="7" t="s">
        <v>3</v>
      </c>
      <c r="D5" s="18">
        <v>288</v>
      </c>
      <c r="E5" s="9">
        <v>13.117410387925284</v>
      </c>
      <c r="F5" s="9">
        <v>9.4683373678849261</v>
      </c>
      <c r="G5" s="9">
        <v>9.0331915477515867</v>
      </c>
      <c r="H5" s="14">
        <v>8.7853359817196566</v>
      </c>
      <c r="I5" s="9">
        <v>8.5863370986807634</v>
      </c>
      <c r="J5" s="14">
        <f>AVERAGE(F5:I5)</f>
        <v>8.9683004990092332</v>
      </c>
    </row>
    <row r="6" spans="1:10" ht="21" customHeight="1" x14ac:dyDescent="0.25">
      <c r="A6" s="3">
        <v>2</v>
      </c>
      <c r="B6" s="7" t="s">
        <v>25</v>
      </c>
      <c r="C6" s="7" t="s">
        <v>4</v>
      </c>
      <c r="D6" s="18">
        <v>1190</v>
      </c>
      <c r="E6" s="9">
        <v>11.451555229389058</v>
      </c>
      <c r="F6" s="9">
        <v>9.8755977329427154</v>
      </c>
      <c r="G6" s="9">
        <v>9.2495442617438979</v>
      </c>
      <c r="H6" s="14">
        <v>9.221176728338639</v>
      </c>
      <c r="I6" s="9">
        <v>9.2269784092217932</v>
      </c>
      <c r="J6" s="14">
        <f t="shared" ref="J6:J31" si="0">AVERAGE(F6:I6)</f>
        <v>9.3933242830617623</v>
      </c>
    </row>
    <row r="7" spans="1:10" ht="21" customHeight="1" x14ac:dyDescent="0.25">
      <c r="A7" s="3">
        <v>3</v>
      </c>
      <c r="B7" s="7" t="s">
        <v>25</v>
      </c>
      <c r="C7" s="7" t="s">
        <v>5</v>
      </c>
      <c r="D7" s="18">
        <v>1262</v>
      </c>
      <c r="E7" s="9">
        <v>10.798217688568128</v>
      </c>
      <c r="F7" s="9">
        <v>9.0683468032626458</v>
      </c>
      <c r="G7" s="9">
        <v>8.3460844330187118</v>
      </c>
      <c r="H7" s="14">
        <v>8.5637160142929947</v>
      </c>
      <c r="I7" s="9">
        <v>8.5483589424019879</v>
      </c>
      <c r="J7" s="14">
        <f t="shared" si="0"/>
        <v>8.6316265482440855</v>
      </c>
    </row>
    <row r="8" spans="1:10" ht="21" customHeight="1" x14ac:dyDescent="0.25">
      <c r="A8" s="3">
        <v>4</v>
      </c>
      <c r="B8" s="7" t="s">
        <v>26</v>
      </c>
      <c r="C8" s="7" t="s">
        <v>4</v>
      </c>
      <c r="D8" s="18">
        <v>587</v>
      </c>
      <c r="E8" s="9">
        <v>5.660414214371654</v>
      </c>
      <c r="F8" s="9">
        <v>9.8995232447143238</v>
      </c>
      <c r="G8" s="9">
        <v>8.9981835624636979</v>
      </c>
      <c r="H8" s="14">
        <v>9.4990823751420859</v>
      </c>
      <c r="I8" s="9">
        <v>9.0949340565701107</v>
      </c>
      <c r="J8" s="14">
        <f t="shared" si="0"/>
        <v>9.3729308097225541</v>
      </c>
    </row>
    <row r="9" spans="1:10" ht="21" customHeight="1" x14ac:dyDescent="0.25">
      <c r="A9" s="3">
        <v>5</v>
      </c>
      <c r="B9" s="7" t="s">
        <v>26</v>
      </c>
      <c r="C9" s="7" t="s">
        <v>5</v>
      </c>
      <c r="D9" s="18">
        <v>726</v>
      </c>
      <c r="E9" s="9">
        <v>4.5766709970195061</v>
      </c>
      <c r="F9" s="9">
        <v>7.5951999447858611</v>
      </c>
      <c r="G9" s="9">
        <v>6.9571047691720294</v>
      </c>
      <c r="H9" s="14">
        <v>7.3020079741531019</v>
      </c>
      <c r="I9" s="9">
        <v>7.3149777916699703</v>
      </c>
      <c r="J9" s="14">
        <f t="shared" si="0"/>
        <v>7.2923226199452413</v>
      </c>
    </row>
    <row r="10" spans="1:10" ht="21" customHeight="1" x14ac:dyDescent="0.25">
      <c r="A10" s="3">
        <v>6</v>
      </c>
      <c r="B10" s="7" t="s">
        <v>27</v>
      </c>
      <c r="C10" s="7" t="s">
        <v>5</v>
      </c>
      <c r="D10" s="18">
        <v>268</v>
      </c>
      <c r="E10" s="9">
        <v>4.0570661835357917</v>
      </c>
      <c r="F10" s="9">
        <v>12.981226572095681</v>
      </c>
      <c r="G10" s="9">
        <v>12.682589172234335</v>
      </c>
      <c r="H10" s="14">
        <v>13.327463583323388</v>
      </c>
      <c r="I10" s="9">
        <v>12.889439430802801</v>
      </c>
      <c r="J10" s="14">
        <f t="shared" si="0"/>
        <v>12.970179689614051</v>
      </c>
    </row>
    <row r="11" spans="1:10" ht="21" customHeight="1" x14ac:dyDescent="0.25">
      <c r="A11" s="3">
        <v>7</v>
      </c>
      <c r="B11" s="7" t="s">
        <v>28</v>
      </c>
      <c r="C11" s="7" t="s">
        <v>5</v>
      </c>
      <c r="D11" s="18">
        <v>311</v>
      </c>
      <c r="E11" s="9">
        <v>3.400580417444838</v>
      </c>
      <c r="F11" s="9">
        <v>10.323800475542591</v>
      </c>
      <c r="G11" s="9">
        <v>9.0368432839330186</v>
      </c>
      <c r="H11" s="14">
        <v>10.185551176229184</v>
      </c>
      <c r="I11" s="9">
        <v>10.355392158912261</v>
      </c>
      <c r="J11" s="14">
        <f t="shared" si="0"/>
        <v>9.9753967736542624</v>
      </c>
    </row>
    <row r="12" spans="1:10" ht="21" customHeight="1" x14ac:dyDescent="0.25">
      <c r="A12" s="3">
        <v>8</v>
      </c>
      <c r="B12" s="7" t="s">
        <v>29</v>
      </c>
      <c r="C12" s="7" t="s">
        <v>4</v>
      </c>
      <c r="D12" s="18">
        <v>339</v>
      </c>
      <c r="E12" s="9">
        <v>3.1539260673479363</v>
      </c>
      <c r="F12" s="9">
        <v>14.514808805147105</v>
      </c>
      <c r="G12" s="9">
        <v>12.775112388843111</v>
      </c>
      <c r="H12" s="14">
        <v>13.024567833264291</v>
      </c>
      <c r="I12" s="9">
        <v>12.827302747539145</v>
      </c>
      <c r="J12" s="14">
        <f t="shared" si="0"/>
        <v>13.285447943698413</v>
      </c>
    </row>
    <row r="13" spans="1:10" ht="21" customHeight="1" x14ac:dyDescent="0.25">
      <c r="A13" s="3">
        <v>9</v>
      </c>
      <c r="B13" s="7" t="s">
        <v>30</v>
      </c>
      <c r="C13" s="7" t="s">
        <v>5</v>
      </c>
      <c r="D13" s="18">
        <v>377</v>
      </c>
      <c r="E13" s="9">
        <v>3.5558545626347327</v>
      </c>
      <c r="F13" s="9">
        <v>9.9111814304625074</v>
      </c>
      <c r="G13" s="9">
        <v>9.7948114361815524</v>
      </c>
      <c r="H13" s="14">
        <v>10.471853912815275</v>
      </c>
      <c r="I13" s="9">
        <v>10.549381888488348</v>
      </c>
      <c r="J13" s="14">
        <f t="shared" si="0"/>
        <v>10.181807166986921</v>
      </c>
    </row>
    <row r="14" spans="1:10" ht="21" customHeight="1" x14ac:dyDescent="0.25">
      <c r="A14" s="3">
        <v>10</v>
      </c>
      <c r="B14" s="7" t="s">
        <v>31</v>
      </c>
      <c r="C14" s="7" t="s">
        <v>21</v>
      </c>
      <c r="D14" s="18">
        <v>535</v>
      </c>
      <c r="E14" s="9">
        <v>5.5306109585792846</v>
      </c>
      <c r="F14" s="9">
        <v>11.159920623408796</v>
      </c>
      <c r="G14" s="9">
        <v>10.768780466878875</v>
      </c>
      <c r="H14" s="14">
        <v>10.857197349800108</v>
      </c>
      <c r="I14" s="9">
        <v>10.581151522955565</v>
      </c>
      <c r="J14" s="14">
        <f t="shared" si="0"/>
        <v>10.841762490760836</v>
      </c>
    </row>
    <row r="15" spans="1:10" ht="21" customHeight="1" x14ac:dyDescent="0.25">
      <c r="A15" s="3">
        <v>11</v>
      </c>
      <c r="B15" s="7" t="s">
        <v>32</v>
      </c>
      <c r="C15" s="7" t="s">
        <v>4</v>
      </c>
      <c r="D15" s="18">
        <v>901</v>
      </c>
      <c r="E15" s="9">
        <v>3.2853999734940991</v>
      </c>
      <c r="F15" s="9">
        <v>9.5212003059992565</v>
      </c>
      <c r="G15" s="9">
        <v>8.8173679609701079</v>
      </c>
      <c r="H15" s="14">
        <v>9.54347655435574</v>
      </c>
      <c r="I15" s="9">
        <v>9.5982760877361457</v>
      </c>
      <c r="J15" s="14">
        <f t="shared" si="0"/>
        <v>9.3700802272653121</v>
      </c>
    </row>
    <row r="16" spans="1:10" ht="21" customHeight="1" x14ac:dyDescent="0.25">
      <c r="A16" s="3">
        <v>12</v>
      </c>
      <c r="B16" s="7" t="s">
        <v>32</v>
      </c>
      <c r="C16" s="7" t="s">
        <v>5</v>
      </c>
      <c r="D16" s="18">
        <v>975</v>
      </c>
      <c r="E16" s="9">
        <v>3.0360465396083933</v>
      </c>
      <c r="F16" s="9">
        <v>9.4800765179009563</v>
      </c>
      <c r="G16" s="9">
        <v>7.1848649269943081</v>
      </c>
      <c r="H16" s="14">
        <v>7.4711174494215342</v>
      </c>
      <c r="I16" s="9">
        <v>7.4247131460817615</v>
      </c>
      <c r="J16" s="14">
        <f t="shared" si="0"/>
        <v>7.8901930100996394</v>
      </c>
    </row>
    <row r="17" spans="1:10" ht="21" customHeight="1" x14ac:dyDescent="0.25">
      <c r="A17" s="3">
        <v>13</v>
      </c>
      <c r="B17" s="7" t="s">
        <v>33</v>
      </c>
      <c r="C17" s="7" t="s">
        <v>5</v>
      </c>
      <c r="D17" s="18">
        <v>612</v>
      </c>
      <c r="E17" s="9">
        <v>3.3437783475218077</v>
      </c>
      <c r="F17" s="9">
        <v>10.164360157008874</v>
      </c>
      <c r="G17" s="9">
        <v>8.8787563208365174</v>
      </c>
      <c r="H17" s="14">
        <v>9.6472123829681795</v>
      </c>
      <c r="I17" s="9">
        <v>9.7859042828182137</v>
      </c>
      <c r="J17" s="14">
        <f t="shared" si="0"/>
        <v>9.619058285907947</v>
      </c>
    </row>
    <row r="18" spans="1:10" ht="21" customHeight="1" x14ac:dyDescent="0.25">
      <c r="A18" s="3">
        <v>14</v>
      </c>
      <c r="B18" s="7" t="s">
        <v>33</v>
      </c>
      <c r="C18" s="7" t="s">
        <v>4</v>
      </c>
      <c r="D18" s="18">
        <v>652</v>
      </c>
      <c r="E18" s="9">
        <v>3.1386385716002252</v>
      </c>
      <c r="F18" s="9">
        <v>10.611920467098869</v>
      </c>
      <c r="G18" s="9">
        <v>9.9552622883372806</v>
      </c>
      <c r="H18" s="14">
        <v>10.449541866914164</v>
      </c>
      <c r="I18" s="9">
        <v>10.598720167340618</v>
      </c>
      <c r="J18" s="14">
        <f t="shared" si="0"/>
        <v>10.403861197422733</v>
      </c>
    </row>
    <row r="19" spans="1:10" ht="21" customHeight="1" x14ac:dyDescent="0.25">
      <c r="A19" s="3">
        <v>15</v>
      </c>
      <c r="B19" s="7" t="s">
        <v>30</v>
      </c>
      <c r="C19" s="7" t="s">
        <v>4</v>
      </c>
      <c r="D19" s="18">
        <v>550</v>
      </c>
      <c r="E19" s="9">
        <v>2.437376672933262</v>
      </c>
      <c r="F19" s="9">
        <v>10.438775978088618</v>
      </c>
      <c r="G19" s="9">
        <v>10.266088855974941</v>
      </c>
      <c r="H19" s="14">
        <v>9.911227237538899</v>
      </c>
      <c r="I19" s="9">
        <v>9.6105793051300381</v>
      </c>
      <c r="J19" s="14">
        <f t="shared" si="0"/>
        <v>10.056667844183124</v>
      </c>
    </row>
    <row r="20" spans="1:10" ht="21" customHeight="1" x14ac:dyDescent="0.25">
      <c r="A20" s="3">
        <v>16</v>
      </c>
      <c r="B20" s="7" t="s">
        <v>34</v>
      </c>
      <c r="C20" s="7" t="s">
        <v>4</v>
      </c>
      <c r="D20" s="18">
        <v>585</v>
      </c>
      <c r="E20" s="9">
        <v>1.9305513377995724</v>
      </c>
      <c r="F20" s="9">
        <v>10.627277404245158</v>
      </c>
      <c r="G20" s="9">
        <v>10.229014974212125</v>
      </c>
      <c r="H20" s="14">
        <v>10.839593057801155</v>
      </c>
      <c r="I20" s="9">
        <v>11.197059404051922</v>
      </c>
      <c r="J20" s="14">
        <f t="shared" si="0"/>
        <v>10.723236210077589</v>
      </c>
    </row>
    <row r="21" spans="1:10" ht="21" customHeight="1" x14ac:dyDescent="0.25">
      <c r="A21" s="3">
        <v>17</v>
      </c>
      <c r="B21" s="7" t="s">
        <v>35</v>
      </c>
      <c r="C21" s="7" t="s">
        <v>5</v>
      </c>
      <c r="D21" s="18">
        <v>306</v>
      </c>
      <c r="E21" s="9">
        <v>2.0574262662590002</v>
      </c>
      <c r="F21" s="9">
        <v>9.8623255253185302</v>
      </c>
      <c r="G21" s="9">
        <v>9.7159776220875091</v>
      </c>
      <c r="H21" s="14">
        <v>9.8476577727819521</v>
      </c>
      <c r="I21" s="9">
        <v>9.5916945159974087</v>
      </c>
      <c r="J21" s="14">
        <f t="shared" si="0"/>
        <v>9.7544138590463501</v>
      </c>
    </row>
    <row r="22" spans="1:10" ht="21" customHeight="1" x14ac:dyDescent="0.25">
      <c r="A22" s="3">
        <v>18</v>
      </c>
      <c r="B22" s="7" t="s">
        <v>36</v>
      </c>
      <c r="C22" s="7" t="s">
        <v>5</v>
      </c>
      <c r="D22" s="18">
        <v>130</v>
      </c>
      <c r="E22" s="9">
        <v>2.4327312025215262</v>
      </c>
      <c r="F22" s="9">
        <v>17.974094481508015</v>
      </c>
      <c r="G22" s="9">
        <v>17.000983445719317</v>
      </c>
      <c r="H22" s="14">
        <v>19.11083115763282</v>
      </c>
      <c r="I22" s="9">
        <v>19.363700893910604</v>
      </c>
      <c r="J22" s="14">
        <f t="shared" si="0"/>
        <v>18.362402494692688</v>
      </c>
    </row>
    <row r="23" spans="1:10" ht="21" customHeight="1" x14ac:dyDescent="0.25">
      <c r="A23" s="3">
        <v>19</v>
      </c>
      <c r="B23" s="7" t="s">
        <v>37</v>
      </c>
      <c r="C23" s="7" t="s">
        <v>5</v>
      </c>
      <c r="D23" s="18">
        <v>204</v>
      </c>
      <c r="E23" s="9">
        <v>2.4892227639887854</v>
      </c>
      <c r="F23" s="9">
        <v>14.489829038328651</v>
      </c>
      <c r="G23" s="9">
        <v>16.577100981092904</v>
      </c>
      <c r="H23" s="14">
        <v>16.414973636649506</v>
      </c>
      <c r="I23" s="9">
        <v>15.990936991485176</v>
      </c>
      <c r="J23" s="14">
        <f t="shared" si="0"/>
        <v>15.86821016188906</v>
      </c>
    </row>
    <row r="24" spans="1:10" ht="21" customHeight="1" x14ac:dyDescent="0.25">
      <c r="A24" s="3">
        <v>20</v>
      </c>
      <c r="B24" s="7" t="s">
        <v>38</v>
      </c>
      <c r="C24" s="7" t="s">
        <v>4</v>
      </c>
      <c r="D24" s="18">
        <v>720</v>
      </c>
      <c r="E24" s="9">
        <v>1.9525466965473466</v>
      </c>
      <c r="F24" s="9">
        <v>9.2276106202673684</v>
      </c>
      <c r="G24" s="9">
        <v>7.7783746339251358</v>
      </c>
      <c r="H24" s="14">
        <v>8.9013800522815227</v>
      </c>
      <c r="I24" s="9">
        <v>9.3133849339266366</v>
      </c>
      <c r="J24" s="14">
        <f t="shared" si="0"/>
        <v>8.8051875601001655</v>
      </c>
    </row>
    <row r="25" spans="1:10" ht="21" customHeight="1" x14ac:dyDescent="0.25">
      <c r="A25" s="3">
        <v>21</v>
      </c>
      <c r="B25" s="7" t="s">
        <v>39</v>
      </c>
      <c r="C25" s="7" t="s">
        <v>4</v>
      </c>
      <c r="D25" s="18">
        <v>314</v>
      </c>
      <c r="E25" s="9">
        <v>0</v>
      </c>
      <c r="F25" s="9">
        <v>12.382660203493193</v>
      </c>
      <c r="G25" s="9">
        <v>11.758384294392286</v>
      </c>
      <c r="H25" s="14">
        <v>11.983446172701008</v>
      </c>
      <c r="I25" s="9">
        <v>11.23754780883413</v>
      </c>
      <c r="J25" s="14">
        <f t="shared" si="0"/>
        <v>11.840509619855155</v>
      </c>
    </row>
    <row r="26" spans="1:10" ht="21" customHeight="1" x14ac:dyDescent="0.25">
      <c r="A26" s="3">
        <v>22</v>
      </c>
      <c r="B26" s="7" t="s">
        <v>40</v>
      </c>
      <c r="C26" s="7" t="s">
        <v>4</v>
      </c>
      <c r="D26" s="18">
        <v>950</v>
      </c>
      <c r="E26" s="9">
        <v>2.1846103632487948</v>
      </c>
      <c r="F26" s="9">
        <v>11.259697168880026</v>
      </c>
      <c r="G26" s="9">
        <v>10.181969806904531</v>
      </c>
      <c r="H26" s="14">
        <v>9.9058354411865146</v>
      </c>
      <c r="I26" s="9">
        <v>9.6260023631895884</v>
      </c>
      <c r="J26" s="14">
        <f t="shared" si="0"/>
        <v>10.243376195040165</v>
      </c>
    </row>
    <row r="27" spans="1:10" ht="21" customHeight="1" x14ac:dyDescent="0.25">
      <c r="A27" s="3">
        <v>23</v>
      </c>
      <c r="B27" s="7" t="s">
        <v>41</v>
      </c>
      <c r="C27" s="7" t="s">
        <v>4</v>
      </c>
      <c r="D27" s="18">
        <v>607</v>
      </c>
      <c r="E27" s="9">
        <v>0</v>
      </c>
      <c r="F27" s="9">
        <v>10.202131693258123</v>
      </c>
      <c r="G27" s="9">
        <v>9.3756754753331677</v>
      </c>
      <c r="H27" s="14">
        <v>10.205566666898578</v>
      </c>
      <c r="I27" s="9">
        <v>11.652831104035277</v>
      </c>
      <c r="J27" s="14">
        <f t="shared" si="0"/>
        <v>10.359051234881287</v>
      </c>
    </row>
    <row r="28" spans="1:10" ht="21" customHeight="1" x14ac:dyDescent="0.25">
      <c r="A28" s="3">
        <v>24</v>
      </c>
      <c r="B28" s="7" t="s">
        <v>40</v>
      </c>
      <c r="C28" s="7" t="s">
        <v>5</v>
      </c>
      <c r="D28" s="18">
        <v>1075</v>
      </c>
      <c r="E28" s="9">
        <v>1.9305859024059118</v>
      </c>
      <c r="F28" s="9">
        <v>10.186662823318507</v>
      </c>
      <c r="G28" s="9">
        <v>9.2118969774773927</v>
      </c>
      <c r="H28" s="14">
        <v>8.6010257052377739</v>
      </c>
      <c r="I28" s="9">
        <v>4.2759473383078381</v>
      </c>
      <c r="J28" s="14">
        <f t="shared" si="0"/>
        <v>8.0688832110853781</v>
      </c>
    </row>
    <row r="29" spans="1:10" ht="21" customHeight="1" x14ac:dyDescent="0.25">
      <c r="A29" s="3">
        <v>25</v>
      </c>
      <c r="B29" s="7" t="s">
        <v>42</v>
      </c>
      <c r="C29" s="7" t="s">
        <v>3</v>
      </c>
      <c r="D29" s="18">
        <v>273</v>
      </c>
      <c r="E29" s="9">
        <v>2.1978243330967153</v>
      </c>
      <c r="F29" s="9">
        <v>12.462576578793625</v>
      </c>
      <c r="G29" s="9">
        <v>11.213589718628986</v>
      </c>
      <c r="H29" s="14">
        <v>10.833267724954149</v>
      </c>
      <c r="I29" s="9">
        <v>10.677919193789686</v>
      </c>
      <c r="J29" s="14">
        <f t="shared" si="0"/>
        <v>11.296838304041611</v>
      </c>
    </row>
    <row r="30" spans="1:10" ht="21" customHeight="1" x14ac:dyDescent="0.25">
      <c r="A30" s="4">
        <v>26</v>
      </c>
      <c r="B30" s="8" t="s">
        <v>22</v>
      </c>
      <c r="C30" s="8" t="s">
        <v>5</v>
      </c>
      <c r="D30" s="19">
        <v>291</v>
      </c>
      <c r="E30" s="10">
        <v>2.2809543221583435</v>
      </c>
      <c r="F30" s="10">
        <v>13.479000552889625</v>
      </c>
      <c r="G30" s="10">
        <v>12.551106674830052</v>
      </c>
      <c r="H30" s="14">
        <v>12.608065485436947</v>
      </c>
      <c r="I30" s="10">
        <v>12.272056808607132</v>
      </c>
      <c r="J30" s="14">
        <f t="shared" si="0"/>
        <v>12.727557380440938</v>
      </c>
    </row>
    <row r="31" spans="1:10" ht="21" customHeight="1" x14ac:dyDescent="0.25">
      <c r="A31" s="5"/>
      <c r="B31" s="11" t="s">
        <v>23</v>
      </c>
      <c r="C31" s="6"/>
      <c r="D31" s="20">
        <v>578</v>
      </c>
      <c r="E31" s="16">
        <v>100</v>
      </c>
      <c r="F31" s="17">
        <v>10.503439850912612</v>
      </c>
      <c r="G31" s="17">
        <v>9.817628020477823</v>
      </c>
      <c r="H31" s="15">
        <v>10.075499464464189</v>
      </c>
      <c r="I31" s="17">
        <v>9.9023600323008072</v>
      </c>
      <c r="J31" s="15">
        <f t="shared" si="0"/>
        <v>10.074731842038856</v>
      </c>
    </row>
    <row r="32" spans="1:10" x14ac:dyDescent="0.25">
      <c r="A32" s="41"/>
      <c r="B32" s="42"/>
      <c r="C32" s="42"/>
      <c r="D32" s="42"/>
      <c r="E32" s="42"/>
      <c r="F32" s="42"/>
      <c r="G32" s="42"/>
      <c r="H32" s="42"/>
      <c r="I32" s="42"/>
      <c r="J32" s="43"/>
    </row>
    <row r="33" spans="1:11" x14ac:dyDescent="0.25">
      <c r="A33" s="50" t="s">
        <v>7</v>
      </c>
      <c r="B33" s="51"/>
      <c r="C33" s="51"/>
      <c r="D33" s="51"/>
      <c r="E33" s="51"/>
      <c r="F33" s="51"/>
      <c r="G33" s="51"/>
      <c r="H33" s="51"/>
      <c r="I33" s="51"/>
      <c r="J33" s="52"/>
      <c r="K33" s="2"/>
    </row>
    <row r="34" spans="1:11" x14ac:dyDescent="0.25">
      <c r="A34" s="44" t="s">
        <v>8</v>
      </c>
      <c r="B34" s="45"/>
      <c r="C34" s="45"/>
      <c r="D34" s="45"/>
      <c r="E34" s="45"/>
      <c r="F34" s="45"/>
      <c r="G34" s="45"/>
      <c r="H34" s="45"/>
      <c r="I34" s="45"/>
      <c r="J34" s="46"/>
      <c r="K34" s="2"/>
    </row>
    <row r="35" spans="1:11" x14ac:dyDescent="0.25">
      <c r="A35" s="38" t="s">
        <v>9</v>
      </c>
      <c r="B35" s="39"/>
      <c r="C35" s="39"/>
      <c r="D35" s="39"/>
      <c r="E35" s="39"/>
      <c r="F35" s="39"/>
      <c r="G35" s="39"/>
      <c r="H35" s="39"/>
      <c r="I35" s="39"/>
      <c r="J35" s="40"/>
    </row>
    <row r="36" spans="1:11" x14ac:dyDescent="0.25">
      <c r="A36" s="47" t="s">
        <v>10</v>
      </c>
      <c r="B36" s="48"/>
      <c r="C36" s="48"/>
      <c r="D36" s="48"/>
      <c r="E36" s="48"/>
      <c r="F36" s="48"/>
      <c r="G36" s="48"/>
      <c r="H36" s="48"/>
      <c r="I36" s="48"/>
      <c r="J36" s="49"/>
    </row>
    <row r="37" spans="1:11" x14ac:dyDescent="0.25">
      <c r="A37" s="47" t="s">
        <v>11</v>
      </c>
      <c r="B37" s="48"/>
      <c r="C37" s="48"/>
      <c r="D37" s="48"/>
      <c r="E37" s="48"/>
      <c r="F37" s="48"/>
      <c r="G37" s="48"/>
      <c r="H37" s="48"/>
      <c r="I37" s="48"/>
      <c r="J37" s="49"/>
    </row>
    <row r="38" spans="1:11" x14ac:dyDescent="0.25">
      <c r="A38" s="35" t="s">
        <v>6</v>
      </c>
      <c r="B38" s="36"/>
      <c r="C38" s="36"/>
      <c r="D38" s="36"/>
      <c r="E38" s="36"/>
      <c r="F38" s="36"/>
      <c r="G38" s="36"/>
      <c r="H38" s="36"/>
      <c r="I38" s="36"/>
      <c r="J38" s="37"/>
    </row>
  </sheetData>
  <mergeCells count="15">
    <mergeCell ref="A38:J38"/>
    <mergeCell ref="A35:J35"/>
    <mergeCell ref="A32:J32"/>
    <mergeCell ref="A34:J34"/>
    <mergeCell ref="A37:J37"/>
    <mergeCell ref="A33:J33"/>
    <mergeCell ref="A36:J36"/>
    <mergeCell ref="A1:J1"/>
    <mergeCell ref="D2:D4"/>
    <mergeCell ref="E2:E4"/>
    <mergeCell ref="F2:J2"/>
    <mergeCell ref="F4:J4"/>
    <mergeCell ref="A2:A4"/>
    <mergeCell ref="B2:B4"/>
    <mergeCell ref="C2:C4"/>
  </mergeCells>
  <pageMargins left="0.7" right="0.7" top="0.75" bottom="0.75" header="0.3" footer="0.3"/>
  <pageSetup orientation="portrait" r:id="rId1"/>
  <ignoredErrors>
    <ignoredError sqref="J5 J6:J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8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QtrTruckrates2012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Salin, Delmy - AMS</cp:lastModifiedBy>
  <dcterms:created xsi:type="dcterms:W3CDTF">2008-08-25T16:01:01Z</dcterms:created>
  <dcterms:modified xsi:type="dcterms:W3CDTF">2013-07-30T14:30:13Z</dcterms:modified>
</cp:coreProperties>
</file>