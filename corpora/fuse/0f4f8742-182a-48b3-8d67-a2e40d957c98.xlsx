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44" windowWidth="15336" windowHeight="9264"/>
  </bookViews>
  <sheets>
    <sheet name="Fixed Costs" sheetId="1" r:id="rId1"/>
    <sheet name="Apple" sheetId="2" r:id="rId2"/>
  </sheets>
  <calcPr calcId="125725"/>
</workbook>
</file>

<file path=xl/calcChain.xml><?xml version="1.0" encoding="utf-8"?>
<calcChain xmlns="http://schemas.openxmlformats.org/spreadsheetml/2006/main">
  <c r="K21" i="2"/>
  <c r="G21"/>
  <c r="C21"/>
  <c r="K38" i="1"/>
  <c r="K37"/>
  <c r="K27"/>
  <c r="G28"/>
  <c r="G29"/>
  <c r="G30"/>
  <c r="G31"/>
  <c r="G27"/>
  <c r="C39"/>
  <c r="C40"/>
  <c r="C41"/>
  <c r="C38"/>
  <c r="C37"/>
  <c r="G39"/>
  <c r="G40"/>
  <c r="G41"/>
  <c r="G38"/>
  <c r="G37"/>
  <c r="K39"/>
  <c r="K40"/>
  <c r="K41"/>
  <c r="K28"/>
  <c r="K29"/>
  <c r="K30"/>
  <c r="K31"/>
  <c r="C24" i="2"/>
  <c r="G24"/>
  <c r="G23"/>
  <c r="G22"/>
  <c r="K24"/>
  <c r="K25" s="1"/>
  <c r="K23"/>
  <c r="K22"/>
  <c r="C22"/>
  <c r="C23"/>
  <c r="C25"/>
  <c r="G43" i="1"/>
  <c r="G33"/>
  <c r="C28"/>
  <c r="C29"/>
  <c r="C30"/>
  <c r="C31"/>
  <c r="C27"/>
  <c r="C33" s="1"/>
  <c r="K33" l="1"/>
  <c r="K43"/>
  <c r="G25" i="2"/>
  <c r="C43" i="1"/>
</calcChain>
</file>

<file path=xl/sharedStrings.xml><?xml version="1.0" encoding="utf-8"?>
<sst xmlns="http://schemas.openxmlformats.org/spreadsheetml/2006/main" count="110" uniqueCount="40">
  <si>
    <t>Mt San Jacinto Community College</t>
  </si>
  <si>
    <t>Fiscal Year 2013-2014</t>
  </si>
  <si>
    <t>Tentative Fixed Costs &amp; H&amp;W Object Codes</t>
  </si>
  <si>
    <t>Instructional</t>
  </si>
  <si>
    <t>12XX</t>
  </si>
  <si>
    <t>14XX</t>
  </si>
  <si>
    <t>Object Code</t>
  </si>
  <si>
    <t>% of Wages</t>
  </si>
  <si>
    <t>STRS</t>
  </si>
  <si>
    <t>PERS</t>
  </si>
  <si>
    <t>FICA</t>
  </si>
  <si>
    <t>MEDICARE</t>
  </si>
  <si>
    <t>UNEMPLOYMENT</t>
  </si>
  <si>
    <t>WORKER'S COMP</t>
  </si>
  <si>
    <t>H&amp;W</t>
  </si>
  <si>
    <t>11XX          22XX</t>
  </si>
  <si>
    <t>13XX          24XX</t>
  </si>
  <si>
    <t>Non-Instructional Classified</t>
  </si>
  <si>
    <t>21XX</t>
  </si>
  <si>
    <t>23XX</t>
  </si>
  <si>
    <t>MONTHLY</t>
  </si>
  <si>
    <t>Description</t>
  </si>
  <si>
    <t>Non-Instructional Certificated</t>
  </si>
  <si>
    <t>PERS EMPLOYEE</t>
  </si>
  <si>
    <t>Total</t>
  </si>
  <si>
    <t>STRS EMPLOYEE</t>
  </si>
  <si>
    <t>12XX APPLE</t>
  </si>
  <si>
    <t>14XX APPLE</t>
  </si>
  <si>
    <t>11XX APPLE          22XX APPLE</t>
  </si>
  <si>
    <t>13XX APPLE          24XX APPLE</t>
  </si>
  <si>
    <t>21XX APPLE</t>
  </si>
  <si>
    <t>23XX APPLE</t>
  </si>
  <si>
    <t>APPLE</t>
  </si>
  <si>
    <t>Salary:</t>
  </si>
  <si>
    <t>1. Determine employee's object code.</t>
  </si>
  <si>
    <t>2. Enter salary amount in box below "Salary".</t>
  </si>
  <si>
    <t>3. Spreadsheet will calculate amount of fixed costs on that salary and will give you a total.</t>
  </si>
  <si>
    <t>Instructions:</t>
  </si>
  <si>
    <t>1. Determine employee's object code and whether PERS or STRS. (If employee does not pay into STRS or PERS just exclude that amount from the total fixed costs.)</t>
  </si>
  <si>
    <t>3. Spreadsheet will calculate amount of fixed costs on that salary and will provide a total.</t>
  </si>
</sst>
</file>

<file path=xl/styles.xml><?xml version="1.0" encoding="utf-8"?>
<styleSheet xmlns="http://schemas.openxmlformats.org/spreadsheetml/2006/main">
  <numFmts count="1">
    <numFmt numFmtId="164" formatCode="0.00000"/>
  </numFmts>
  <fonts count="4">
    <font>
      <sz val="11"/>
      <color theme="1"/>
      <name val="Sylfaen"/>
      <family val="2"/>
    </font>
    <font>
      <sz val="12"/>
      <color theme="1"/>
      <name val="Sylfaen"/>
      <family val="2"/>
    </font>
    <font>
      <sz val="14"/>
      <color theme="1"/>
      <name val="Sylfaen"/>
      <family val="2"/>
    </font>
    <font>
      <sz val="10"/>
      <color theme="1"/>
      <name val="Sylfaen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4F8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2" xfId="0" applyBorder="1"/>
    <xf numFmtId="0" fontId="1" fillId="0" borderId="0" xfId="0" applyFont="1"/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2" fontId="0" fillId="5" borderId="11" xfId="0" applyNumberFormat="1" applyFill="1" applyBorder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0" borderId="3" xfId="0" applyBorder="1"/>
    <xf numFmtId="0" fontId="0" fillId="0" borderId="4" xfId="0" applyBorder="1"/>
    <xf numFmtId="0" fontId="2" fillId="0" borderId="12" xfId="0" applyFont="1" applyBorder="1"/>
    <xf numFmtId="0" fontId="0" fillId="0" borderId="12" xfId="0" applyBorder="1"/>
    <xf numFmtId="0" fontId="3" fillId="5" borderId="1" xfId="0" applyFont="1" applyFill="1" applyBorder="1" applyProtection="1">
      <protection locked="0"/>
    </xf>
    <xf numFmtId="0" fontId="2" fillId="0" borderId="0" xfId="0" applyFont="1" applyProtection="1"/>
    <xf numFmtId="0" fontId="0" fillId="0" borderId="0" xfId="0" applyProtection="1"/>
    <xf numFmtId="0" fontId="2" fillId="0" borderId="12" xfId="0" applyFont="1" applyBorder="1" applyProtection="1"/>
    <xf numFmtId="0" fontId="0" fillId="0" borderId="12" xfId="0" applyBorder="1" applyProtection="1"/>
    <xf numFmtId="0" fontId="1" fillId="0" borderId="0" xfId="0" applyFont="1" applyProtection="1"/>
    <xf numFmtId="0" fontId="0" fillId="0" borderId="8" xfId="0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4" borderId="1" xfId="0" applyFill="1" applyBorder="1" applyProtection="1"/>
    <xf numFmtId="0" fontId="0" fillId="4" borderId="1" xfId="0" applyFill="1" applyBorder="1" applyAlignment="1" applyProtection="1">
      <alignment wrapText="1"/>
    </xf>
    <xf numFmtId="0" fontId="0" fillId="3" borderId="1" xfId="0" applyFill="1" applyBorder="1" applyProtection="1"/>
    <xf numFmtId="0" fontId="0" fillId="3" borderId="1" xfId="0" applyFill="1" applyBorder="1" applyAlignment="1" applyProtection="1">
      <alignment wrapText="1"/>
    </xf>
    <xf numFmtId="0" fontId="0" fillId="2" borderId="1" xfId="0" applyFill="1" applyBorder="1" applyProtection="1"/>
    <xf numFmtId="0" fontId="0" fillId="2" borderId="1" xfId="0" applyFill="1" applyBorder="1" applyAlignment="1" applyProtection="1">
      <alignment wrapText="1"/>
    </xf>
    <xf numFmtId="0" fontId="3" fillId="0" borderId="1" xfId="0" applyFont="1" applyBorder="1" applyProtection="1"/>
    <xf numFmtId="164" fontId="3" fillId="0" borderId="1" xfId="0" applyNumberFormat="1" applyFont="1" applyBorder="1" applyProtection="1"/>
    <xf numFmtId="0" fontId="3" fillId="0" borderId="0" xfId="0" applyFont="1" applyProtection="1"/>
    <xf numFmtId="0" fontId="3" fillId="0" borderId="8" xfId="0" applyFont="1" applyBorder="1" applyProtection="1"/>
    <xf numFmtId="0" fontId="3" fillId="0" borderId="9" xfId="0" applyFont="1" applyBorder="1" applyProtection="1"/>
    <xf numFmtId="0" fontId="3" fillId="0" borderId="10" xfId="0" applyFont="1" applyBorder="1" applyProtection="1"/>
    <xf numFmtId="2" fontId="3" fillId="0" borderId="1" xfId="0" applyNumberFormat="1" applyFont="1" applyBorder="1" applyProtection="1"/>
    <xf numFmtId="2" fontId="3" fillId="5" borderId="11" xfId="0" applyNumberFormat="1" applyFont="1" applyFill="1" applyBorder="1" applyProtection="1"/>
    <xf numFmtId="0" fontId="0" fillId="5" borderId="1" xfId="0" applyFill="1" applyBorder="1" applyProtection="1">
      <protection locked="0"/>
    </xf>
    <xf numFmtId="0" fontId="0" fillId="0" borderId="2" xfId="0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1" fillId="0" borderId="0" xfId="0" applyFont="1" applyAlignment="1" applyProtection="1">
      <alignment horizontal="left" vertical="top" wrapText="1"/>
    </xf>
    <xf numFmtId="0" fontId="0" fillId="2" borderId="2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4" borderId="2" xfId="0" applyFill="1" applyBorder="1" applyAlignment="1" applyProtection="1">
      <alignment horizontal="center"/>
    </xf>
    <xf numFmtId="0" fontId="0" fillId="4" borderId="3" xfId="0" applyFill="1" applyBorder="1" applyAlignment="1" applyProtection="1">
      <alignment horizontal="center"/>
    </xf>
    <xf numFmtId="0" fontId="0" fillId="4" borderId="4" xfId="0" applyFill="1" applyBorder="1" applyAlignment="1" applyProtection="1">
      <alignment horizontal="center"/>
    </xf>
    <xf numFmtId="0" fontId="0" fillId="3" borderId="2" xfId="0" applyFill="1" applyBorder="1" applyAlignment="1" applyProtection="1">
      <alignment horizontal="center"/>
    </xf>
    <xf numFmtId="0" fontId="0" fillId="3" borderId="3" xfId="0" applyFill="1" applyBorder="1" applyAlignment="1" applyProtection="1">
      <alignment horizontal="center"/>
    </xf>
    <xf numFmtId="0" fontId="0" fillId="3" borderId="4" xfId="0" applyFill="1" applyBorder="1" applyAlignment="1" applyProtection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99"/>
      <color rgb="FFD4F8FA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topLeftCell="A13" workbookViewId="0">
      <selection activeCell="H30" sqref="H30"/>
    </sheetView>
  </sheetViews>
  <sheetFormatPr defaultRowHeight="14.4"/>
  <cols>
    <col min="1" max="1" width="18.109375" style="16" customWidth="1"/>
    <col min="2" max="2" width="10.6640625" style="16" customWidth="1"/>
    <col min="3" max="3" width="10.21875" style="16" bestFit="1" customWidth="1"/>
    <col min="4" max="4" width="8.88671875" style="16"/>
    <col min="5" max="5" width="18.109375" style="16" bestFit="1" customWidth="1"/>
    <col min="6" max="6" width="8.88671875" style="16"/>
    <col min="7" max="7" width="10.21875" style="16" bestFit="1" customWidth="1"/>
    <col min="8" max="8" width="8.88671875" style="16"/>
    <col min="9" max="9" width="18.109375" style="16" bestFit="1" customWidth="1"/>
    <col min="10" max="10" width="8.88671875" style="16"/>
    <col min="11" max="11" width="10.21875" style="16" bestFit="1" customWidth="1"/>
    <col min="12" max="16384" width="8.88671875" style="16"/>
  </cols>
  <sheetData>
    <row r="1" spans="1:11" ht="18.600000000000001">
      <c r="A1" s="15" t="s">
        <v>0</v>
      </c>
    </row>
    <row r="2" spans="1:11" ht="18.600000000000001">
      <c r="A2" s="15" t="s">
        <v>1</v>
      </c>
    </row>
    <row r="3" spans="1:11" ht="19.2" thickBot="1">
      <c r="A3" s="17" t="s">
        <v>2</v>
      </c>
      <c r="B3" s="18"/>
      <c r="C3" s="18"/>
      <c r="D3" s="18"/>
      <c r="E3" s="18"/>
    </row>
    <row r="5" spans="1:11" ht="16.2">
      <c r="A5" s="19" t="s">
        <v>37</v>
      </c>
    </row>
    <row r="6" spans="1:11">
      <c r="A6" s="41" t="s">
        <v>38</v>
      </c>
      <c r="B6" s="41"/>
      <c r="C6" s="41"/>
      <c r="D6" s="41"/>
      <c r="E6" s="41"/>
      <c r="F6" s="41"/>
      <c r="G6" s="41"/>
      <c r="H6" s="41"/>
    </row>
    <row r="7" spans="1:11" ht="19.2" customHeight="1">
      <c r="A7" s="41"/>
      <c r="B7" s="41"/>
      <c r="C7" s="41"/>
      <c r="D7" s="41"/>
      <c r="E7" s="41"/>
      <c r="F7" s="41"/>
      <c r="G7" s="41"/>
      <c r="H7" s="41"/>
    </row>
    <row r="8" spans="1:11" ht="16.2">
      <c r="A8" s="19" t="s">
        <v>35</v>
      </c>
    </row>
    <row r="9" spans="1:11" ht="16.2">
      <c r="A9" s="19" t="s">
        <v>39</v>
      </c>
    </row>
    <row r="10" spans="1:11" ht="16.2">
      <c r="A10" s="19"/>
    </row>
    <row r="11" spans="1:11" ht="16.2">
      <c r="A11" s="19"/>
    </row>
    <row r="12" spans="1:11">
      <c r="A12" s="51" t="s">
        <v>22</v>
      </c>
      <c r="B12" s="52"/>
      <c r="C12" s="53"/>
      <c r="E12" s="54" t="s">
        <v>3</v>
      </c>
      <c r="F12" s="55"/>
      <c r="G12" s="56"/>
      <c r="I12" s="42" t="s">
        <v>17</v>
      </c>
      <c r="J12" s="43"/>
      <c r="K12" s="44"/>
    </row>
    <row r="13" spans="1:11">
      <c r="A13" s="45" t="s">
        <v>4</v>
      </c>
      <c r="B13" s="46"/>
      <c r="C13" s="47"/>
      <c r="E13" s="45" t="s">
        <v>15</v>
      </c>
      <c r="F13" s="46"/>
      <c r="G13" s="47"/>
      <c r="I13" s="45" t="s">
        <v>18</v>
      </c>
      <c r="J13" s="46"/>
      <c r="K13" s="47"/>
    </row>
    <row r="14" spans="1:11">
      <c r="A14" s="48" t="s">
        <v>5</v>
      </c>
      <c r="B14" s="49"/>
      <c r="C14" s="50"/>
      <c r="E14" s="48" t="s">
        <v>16</v>
      </c>
      <c r="F14" s="49"/>
      <c r="G14" s="50"/>
      <c r="I14" s="48" t="s">
        <v>19</v>
      </c>
      <c r="J14" s="49"/>
      <c r="K14" s="50"/>
    </row>
    <row r="15" spans="1:11">
      <c r="A15" s="20"/>
      <c r="B15" s="21"/>
      <c r="C15" s="22"/>
    </row>
    <row r="16" spans="1:11" ht="28.8">
      <c r="A16" s="23" t="s">
        <v>21</v>
      </c>
      <c r="B16" s="24" t="s">
        <v>6</v>
      </c>
      <c r="C16" s="24" t="s">
        <v>7</v>
      </c>
      <c r="E16" s="25" t="s">
        <v>21</v>
      </c>
      <c r="F16" s="26" t="s">
        <v>6</v>
      </c>
      <c r="G16" s="26" t="s">
        <v>7</v>
      </c>
      <c r="I16" s="27" t="s">
        <v>21</v>
      </c>
      <c r="J16" s="28" t="s">
        <v>6</v>
      </c>
      <c r="K16" s="28" t="s">
        <v>7</v>
      </c>
    </row>
    <row r="17" spans="1:11">
      <c r="A17" s="29" t="s">
        <v>8</v>
      </c>
      <c r="B17" s="29">
        <v>3130</v>
      </c>
      <c r="C17" s="30">
        <v>8.2500000000000004E-2</v>
      </c>
      <c r="D17" s="31"/>
      <c r="E17" s="29" t="s">
        <v>8</v>
      </c>
      <c r="F17" s="29">
        <v>3110</v>
      </c>
      <c r="G17" s="30">
        <v>8.2500000000000004E-2</v>
      </c>
      <c r="H17" s="31"/>
      <c r="I17" s="29" t="s">
        <v>8</v>
      </c>
      <c r="J17" s="29">
        <v>3120</v>
      </c>
      <c r="K17" s="30">
        <v>8.2500000000000004E-2</v>
      </c>
    </row>
    <row r="18" spans="1:11">
      <c r="A18" s="29" t="s">
        <v>9</v>
      </c>
      <c r="B18" s="29">
        <v>3230</v>
      </c>
      <c r="C18" s="30">
        <v>0.11441999999999999</v>
      </c>
      <c r="D18" s="31"/>
      <c r="E18" s="29" t="s">
        <v>9</v>
      </c>
      <c r="F18" s="29">
        <v>3210</v>
      </c>
      <c r="G18" s="30">
        <v>0.11441999999999999</v>
      </c>
      <c r="H18" s="31"/>
      <c r="I18" s="29" t="s">
        <v>9</v>
      </c>
      <c r="J18" s="29">
        <v>3220</v>
      </c>
      <c r="K18" s="30">
        <v>0.11441999999999999</v>
      </c>
    </row>
    <row r="19" spans="1:11">
      <c r="A19" s="29" t="s">
        <v>10</v>
      </c>
      <c r="B19" s="29">
        <v>3330</v>
      </c>
      <c r="C19" s="30">
        <v>6.2E-2</v>
      </c>
      <c r="D19" s="31"/>
      <c r="E19" s="29" t="s">
        <v>10</v>
      </c>
      <c r="F19" s="29">
        <v>3310</v>
      </c>
      <c r="G19" s="30">
        <v>6.2E-2</v>
      </c>
      <c r="H19" s="31"/>
      <c r="I19" s="29" t="s">
        <v>10</v>
      </c>
      <c r="J19" s="29">
        <v>3320</v>
      </c>
      <c r="K19" s="30">
        <v>6.2E-2</v>
      </c>
    </row>
    <row r="20" spans="1:11">
      <c r="A20" s="29" t="s">
        <v>11</v>
      </c>
      <c r="B20" s="29">
        <v>3335</v>
      </c>
      <c r="C20" s="30">
        <v>1.4500000000000001E-2</v>
      </c>
      <c r="D20" s="31"/>
      <c r="E20" s="29" t="s">
        <v>11</v>
      </c>
      <c r="F20" s="29">
        <v>3315</v>
      </c>
      <c r="G20" s="30">
        <v>1.4500000000000001E-2</v>
      </c>
      <c r="H20" s="31"/>
      <c r="I20" s="29" t="s">
        <v>11</v>
      </c>
      <c r="J20" s="29">
        <v>3325</v>
      </c>
      <c r="K20" s="30">
        <v>1.4500000000000001E-2</v>
      </c>
    </row>
    <row r="21" spans="1:11">
      <c r="A21" s="29" t="s">
        <v>12</v>
      </c>
      <c r="B21" s="29">
        <v>3530</v>
      </c>
      <c r="C21" s="30">
        <v>5.0000000000000001E-4</v>
      </c>
      <c r="D21" s="31"/>
      <c r="E21" s="29" t="s">
        <v>12</v>
      </c>
      <c r="F21" s="29">
        <v>3510</v>
      </c>
      <c r="G21" s="30">
        <v>5.0000000000000001E-4</v>
      </c>
      <c r="H21" s="31"/>
      <c r="I21" s="29" t="s">
        <v>12</v>
      </c>
      <c r="J21" s="29">
        <v>3520</v>
      </c>
      <c r="K21" s="30">
        <v>5.0000000000000001E-4</v>
      </c>
    </row>
    <row r="22" spans="1:11">
      <c r="A22" s="29" t="s">
        <v>13</v>
      </c>
      <c r="B22" s="29">
        <v>3630</v>
      </c>
      <c r="C22" s="30">
        <v>2.3310000000000001E-2</v>
      </c>
      <c r="D22" s="31"/>
      <c r="E22" s="29" t="s">
        <v>13</v>
      </c>
      <c r="F22" s="29">
        <v>3610</v>
      </c>
      <c r="G22" s="30">
        <v>2.3310000000000001E-2</v>
      </c>
      <c r="H22" s="31"/>
      <c r="I22" s="29" t="s">
        <v>13</v>
      </c>
      <c r="J22" s="29">
        <v>3620</v>
      </c>
      <c r="K22" s="30">
        <v>2.3310000000000001E-2</v>
      </c>
    </row>
    <row r="23" spans="1:11">
      <c r="A23" s="29" t="s">
        <v>14</v>
      </c>
      <c r="B23" s="29">
        <v>3430</v>
      </c>
      <c r="C23" s="29" t="s">
        <v>20</v>
      </c>
      <c r="D23" s="31"/>
      <c r="E23" s="29" t="s">
        <v>14</v>
      </c>
      <c r="F23" s="29">
        <v>3410</v>
      </c>
      <c r="G23" s="29" t="s">
        <v>20</v>
      </c>
      <c r="H23" s="31"/>
      <c r="I23" s="29" t="s">
        <v>14</v>
      </c>
      <c r="J23" s="29">
        <v>3420</v>
      </c>
      <c r="K23" s="29" t="s">
        <v>20</v>
      </c>
    </row>
    <row r="25" spans="1:11">
      <c r="A25" s="38" t="s">
        <v>23</v>
      </c>
      <c r="B25" s="39"/>
      <c r="C25" s="40"/>
      <c r="E25" s="38" t="s">
        <v>23</v>
      </c>
      <c r="F25" s="39"/>
      <c r="G25" s="40"/>
      <c r="I25" s="38" t="s">
        <v>23</v>
      </c>
      <c r="J25" s="39"/>
      <c r="K25" s="40"/>
    </row>
    <row r="26" spans="1:11">
      <c r="A26" s="32" t="s">
        <v>33</v>
      </c>
      <c r="B26" s="33"/>
      <c r="C26" s="34"/>
      <c r="E26" s="32" t="s">
        <v>33</v>
      </c>
      <c r="F26" s="33"/>
      <c r="G26" s="34"/>
      <c r="I26" s="32" t="s">
        <v>33</v>
      </c>
      <c r="J26" s="33"/>
      <c r="K26" s="34"/>
    </row>
    <row r="27" spans="1:11">
      <c r="A27" s="14"/>
      <c r="B27" s="29">
        <v>3230</v>
      </c>
      <c r="C27" s="35">
        <f>$A$27*C18</f>
        <v>0</v>
      </c>
      <c r="E27" s="14"/>
      <c r="F27" s="29">
        <v>3210</v>
      </c>
      <c r="G27" s="35">
        <f>$E$27*G18</f>
        <v>0</v>
      </c>
      <c r="I27" s="14">
        <v>30000</v>
      </c>
      <c r="J27" s="29">
        <v>3220</v>
      </c>
      <c r="K27" s="35">
        <f>$I$27*K18</f>
        <v>3432.6</v>
      </c>
    </row>
    <row r="28" spans="1:11">
      <c r="A28" s="31"/>
      <c r="B28" s="29">
        <v>3330</v>
      </c>
      <c r="C28" s="35">
        <f t="shared" ref="C28:C31" si="0">$A$27*C19</f>
        <v>0</v>
      </c>
      <c r="E28" s="31"/>
      <c r="F28" s="29">
        <v>3310</v>
      </c>
      <c r="G28" s="35">
        <f t="shared" ref="G28:G31" si="1">$E$27*G19</f>
        <v>0</v>
      </c>
      <c r="I28" s="31"/>
      <c r="J28" s="29">
        <v>3320</v>
      </c>
      <c r="K28" s="35">
        <f t="shared" ref="K28:K31" si="2">$I$27*K19</f>
        <v>1860</v>
      </c>
    </row>
    <row r="29" spans="1:11">
      <c r="A29" s="31"/>
      <c r="B29" s="29">
        <v>3335</v>
      </c>
      <c r="C29" s="35">
        <f t="shared" si="0"/>
        <v>0</v>
      </c>
      <c r="E29" s="31"/>
      <c r="F29" s="29">
        <v>3315</v>
      </c>
      <c r="G29" s="35">
        <f t="shared" si="1"/>
        <v>0</v>
      </c>
      <c r="I29" s="31"/>
      <c r="J29" s="29">
        <v>3325</v>
      </c>
      <c r="K29" s="35">
        <f t="shared" si="2"/>
        <v>435</v>
      </c>
    </row>
    <row r="30" spans="1:11">
      <c r="A30" s="31"/>
      <c r="B30" s="29">
        <v>3530</v>
      </c>
      <c r="C30" s="35">
        <f t="shared" si="0"/>
        <v>0</v>
      </c>
      <c r="E30" s="31"/>
      <c r="F30" s="29">
        <v>3510</v>
      </c>
      <c r="G30" s="35">
        <f t="shared" si="1"/>
        <v>0</v>
      </c>
      <c r="I30" s="31"/>
      <c r="J30" s="29">
        <v>3520</v>
      </c>
      <c r="K30" s="35">
        <f t="shared" si="2"/>
        <v>15</v>
      </c>
    </row>
    <row r="31" spans="1:11">
      <c r="A31" s="31"/>
      <c r="B31" s="29">
        <v>3630</v>
      </c>
      <c r="C31" s="35">
        <f t="shared" si="0"/>
        <v>0</v>
      </c>
      <c r="E31" s="31"/>
      <c r="F31" s="29">
        <v>3610</v>
      </c>
      <c r="G31" s="35">
        <f t="shared" si="1"/>
        <v>0</v>
      </c>
      <c r="I31" s="31"/>
      <c r="J31" s="29">
        <v>3620</v>
      </c>
      <c r="K31" s="35">
        <f t="shared" si="2"/>
        <v>699.30000000000007</v>
      </c>
    </row>
    <row r="32" spans="1:11">
      <c r="A32" s="31"/>
      <c r="B32" s="29">
        <v>3430</v>
      </c>
      <c r="C32" s="35"/>
      <c r="E32" s="31"/>
      <c r="F32" s="29">
        <v>3410</v>
      </c>
      <c r="G32" s="35"/>
      <c r="I32" s="31"/>
      <c r="J32" s="29">
        <v>3420</v>
      </c>
      <c r="K32" s="35"/>
    </row>
    <row r="33" spans="1:11" ht="15" thickBot="1">
      <c r="B33" s="31" t="s">
        <v>24</v>
      </c>
      <c r="C33" s="36">
        <f>SUM(C27:C32)</f>
        <v>0</v>
      </c>
      <c r="F33" s="31" t="s">
        <v>24</v>
      </c>
      <c r="G33" s="36">
        <f>SUM(G27:G32)</f>
        <v>0</v>
      </c>
      <c r="J33" s="31" t="s">
        <v>24</v>
      </c>
      <c r="K33" s="36">
        <f>SUM(K27:K32)</f>
        <v>6441.9000000000005</v>
      </c>
    </row>
    <row r="34" spans="1:11" ht="15" thickTop="1"/>
    <row r="35" spans="1:11">
      <c r="A35" s="38" t="s">
        <v>25</v>
      </c>
      <c r="B35" s="39"/>
      <c r="C35" s="40"/>
      <c r="E35" s="38" t="s">
        <v>25</v>
      </c>
      <c r="F35" s="39"/>
      <c r="G35" s="40"/>
      <c r="I35" s="38" t="s">
        <v>25</v>
      </c>
      <c r="J35" s="39"/>
      <c r="K35" s="40"/>
    </row>
    <row r="36" spans="1:11">
      <c r="A36" s="32" t="s">
        <v>33</v>
      </c>
      <c r="B36" s="33"/>
      <c r="C36" s="34"/>
      <c r="E36" s="32" t="s">
        <v>33</v>
      </c>
      <c r="F36" s="33"/>
      <c r="G36" s="34"/>
      <c r="I36" s="32" t="s">
        <v>33</v>
      </c>
      <c r="J36" s="33"/>
      <c r="K36" s="34"/>
    </row>
    <row r="37" spans="1:11">
      <c r="A37" s="14"/>
      <c r="B37" s="29">
        <v>3130</v>
      </c>
      <c r="C37" s="35">
        <f>$A$37*C17</f>
        <v>0</v>
      </c>
      <c r="E37" s="14"/>
      <c r="F37" s="29">
        <v>3110</v>
      </c>
      <c r="G37" s="35">
        <f>$E$37*G17</f>
        <v>0</v>
      </c>
      <c r="I37" s="14"/>
      <c r="J37" s="29">
        <v>3120</v>
      </c>
      <c r="K37" s="35">
        <f>$I$37*K17</f>
        <v>0</v>
      </c>
    </row>
    <row r="38" spans="1:11">
      <c r="A38" s="31"/>
      <c r="B38" s="29">
        <v>3330</v>
      </c>
      <c r="C38" s="35">
        <f>$A$37*C19</f>
        <v>0</v>
      </c>
      <c r="E38" s="31"/>
      <c r="F38" s="29">
        <v>3310</v>
      </c>
      <c r="G38" s="35">
        <f>$E$37*G19</f>
        <v>0</v>
      </c>
      <c r="I38" s="31"/>
      <c r="J38" s="29">
        <v>3320</v>
      </c>
      <c r="K38" s="35">
        <f>$I$37*K19</f>
        <v>0</v>
      </c>
    </row>
    <row r="39" spans="1:11">
      <c r="A39" s="31"/>
      <c r="B39" s="29">
        <v>3335</v>
      </c>
      <c r="C39" s="35">
        <f t="shared" ref="C39:C41" si="3">$A$37*C20</f>
        <v>0</v>
      </c>
      <c r="E39" s="31"/>
      <c r="F39" s="29">
        <v>3315</v>
      </c>
      <c r="G39" s="35">
        <f t="shared" ref="G39:G41" si="4">$E$37*G20</f>
        <v>0</v>
      </c>
      <c r="I39" s="31"/>
      <c r="J39" s="29">
        <v>3325</v>
      </c>
      <c r="K39" s="35">
        <f t="shared" ref="K39:K41" si="5">$I$37*K20</f>
        <v>0</v>
      </c>
    </row>
    <row r="40" spans="1:11">
      <c r="A40" s="31"/>
      <c r="B40" s="29">
        <v>3530</v>
      </c>
      <c r="C40" s="35">
        <f t="shared" si="3"/>
        <v>0</v>
      </c>
      <c r="E40" s="31"/>
      <c r="F40" s="29">
        <v>3510</v>
      </c>
      <c r="G40" s="35">
        <f t="shared" si="4"/>
        <v>0</v>
      </c>
      <c r="I40" s="31"/>
      <c r="J40" s="29">
        <v>3520</v>
      </c>
      <c r="K40" s="35">
        <f t="shared" si="5"/>
        <v>0</v>
      </c>
    </row>
    <row r="41" spans="1:11">
      <c r="A41" s="31"/>
      <c r="B41" s="29">
        <v>3630</v>
      </c>
      <c r="C41" s="35">
        <f t="shared" si="3"/>
        <v>0</v>
      </c>
      <c r="E41" s="31"/>
      <c r="F41" s="29">
        <v>3610</v>
      </c>
      <c r="G41" s="35">
        <f t="shared" si="4"/>
        <v>0</v>
      </c>
      <c r="I41" s="31"/>
      <c r="J41" s="29">
        <v>3620</v>
      </c>
      <c r="K41" s="35">
        <f t="shared" si="5"/>
        <v>0</v>
      </c>
    </row>
    <row r="42" spans="1:11">
      <c r="A42" s="31"/>
      <c r="B42" s="29">
        <v>3430</v>
      </c>
      <c r="C42" s="35"/>
      <c r="E42" s="31"/>
      <c r="F42" s="29">
        <v>3410</v>
      </c>
      <c r="G42" s="35"/>
      <c r="I42" s="31"/>
      <c r="J42" s="29">
        <v>3420</v>
      </c>
      <c r="K42" s="35"/>
    </row>
    <row r="43" spans="1:11" ht="15" thickBot="1">
      <c r="B43" s="31" t="s">
        <v>24</v>
      </c>
      <c r="C43" s="36">
        <f>SUM(C37:C42)</f>
        <v>0</v>
      </c>
      <c r="F43" s="31" t="s">
        <v>24</v>
      </c>
      <c r="G43" s="36">
        <f>SUM(G37:G42)</f>
        <v>0</v>
      </c>
      <c r="J43" s="31" t="s">
        <v>24</v>
      </c>
      <c r="K43" s="36">
        <f>SUM(K37:K42)</f>
        <v>0</v>
      </c>
    </row>
    <row r="44" spans="1:11" ht="15" thickTop="1"/>
  </sheetData>
  <sheetProtection password="BE7B" sheet="1" objects="1" scenarios="1"/>
  <mergeCells count="16">
    <mergeCell ref="A35:C35"/>
    <mergeCell ref="E35:G35"/>
    <mergeCell ref="I35:K35"/>
    <mergeCell ref="A6:H7"/>
    <mergeCell ref="I12:K12"/>
    <mergeCell ref="I13:K13"/>
    <mergeCell ref="I14:K14"/>
    <mergeCell ref="A25:C25"/>
    <mergeCell ref="E25:G25"/>
    <mergeCell ref="I25:K25"/>
    <mergeCell ref="A12:C12"/>
    <mergeCell ref="A13:C13"/>
    <mergeCell ref="A14:C14"/>
    <mergeCell ref="E12:G12"/>
    <mergeCell ref="E13:G13"/>
    <mergeCell ref="E14:G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topLeftCell="A4" workbookViewId="0">
      <selection activeCell="G19" sqref="G19"/>
    </sheetView>
  </sheetViews>
  <sheetFormatPr defaultRowHeight="14.4"/>
  <cols>
    <col min="1" max="1" width="18.88671875" customWidth="1"/>
    <col min="5" max="5" width="18.109375" bestFit="1" customWidth="1"/>
    <col min="9" max="9" width="18.109375" bestFit="1" customWidth="1"/>
  </cols>
  <sheetData>
    <row r="1" spans="1:11" ht="18.600000000000001">
      <c r="A1" s="3" t="s">
        <v>0</v>
      </c>
    </row>
    <row r="2" spans="1:11" ht="18.600000000000001">
      <c r="A2" s="3" t="s">
        <v>1</v>
      </c>
    </row>
    <row r="3" spans="1:11" ht="19.2" thickBot="1">
      <c r="A3" s="12" t="s">
        <v>2</v>
      </c>
      <c r="B3" s="13"/>
      <c r="C3" s="13"/>
      <c r="D3" s="13"/>
    </row>
    <row r="4" spans="1:11" ht="18.600000000000001">
      <c r="A4" s="3"/>
    </row>
    <row r="5" spans="1:11" ht="16.2">
      <c r="A5" s="2" t="s">
        <v>37</v>
      </c>
    </row>
    <row r="6" spans="1:11" ht="16.2">
      <c r="A6" s="2" t="s">
        <v>34</v>
      </c>
    </row>
    <row r="7" spans="1:11" ht="16.2">
      <c r="A7" s="2" t="s">
        <v>35</v>
      </c>
    </row>
    <row r="8" spans="1:11" ht="16.2">
      <c r="A8" s="2" t="s">
        <v>36</v>
      </c>
    </row>
    <row r="10" spans="1:11">
      <c r="A10" s="60" t="s">
        <v>22</v>
      </c>
      <c r="B10" s="61"/>
      <c r="C10" s="62"/>
      <c r="E10" s="60" t="s">
        <v>3</v>
      </c>
      <c r="F10" s="61"/>
      <c r="G10" s="62"/>
      <c r="I10" s="60" t="s">
        <v>17</v>
      </c>
      <c r="J10" s="61"/>
      <c r="K10" s="62"/>
    </row>
    <row r="11" spans="1:11">
      <c r="A11" s="63" t="s">
        <v>26</v>
      </c>
      <c r="B11" s="64"/>
      <c r="C11" s="65"/>
      <c r="E11" s="63" t="s">
        <v>28</v>
      </c>
      <c r="F11" s="64"/>
      <c r="G11" s="65"/>
      <c r="I11" s="63" t="s">
        <v>30</v>
      </c>
      <c r="J11" s="64"/>
      <c r="K11" s="65"/>
    </row>
    <row r="12" spans="1:11">
      <c r="A12" s="57" t="s">
        <v>27</v>
      </c>
      <c r="B12" s="58"/>
      <c r="C12" s="59"/>
      <c r="E12" s="57" t="s">
        <v>29</v>
      </c>
      <c r="F12" s="58"/>
      <c r="G12" s="59"/>
      <c r="I12" s="57" t="s">
        <v>31</v>
      </c>
      <c r="J12" s="58"/>
      <c r="K12" s="59"/>
    </row>
    <row r="14" spans="1:11" ht="28.8">
      <c r="A14" s="8" t="s">
        <v>21</v>
      </c>
      <c r="B14" s="9" t="s">
        <v>6</v>
      </c>
      <c r="C14" s="9" t="s">
        <v>7</v>
      </c>
      <c r="E14" s="8" t="s">
        <v>21</v>
      </c>
      <c r="F14" s="9" t="s">
        <v>6</v>
      </c>
      <c r="G14" s="9" t="s">
        <v>7</v>
      </c>
      <c r="I14" s="8" t="s">
        <v>21</v>
      </c>
      <c r="J14" s="9" t="s">
        <v>6</v>
      </c>
      <c r="K14" s="9" t="s">
        <v>7</v>
      </c>
    </row>
    <row r="15" spans="1:11">
      <c r="A15" s="4" t="s">
        <v>32</v>
      </c>
      <c r="B15" s="4">
        <v>3362</v>
      </c>
      <c r="C15" s="5">
        <v>3.7499999999999999E-2</v>
      </c>
      <c r="E15" s="4" t="s">
        <v>32</v>
      </c>
      <c r="F15" s="4">
        <v>3360</v>
      </c>
      <c r="G15" s="5">
        <v>3.7499999999999999E-2</v>
      </c>
      <c r="I15" s="4" t="s">
        <v>32</v>
      </c>
      <c r="J15" s="4">
        <v>3361</v>
      </c>
      <c r="K15" s="5">
        <v>3.7499999999999999E-2</v>
      </c>
    </row>
    <row r="16" spans="1:11">
      <c r="A16" s="4" t="s">
        <v>11</v>
      </c>
      <c r="B16" s="4">
        <v>3335</v>
      </c>
      <c r="C16" s="5">
        <v>1.4500000000000001E-2</v>
      </c>
      <c r="E16" s="4" t="s">
        <v>11</v>
      </c>
      <c r="F16" s="4">
        <v>3315</v>
      </c>
      <c r="G16" s="5">
        <v>1.4500000000000001E-2</v>
      </c>
      <c r="I16" s="4" t="s">
        <v>11</v>
      </c>
      <c r="J16" s="4">
        <v>3325</v>
      </c>
      <c r="K16" s="5">
        <v>1.4500000000000001E-2</v>
      </c>
    </row>
    <row r="17" spans="1:11">
      <c r="A17" s="4" t="s">
        <v>12</v>
      </c>
      <c r="B17" s="4">
        <v>3530</v>
      </c>
      <c r="C17" s="5">
        <v>5.0000000000000001E-4</v>
      </c>
      <c r="E17" s="4" t="s">
        <v>12</v>
      </c>
      <c r="F17" s="4">
        <v>3510</v>
      </c>
      <c r="G17" s="5">
        <v>5.0000000000000001E-4</v>
      </c>
      <c r="I17" s="4" t="s">
        <v>12</v>
      </c>
      <c r="J17" s="4">
        <v>3520</v>
      </c>
      <c r="K17" s="5">
        <v>5.0000000000000001E-4</v>
      </c>
    </row>
    <row r="18" spans="1:11">
      <c r="A18" s="4" t="s">
        <v>13</v>
      </c>
      <c r="B18" s="4">
        <v>3630</v>
      </c>
      <c r="C18" s="5">
        <v>2.3310000000000001E-2</v>
      </c>
      <c r="E18" s="4" t="s">
        <v>13</v>
      </c>
      <c r="F18" s="4">
        <v>3610</v>
      </c>
      <c r="G18" s="5">
        <v>2.3310000000000001E-2</v>
      </c>
      <c r="I18" s="4" t="s">
        <v>13</v>
      </c>
      <c r="J18" s="4">
        <v>3620</v>
      </c>
      <c r="K18" s="5">
        <v>2.3310000000000001E-2</v>
      </c>
    </row>
    <row r="20" spans="1:11">
      <c r="A20" s="1" t="s">
        <v>33</v>
      </c>
      <c r="B20" s="10"/>
      <c r="C20" s="11"/>
      <c r="E20" s="1" t="s">
        <v>33</v>
      </c>
      <c r="F20" s="10"/>
      <c r="G20" s="11"/>
      <c r="I20" s="1" t="s">
        <v>33</v>
      </c>
      <c r="J20" s="10"/>
      <c r="K20" s="11"/>
    </row>
    <row r="21" spans="1:11">
      <c r="A21" s="37">
        <v>16000</v>
      </c>
      <c r="B21" s="4">
        <v>3362</v>
      </c>
      <c r="C21" s="6">
        <f>$A$21*C15</f>
        <v>600</v>
      </c>
      <c r="E21" s="37"/>
      <c r="F21" s="4">
        <v>3360</v>
      </c>
      <c r="G21" s="6">
        <f>$E$21*G15</f>
        <v>0</v>
      </c>
      <c r="I21" s="37"/>
      <c r="J21" s="4">
        <v>3361</v>
      </c>
      <c r="K21" s="6">
        <f>$I$21*K15</f>
        <v>0</v>
      </c>
    </row>
    <row r="22" spans="1:11">
      <c r="B22" s="4">
        <v>3335</v>
      </c>
      <c r="C22" s="6">
        <f>$A$21*C16</f>
        <v>232</v>
      </c>
      <c r="F22" s="4">
        <v>3315</v>
      </c>
      <c r="G22" s="6">
        <f>$E$21*G16</f>
        <v>0</v>
      </c>
      <c r="J22" s="4">
        <v>3325</v>
      </c>
      <c r="K22" s="6">
        <f>$I$21*K16</f>
        <v>0</v>
      </c>
    </row>
    <row r="23" spans="1:11">
      <c r="B23" s="4">
        <v>3530</v>
      </c>
      <c r="C23" s="6">
        <f>$A$21*C17</f>
        <v>8</v>
      </c>
      <c r="F23" s="4">
        <v>3510</v>
      </c>
      <c r="G23" s="6">
        <f>$E$21*G17</f>
        <v>0</v>
      </c>
      <c r="J23" s="4">
        <v>3520</v>
      </c>
      <c r="K23" s="6">
        <f>$I$21*K17</f>
        <v>0</v>
      </c>
    </row>
    <row r="24" spans="1:11">
      <c r="B24" s="4">
        <v>3630</v>
      </c>
      <c r="C24" s="6">
        <f>$A$21*C18</f>
        <v>372.96000000000004</v>
      </c>
      <c r="F24" s="4">
        <v>3610</v>
      </c>
      <c r="G24" s="6">
        <f>$E$21*G18</f>
        <v>0</v>
      </c>
      <c r="J24" s="4">
        <v>3620</v>
      </c>
      <c r="K24" s="6">
        <f>$I$21*K18</f>
        <v>0</v>
      </c>
    </row>
    <row r="25" spans="1:11" ht="15" thickBot="1">
      <c r="B25" t="s">
        <v>24</v>
      </c>
      <c r="C25" s="7">
        <f>SUM(C21:C24)</f>
        <v>1212.96</v>
      </c>
      <c r="F25" t="s">
        <v>24</v>
      </c>
      <c r="G25" s="7">
        <f>SUM(G21:G24)</f>
        <v>0</v>
      </c>
      <c r="J25" t="s">
        <v>24</v>
      </c>
      <c r="K25" s="7">
        <f>SUM(K21:K24)</f>
        <v>0</v>
      </c>
    </row>
    <row r="26" spans="1:11" ht="15" thickTop="1"/>
  </sheetData>
  <sheetProtection password="BE7B" sheet="1" objects="1" scenarios="1"/>
  <mergeCells count="9">
    <mergeCell ref="A12:C12"/>
    <mergeCell ref="E12:G12"/>
    <mergeCell ref="I12:K12"/>
    <mergeCell ref="A10:C10"/>
    <mergeCell ref="E10:G10"/>
    <mergeCell ref="I10:K10"/>
    <mergeCell ref="A11:C11"/>
    <mergeCell ref="E11:G11"/>
    <mergeCell ref="I11:K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70EE80B906064395D70FDDC22C2859" ma:contentTypeVersion="1" ma:contentTypeDescription="Create a new document." ma:contentTypeScope="" ma:versionID="cf2e8f472d22057b0850de1d53702b6e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447206dab0015f8b9f8924535193e8c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3FB33B4-BDD9-473F-A6F3-4BFE72FE177D}"/>
</file>

<file path=customXml/itemProps2.xml><?xml version="1.0" encoding="utf-8"?>
<ds:datastoreItem xmlns:ds="http://schemas.openxmlformats.org/officeDocument/2006/customXml" ds:itemID="{84DE9C69-EC8D-4874-8892-5A33E8367FA8}"/>
</file>

<file path=customXml/itemProps3.xml><?xml version="1.0" encoding="utf-8"?>
<ds:datastoreItem xmlns:ds="http://schemas.openxmlformats.org/officeDocument/2006/customXml" ds:itemID="{1D4C1080-B30F-474B-A4CA-B8BDEEC66D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Costs</vt:lpstr>
      <vt:lpstr>Apple</vt:lpstr>
    </vt:vector>
  </TitlesOfParts>
  <Company>Mount San Jacinto Community College District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eworthington</dc:creator>
  <cp:lastModifiedBy>eworthington</cp:lastModifiedBy>
  <dcterms:created xsi:type="dcterms:W3CDTF">2013-07-16T15:31:36Z</dcterms:created>
  <dcterms:modified xsi:type="dcterms:W3CDTF">2014-03-12T23:54:22Z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0x0101000B70EE80B906064395D70FDDC22C2859</vt:lpwstr>
  </property>
</Properties>
</file>