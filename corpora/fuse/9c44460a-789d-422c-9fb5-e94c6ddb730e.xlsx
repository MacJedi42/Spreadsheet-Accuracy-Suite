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8975" windowHeight="9915"/>
  </bookViews>
  <sheets>
    <sheet name="5887 Bid Tab All" sheetId="2" r:id="rId1"/>
  </sheets>
  <definedNames>
    <definedName name="_xlnm.Print_Area" localSheetId="0">'5887 Bid Tab All'!$B$1:$R$305</definedName>
    <definedName name="_xlnm.Print_Titles" localSheetId="0">'5887 Bid Tab All'!$1:$1</definedName>
  </definedNames>
  <calcPr calcId="145621"/>
</workbook>
</file>

<file path=xl/calcChain.xml><?xml version="1.0" encoding="utf-8"?>
<calcChain xmlns="http://schemas.openxmlformats.org/spreadsheetml/2006/main">
  <c r="R305" i="2" l="1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0" i="2"/>
  <c r="R219" i="2"/>
  <c r="R218" i="2"/>
  <c r="R217" i="2"/>
  <c r="R216" i="2"/>
  <c r="R214" i="2"/>
  <c r="R213" i="2"/>
  <c r="R212" i="2"/>
  <c r="R211" i="2"/>
  <c r="R210" i="2"/>
  <c r="R209" i="2"/>
  <c r="R207" i="2"/>
  <c r="R206" i="2"/>
  <c r="R205" i="2"/>
  <c r="R204" i="2"/>
  <c r="R203" i="2"/>
  <c r="R202" i="2"/>
  <c r="R200" i="2"/>
  <c r="R199" i="2"/>
  <c r="R198" i="2"/>
  <c r="R197" i="2"/>
  <c r="R196" i="2"/>
  <c r="R195" i="2"/>
  <c r="R193" i="2"/>
  <c r="R192" i="2"/>
  <c r="R191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89" i="2"/>
  <c r="R88" i="2"/>
  <c r="R84" i="2"/>
  <c r="R83" i="2"/>
  <c r="R79" i="2"/>
  <c r="R78" i="2"/>
  <c r="R74" i="2"/>
  <c r="R73" i="2"/>
  <c r="R70" i="2"/>
  <c r="R69" i="2"/>
  <c r="R65" i="2"/>
  <c r="R64" i="2"/>
  <c r="R50" i="2"/>
  <c r="R40" i="2"/>
  <c r="R39" i="2"/>
  <c r="R38" i="2"/>
  <c r="R37" i="2"/>
  <c r="R36" i="2"/>
  <c r="R35" i="2"/>
  <c r="R34" i="2"/>
  <c r="R33" i="2"/>
  <c r="R32" i="2"/>
  <c r="R31" i="2"/>
  <c r="R28" i="2"/>
  <c r="R27" i="2"/>
  <c r="R26" i="2"/>
  <c r="R23" i="2"/>
  <c r="R22" i="2"/>
  <c r="R120" i="2"/>
  <c r="R119" i="2"/>
  <c r="R117" i="2"/>
  <c r="R118" i="2"/>
  <c r="R116" i="2"/>
  <c r="R114" i="2"/>
  <c r="R115" i="2"/>
  <c r="R113" i="2"/>
  <c r="R110" i="2"/>
  <c r="R111" i="2"/>
  <c r="R112" i="2"/>
  <c r="R108" i="2"/>
  <c r="R105" i="2"/>
  <c r="R102" i="2"/>
  <c r="R103" i="2"/>
  <c r="R104" i="2"/>
  <c r="R101" i="2"/>
  <c r="R99" i="2"/>
  <c r="R98" i="2"/>
  <c r="R100" i="2"/>
  <c r="R94" i="2"/>
  <c r="R95" i="2"/>
  <c r="R97" i="2"/>
  <c r="R96" i="2"/>
  <c r="R90" i="2"/>
  <c r="R91" i="2"/>
  <c r="R93" i="2"/>
  <c r="R92" i="2"/>
  <c r="R87" i="2"/>
  <c r="R86" i="2"/>
  <c r="R85" i="2"/>
  <c r="R82" i="2"/>
  <c r="R81" i="2"/>
  <c r="R80" i="2"/>
  <c r="R170" i="2"/>
  <c r="R174" i="2"/>
  <c r="R173" i="2"/>
  <c r="R172" i="2"/>
  <c r="R165" i="2"/>
  <c r="R169" i="2"/>
  <c r="R168" i="2"/>
  <c r="R167" i="2"/>
  <c r="R162" i="2"/>
  <c r="R161" i="2"/>
  <c r="R164" i="2"/>
  <c r="R163" i="2"/>
  <c r="R158" i="2"/>
  <c r="R157" i="2"/>
  <c r="R159" i="2"/>
  <c r="R160" i="2"/>
  <c r="R156" i="2"/>
  <c r="R153" i="2"/>
  <c r="R155" i="2"/>
  <c r="R154" i="2"/>
  <c r="R152" i="2"/>
  <c r="R151" i="2"/>
  <c r="R150" i="2"/>
  <c r="R149" i="2"/>
  <c r="R141" i="2"/>
  <c r="R142" i="2"/>
  <c r="R144" i="2"/>
  <c r="R143" i="2"/>
  <c r="R137" i="2"/>
  <c r="R138" i="2"/>
  <c r="R139" i="2"/>
  <c r="R140" i="2"/>
  <c r="R133" i="2"/>
  <c r="R134" i="2"/>
  <c r="R135" i="2"/>
  <c r="R136" i="2"/>
  <c r="R129" i="2"/>
  <c r="R131" i="2"/>
  <c r="R132" i="2"/>
  <c r="R130" i="2"/>
  <c r="R125" i="2"/>
  <c r="R127" i="2"/>
  <c r="R126" i="2"/>
  <c r="R128" i="2"/>
  <c r="R123" i="2"/>
  <c r="R124" i="2"/>
  <c r="R121" i="2"/>
  <c r="R122" i="2"/>
  <c r="R77" i="2"/>
  <c r="R75" i="2"/>
  <c r="R76" i="2"/>
  <c r="R72" i="2"/>
  <c r="R71" i="2"/>
  <c r="R67" i="2"/>
  <c r="R66" i="2"/>
  <c r="R68" i="2"/>
  <c r="R63" i="2"/>
  <c r="R61" i="2"/>
  <c r="R62" i="2"/>
  <c r="R58" i="2"/>
  <c r="R57" i="2"/>
  <c r="R55" i="2"/>
  <c r="R56" i="2"/>
  <c r="R52" i="2"/>
  <c r="R54" i="2"/>
  <c r="R53" i="2"/>
  <c r="R51" i="2"/>
  <c r="R48" i="2"/>
  <c r="R45" i="2"/>
  <c r="R46" i="2"/>
  <c r="R44" i="2"/>
  <c r="R42" i="2"/>
  <c r="P107" i="2"/>
  <c r="R107" i="2" s="1"/>
  <c r="P106" i="2"/>
  <c r="R106" i="2" s="1"/>
  <c r="P145" i="2"/>
  <c r="R145" i="2" s="1"/>
  <c r="P148" i="2"/>
  <c r="R148" i="2" s="1"/>
  <c r="P147" i="2"/>
  <c r="R147" i="2" s="1"/>
  <c r="P21" i="2"/>
  <c r="R21" i="2" s="1"/>
  <c r="P25" i="2"/>
  <c r="R25" i="2" s="1"/>
  <c r="P24" i="2"/>
  <c r="R24" i="2" s="1"/>
  <c r="P17" i="2"/>
  <c r="R17" i="2" s="1"/>
  <c r="P18" i="2"/>
  <c r="R18" i="2" s="1"/>
  <c r="P13" i="2"/>
  <c r="P14" i="2"/>
  <c r="R14" i="2" s="1"/>
  <c r="P9" i="2"/>
  <c r="R9" i="2" s="1"/>
  <c r="P10" i="2"/>
  <c r="P5" i="2"/>
  <c r="P6" i="2"/>
  <c r="P19" i="2"/>
  <c r="R19" i="2" s="1"/>
  <c r="P20" i="2"/>
  <c r="R20" i="2" s="1"/>
  <c r="P15" i="2"/>
  <c r="R15" i="2" s="1"/>
  <c r="P16" i="2"/>
  <c r="R16" i="2" s="1"/>
  <c r="P11" i="2"/>
  <c r="R11" i="2" s="1"/>
  <c r="P12" i="2"/>
  <c r="P4" i="2"/>
  <c r="R4" i="2" s="1"/>
  <c r="P171" i="2"/>
  <c r="R171" i="2" s="1"/>
  <c r="P146" i="2"/>
  <c r="R146" i="2" s="1"/>
  <c r="P47" i="2"/>
  <c r="R47" i="2" s="1"/>
  <c r="P43" i="2"/>
  <c r="R43" i="2" s="1"/>
  <c r="P41" i="2"/>
  <c r="R41" i="2" s="1"/>
  <c r="P49" i="2"/>
  <c r="R49" i="2" s="1"/>
  <c r="P166" i="2"/>
  <c r="R166" i="2" s="1"/>
  <c r="P109" i="2"/>
  <c r="R109" i="2" s="1"/>
  <c r="P221" i="2"/>
  <c r="R221" i="2" s="1"/>
  <c r="P215" i="2"/>
  <c r="R215" i="2" s="1"/>
  <c r="P208" i="2"/>
  <c r="R208" i="2" s="1"/>
  <c r="P201" i="2"/>
  <c r="R201" i="2" s="1"/>
  <c r="P194" i="2"/>
  <c r="R194" i="2" s="1"/>
  <c r="P7" i="2"/>
  <c r="R7" i="2" s="1"/>
  <c r="P8" i="2"/>
  <c r="P2" i="2"/>
  <c r="R2" i="2" s="1"/>
  <c r="P3" i="2"/>
  <c r="O296" i="2"/>
  <c r="O291" i="2"/>
  <c r="O288" i="2"/>
  <c r="O271" i="2"/>
  <c r="O266" i="2"/>
  <c r="O263" i="2"/>
  <c r="O260" i="2"/>
  <c r="O257" i="2"/>
  <c r="O251" i="2"/>
  <c r="O244" i="2"/>
  <c r="O237" i="2"/>
  <c r="O230" i="2"/>
  <c r="O225" i="2"/>
  <c r="O218" i="2"/>
  <c r="O211" i="2"/>
  <c r="O204" i="2"/>
  <c r="O197" i="2"/>
  <c r="O120" i="2"/>
  <c r="O112" i="2"/>
  <c r="O107" i="2"/>
  <c r="O104" i="2"/>
  <c r="O100" i="2"/>
  <c r="O96" i="2"/>
  <c r="O92" i="2"/>
  <c r="O85" i="2"/>
  <c r="O80" i="2"/>
  <c r="O173" i="2"/>
  <c r="O168" i="2"/>
  <c r="O153" i="2"/>
  <c r="O148" i="2"/>
  <c r="O144" i="2"/>
  <c r="O140" i="2"/>
  <c r="O136" i="2"/>
  <c r="O130" i="2"/>
  <c r="O128" i="2"/>
  <c r="O122" i="2"/>
  <c r="O76" i="2"/>
  <c r="O68" i="2"/>
  <c r="O62" i="2"/>
  <c r="O53" i="2"/>
  <c r="O39" i="2"/>
  <c r="O32" i="2"/>
  <c r="O302" i="2"/>
  <c r="O299" i="2"/>
  <c r="O294" i="2"/>
  <c r="O289" i="2"/>
  <c r="O287" i="2"/>
  <c r="O281" i="2"/>
  <c r="O275" i="2"/>
  <c r="O267" i="2"/>
  <c r="O252" i="2"/>
  <c r="O245" i="2"/>
  <c r="O238" i="2"/>
  <c r="O231" i="2"/>
  <c r="O226" i="2"/>
  <c r="O219" i="2"/>
  <c r="O212" i="2"/>
  <c r="O205" i="2"/>
  <c r="O198" i="2"/>
  <c r="O191" i="2"/>
  <c r="O188" i="2"/>
  <c r="O186" i="2"/>
  <c r="O184" i="2"/>
  <c r="O181" i="2"/>
  <c r="O179" i="2"/>
  <c r="O177" i="2"/>
  <c r="O117" i="2"/>
  <c r="O114" i="2"/>
  <c r="O110" i="2"/>
  <c r="O108" i="2"/>
  <c r="O102" i="2"/>
  <c r="O99" i="2"/>
  <c r="O95" i="2"/>
  <c r="O91" i="2"/>
  <c r="O89" i="2"/>
  <c r="O84" i="2"/>
  <c r="O170" i="2"/>
  <c r="O165" i="2"/>
  <c r="O161" i="2"/>
  <c r="O157" i="2"/>
  <c r="O149" i="2"/>
  <c r="O142" i="2"/>
  <c r="O138" i="2"/>
  <c r="O134" i="2"/>
  <c r="O131" i="2"/>
  <c r="O127" i="2"/>
  <c r="O124" i="2"/>
  <c r="O79" i="2"/>
  <c r="O74" i="2"/>
  <c r="O70" i="2"/>
  <c r="O65" i="2"/>
  <c r="O305" i="2"/>
  <c r="O304" i="2"/>
  <c r="O301" i="2"/>
  <c r="O298" i="2"/>
  <c r="O297" i="2"/>
  <c r="O293" i="2"/>
  <c r="O292" i="2"/>
  <c r="O285" i="2"/>
  <c r="O283" i="2"/>
  <c r="O280" i="2"/>
  <c r="O279" i="2"/>
  <c r="O268" i="2"/>
  <c r="O269" i="2"/>
  <c r="O264" i="2"/>
  <c r="O261" i="2"/>
  <c r="O258" i="2"/>
  <c r="O253" i="2"/>
  <c r="O254" i="2"/>
  <c r="O246" i="2"/>
  <c r="O249" i="2"/>
  <c r="O239" i="2"/>
  <c r="O241" i="2"/>
  <c r="O233" i="2"/>
  <c r="O234" i="2"/>
  <c r="O227" i="2"/>
  <c r="O220" i="2"/>
  <c r="O214" i="2"/>
  <c r="O206" i="2"/>
  <c r="O199" i="2"/>
  <c r="O193" i="2"/>
  <c r="O119" i="2"/>
  <c r="O116" i="2"/>
  <c r="O113" i="2"/>
  <c r="O109" i="2"/>
  <c r="O105" i="2"/>
  <c r="O101" i="2"/>
  <c r="O94" i="2"/>
  <c r="O90" i="2"/>
  <c r="O87" i="2"/>
  <c r="O82" i="2"/>
  <c r="O171" i="2"/>
  <c r="O166" i="2"/>
  <c r="O162" i="2"/>
  <c r="O158" i="2"/>
  <c r="O156" i="2"/>
  <c r="O152" i="2"/>
  <c r="O146" i="2"/>
  <c r="O141" i="2"/>
  <c r="O137" i="2"/>
  <c r="O133" i="2"/>
  <c r="O129" i="2"/>
  <c r="O125" i="2"/>
  <c r="O123" i="2"/>
  <c r="O77" i="2"/>
  <c r="O72" i="2"/>
  <c r="O67" i="2"/>
  <c r="O63" i="2"/>
  <c r="O58" i="2"/>
  <c r="O55" i="2"/>
  <c r="O52" i="2"/>
  <c r="O51" i="2"/>
  <c r="O49" i="2"/>
  <c r="O47" i="2"/>
  <c r="O45" i="2"/>
  <c r="O43" i="2"/>
  <c r="O41" i="2"/>
  <c r="O38" i="2"/>
  <c r="O36" i="2"/>
  <c r="O34" i="2"/>
  <c r="O31" i="2"/>
  <c r="O27" i="2"/>
  <c r="O25" i="2"/>
  <c r="O22" i="2"/>
  <c r="O18" i="2"/>
  <c r="O20" i="2"/>
  <c r="O14" i="2"/>
  <c r="O16" i="2"/>
  <c r="O12" i="2"/>
  <c r="O10" i="2"/>
  <c r="O8" i="2"/>
  <c r="O6" i="2"/>
  <c r="O4" i="2"/>
  <c r="O270" i="2"/>
  <c r="O255" i="2"/>
  <c r="O248" i="2"/>
  <c r="O242" i="2"/>
  <c r="O235" i="2"/>
  <c r="O228" i="2"/>
  <c r="O223" i="2"/>
  <c r="O216" i="2"/>
  <c r="O209" i="2"/>
  <c r="O202" i="2"/>
  <c r="O195" i="2"/>
  <c r="O187" i="2"/>
  <c r="O185" i="2"/>
  <c r="O183" i="2"/>
  <c r="O182" i="2"/>
  <c r="O180" i="2"/>
  <c r="O178" i="2"/>
  <c r="O88" i="2"/>
  <c r="O83" i="2"/>
  <c r="O172" i="2"/>
  <c r="O167" i="2"/>
  <c r="O163" i="2"/>
  <c r="O160" i="2"/>
  <c r="O154" i="2"/>
  <c r="O150" i="2"/>
  <c r="O147" i="2"/>
  <c r="O78" i="2"/>
  <c r="O73" i="2"/>
  <c r="O69" i="2"/>
  <c r="O64" i="2"/>
  <c r="O295" i="2"/>
  <c r="O290" i="2"/>
  <c r="O286" i="2"/>
  <c r="O284" i="2"/>
  <c r="O276" i="2"/>
  <c r="O272" i="2"/>
  <c r="O265" i="2"/>
  <c r="O262" i="2"/>
  <c r="O259" i="2"/>
  <c r="O256" i="2"/>
  <c r="O250" i="2"/>
  <c r="O243" i="2"/>
  <c r="O236" i="2"/>
  <c r="O229" i="2"/>
  <c r="O224" i="2"/>
  <c r="O217" i="2"/>
  <c r="O210" i="2"/>
  <c r="O203" i="2"/>
  <c r="O196" i="2"/>
  <c r="O118" i="2"/>
  <c r="O115" i="2"/>
  <c r="O111" i="2"/>
  <c r="O106" i="2"/>
  <c r="O103" i="2"/>
  <c r="O98" i="2"/>
  <c r="O97" i="2"/>
  <c r="O93" i="2"/>
  <c r="O86" i="2"/>
  <c r="O81" i="2"/>
  <c r="O174" i="2"/>
  <c r="O169" i="2"/>
  <c r="O164" i="2"/>
  <c r="O159" i="2"/>
  <c r="O155" i="2"/>
  <c r="O151" i="2"/>
  <c r="O145" i="2"/>
  <c r="O143" i="2"/>
  <c r="O139" i="2"/>
  <c r="O135" i="2"/>
  <c r="O132" i="2"/>
  <c r="O126" i="2"/>
  <c r="O121" i="2"/>
  <c r="O75" i="2"/>
  <c r="O71" i="2"/>
  <c r="O66" i="2"/>
  <c r="O61" i="2"/>
  <c r="O57" i="2"/>
  <c r="O56" i="2"/>
  <c r="O54" i="2"/>
  <c r="O50" i="2"/>
  <c r="O48" i="2"/>
  <c r="O46" i="2"/>
  <c r="O44" i="2"/>
  <c r="O42" i="2"/>
  <c r="O40" i="2"/>
  <c r="O37" i="2"/>
  <c r="O35" i="2"/>
  <c r="O33" i="2"/>
  <c r="O303" i="2"/>
  <c r="O300" i="2"/>
  <c r="O282" i="2"/>
  <c r="O278" i="2"/>
  <c r="O277" i="2"/>
  <c r="O247" i="2"/>
  <c r="O240" i="2"/>
  <c r="O232" i="2"/>
  <c r="O222" i="2"/>
  <c r="O221" i="2"/>
  <c r="O215" i="2"/>
  <c r="O213" i="2"/>
  <c r="O208" i="2"/>
  <c r="O207" i="2"/>
  <c r="O201" i="2"/>
  <c r="O200" i="2"/>
  <c r="O194" i="2"/>
  <c r="O192" i="2"/>
  <c r="O28" i="2"/>
  <c r="O26" i="2"/>
  <c r="O24" i="2"/>
  <c r="O23" i="2"/>
  <c r="O21" i="2"/>
  <c r="O19" i="2"/>
  <c r="O17" i="2"/>
  <c r="O15" i="2"/>
  <c r="O13" i="2"/>
  <c r="O11" i="2"/>
  <c r="O9" i="2"/>
  <c r="O7" i="2"/>
  <c r="O5" i="2"/>
  <c r="O3" i="2"/>
  <c r="R13" i="2"/>
  <c r="R12" i="2"/>
  <c r="R10" i="2"/>
  <c r="R8" i="2"/>
  <c r="R6" i="2"/>
  <c r="R5" i="2"/>
  <c r="R3" i="2"/>
  <c r="AL316" i="2"/>
  <c r="AQ327" i="2" s="1"/>
  <c r="AM310" i="2"/>
  <c r="AL346" i="2"/>
  <c r="AL345" i="2"/>
  <c r="AL344" i="2"/>
  <c r="AI343" i="2"/>
  <c r="AL343" i="2" s="1"/>
  <c r="AI342" i="2"/>
  <c r="AL342" i="2" s="1"/>
  <c r="AI341" i="2"/>
  <c r="AL341" i="2" s="1"/>
  <c r="AI338" i="2"/>
  <c r="AL338" i="2" s="1"/>
  <c r="AI337" i="2"/>
  <c r="AL337" i="2" s="1"/>
  <c r="AI336" i="2"/>
  <c r="AL336" i="2" s="1"/>
  <c r="AL335" i="2"/>
  <c r="AL327" i="2"/>
  <c r="AL326" i="2"/>
  <c r="AL325" i="2"/>
  <c r="AI324" i="2"/>
  <c r="AL324" i="2" s="1"/>
  <c r="AI323" i="2"/>
  <c r="AL323" i="2" s="1"/>
  <c r="AI322" i="2"/>
  <c r="AL322" i="2" s="1"/>
  <c r="AP320" i="2"/>
  <c r="AP319" i="2"/>
  <c r="AI319" i="2"/>
  <c r="AL319" i="2" s="1"/>
  <c r="AP318" i="2"/>
  <c r="AI318" i="2"/>
  <c r="AL318" i="2" s="1"/>
  <c r="AP317" i="2"/>
  <c r="AI317" i="2"/>
  <c r="AL317" i="2" s="1"/>
  <c r="AP316" i="2"/>
  <c r="AM316" i="2"/>
  <c r="O2" i="2"/>
  <c r="AM317" i="2" l="1"/>
  <c r="AQ317" i="2" s="1"/>
  <c r="AM320" i="2"/>
  <c r="AQ320" i="2" s="1"/>
  <c r="AM319" i="2"/>
  <c r="AQ319" i="2" s="1"/>
  <c r="AM318" i="2"/>
  <c r="AQ318" i="2" s="1"/>
  <c r="AQ316" i="2"/>
  <c r="AQ321" i="2" l="1"/>
  <c r="AQ324" i="2" s="1"/>
</calcChain>
</file>

<file path=xl/sharedStrings.xml><?xml version="1.0" encoding="utf-8"?>
<sst xmlns="http://schemas.openxmlformats.org/spreadsheetml/2006/main" count="3812" uniqueCount="444">
  <si>
    <t>Units</t>
  </si>
  <si>
    <t>ITEM</t>
  </si>
  <si>
    <t>Make</t>
  </si>
  <si>
    <t>Model</t>
  </si>
  <si>
    <t>GVWR</t>
  </si>
  <si>
    <t>Engine</t>
  </si>
  <si>
    <t>Trim</t>
  </si>
  <si>
    <t>Trim Code</t>
  </si>
  <si>
    <t>Trans</t>
  </si>
  <si>
    <t>MPG</t>
  </si>
  <si>
    <t>Resale</t>
  </si>
  <si>
    <t>Bid Price Delivered</t>
  </si>
  <si>
    <t>LLC Award</t>
  </si>
  <si>
    <t>Del Miles</t>
  </si>
  <si>
    <t xml:space="preserve"> </t>
  </si>
  <si>
    <t>Percent Value</t>
  </si>
  <si>
    <t>Total Cost</t>
  </si>
  <si>
    <t>Chevy</t>
  </si>
  <si>
    <t>WT</t>
  </si>
  <si>
    <t>1WT</t>
  </si>
  <si>
    <t>Dealer</t>
  </si>
  <si>
    <t>SPU 3.1 - DOT</t>
  </si>
  <si>
    <t>SPU 3.2 - DAS</t>
  </si>
  <si>
    <t>SPU 3.3 - UI</t>
  </si>
  <si>
    <t>CPU 1.1 - DAS</t>
  </si>
  <si>
    <t>CPU 2.1 - DOT</t>
  </si>
  <si>
    <t>CPU 2.2 - ISU</t>
  </si>
  <si>
    <t>CPU 2.3 - ISU</t>
  </si>
  <si>
    <t>CPU 3.1 - UI</t>
  </si>
  <si>
    <t>CPU 3.2 - DOT</t>
  </si>
  <si>
    <t>CPU 5.1 - DAS</t>
  </si>
  <si>
    <t>SPU 1.1 - DOT</t>
  </si>
  <si>
    <t>SPU 1.2 - DAS</t>
  </si>
  <si>
    <t>SPU 1.3 - UI</t>
  </si>
  <si>
    <t>SPU 1.4 - ISU</t>
  </si>
  <si>
    <t>SPU 1.5 - ISU</t>
  </si>
  <si>
    <t>SPU 2.1 - UI</t>
  </si>
  <si>
    <t>SPU 4.1 - UI</t>
  </si>
  <si>
    <t>SPU 5.1 - UI</t>
  </si>
  <si>
    <t>SPU 5.2 - ISU</t>
  </si>
  <si>
    <t>SPU 6.1 - UI</t>
  </si>
  <si>
    <t>SPU 7.1 - UI</t>
  </si>
  <si>
    <t>FVN 1.1 - DAS</t>
  </si>
  <si>
    <t>FVN 1.2 - UI</t>
  </si>
  <si>
    <t>FVN 1.3 - ISU</t>
  </si>
  <si>
    <t>FVN 1.4 - ISU</t>
  </si>
  <si>
    <t>FVN 2.1 - DOT</t>
  </si>
  <si>
    <t>FVN 2.2 - DOT</t>
  </si>
  <si>
    <t>FVN 3.1 - ISU</t>
  </si>
  <si>
    <t>FVN 3.2 - DOT</t>
  </si>
  <si>
    <t>FVN 4.1 - UI</t>
  </si>
  <si>
    <t>FVN 5.1 - ISU</t>
  </si>
  <si>
    <t>FVN 5.2 - UI</t>
  </si>
  <si>
    <t>FVN 5.3 - UI</t>
  </si>
  <si>
    <t>FVN 6.1 - ISU</t>
  </si>
  <si>
    <t>HPU 1.1 - ISU</t>
  </si>
  <si>
    <t>HPU 1.2 - DOT</t>
  </si>
  <si>
    <t>HPU 1.3 - DOT</t>
  </si>
  <si>
    <t>HPU 1.4 - UI</t>
  </si>
  <si>
    <t>HPU 2.1 - UI</t>
  </si>
  <si>
    <t>HPU 2.2 - DAS</t>
  </si>
  <si>
    <t>HPU 3.1 - ISU</t>
  </si>
  <si>
    <t>HPU 6.1 - ISU</t>
  </si>
  <si>
    <t>HPU 7.1 - UI</t>
  </si>
  <si>
    <t>HPU 7.2 - DOT</t>
  </si>
  <si>
    <t>HPU 8.1 - DOT</t>
  </si>
  <si>
    <t>HPU 9.1 - UI</t>
  </si>
  <si>
    <t>HPU 9.2 - DOT</t>
  </si>
  <si>
    <t>HPU 9.2 - ISU</t>
  </si>
  <si>
    <t>HPU 10.1 - UI</t>
  </si>
  <si>
    <t>HPU 10.2 - UI</t>
  </si>
  <si>
    <t>HPU 10.3 - DAS</t>
  </si>
  <si>
    <t>HPU 11.1 - UI</t>
  </si>
  <si>
    <t>HPU 11.2 - UI</t>
  </si>
  <si>
    <t>HPU 11.3 - ISU</t>
  </si>
  <si>
    <t>HPU 13.1 - DAS</t>
  </si>
  <si>
    <t>HPU 14.1 - DOT</t>
  </si>
  <si>
    <t>HPU 14.2 - ISU</t>
  </si>
  <si>
    <t>HPU 15.1 - ISU</t>
  </si>
  <si>
    <t>HPU 15.2 - DOT</t>
  </si>
  <si>
    <t>HPU 16.1 - ISU</t>
  </si>
  <si>
    <t>HPU 17.1 - ISU</t>
  </si>
  <si>
    <t>MV 1.1 - DAS</t>
  </si>
  <si>
    <t>MV 1.2 - DAS</t>
  </si>
  <si>
    <t>MV 1.3 - UNI</t>
  </si>
  <si>
    <t>Mini-Window Van Ext Length 7-pass</t>
  </si>
  <si>
    <t>Mini-Window Van Ext Length 2-pass Cargo</t>
  </si>
  <si>
    <t>MV 2.1 - DOT</t>
  </si>
  <si>
    <t>MV 2.2 - ISU</t>
  </si>
  <si>
    <t>MV 2.3 - UI</t>
  </si>
  <si>
    <t>Small 4-door 4x2 Utility FWD 5-Pass</t>
  </si>
  <si>
    <t>SUV 1.1 - DOT</t>
  </si>
  <si>
    <t>Small 4-door 4x4 or All WD Utility 5-Pass</t>
  </si>
  <si>
    <t>SUV 2.1 - UI</t>
  </si>
  <si>
    <t>SUV 3.1 - DAS</t>
  </si>
  <si>
    <t>SUV 4.1 - DAS</t>
  </si>
  <si>
    <t>SUV 4.2 - UI</t>
  </si>
  <si>
    <t>SUV 5.1 - UI</t>
  </si>
  <si>
    <t>SUV 5.2 - UI</t>
  </si>
  <si>
    <t>Compact Crew Cab 4x4 5 Ft Body</t>
  </si>
  <si>
    <t>Crew Cab 5-1/2 to 6 Ft Body 4x4</t>
  </si>
  <si>
    <t>Crew Cab 6 Ft Body Turbo Diesel 4x4</t>
  </si>
  <si>
    <t>Crew Cab 8 Ft Body</t>
  </si>
  <si>
    <t>Crew Cab 8 Ft Flatbed Body</t>
  </si>
  <si>
    <t>Crew Cab 8 Ft Body 4x4</t>
  </si>
  <si>
    <t>Crew Cab 8 Ft Body Delete 4x4</t>
  </si>
  <si>
    <t>Crew Cab 8 Ft Body DRW</t>
  </si>
  <si>
    <t>Crew Cab 8 Ft Body DRW Turbo Diesel 4x4</t>
  </si>
  <si>
    <t xml:space="preserve">Mini-Window Van Ext Length 7-pass </t>
  </si>
  <si>
    <t>Description</t>
  </si>
  <si>
    <t>Mid-Size 4-door 4x4 Utility 5-Pass</t>
  </si>
  <si>
    <t>Full-Size 4-door 4x4 Utility 5-pass</t>
  </si>
  <si>
    <t>Full-Size Specialty 4x4 6-Pass</t>
  </si>
  <si>
    <t>HD Full-Size Specialty 4x4 6-Pass</t>
  </si>
  <si>
    <t>Colorado</t>
  </si>
  <si>
    <t>CS15403</t>
  </si>
  <si>
    <t>Std Length Cargo Van 2 Pass</t>
  </si>
  <si>
    <t>Std Length Cargo Van 5 Pass</t>
  </si>
  <si>
    <t>Std Length Heavy Duty Cargo Van 2 Pass</t>
  </si>
  <si>
    <t>Ext Length Heavy Duty Cargo 5 Pass</t>
  </si>
  <si>
    <t>Ext Length Heavy Duty Cargo 2 Pass</t>
  </si>
  <si>
    <t>Std Length Window Van 2 Pass</t>
  </si>
  <si>
    <t>Ext Length Window Van 15 Pass</t>
  </si>
  <si>
    <t>Cut-Away w/15 Ft Van Body &amp; Lift Gate</t>
  </si>
  <si>
    <t>Std Cab 8 Ft Body</t>
  </si>
  <si>
    <t>Std Cab 8 Ft Flat Bed</t>
  </si>
  <si>
    <t>Std Cab 8 Ft Body &amp; Snow Plow Package 4x4</t>
  </si>
  <si>
    <t>Std Cab 8 Ft Body DRW</t>
  </si>
  <si>
    <t>Std Cab 8 Ft Body DRW 4x4</t>
  </si>
  <si>
    <t>Ext Cab 6 Ft Body</t>
  </si>
  <si>
    <t>Ext Cab 6 Ft Body Turbo Diesel</t>
  </si>
  <si>
    <t>Ext Cab 8 Ft Body</t>
  </si>
  <si>
    <t>Ext Cab 8 Ft Flatbed</t>
  </si>
  <si>
    <t>Ext Cab 6 Ft Body &amp; Snow Plow Package 4x4</t>
  </si>
  <si>
    <t>Ext Cab 6 Ft Body 4x4</t>
  </si>
  <si>
    <t>Ext Cab 8 Ft Body 4x4</t>
  </si>
  <si>
    <t>Std Cab 8 Ft Body 4x4</t>
  </si>
  <si>
    <t>Compact Std Cab 6 Ft Body</t>
  </si>
  <si>
    <t>Compact Ext Cab 6 Ft Body</t>
  </si>
  <si>
    <t>Compact Ext Cab 4x4 6 Ft Body</t>
  </si>
  <si>
    <t>USA</t>
  </si>
  <si>
    <t>Y</t>
  </si>
  <si>
    <t>Junge CP</t>
  </si>
  <si>
    <t>Dodge</t>
  </si>
  <si>
    <t>1500 4x2</t>
  </si>
  <si>
    <t>DS1L62</t>
  </si>
  <si>
    <t>ST</t>
  </si>
  <si>
    <t>23A</t>
  </si>
  <si>
    <t>DG1 6 spd</t>
  </si>
  <si>
    <t>N</t>
  </si>
  <si>
    <t>1500 4x4</t>
  </si>
  <si>
    <t>DS6L62</t>
  </si>
  <si>
    <t>Quad 1500</t>
  </si>
  <si>
    <t>DS1L41</t>
  </si>
  <si>
    <t>DS6L41</t>
  </si>
  <si>
    <t>Crew 1500</t>
  </si>
  <si>
    <t>DS6L98</t>
  </si>
  <si>
    <t>2500 4x2</t>
  </si>
  <si>
    <t>DJ2L62</t>
  </si>
  <si>
    <t>26A</t>
  </si>
  <si>
    <t>DFP 6 spd</t>
  </si>
  <si>
    <t>2500 4x4</t>
  </si>
  <si>
    <t>DJ7L62</t>
  </si>
  <si>
    <t xml:space="preserve">Crew 2500 </t>
  </si>
  <si>
    <t>ETJ I-6 6.7L</t>
  </si>
  <si>
    <t>DJ7L91</t>
  </si>
  <si>
    <t>2FA</t>
  </si>
  <si>
    <t>DG7 6 spd</t>
  </si>
  <si>
    <t>DJ2L92</t>
  </si>
  <si>
    <t>Crew 3500</t>
  </si>
  <si>
    <t>D23L92</t>
  </si>
  <si>
    <t>D28L92</t>
  </si>
  <si>
    <t>RTKE53</t>
  </si>
  <si>
    <t>C/V</t>
  </si>
  <si>
    <t>29C</t>
  </si>
  <si>
    <t>DG2 6spd</t>
  </si>
  <si>
    <t>RTKH53</t>
  </si>
  <si>
    <t>SE</t>
  </si>
  <si>
    <t>29E</t>
  </si>
  <si>
    <t>Ford</t>
  </si>
  <si>
    <t>Yes</t>
  </si>
  <si>
    <t>F150</t>
  </si>
  <si>
    <t>99M V6 3.7L</t>
  </si>
  <si>
    <t>F1C</t>
  </si>
  <si>
    <t>XL</t>
  </si>
  <si>
    <t>502A</t>
  </si>
  <si>
    <t>F1E</t>
  </si>
  <si>
    <t>X1C</t>
  </si>
  <si>
    <t>X1E</t>
  </si>
  <si>
    <t>99F V8 5.0L</t>
  </si>
  <si>
    <t>W1E</t>
  </si>
  <si>
    <t>XLT</t>
  </si>
  <si>
    <t>507A</t>
  </si>
  <si>
    <t>E150</t>
  </si>
  <si>
    <t>E1E</t>
  </si>
  <si>
    <t>CARGO</t>
  </si>
  <si>
    <t>740A</t>
  </si>
  <si>
    <t>44Q</t>
  </si>
  <si>
    <t>E350</t>
  </si>
  <si>
    <t>E3E</t>
  </si>
  <si>
    <t>760A</t>
  </si>
  <si>
    <t>S3E</t>
  </si>
  <si>
    <t>E1B</t>
  </si>
  <si>
    <t>700A</t>
  </si>
  <si>
    <t>S3B</t>
  </si>
  <si>
    <t>723A</t>
  </si>
  <si>
    <t>E450</t>
  </si>
  <si>
    <t>99S V10 6.8L</t>
  </si>
  <si>
    <t>E4F</t>
  </si>
  <si>
    <t>782A</t>
  </si>
  <si>
    <t>44T</t>
  </si>
  <si>
    <t>F250</t>
  </si>
  <si>
    <t>996 V8 6.2L</t>
  </si>
  <si>
    <t>F2A</t>
  </si>
  <si>
    <t>600A</t>
  </si>
  <si>
    <t>44P</t>
  </si>
  <si>
    <t>F2B</t>
  </si>
  <si>
    <t>603A</t>
  </si>
  <si>
    <t>F350</t>
  </si>
  <si>
    <t>F3C</t>
  </si>
  <si>
    <t>620A</t>
  </si>
  <si>
    <t>F3D</t>
  </si>
  <si>
    <t>X2A</t>
  </si>
  <si>
    <t>44W</t>
  </si>
  <si>
    <t>X2B</t>
  </si>
  <si>
    <t>W2B</t>
  </si>
  <si>
    <t>W2A</t>
  </si>
  <si>
    <t>W3C</t>
  </si>
  <si>
    <t>623A</t>
  </si>
  <si>
    <t>W3D</t>
  </si>
  <si>
    <t>U0D</t>
  </si>
  <si>
    <t>200A</t>
  </si>
  <si>
    <t>U9D</t>
  </si>
  <si>
    <t>998 V6 3.5L</t>
  </si>
  <si>
    <t>K8B</t>
  </si>
  <si>
    <t>BASE</t>
  </si>
  <si>
    <t>100A</t>
  </si>
  <si>
    <t>44J</t>
  </si>
  <si>
    <t>U1G</t>
  </si>
  <si>
    <t>RAM 1500</t>
  </si>
  <si>
    <t>DS1H62</t>
  </si>
  <si>
    <t>SLT</t>
  </si>
  <si>
    <t>23G</t>
  </si>
  <si>
    <t>DS6H62</t>
  </si>
  <si>
    <t>DS1H41</t>
  </si>
  <si>
    <t>DS6H41</t>
  </si>
  <si>
    <t>DS6H98</t>
  </si>
  <si>
    <t>RAM 2500</t>
  </si>
  <si>
    <t>EZC V8 5.7L</t>
  </si>
  <si>
    <t>DJ2H62</t>
  </si>
  <si>
    <t>26G</t>
  </si>
  <si>
    <t>DJ7H62</t>
  </si>
  <si>
    <t>RAM 3500</t>
  </si>
  <si>
    <t>ETJ I6 6.7L</t>
  </si>
  <si>
    <t>D23H62</t>
  </si>
  <si>
    <t>2FG</t>
  </si>
  <si>
    <t>D28H62</t>
  </si>
  <si>
    <t>DJ2H91</t>
  </si>
  <si>
    <t>D23H91</t>
  </si>
  <si>
    <t>DJ2H92</t>
  </si>
  <si>
    <t>DJ7H91</t>
  </si>
  <si>
    <t>DJ7H92</t>
  </si>
  <si>
    <t>D23H92</t>
  </si>
  <si>
    <t>D28H92</t>
  </si>
  <si>
    <t>ERB V6 3.6L</t>
  </si>
  <si>
    <t>CV</t>
  </si>
  <si>
    <t>COMPASS</t>
  </si>
  <si>
    <t>ECN I4 2.0L</t>
  </si>
  <si>
    <t>MKTM49</t>
  </si>
  <si>
    <t>LATITUDE</t>
  </si>
  <si>
    <t>24B</t>
  </si>
  <si>
    <t>DAV</t>
  </si>
  <si>
    <t>ED3 I4 2.4L</t>
  </si>
  <si>
    <t>MKJM74</t>
  </si>
  <si>
    <t>26B</t>
  </si>
  <si>
    <t>WKJH74</t>
  </si>
  <si>
    <t>LAREDO</t>
  </si>
  <si>
    <t>26E</t>
  </si>
  <si>
    <t>DGJ</t>
  </si>
  <si>
    <t>WDEH75</t>
  </si>
  <si>
    <t>CREW</t>
  </si>
  <si>
    <t>EZH V8 5.7L</t>
  </si>
  <si>
    <t>24E</t>
  </si>
  <si>
    <t xml:space="preserve">XL </t>
  </si>
  <si>
    <t>K7D</t>
  </si>
  <si>
    <t>44C</t>
  </si>
  <si>
    <t>Jeep</t>
  </si>
  <si>
    <t>Gabus Ford</t>
  </si>
  <si>
    <t>Stew Hansen</t>
  </si>
  <si>
    <t>Stivers</t>
  </si>
  <si>
    <t>HPU 9.3 - ISU</t>
  </si>
  <si>
    <t>Bob Brown</t>
  </si>
  <si>
    <t>LT</t>
  </si>
  <si>
    <t>1LT</t>
  </si>
  <si>
    <t>M30 4SP</t>
  </si>
  <si>
    <t>CS15653</t>
  </si>
  <si>
    <t>CPU 2.4 - UI</t>
  </si>
  <si>
    <t>CT15653</t>
  </si>
  <si>
    <t>2LT</t>
  </si>
  <si>
    <t>CT15643</t>
  </si>
  <si>
    <t>Silverado</t>
  </si>
  <si>
    <t>CC10903</t>
  </si>
  <si>
    <t>CC10753</t>
  </si>
  <si>
    <t>Captiva</t>
  </si>
  <si>
    <t>1LD26</t>
  </si>
  <si>
    <t>LS</t>
  </si>
  <si>
    <t>2LS</t>
  </si>
  <si>
    <t>MXO 6SP</t>
  </si>
  <si>
    <t>1LS</t>
  </si>
  <si>
    <t>Equinox</t>
  </si>
  <si>
    <t>1LG26</t>
  </si>
  <si>
    <t>Suburban</t>
  </si>
  <si>
    <t>LC9 V8 5.3L</t>
  </si>
  <si>
    <t>CK10906</t>
  </si>
  <si>
    <t>1FL</t>
  </si>
  <si>
    <t>MYC 6SP</t>
  </si>
  <si>
    <t>Karl's</t>
  </si>
  <si>
    <t>LLV V4 2.9L</t>
  </si>
  <si>
    <t>L20 V8 4.8L E85</t>
  </si>
  <si>
    <t>CK10903</t>
  </si>
  <si>
    <t>CK10753</t>
  </si>
  <si>
    <t>LMG V8 5.3L</t>
  </si>
  <si>
    <t>CC10953</t>
  </si>
  <si>
    <t>CK10953</t>
  </si>
  <si>
    <t>CK10543</t>
  </si>
  <si>
    <t>Express</t>
  </si>
  <si>
    <t>CG13405</t>
  </si>
  <si>
    <t>CG33405</t>
  </si>
  <si>
    <t>MYD</t>
  </si>
  <si>
    <t>CG33705</t>
  </si>
  <si>
    <t>LMF V8 5.3L</t>
  </si>
  <si>
    <t>CG13406</t>
  </si>
  <si>
    <t>CG33706</t>
  </si>
  <si>
    <t>L96 V8 6.0L</t>
  </si>
  <si>
    <t>CC20903</t>
  </si>
  <si>
    <t>CK20903</t>
  </si>
  <si>
    <t>CC30903</t>
  </si>
  <si>
    <t>CK30903</t>
  </si>
  <si>
    <t>CC20753</t>
  </si>
  <si>
    <t>CC20953</t>
  </si>
  <si>
    <t>CK20753</t>
  </si>
  <si>
    <t>CK20953</t>
  </si>
  <si>
    <t>CK20743</t>
  </si>
  <si>
    <t>CC20943</t>
  </si>
  <si>
    <t>CK20943</t>
  </si>
  <si>
    <t>CC30943</t>
  </si>
  <si>
    <t>CK30943</t>
  </si>
  <si>
    <t>LEA V4 (SIDI) 2.4L</t>
  </si>
  <si>
    <t>1LH26</t>
  </si>
  <si>
    <t>1LW26</t>
  </si>
  <si>
    <t>LTZ</t>
  </si>
  <si>
    <t>1LK26</t>
  </si>
  <si>
    <t>Tahoe</t>
  </si>
  <si>
    <t>CK10706</t>
  </si>
  <si>
    <t>1FL/5W4</t>
  </si>
  <si>
    <t>CK20906</t>
  </si>
  <si>
    <t>Bid Price</t>
  </si>
  <si>
    <t>Total Bid Price</t>
  </si>
  <si>
    <t>Body Code</t>
  </si>
  <si>
    <t>Item</t>
  </si>
  <si>
    <t>Vendor Description</t>
  </si>
  <si>
    <t>Reject/Accept - REASON</t>
  </si>
  <si>
    <t>Base Price</t>
  </si>
  <si>
    <t xml:space="preserve">Del Cost </t>
  </si>
  <si>
    <t>Model Code</t>
  </si>
  <si>
    <t>Trim Name</t>
  </si>
  <si>
    <t>Miles</t>
  </si>
  <si>
    <t>Year</t>
  </si>
  <si>
    <t>Fuel Cost</t>
  </si>
  <si>
    <t>Present Value %</t>
  </si>
  <si>
    <t>Totals</t>
  </si>
  <si>
    <t>Per Gallon</t>
  </si>
  <si>
    <t>A03c</t>
  </si>
  <si>
    <t>COMPACT EXT CAB PICKUP: 4,600 lb. GVWR min, 6-ft. St Side Body, Auto - ORANGE COLOR</t>
  </si>
  <si>
    <t>1  CPU 2.1-DOT</t>
  </si>
  <si>
    <t>Ranger</t>
  </si>
  <si>
    <t>R44</t>
  </si>
  <si>
    <t>867A</t>
  </si>
  <si>
    <t>99U V6-3.0</t>
  </si>
  <si>
    <t>Auto</t>
  </si>
  <si>
    <t>Chevrolet</t>
  </si>
  <si>
    <t>LLV I4 2.9</t>
  </si>
  <si>
    <t>Dakota Club</t>
  </si>
  <si>
    <t>ND1H33</t>
  </si>
  <si>
    <t>27E</t>
  </si>
  <si>
    <t>EVA V8 4.7</t>
  </si>
  <si>
    <t>A05</t>
  </si>
  <si>
    <t>LARGE STANDARD CAB PICKUP: 8,600 lb. GVWR min, 8-ft Straight Side Body, V-8 Engine, Auto - ORANGE COLOR</t>
  </si>
  <si>
    <t>5  HPU 1.4-DOT</t>
  </si>
  <si>
    <t>F30</t>
  </si>
  <si>
    <t>613A</t>
  </si>
  <si>
    <t>995 V8-5.4</t>
  </si>
  <si>
    <t>LCC</t>
  </si>
  <si>
    <t>=</t>
  </si>
  <si>
    <t>F27+(F23/F29)-(F30*E22)</t>
  </si>
  <si>
    <t>F20</t>
  </si>
  <si>
    <t>607A</t>
  </si>
  <si>
    <t>B</t>
  </si>
  <si>
    <t>Bid price:</t>
  </si>
  <si>
    <t>995 V8 5.4</t>
  </si>
  <si>
    <t>G</t>
  </si>
  <si>
    <t>Projected Fuel Total Cost:</t>
  </si>
  <si>
    <t>LQ4 V8 6.0</t>
  </si>
  <si>
    <t>EPA Highway MPG Estimate</t>
  </si>
  <si>
    <t>Orange n/a - GVWR</t>
  </si>
  <si>
    <t>Ram 2500</t>
  </si>
  <si>
    <t>DH2H62</t>
  </si>
  <si>
    <t>EZA V8 5.7</t>
  </si>
  <si>
    <t>R</t>
  </si>
  <si>
    <t xml:space="preserve">5 Year Old Resale Value: </t>
  </si>
  <si>
    <t>Life Cycle Cost, Contract Award:</t>
  </si>
  <si>
    <t>Comm Cutaway w15ft van body</t>
  </si>
  <si>
    <t>CG33803</t>
  </si>
  <si>
    <t>2WT</t>
  </si>
  <si>
    <t>995 V8 5.4L</t>
  </si>
  <si>
    <t>99L V8 5.4L FFV</t>
  </si>
  <si>
    <t>99T  V8 6.7L D</t>
  </si>
  <si>
    <t>99W V8 4.6L FFV</t>
  </si>
  <si>
    <t>LEA 4I 2.4L</t>
  </si>
  <si>
    <t>LLR 5I 3.7L</t>
  </si>
  <si>
    <t>LML V8 6.6L D</t>
  </si>
  <si>
    <t>LU3 V6 4.3L</t>
  </si>
  <si>
    <t>FL</t>
  </si>
  <si>
    <t>FL/5W4</t>
  </si>
  <si>
    <t>No Resiual</t>
  </si>
  <si>
    <t>Grand Caravan Cargo</t>
  </si>
  <si>
    <t>Grand Caravan</t>
  </si>
  <si>
    <t>Durango</t>
  </si>
  <si>
    <t>Escape</t>
  </si>
  <si>
    <t>Expedition</t>
  </si>
  <si>
    <t>Explorer</t>
  </si>
  <si>
    <t>Grand Cherokee</t>
  </si>
  <si>
    <t>Patriot</t>
  </si>
  <si>
    <t>LFW V6 3.0L</t>
  </si>
  <si>
    <t>EVE V8 4.7L E85</t>
  </si>
  <si>
    <t>99G V6 3.0L FFV</t>
  </si>
  <si>
    <t>ERB V6 3.6L E85</t>
  </si>
  <si>
    <t>LEA 4I 2.4L E85</t>
  </si>
  <si>
    <t>LMG V8 5.3L E85</t>
  </si>
  <si>
    <t>No</t>
  </si>
  <si>
    <t xml:space="preserve">No </t>
  </si>
  <si>
    <t>SUV 6.1 - IUS</t>
  </si>
  <si>
    <t>NO</t>
  </si>
  <si>
    <t>SUV 4.2 -UI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</si>
</sst>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5">
    <xf numFmtId="0" fontId="0" fillId="0" borderId="0" xfId="0"/>
    <xf numFmtId="3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7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/>
    <xf numFmtId="4" fontId="3" fillId="0" borderId="0" xfId="0" applyNumberFormat="1" applyFont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/>
    </xf>
    <xf numFmtId="7" fontId="4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 wrapText="1"/>
    </xf>
    <xf numFmtId="49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44" fontId="4" fillId="0" borderId="0" xfId="1" applyFont="1" applyFill="1" applyBorder="1" applyAlignment="1">
      <alignment horizontal="right" wrapText="1"/>
    </xf>
    <xf numFmtId="44" fontId="2" fillId="0" borderId="0" xfId="1" applyFont="1" applyFill="1" applyBorder="1" applyAlignment="1" applyProtection="1">
      <alignment horizontal="right"/>
    </xf>
    <xf numFmtId="44" fontId="2" fillId="0" borderId="0" xfId="1" applyFont="1" applyFill="1" applyBorder="1" applyAlignment="1">
      <alignment horizontal="right"/>
    </xf>
    <xf numFmtId="44" fontId="4" fillId="0" borderId="0" xfId="1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left" wrapText="1"/>
      <protection locked="0"/>
    </xf>
    <xf numFmtId="0" fontId="2" fillId="0" borderId="0" xfId="0" applyFont="1" applyFill="1" applyBorder="1" applyAlignment="1">
      <alignment horizontal="left" wrapText="1"/>
    </xf>
    <xf numFmtId="7" fontId="4" fillId="0" borderId="0" xfId="0" applyNumberFormat="1" applyFont="1" applyFill="1" applyBorder="1" applyAlignment="1" applyProtection="1">
      <alignment horizontal="left"/>
    </xf>
    <xf numFmtId="7" fontId="2" fillId="0" borderId="0" xfId="0" applyNumberFormat="1" applyFont="1" applyFill="1" applyBorder="1" applyAlignment="1" applyProtection="1">
      <alignment horizontal="left" wrapText="1"/>
    </xf>
    <xf numFmtId="0" fontId="3" fillId="0" borderId="0" xfId="0" applyFont="1" applyFill="1" applyBorder="1" applyAlignment="1">
      <alignment horizontal="left" wrapText="1"/>
    </xf>
    <xf numFmtId="44" fontId="4" fillId="0" borderId="0" xfId="1" applyFont="1" applyFill="1" applyBorder="1" applyAlignment="1" applyProtection="1">
      <alignment horizontal="center"/>
    </xf>
    <xf numFmtId="0" fontId="6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horizontal="left"/>
      <protection locked="0"/>
    </xf>
    <xf numFmtId="4" fontId="3" fillId="0" borderId="0" xfId="0" applyNumberFormat="1" applyFont="1" applyFill="1" applyAlignment="1">
      <alignment horizontal="left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2" fillId="0" borderId="0" xfId="0" applyFont="1" applyFill="1" applyBorder="1" applyAlignment="1">
      <alignment horizontal="center" wrapText="1"/>
    </xf>
    <xf numFmtId="44" fontId="2" fillId="0" borderId="0" xfId="1" applyFont="1" applyFill="1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Font="1" applyFill="1" applyBorder="1" applyAlignment="1">
      <alignment wrapText="1"/>
    </xf>
    <xf numFmtId="44" fontId="4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/>
    </xf>
    <xf numFmtId="44" fontId="3" fillId="0" borderId="0" xfId="1" applyFont="1" applyFill="1" applyBorder="1" applyAlignment="1">
      <alignment horizontal="right"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 applyAlignment="1">
      <alignment horizontal="center"/>
    </xf>
    <xf numFmtId="44" fontId="3" fillId="0" borderId="0" xfId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4" fontId="3" fillId="0" borderId="0" xfId="1" applyFont="1" applyAlignment="1">
      <alignment horizontal="right"/>
    </xf>
    <xf numFmtId="3" fontId="6" fillId="2" borderId="7" xfId="0" applyNumberFormat="1" applyFont="1" applyFill="1" applyBorder="1" applyAlignme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44" fontId="2" fillId="0" borderId="0" xfId="1" applyFont="1" applyAlignment="1">
      <alignment horizontal="right"/>
    </xf>
    <xf numFmtId="0" fontId="2" fillId="0" borderId="0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49" fontId="6" fillId="0" borderId="3" xfId="0" applyNumberFormat="1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164" fontId="2" fillId="0" borderId="5" xfId="0" applyNumberFormat="1" applyFont="1" applyFill="1" applyBorder="1" applyAlignment="1">
      <alignment horizontal="right"/>
    </xf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 applyAlignment="1"/>
    <xf numFmtId="0" fontId="2" fillId="0" borderId="6" xfId="0" applyFont="1" applyFill="1" applyBorder="1" applyAlignment="1">
      <alignment horizontal="center"/>
    </xf>
    <xf numFmtId="49" fontId="2" fillId="0" borderId="0" xfId="0" applyNumberFormat="1" applyFont="1" applyFill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44" fontId="2" fillId="0" borderId="0" xfId="1" applyFont="1" applyBorder="1" applyAlignment="1">
      <alignment horizontal="right"/>
    </xf>
    <xf numFmtId="0" fontId="6" fillId="0" borderId="0" xfId="0" applyFont="1" applyFill="1" applyBorder="1" applyAlignment="1" applyProtection="1">
      <alignment vertical="top"/>
    </xf>
    <xf numFmtId="0" fontId="6" fillId="0" borderId="0" xfId="0" applyFont="1" applyFill="1" applyBorder="1" applyAlignment="1" applyProtection="1">
      <alignment wrapText="1"/>
    </xf>
    <xf numFmtId="0" fontId="2" fillId="0" borderId="0" xfId="0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165" fontId="2" fillId="0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/>
    <xf numFmtId="164" fontId="2" fillId="0" borderId="0" xfId="0" applyNumberFormat="1" applyFont="1" applyFill="1" applyBorder="1" applyAlignment="1">
      <alignment horizontal="right"/>
    </xf>
    <xf numFmtId="0" fontId="7" fillId="0" borderId="9" xfId="0" applyFont="1" applyFill="1" applyBorder="1" applyAlignment="1"/>
    <xf numFmtId="0" fontId="8" fillId="0" borderId="7" xfId="0" applyFont="1" applyFill="1" applyBorder="1" applyAlignment="1"/>
    <xf numFmtId="164" fontId="2" fillId="0" borderId="7" xfId="0" applyNumberFormat="1" applyFont="1" applyFill="1" applyBorder="1" applyAlignment="1">
      <alignment horizontal="right"/>
    </xf>
    <xf numFmtId="164" fontId="2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Fill="1" applyBorder="1" applyAlignment="1"/>
    <xf numFmtId="0" fontId="2" fillId="0" borderId="7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37" fontId="2" fillId="0" borderId="7" xfId="0" applyNumberFormat="1" applyFont="1" applyFill="1" applyBorder="1" applyAlignment="1"/>
    <xf numFmtId="164" fontId="7" fillId="0" borderId="7" xfId="0" applyNumberFormat="1" applyFont="1" applyFill="1" applyBorder="1" applyAlignment="1">
      <alignment horizontal="righ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66" fontId="2" fillId="0" borderId="0" xfId="0" applyNumberFormat="1" applyFont="1" applyFill="1" applyAlignment="1">
      <alignment horizontal="center"/>
    </xf>
    <xf numFmtId="4" fontId="2" fillId="0" borderId="0" xfId="0" applyNumberFormat="1" applyFont="1" applyFill="1"/>
    <xf numFmtId="0" fontId="2" fillId="0" borderId="9" xfId="0" applyFont="1" applyFill="1" applyBorder="1" applyAlignment="1"/>
    <xf numFmtId="3" fontId="2" fillId="2" borderId="7" xfId="0" applyNumberFormat="1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37" fontId="2" fillId="0" borderId="0" xfId="0" applyNumberFormat="1" applyFont="1" applyFill="1" applyBorder="1" applyAlignment="1"/>
    <xf numFmtId="166" fontId="6" fillId="0" borderId="3" xfId="0" applyNumberFormat="1" applyFont="1" applyFill="1" applyBorder="1" applyAlignment="1">
      <alignment horizontal="center"/>
    </xf>
    <xf numFmtId="4" fontId="9" fillId="0" borderId="0" xfId="0" applyNumberFormat="1" applyFont="1" applyFill="1" applyAlignment="1"/>
    <xf numFmtId="164" fontId="2" fillId="0" borderId="0" xfId="0" applyNumberFormat="1" applyFont="1" applyFill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4" fontId="6" fillId="0" borderId="3" xfId="0" applyNumberFormat="1" applyFont="1" applyFill="1" applyBorder="1" applyAlignment="1"/>
    <xf numFmtId="164" fontId="5" fillId="0" borderId="7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2" fillId="0" borderId="0" xfId="0" applyFont="1" applyFill="1" applyAlignment="1"/>
    <xf numFmtId="0" fontId="6" fillId="0" borderId="0" xfId="0" applyFont="1" applyFill="1" applyAlignment="1">
      <alignment horizontal="center"/>
    </xf>
    <xf numFmtId="8" fontId="6" fillId="0" borderId="0" xfId="0" applyNumberFormat="1" applyFont="1" applyFill="1" applyAlignment="1">
      <alignment horizontal="justify"/>
    </xf>
    <xf numFmtId="0" fontId="2" fillId="0" borderId="0" xfId="0" applyFont="1" applyFill="1" applyAlignment="1">
      <alignment horizontal="justify"/>
    </xf>
    <xf numFmtId="8" fontId="2" fillId="0" borderId="0" xfId="0" applyNumberFormat="1" applyFont="1" applyFill="1" applyAlignment="1">
      <alignment horizontal="justify"/>
    </xf>
    <xf numFmtId="4" fontId="2" fillId="0" borderId="0" xfId="0" applyNumberFormat="1" applyFont="1" applyFill="1" applyAlignment="1">
      <alignment horizontal="justify"/>
    </xf>
    <xf numFmtId="4" fontId="6" fillId="0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6" fillId="0" borderId="3" xfId="0" applyNumberFormat="1" applyFont="1" applyFill="1" applyBorder="1" applyAlignment="1">
      <alignment horizontal="center"/>
    </xf>
    <xf numFmtId="0" fontId="2" fillId="0" borderId="0" xfId="0" applyFont="1" applyFill="1" applyBorder="1"/>
    <xf numFmtId="166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9" fillId="0" borderId="0" xfId="0" applyNumberFormat="1" applyFont="1" applyFill="1" applyBorder="1" applyAlignment="1"/>
    <xf numFmtId="4" fontId="6" fillId="0" borderId="0" xfId="0" applyNumberFormat="1" applyFont="1" applyFill="1" applyBorder="1" applyAlignment="1"/>
    <xf numFmtId="0" fontId="3" fillId="0" borderId="0" xfId="0" applyFont="1" applyFill="1"/>
    <xf numFmtId="3" fontId="2" fillId="0" borderId="0" xfId="0" applyNumberFormat="1" applyFont="1" applyFill="1" applyBorder="1" applyAlignment="1">
      <alignment horizontal="right"/>
    </xf>
    <xf numFmtId="44" fontId="4" fillId="0" borderId="0" xfId="1" applyFont="1" applyFill="1" applyBorder="1" applyAlignment="1"/>
    <xf numFmtId="0" fontId="5" fillId="0" borderId="0" xfId="0" applyFont="1" applyFill="1" applyBorder="1" applyAlignment="1">
      <alignment wrapText="1"/>
    </xf>
    <xf numFmtId="3" fontId="2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 wrapText="1"/>
    </xf>
    <xf numFmtId="0" fontId="3" fillId="0" borderId="0" xfId="0" applyFont="1" applyAlignment="1">
      <alignment horizontal="right"/>
    </xf>
    <xf numFmtId="0" fontId="3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8" fontId="2" fillId="0" borderId="0" xfId="1" applyNumberFormat="1" applyFont="1" applyFill="1" applyBorder="1" applyAlignment="1" applyProtection="1">
      <alignment horizontal="center" wrapText="1"/>
    </xf>
    <xf numFmtId="3" fontId="4" fillId="0" borderId="0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 applyFill="1" applyAlignment="1">
      <alignment horizontal="center"/>
    </xf>
    <xf numFmtId="3" fontId="4" fillId="0" borderId="0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454"/>
  <sheetViews>
    <sheetView tabSelected="1" zoomScaleNormal="100" zoomScaleSheetLayoutView="75" workbookViewId="0">
      <selection activeCell="B2" sqref="B2"/>
    </sheetView>
  </sheetViews>
  <sheetFormatPr defaultRowHeight="12.75" x14ac:dyDescent="0.2"/>
  <cols>
    <col min="1" max="1" width="5.42578125" style="47" customWidth="1"/>
    <col min="2" max="2" width="17.28515625" style="43" customWidth="1"/>
    <col min="3" max="3" width="34.85546875" style="43" customWidth="1"/>
    <col min="4" max="4" width="17.85546875" style="52" customWidth="1"/>
    <col min="5" max="5" width="8.7109375" style="48" customWidth="1"/>
    <col min="6" max="6" width="19.42578125" style="48" customWidth="1"/>
    <col min="7" max="7" width="7.42578125" style="49" customWidth="1"/>
    <col min="8" max="8" width="12.140625" style="48" customWidth="1"/>
    <col min="9" max="9" width="9" style="52" customWidth="1"/>
    <col min="10" max="10" width="6" style="52" bestFit="1" customWidth="1"/>
    <col min="11" max="11" width="16" style="48" customWidth="1"/>
    <col min="12" max="12" width="9.85546875" style="48" bestFit="1" customWidth="1"/>
    <col min="13" max="13" width="14.7109375" style="49" customWidth="1"/>
    <col min="14" max="14" width="13.42578125" style="50" customWidth="1"/>
    <col min="15" max="15" width="15.28515625" style="50" hidden="1" customWidth="1"/>
    <col min="16" max="16" width="14.7109375" style="142" customWidth="1"/>
    <col min="17" max="17" width="14.7109375" style="49" customWidth="1"/>
    <col min="18" max="18" width="14.7109375" style="134" customWidth="1"/>
    <col min="19" max="19" width="9" style="38" customWidth="1"/>
    <col min="20" max="20" width="19.28515625" style="38" customWidth="1"/>
    <col min="21" max="21" width="14.7109375" style="44" customWidth="1"/>
    <col min="22" max="26" width="14.7109375" style="43" customWidth="1"/>
    <col min="27" max="53" width="9.140625" style="43" customWidth="1"/>
    <col min="54" max="16384" width="9.140625" style="43"/>
  </cols>
  <sheetData>
    <row r="1" spans="1:55" s="14" customFormat="1" ht="25.5" x14ac:dyDescent="0.2">
      <c r="A1" s="6" t="s">
        <v>0</v>
      </c>
      <c r="B1" s="7" t="s">
        <v>1</v>
      </c>
      <c r="C1" s="6" t="s">
        <v>109</v>
      </c>
      <c r="D1" s="129" t="s">
        <v>20</v>
      </c>
      <c r="E1" s="25" t="s">
        <v>2</v>
      </c>
      <c r="F1" s="8" t="s">
        <v>3</v>
      </c>
      <c r="G1" s="6" t="s">
        <v>4</v>
      </c>
      <c r="H1" s="6" t="s">
        <v>358</v>
      </c>
      <c r="I1" s="6" t="s">
        <v>6</v>
      </c>
      <c r="J1" s="9" t="s">
        <v>7</v>
      </c>
      <c r="K1" s="6" t="s">
        <v>5</v>
      </c>
      <c r="L1" s="6" t="s">
        <v>8</v>
      </c>
      <c r="M1" s="6" t="s">
        <v>140</v>
      </c>
      <c r="N1" s="11" t="s">
        <v>11</v>
      </c>
      <c r="O1" s="6" t="s">
        <v>357</v>
      </c>
      <c r="P1" s="138" t="s">
        <v>10</v>
      </c>
      <c r="Q1" s="6" t="s">
        <v>9</v>
      </c>
      <c r="R1" s="9" t="s">
        <v>12</v>
      </c>
      <c r="S1" s="28"/>
      <c r="T1" s="5"/>
      <c r="U1" s="32" t="s">
        <v>14</v>
      </c>
      <c r="W1" s="13"/>
      <c r="X1" s="6"/>
    </row>
    <row r="2" spans="1:55" s="28" customFormat="1" ht="15.75" customHeight="1" x14ac:dyDescent="0.2">
      <c r="A2" s="27">
        <v>7</v>
      </c>
      <c r="B2" s="28" t="s">
        <v>24</v>
      </c>
      <c r="C2" s="28" t="s">
        <v>137</v>
      </c>
      <c r="D2" s="130" t="s">
        <v>291</v>
      </c>
      <c r="E2" s="24" t="s">
        <v>17</v>
      </c>
      <c r="F2" s="23" t="s">
        <v>114</v>
      </c>
      <c r="G2" s="31">
        <v>4850</v>
      </c>
      <c r="H2" s="20" t="s">
        <v>115</v>
      </c>
      <c r="I2" s="34" t="s">
        <v>18</v>
      </c>
      <c r="J2" s="34" t="s">
        <v>19</v>
      </c>
      <c r="K2" s="20" t="s">
        <v>317</v>
      </c>
      <c r="L2" s="29" t="s">
        <v>294</v>
      </c>
      <c r="M2" s="27" t="s">
        <v>180</v>
      </c>
      <c r="N2" s="33">
        <v>16019.24</v>
      </c>
      <c r="O2" s="17">
        <f t="shared" ref="O2:O28" si="0">A2*N2</f>
        <v>112134.68</v>
      </c>
      <c r="P2" s="139">
        <f>7425-600</f>
        <v>6825</v>
      </c>
      <c r="Q2" s="27">
        <v>25</v>
      </c>
      <c r="R2" s="128">
        <f t="shared" ref="R2:R28" si="1">N2+(T2/Q2)-(P2*AO$310)</f>
        <v>18553.256549999998</v>
      </c>
      <c r="S2" s="28">
        <v>0.74725799999999998</v>
      </c>
      <c r="T2" s="5">
        <v>190851.31</v>
      </c>
    </row>
    <row r="3" spans="1:55" s="14" customFormat="1" ht="15.75" customHeight="1" x14ac:dyDescent="0.2">
      <c r="A3" s="27">
        <v>7</v>
      </c>
      <c r="B3" s="28" t="s">
        <v>24</v>
      </c>
      <c r="C3" s="28" t="s">
        <v>137</v>
      </c>
      <c r="D3" s="130" t="s">
        <v>291</v>
      </c>
      <c r="E3" s="24" t="s">
        <v>17</v>
      </c>
      <c r="F3" s="23" t="s">
        <v>114</v>
      </c>
      <c r="G3" s="31">
        <v>4850</v>
      </c>
      <c r="H3" s="20" t="s">
        <v>115</v>
      </c>
      <c r="I3" s="34" t="s">
        <v>292</v>
      </c>
      <c r="J3" s="34" t="s">
        <v>293</v>
      </c>
      <c r="K3" s="20" t="s">
        <v>317</v>
      </c>
      <c r="L3" s="29" t="s">
        <v>294</v>
      </c>
      <c r="M3" s="27" t="s">
        <v>180</v>
      </c>
      <c r="N3" s="33">
        <v>16617.43</v>
      </c>
      <c r="O3" s="17">
        <f t="shared" si="0"/>
        <v>116322.01000000001</v>
      </c>
      <c r="P3" s="140">
        <f>8125-600</f>
        <v>7525</v>
      </c>
      <c r="Q3" s="27">
        <v>25</v>
      </c>
      <c r="R3" s="128">
        <f t="shared" si="1"/>
        <v>18628.365949999999</v>
      </c>
      <c r="S3" s="28">
        <v>0.74725799999999998</v>
      </c>
      <c r="T3" s="5">
        <v>190851.31</v>
      </c>
      <c r="U3" s="28"/>
      <c r="V3" s="28"/>
      <c r="W3" s="28"/>
      <c r="X3" s="28"/>
    </row>
    <row r="4" spans="1:55" s="28" customFormat="1" ht="15.75" customHeight="1" x14ac:dyDescent="0.2">
      <c r="A4" s="27">
        <v>7</v>
      </c>
      <c r="B4" s="28" t="s">
        <v>24</v>
      </c>
      <c r="C4" s="28" t="s">
        <v>137</v>
      </c>
      <c r="D4" s="40" t="s">
        <v>316</v>
      </c>
      <c r="E4" s="24" t="s">
        <v>17</v>
      </c>
      <c r="F4" s="23" t="s">
        <v>114</v>
      </c>
      <c r="G4" s="31">
        <v>4850</v>
      </c>
      <c r="H4" s="20" t="s">
        <v>115</v>
      </c>
      <c r="I4" s="34" t="s">
        <v>292</v>
      </c>
      <c r="J4" s="34" t="s">
        <v>293</v>
      </c>
      <c r="K4" s="20" t="s">
        <v>317</v>
      </c>
      <c r="L4" s="29" t="s">
        <v>294</v>
      </c>
      <c r="M4" s="27" t="s">
        <v>180</v>
      </c>
      <c r="N4" s="33">
        <v>16920</v>
      </c>
      <c r="O4" s="17">
        <f t="shared" si="0"/>
        <v>118440</v>
      </c>
      <c r="P4" s="140">
        <f>8125-600</f>
        <v>7525</v>
      </c>
      <c r="Q4" s="27">
        <v>25</v>
      </c>
      <c r="R4" s="128">
        <f t="shared" si="1"/>
        <v>18930.935949999999</v>
      </c>
      <c r="S4" s="28">
        <v>0.74725799999999998</v>
      </c>
      <c r="T4" s="5">
        <v>190851.31</v>
      </c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s="28" customFormat="1" ht="15.75" customHeight="1" x14ac:dyDescent="0.2">
      <c r="A5" s="27">
        <v>34</v>
      </c>
      <c r="B5" s="28" t="s">
        <v>25</v>
      </c>
      <c r="C5" s="29" t="s">
        <v>138</v>
      </c>
      <c r="D5" s="35" t="s">
        <v>291</v>
      </c>
      <c r="E5" s="24" t="s">
        <v>17</v>
      </c>
      <c r="F5" s="23" t="s">
        <v>114</v>
      </c>
      <c r="G5" s="31">
        <v>5000</v>
      </c>
      <c r="H5" s="20" t="s">
        <v>295</v>
      </c>
      <c r="I5" s="34" t="s">
        <v>18</v>
      </c>
      <c r="J5" s="34" t="s">
        <v>19</v>
      </c>
      <c r="K5" s="20" t="s">
        <v>317</v>
      </c>
      <c r="L5" s="29" t="s">
        <v>294</v>
      </c>
      <c r="M5" s="27" t="s">
        <v>180</v>
      </c>
      <c r="N5" s="33">
        <v>16156.38</v>
      </c>
      <c r="O5" s="17">
        <f t="shared" si="0"/>
        <v>549316.91999999993</v>
      </c>
      <c r="P5" s="131">
        <f>9575-600</f>
        <v>8975</v>
      </c>
      <c r="Q5" s="27">
        <v>25</v>
      </c>
      <c r="R5" s="128">
        <f t="shared" si="1"/>
        <v>17083.791849999998</v>
      </c>
      <c r="S5" s="28">
        <v>0.74725799999999998</v>
      </c>
      <c r="T5" s="5">
        <v>190851.31</v>
      </c>
    </row>
    <row r="6" spans="1:55" s="28" customFormat="1" ht="15.75" customHeight="1" x14ac:dyDescent="0.2">
      <c r="A6" s="27">
        <v>34</v>
      </c>
      <c r="B6" s="28" t="s">
        <v>25</v>
      </c>
      <c r="C6" s="29" t="s">
        <v>138</v>
      </c>
      <c r="D6" s="35" t="s">
        <v>316</v>
      </c>
      <c r="E6" s="24" t="s">
        <v>17</v>
      </c>
      <c r="F6" s="23" t="s">
        <v>114</v>
      </c>
      <c r="G6" s="31">
        <v>5000</v>
      </c>
      <c r="H6" s="20" t="s">
        <v>295</v>
      </c>
      <c r="I6" s="34" t="s">
        <v>18</v>
      </c>
      <c r="J6" s="34" t="s">
        <v>19</v>
      </c>
      <c r="K6" s="20" t="s">
        <v>317</v>
      </c>
      <c r="L6" s="29" t="s">
        <v>294</v>
      </c>
      <c r="M6" s="27" t="s">
        <v>180</v>
      </c>
      <c r="N6" s="33">
        <v>16452.5</v>
      </c>
      <c r="O6" s="17">
        <f t="shared" si="0"/>
        <v>559385</v>
      </c>
      <c r="P6" s="131">
        <f>9575-600</f>
        <v>8975</v>
      </c>
      <c r="Q6" s="27">
        <v>25</v>
      </c>
      <c r="R6" s="128">
        <f t="shared" si="1"/>
        <v>17379.91185</v>
      </c>
      <c r="S6" s="28">
        <v>0.74725799999999998</v>
      </c>
      <c r="T6" s="30">
        <v>190851.31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28" customFormat="1" ht="15.75" customHeight="1" x14ac:dyDescent="0.2">
      <c r="A7" s="27">
        <v>34</v>
      </c>
      <c r="B7" s="28" t="s">
        <v>25</v>
      </c>
      <c r="C7" s="29" t="s">
        <v>138</v>
      </c>
      <c r="D7" s="35" t="s">
        <v>291</v>
      </c>
      <c r="E7" s="24" t="s">
        <v>17</v>
      </c>
      <c r="F7" s="23" t="s">
        <v>114</v>
      </c>
      <c r="G7" s="31">
        <v>5000</v>
      </c>
      <c r="H7" s="20" t="s">
        <v>295</v>
      </c>
      <c r="I7" s="34" t="s">
        <v>292</v>
      </c>
      <c r="J7" s="34" t="s">
        <v>293</v>
      </c>
      <c r="K7" s="20" t="s">
        <v>317</v>
      </c>
      <c r="L7" s="29" t="s">
        <v>294</v>
      </c>
      <c r="M7" s="27" t="s">
        <v>180</v>
      </c>
      <c r="N7" s="33">
        <v>17337.39</v>
      </c>
      <c r="O7" s="17">
        <f t="shared" si="0"/>
        <v>589471.26</v>
      </c>
      <c r="P7" s="131">
        <f>10275-600</f>
        <v>9675</v>
      </c>
      <c r="Q7" s="27">
        <v>25</v>
      </c>
      <c r="R7" s="128">
        <f t="shared" si="1"/>
        <v>17741.721250000002</v>
      </c>
      <c r="S7" s="28">
        <v>0.74725799999999998</v>
      </c>
      <c r="T7" s="5">
        <v>190851.31</v>
      </c>
    </row>
    <row r="8" spans="1:55" s="28" customFormat="1" ht="15.75" customHeight="1" x14ac:dyDescent="0.2">
      <c r="A8" s="27">
        <v>34</v>
      </c>
      <c r="B8" s="28" t="s">
        <v>25</v>
      </c>
      <c r="C8" s="29" t="s">
        <v>138</v>
      </c>
      <c r="D8" s="35" t="s">
        <v>316</v>
      </c>
      <c r="E8" s="24" t="s">
        <v>17</v>
      </c>
      <c r="F8" s="23" t="s">
        <v>114</v>
      </c>
      <c r="G8" s="31">
        <v>5000</v>
      </c>
      <c r="H8" s="20" t="s">
        <v>295</v>
      </c>
      <c r="I8" s="34" t="s">
        <v>292</v>
      </c>
      <c r="J8" s="34" t="s">
        <v>293</v>
      </c>
      <c r="K8" s="20" t="s">
        <v>317</v>
      </c>
      <c r="L8" s="29" t="s">
        <v>294</v>
      </c>
      <c r="M8" s="27" t="s">
        <v>180</v>
      </c>
      <c r="N8" s="33">
        <v>17500.5</v>
      </c>
      <c r="O8" s="17">
        <f t="shared" si="0"/>
        <v>595017</v>
      </c>
      <c r="P8" s="131">
        <f>10275-600</f>
        <v>9675</v>
      </c>
      <c r="Q8" s="27">
        <v>25</v>
      </c>
      <c r="R8" s="128">
        <f t="shared" si="1"/>
        <v>17904.831250000003</v>
      </c>
      <c r="S8" s="28">
        <v>0.74725799999999998</v>
      </c>
      <c r="T8" s="30">
        <v>190851.31</v>
      </c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28" customFormat="1" ht="15.75" customHeight="1" x14ac:dyDescent="0.2">
      <c r="A9" s="27">
        <v>1</v>
      </c>
      <c r="B9" s="28" t="s">
        <v>26</v>
      </c>
      <c r="C9" s="29" t="s">
        <v>138</v>
      </c>
      <c r="D9" s="35" t="s">
        <v>291</v>
      </c>
      <c r="E9" s="24" t="s">
        <v>17</v>
      </c>
      <c r="F9" s="23" t="s">
        <v>114</v>
      </c>
      <c r="G9" s="31">
        <v>5000</v>
      </c>
      <c r="H9" s="20" t="s">
        <v>295</v>
      </c>
      <c r="I9" s="34" t="s">
        <v>18</v>
      </c>
      <c r="J9" s="34" t="s">
        <v>19</v>
      </c>
      <c r="K9" s="20" t="s">
        <v>317</v>
      </c>
      <c r="L9" s="29" t="s">
        <v>294</v>
      </c>
      <c r="M9" s="27" t="s">
        <v>180</v>
      </c>
      <c r="N9" s="33">
        <v>16156.38</v>
      </c>
      <c r="O9" s="17">
        <f t="shared" si="0"/>
        <v>16156.38</v>
      </c>
      <c r="P9" s="131">
        <f>9575-600</f>
        <v>8975</v>
      </c>
      <c r="Q9" s="27">
        <v>25</v>
      </c>
      <c r="R9" s="128">
        <f t="shared" si="1"/>
        <v>17083.791849999998</v>
      </c>
      <c r="S9" s="28">
        <v>0.74725799999999998</v>
      </c>
      <c r="T9" s="5">
        <v>190851.31</v>
      </c>
    </row>
    <row r="10" spans="1:55" s="28" customFormat="1" ht="15.75" customHeight="1" x14ac:dyDescent="0.2">
      <c r="A10" s="27">
        <v>1</v>
      </c>
      <c r="B10" s="28" t="s">
        <v>26</v>
      </c>
      <c r="C10" s="29" t="s">
        <v>138</v>
      </c>
      <c r="D10" s="35" t="s">
        <v>316</v>
      </c>
      <c r="E10" s="24" t="s">
        <v>17</v>
      </c>
      <c r="F10" s="23" t="s">
        <v>114</v>
      </c>
      <c r="G10" s="31">
        <v>5000</v>
      </c>
      <c r="H10" s="20" t="s">
        <v>295</v>
      </c>
      <c r="I10" s="34" t="s">
        <v>18</v>
      </c>
      <c r="J10" s="34" t="s">
        <v>19</v>
      </c>
      <c r="K10" s="20" t="s">
        <v>317</v>
      </c>
      <c r="L10" s="29" t="s">
        <v>294</v>
      </c>
      <c r="M10" s="27" t="s">
        <v>180</v>
      </c>
      <c r="N10" s="33">
        <v>16452.5</v>
      </c>
      <c r="O10" s="17">
        <f t="shared" si="0"/>
        <v>16452.5</v>
      </c>
      <c r="P10" s="131">
        <f>9575-600</f>
        <v>8975</v>
      </c>
      <c r="Q10" s="27">
        <v>25</v>
      </c>
      <c r="R10" s="128">
        <f t="shared" si="1"/>
        <v>17379.91185</v>
      </c>
      <c r="S10" s="28">
        <v>0.74725799999999998</v>
      </c>
      <c r="T10" s="30">
        <v>190851.31</v>
      </c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28" customFormat="1" ht="15.75" customHeight="1" x14ac:dyDescent="0.2">
      <c r="A11" s="27">
        <v>1</v>
      </c>
      <c r="B11" s="28" t="s">
        <v>26</v>
      </c>
      <c r="C11" s="29" t="s">
        <v>138</v>
      </c>
      <c r="D11" s="35" t="s">
        <v>291</v>
      </c>
      <c r="E11" s="24" t="s">
        <v>17</v>
      </c>
      <c r="F11" s="23" t="s">
        <v>114</v>
      </c>
      <c r="G11" s="31">
        <v>5000</v>
      </c>
      <c r="H11" s="20" t="s">
        <v>295</v>
      </c>
      <c r="I11" s="34" t="s">
        <v>292</v>
      </c>
      <c r="J11" s="34" t="s">
        <v>293</v>
      </c>
      <c r="K11" s="20" t="s">
        <v>317</v>
      </c>
      <c r="L11" s="29" t="s">
        <v>294</v>
      </c>
      <c r="M11" s="27" t="s">
        <v>180</v>
      </c>
      <c r="N11" s="33">
        <v>17337.39</v>
      </c>
      <c r="O11" s="17">
        <f t="shared" si="0"/>
        <v>17337.39</v>
      </c>
      <c r="P11" s="131">
        <f>10275-600</f>
        <v>9675</v>
      </c>
      <c r="Q11" s="27">
        <v>25</v>
      </c>
      <c r="R11" s="128">
        <f t="shared" si="1"/>
        <v>17741.721250000002</v>
      </c>
      <c r="S11" s="28">
        <v>0.74725799999999998</v>
      </c>
      <c r="T11" s="5">
        <v>190851.31</v>
      </c>
    </row>
    <row r="12" spans="1:55" s="28" customFormat="1" ht="15.75" customHeight="1" x14ac:dyDescent="0.2">
      <c r="A12" s="27">
        <v>1</v>
      </c>
      <c r="B12" s="28" t="s">
        <v>26</v>
      </c>
      <c r="C12" s="29" t="s">
        <v>138</v>
      </c>
      <c r="D12" s="35" t="s">
        <v>316</v>
      </c>
      <c r="E12" s="24" t="s">
        <v>17</v>
      </c>
      <c r="F12" s="23" t="s">
        <v>114</v>
      </c>
      <c r="G12" s="31">
        <v>5000</v>
      </c>
      <c r="H12" s="20" t="s">
        <v>295</v>
      </c>
      <c r="I12" s="34" t="s">
        <v>292</v>
      </c>
      <c r="J12" s="34" t="s">
        <v>293</v>
      </c>
      <c r="K12" s="20" t="s">
        <v>317</v>
      </c>
      <c r="L12" s="29" t="s">
        <v>294</v>
      </c>
      <c r="M12" s="27" t="s">
        <v>180</v>
      </c>
      <c r="N12" s="33">
        <v>17500.5</v>
      </c>
      <c r="O12" s="17">
        <f t="shared" si="0"/>
        <v>17500.5</v>
      </c>
      <c r="P12" s="131">
        <f>10275-600</f>
        <v>9675</v>
      </c>
      <c r="Q12" s="27">
        <v>25</v>
      </c>
      <c r="R12" s="128">
        <f t="shared" si="1"/>
        <v>17904.831250000003</v>
      </c>
      <c r="S12" s="28">
        <v>0.74725799999999998</v>
      </c>
      <c r="T12" s="30">
        <v>190851.31</v>
      </c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s="28" customFormat="1" ht="15.75" customHeight="1" x14ac:dyDescent="0.2">
      <c r="A13" s="27">
        <v>7</v>
      </c>
      <c r="B13" s="28" t="s">
        <v>27</v>
      </c>
      <c r="C13" s="29" t="s">
        <v>138</v>
      </c>
      <c r="D13" s="130" t="s">
        <v>291</v>
      </c>
      <c r="E13" s="24" t="s">
        <v>17</v>
      </c>
      <c r="F13" s="23" t="s">
        <v>114</v>
      </c>
      <c r="G13" s="31">
        <v>5000</v>
      </c>
      <c r="H13" s="20" t="s">
        <v>295</v>
      </c>
      <c r="I13" s="34" t="s">
        <v>18</v>
      </c>
      <c r="J13" s="34" t="s">
        <v>19</v>
      </c>
      <c r="K13" s="20" t="s">
        <v>317</v>
      </c>
      <c r="L13" s="29" t="s">
        <v>294</v>
      </c>
      <c r="M13" s="27" t="s">
        <v>180</v>
      </c>
      <c r="N13" s="33">
        <v>16295.98</v>
      </c>
      <c r="O13" s="17">
        <f t="shared" si="0"/>
        <v>114071.86</v>
      </c>
      <c r="P13" s="131">
        <f>9575-600</f>
        <v>8975</v>
      </c>
      <c r="Q13" s="27">
        <v>25</v>
      </c>
      <c r="R13" s="128">
        <f t="shared" si="1"/>
        <v>17223.39185</v>
      </c>
      <c r="S13" s="28">
        <v>0.74725799999999998</v>
      </c>
      <c r="T13" s="5">
        <v>190851.31</v>
      </c>
    </row>
    <row r="14" spans="1:55" s="28" customFormat="1" ht="15.75" customHeight="1" x14ac:dyDescent="0.2">
      <c r="A14" s="27">
        <v>7</v>
      </c>
      <c r="B14" s="28" t="s">
        <v>27</v>
      </c>
      <c r="C14" s="29" t="s">
        <v>138</v>
      </c>
      <c r="D14" s="35" t="s">
        <v>316</v>
      </c>
      <c r="E14" s="24" t="s">
        <v>17</v>
      </c>
      <c r="F14" s="23" t="s">
        <v>114</v>
      </c>
      <c r="G14" s="31">
        <v>5000</v>
      </c>
      <c r="H14" s="20" t="s">
        <v>295</v>
      </c>
      <c r="I14" s="34" t="s">
        <v>18</v>
      </c>
      <c r="J14" s="34" t="s">
        <v>19</v>
      </c>
      <c r="K14" s="20" t="s">
        <v>317</v>
      </c>
      <c r="L14" s="29" t="s">
        <v>294</v>
      </c>
      <c r="M14" s="27" t="s">
        <v>180</v>
      </c>
      <c r="N14" s="33">
        <v>16632.5</v>
      </c>
      <c r="O14" s="17">
        <f t="shared" si="0"/>
        <v>116427.5</v>
      </c>
      <c r="P14" s="131">
        <f>9575-600</f>
        <v>8975</v>
      </c>
      <c r="Q14" s="27">
        <v>25</v>
      </c>
      <c r="R14" s="128">
        <f t="shared" si="1"/>
        <v>17559.91185</v>
      </c>
      <c r="S14" s="28">
        <v>0.74725799999999998</v>
      </c>
      <c r="T14" s="5">
        <v>190851.31</v>
      </c>
      <c r="U14" s="44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s="28" customFormat="1" ht="15.75" customHeight="1" x14ac:dyDescent="0.2">
      <c r="A15" s="27">
        <v>7</v>
      </c>
      <c r="B15" s="28" t="s">
        <v>27</v>
      </c>
      <c r="C15" s="29" t="s">
        <v>138</v>
      </c>
      <c r="D15" s="130" t="s">
        <v>291</v>
      </c>
      <c r="E15" s="24" t="s">
        <v>17</v>
      </c>
      <c r="F15" s="23" t="s">
        <v>114</v>
      </c>
      <c r="G15" s="31">
        <v>5000</v>
      </c>
      <c r="H15" s="20" t="s">
        <v>295</v>
      </c>
      <c r="I15" s="34" t="s">
        <v>292</v>
      </c>
      <c r="J15" s="34" t="s">
        <v>293</v>
      </c>
      <c r="K15" s="20" t="s">
        <v>317</v>
      </c>
      <c r="L15" s="29" t="s">
        <v>294</v>
      </c>
      <c r="M15" s="27" t="s">
        <v>180</v>
      </c>
      <c r="N15" s="33">
        <v>17476.990000000002</v>
      </c>
      <c r="O15" s="17">
        <f t="shared" si="0"/>
        <v>122338.93000000001</v>
      </c>
      <c r="P15" s="131">
        <f>10275-600</f>
        <v>9675</v>
      </c>
      <c r="Q15" s="27">
        <v>25</v>
      </c>
      <c r="R15" s="128">
        <f t="shared" si="1"/>
        <v>17881.321250000001</v>
      </c>
      <c r="S15" s="28">
        <v>0.74725799999999998</v>
      </c>
      <c r="T15" s="5">
        <v>190851.31</v>
      </c>
    </row>
    <row r="16" spans="1:55" s="28" customFormat="1" ht="15.75" customHeight="1" x14ac:dyDescent="0.2">
      <c r="A16" s="27">
        <v>7</v>
      </c>
      <c r="B16" s="28" t="s">
        <v>27</v>
      </c>
      <c r="C16" s="29" t="s">
        <v>138</v>
      </c>
      <c r="D16" s="35" t="s">
        <v>316</v>
      </c>
      <c r="E16" s="24" t="s">
        <v>17</v>
      </c>
      <c r="F16" s="23" t="s">
        <v>114</v>
      </c>
      <c r="G16" s="31">
        <v>5000</v>
      </c>
      <c r="H16" s="20" t="s">
        <v>295</v>
      </c>
      <c r="I16" s="34" t="s">
        <v>292</v>
      </c>
      <c r="J16" s="34" t="s">
        <v>293</v>
      </c>
      <c r="K16" s="20" t="s">
        <v>317</v>
      </c>
      <c r="L16" s="29" t="s">
        <v>294</v>
      </c>
      <c r="M16" s="27" t="s">
        <v>180</v>
      </c>
      <c r="N16" s="33">
        <v>17680.5</v>
      </c>
      <c r="O16" s="17">
        <f t="shared" si="0"/>
        <v>123763.5</v>
      </c>
      <c r="P16" s="131">
        <f>10275-600</f>
        <v>9675</v>
      </c>
      <c r="Q16" s="27">
        <v>25</v>
      </c>
      <c r="R16" s="128">
        <f t="shared" si="1"/>
        <v>18084.831250000003</v>
      </c>
      <c r="S16" s="28">
        <v>0.74725799999999998</v>
      </c>
      <c r="T16" s="5">
        <v>190851.31</v>
      </c>
      <c r="U16" s="44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s="28" customFormat="1" ht="15.75" customHeight="1" x14ac:dyDescent="0.2">
      <c r="A17" s="27">
        <v>1</v>
      </c>
      <c r="B17" s="28" t="s">
        <v>296</v>
      </c>
      <c r="C17" s="29" t="s">
        <v>138</v>
      </c>
      <c r="D17" s="130" t="s">
        <v>291</v>
      </c>
      <c r="E17" s="24" t="s">
        <v>17</v>
      </c>
      <c r="F17" s="23" t="s">
        <v>114</v>
      </c>
      <c r="G17" s="31">
        <v>5000</v>
      </c>
      <c r="H17" s="20" t="s">
        <v>295</v>
      </c>
      <c r="I17" s="34" t="s">
        <v>18</v>
      </c>
      <c r="J17" s="34" t="s">
        <v>19</v>
      </c>
      <c r="K17" s="20" t="s">
        <v>317</v>
      </c>
      <c r="L17" s="29" t="s">
        <v>294</v>
      </c>
      <c r="M17" s="27" t="s">
        <v>180</v>
      </c>
      <c r="N17" s="33">
        <v>16438.73</v>
      </c>
      <c r="O17" s="17">
        <f t="shared" si="0"/>
        <v>16438.73</v>
      </c>
      <c r="P17" s="131">
        <f>9575-600</f>
        <v>8975</v>
      </c>
      <c r="Q17" s="27">
        <v>25</v>
      </c>
      <c r="R17" s="128">
        <f t="shared" si="1"/>
        <v>17366.14185</v>
      </c>
      <c r="S17" s="28">
        <v>0.74725799999999998</v>
      </c>
      <c r="T17" s="5">
        <v>190851.31</v>
      </c>
    </row>
    <row r="18" spans="1:55" s="28" customFormat="1" ht="15.75" customHeight="1" x14ac:dyDescent="0.2">
      <c r="A18" s="27">
        <v>1</v>
      </c>
      <c r="B18" s="28" t="s">
        <v>296</v>
      </c>
      <c r="C18" s="29" t="s">
        <v>138</v>
      </c>
      <c r="D18" s="35" t="s">
        <v>316</v>
      </c>
      <c r="E18" s="24" t="s">
        <v>17</v>
      </c>
      <c r="F18" s="23" t="s">
        <v>114</v>
      </c>
      <c r="G18" s="31">
        <v>5000</v>
      </c>
      <c r="H18" s="20" t="s">
        <v>295</v>
      </c>
      <c r="I18" s="34" t="s">
        <v>18</v>
      </c>
      <c r="J18" s="34" t="s">
        <v>19</v>
      </c>
      <c r="K18" s="20" t="s">
        <v>317</v>
      </c>
      <c r="L18" s="29" t="s">
        <v>294</v>
      </c>
      <c r="M18" s="27" t="s">
        <v>180</v>
      </c>
      <c r="N18" s="33">
        <v>16835</v>
      </c>
      <c r="O18" s="17">
        <f t="shared" si="0"/>
        <v>16835</v>
      </c>
      <c r="P18" s="131">
        <f>9575-600</f>
        <v>8975</v>
      </c>
      <c r="Q18" s="27">
        <v>25</v>
      </c>
      <c r="R18" s="128">
        <f t="shared" si="1"/>
        <v>17762.41185</v>
      </c>
      <c r="S18" s="28">
        <v>0.74725799999999998</v>
      </c>
      <c r="T18" s="5">
        <v>190851.31</v>
      </c>
      <c r="U18" s="44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s="28" customFormat="1" ht="15.75" customHeight="1" x14ac:dyDescent="0.2">
      <c r="A19" s="27">
        <v>1</v>
      </c>
      <c r="B19" s="28" t="s">
        <v>296</v>
      </c>
      <c r="C19" s="29" t="s">
        <v>138</v>
      </c>
      <c r="D19" s="130" t="s">
        <v>291</v>
      </c>
      <c r="E19" s="24" t="s">
        <v>17</v>
      </c>
      <c r="F19" s="23" t="s">
        <v>114</v>
      </c>
      <c r="G19" s="31">
        <v>5000</v>
      </c>
      <c r="H19" s="20" t="s">
        <v>295</v>
      </c>
      <c r="I19" s="34" t="s">
        <v>292</v>
      </c>
      <c r="J19" s="34" t="s">
        <v>293</v>
      </c>
      <c r="K19" s="20" t="s">
        <v>317</v>
      </c>
      <c r="L19" s="29" t="s">
        <v>294</v>
      </c>
      <c r="M19" s="27" t="s">
        <v>180</v>
      </c>
      <c r="N19" s="33">
        <v>17619.740000000002</v>
      </c>
      <c r="O19" s="17">
        <f t="shared" si="0"/>
        <v>17619.740000000002</v>
      </c>
      <c r="P19" s="131">
        <f>10275-600</f>
        <v>9675</v>
      </c>
      <c r="Q19" s="27">
        <v>25</v>
      </c>
      <c r="R19" s="128">
        <f t="shared" si="1"/>
        <v>18024.071250000001</v>
      </c>
      <c r="S19" s="28">
        <v>0.74725799999999998</v>
      </c>
      <c r="T19" s="5">
        <v>190851.31</v>
      </c>
    </row>
    <row r="20" spans="1:55" s="28" customFormat="1" ht="15.75" customHeight="1" x14ac:dyDescent="0.2">
      <c r="A20" s="27">
        <v>1</v>
      </c>
      <c r="B20" s="28" t="s">
        <v>296</v>
      </c>
      <c r="C20" s="29" t="s">
        <v>138</v>
      </c>
      <c r="D20" s="35" t="s">
        <v>316</v>
      </c>
      <c r="E20" s="24" t="s">
        <v>17</v>
      </c>
      <c r="F20" s="23" t="s">
        <v>114</v>
      </c>
      <c r="G20" s="31">
        <v>5000</v>
      </c>
      <c r="H20" s="20" t="s">
        <v>295</v>
      </c>
      <c r="I20" s="34" t="s">
        <v>292</v>
      </c>
      <c r="J20" s="34" t="s">
        <v>293</v>
      </c>
      <c r="K20" s="20" t="s">
        <v>317</v>
      </c>
      <c r="L20" s="29" t="s">
        <v>294</v>
      </c>
      <c r="M20" s="27" t="s">
        <v>180</v>
      </c>
      <c r="N20" s="33">
        <v>17883</v>
      </c>
      <c r="O20" s="17">
        <f t="shared" si="0"/>
        <v>17883</v>
      </c>
      <c r="P20" s="131">
        <f>10275-600</f>
        <v>9675</v>
      </c>
      <c r="Q20" s="27">
        <v>25</v>
      </c>
      <c r="R20" s="128">
        <f t="shared" si="1"/>
        <v>18287.331250000003</v>
      </c>
      <c r="S20" s="28">
        <v>0.74725799999999998</v>
      </c>
      <c r="T20" s="5">
        <v>190851.31</v>
      </c>
      <c r="U20" s="44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s="28" customFormat="1" ht="15.75" customHeight="1" x14ac:dyDescent="0.2">
      <c r="A21" s="27">
        <v>2</v>
      </c>
      <c r="B21" s="28" t="s">
        <v>28</v>
      </c>
      <c r="C21" s="28" t="s">
        <v>139</v>
      </c>
      <c r="D21" s="130" t="s">
        <v>291</v>
      </c>
      <c r="E21" s="24" t="s">
        <v>17</v>
      </c>
      <c r="F21" s="23" t="s">
        <v>114</v>
      </c>
      <c r="G21" s="31">
        <v>5300</v>
      </c>
      <c r="H21" s="20" t="s">
        <v>297</v>
      </c>
      <c r="I21" s="34" t="s">
        <v>292</v>
      </c>
      <c r="J21" s="34" t="s">
        <v>293</v>
      </c>
      <c r="K21" s="20" t="s">
        <v>317</v>
      </c>
      <c r="L21" s="29" t="s">
        <v>294</v>
      </c>
      <c r="M21" s="27" t="s">
        <v>180</v>
      </c>
      <c r="N21" s="33">
        <v>21000.66</v>
      </c>
      <c r="O21" s="17">
        <f t="shared" si="0"/>
        <v>42001.32</v>
      </c>
      <c r="P21" s="131">
        <f>12375-600</f>
        <v>11775</v>
      </c>
      <c r="Q21" s="27">
        <v>25</v>
      </c>
      <c r="R21" s="128">
        <f t="shared" si="1"/>
        <v>19835.749450000003</v>
      </c>
      <c r="S21" s="28">
        <v>0.74725799999999998</v>
      </c>
      <c r="T21" s="5">
        <v>190851.31</v>
      </c>
    </row>
    <row r="22" spans="1:55" s="28" customFormat="1" ht="15.75" customHeight="1" x14ac:dyDescent="0.2">
      <c r="A22" s="27">
        <v>2</v>
      </c>
      <c r="B22" s="28" t="s">
        <v>28</v>
      </c>
      <c r="C22" s="28" t="s">
        <v>139</v>
      </c>
      <c r="D22" s="40" t="s">
        <v>316</v>
      </c>
      <c r="E22" s="24" t="s">
        <v>17</v>
      </c>
      <c r="F22" s="23" t="s">
        <v>114</v>
      </c>
      <c r="G22" s="31">
        <v>5300</v>
      </c>
      <c r="H22" s="20" t="s">
        <v>297</v>
      </c>
      <c r="I22" s="34" t="s">
        <v>292</v>
      </c>
      <c r="J22" s="34" t="s">
        <v>293</v>
      </c>
      <c r="K22" s="21" t="s">
        <v>419</v>
      </c>
      <c r="L22" s="29" t="s">
        <v>294</v>
      </c>
      <c r="M22" s="27" t="s">
        <v>180</v>
      </c>
      <c r="N22" s="33">
        <v>21489</v>
      </c>
      <c r="O22" s="17">
        <f t="shared" si="0"/>
        <v>42978</v>
      </c>
      <c r="P22" s="131">
        <v>12375</v>
      </c>
      <c r="Q22" s="27">
        <v>23</v>
      </c>
      <c r="R22" s="128">
        <f t="shared" si="1"/>
        <v>20539.565293478263</v>
      </c>
      <c r="S22" s="28">
        <v>0.74725799999999998</v>
      </c>
      <c r="T22" s="5">
        <v>190851.31</v>
      </c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s="28" customFormat="1" ht="15.75" customHeight="1" x14ac:dyDescent="0.2">
      <c r="A23" s="27">
        <v>2</v>
      </c>
      <c r="B23" s="28" t="s">
        <v>28</v>
      </c>
      <c r="C23" s="28" t="s">
        <v>139</v>
      </c>
      <c r="D23" s="130" t="s">
        <v>291</v>
      </c>
      <c r="E23" s="24" t="s">
        <v>17</v>
      </c>
      <c r="F23" s="23" t="s">
        <v>114</v>
      </c>
      <c r="G23" s="31">
        <v>5300</v>
      </c>
      <c r="H23" s="20" t="s">
        <v>297</v>
      </c>
      <c r="I23" s="34" t="s">
        <v>292</v>
      </c>
      <c r="J23" s="34" t="s">
        <v>298</v>
      </c>
      <c r="K23" s="21" t="s">
        <v>419</v>
      </c>
      <c r="L23" s="29" t="s">
        <v>294</v>
      </c>
      <c r="M23" s="27" t="s">
        <v>180</v>
      </c>
      <c r="N23" s="33">
        <v>23466.880000000001</v>
      </c>
      <c r="O23" s="17">
        <f t="shared" si="0"/>
        <v>46933.760000000002</v>
      </c>
      <c r="P23" s="131">
        <v>12375</v>
      </c>
      <c r="Q23" s="27">
        <v>23</v>
      </c>
      <c r="R23" s="128">
        <f t="shared" si="1"/>
        <v>22517.44529347826</v>
      </c>
      <c r="S23" s="28">
        <v>0.74725799999999998</v>
      </c>
      <c r="T23" s="5">
        <v>190851.31</v>
      </c>
    </row>
    <row r="24" spans="1:55" s="28" customFormat="1" ht="15.75" customHeight="1" x14ac:dyDescent="0.2">
      <c r="A24" s="27">
        <v>1</v>
      </c>
      <c r="B24" s="28" t="s">
        <v>29</v>
      </c>
      <c r="C24" s="28" t="s">
        <v>139</v>
      </c>
      <c r="D24" s="130" t="s">
        <v>291</v>
      </c>
      <c r="E24" s="24" t="s">
        <v>17</v>
      </c>
      <c r="F24" s="23" t="s">
        <v>114</v>
      </c>
      <c r="G24" s="31">
        <v>5300</v>
      </c>
      <c r="H24" s="20" t="s">
        <v>297</v>
      </c>
      <c r="I24" s="34" t="s">
        <v>292</v>
      </c>
      <c r="J24" s="34" t="s">
        <v>293</v>
      </c>
      <c r="K24" s="20" t="s">
        <v>317</v>
      </c>
      <c r="L24" s="29" t="s">
        <v>294</v>
      </c>
      <c r="M24" s="27" t="s">
        <v>180</v>
      </c>
      <c r="N24" s="33">
        <v>19872.310000000001</v>
      </c>
      <c r="O24" s="17">
        <f t="shared" si="0"/>
        <v>19872.310000000001</v>
      </c>
      <c r="P24" s="131">
        <f>12375-600</f>
        <v>11775</v>
      </c>
      <c r="Q24" s="27">
        <v>25</v>
      </c>
      <c r="R24" s="128">
        <f t="shared" si="1"/>
        <v>18707.399450000004</v>
      </c>
      <c r="S24" s="28">
        <v>0.74725799999999998</v>
      </c>
      <c r="T24" s="5">
        <v>190851.31</v>
      </c>
    </row>
    <row r="25" spans="1:55" s="28" customFormat="1" ht="15.75" customHeight="1" x14ac:dyDescent="0.2">
      <c r="A25" s="27">
        <v>1</v>
      </c>
      <c r="B25" s="28" t="s">
        <v>29</v>
      </c>
      <c r="C25" s="28" t="s">
        <v>139</v>
      </c>
      <c r="D25" s="40" t="s">
        <v>316</v>
      </c>
      <c r="E25" s="24" t="s">
        <v>17</v>
      </c>
      <c r="F25" s="23" t="s">
        <v>114</v>
      </c>
      <c r="G25" s="31">
        <v>5300</v>
      </c>
      <c r="H25" s="20" t="s">
        <v>297</v>
      </c>
      <c r="I25" s="34" t="s">
        <v>292</v>
      </c>
      <c r="J25" s="34" t="s">
        <v>293</v>
      </c>
      <c r="K25" s="20" t="s">
        <v>317</v>
      </c>
      <c r="L25" s="29" t="s">
        <v>294</v>
      </c>
      <c r="M25" s="27" t="s">
        <v>180</v>
      </c>
      <c r="N25" s="33">
        <v>20156.5</v>
      </c>
      <c r="O25" s="17">
        <f t="shared" si="0"/>
        <v>20156.5</v>
      </c>
      <c r="P25" s="131">
        <f>12375-600</f>
        <v>11775</v>
      </c>
      <c r="Q25" s="27">
        <v>25</v>
      </c>
      <c r="R25" s="128">
        <f t="shared" si="1"/>
        <v>18991.589449999999</v>
      </c>
      <c r="S25" s="28">
        <v>0.74725799999999998</v>
      </c>
      <c r="T25" s="5">
        <v>190851.31</v>
      </c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s="28" customFormat="1" ht="15.75" customHeight="1" x14ac:dyDescent="0.2">
      <c r="A26" s="27">
        <v>1</v>
      </c>
      <c r="B26" s="28" t="s">
        <v>29</v>
      </c>
      <c r="C26" s="28" t="s">
        <v>139</v>
      </c>
      <c r="D26" s="130" t="s">
        <v>291</v>
      </c>
      <c r="E26" s="24" t="s">
        <v>17</v>
      </c>
      <c r="F26" s="23" t="s">
        <v>114</v>
      </c>
      <c r="G26" s="31">
        <v>5300</v>
      </c>
      <c r="H26" s="20" t="s">
        <v>297</v>
      </c>
      <c r="I26" s="34" t="s">
        <v>292</v>
      </c>
      <c r="J26" s="34" t="s">
        <v>298</v>
      </c>
      <c r="K26" s="21" t="s">
        <v>419</v>
      </c>
      <c r="L26" s="29" t="s">
        <v>294</v>
      </c>
      <c r="M26" s="27" t="s">
        <v>180</v>
      </c>
      <c r="N26" s="33">
        <v>22334.53</v>
      </c>
      <c r="O26" s="17">
        <f t="shared" si="0"/>
        <v>22334.53</v>
      </c>
      <c r="P26" s="131">
        <v>12375</v>
      </c>
      <c r="Q26" s="27">
        <v>23</v>
      </c>
      <c r="R26" s="128">
        <f t="shared" si="1"/>
        <v>21385.095293478262</v>
      </c>
      <c r="S26" s="28">
        <v>0.74725799999999998</v>
      </c>
      <c r="T26" s="5">
        <v>190851.31</v>
      </c>
    </row>
    <row r="27" spans="1:55" s="28" customFormat="1" ht="15.75" customHeight="1" x14ac:dyDescent="0.2">
      <c r="A27" s="27">
        <v>2</v>
      </c>
      <c r="B27" s="28" t="s">
        <v>30</v>
      </c>
      <c r="C27" s="29" t="s">
        <v>99</v>
      </c>
      <c r="D27" s="35" t="s">
        <v>316</v>
      </c>
      <c r="E27" s="24" t="s">
        <v>17</v>
      </c>
      <c r="F27" s="23" t="s">
        <v>114</v>
      </c>
      <c r="G27" s="31">
        <v>5300</v>
      </c>
      <c r="H27" s="20" t="s">
        <v>299</v>
      </c>
      <c r="I27" s="34" t="s">
        <v>292</v>
      </c>
      <c r="J27" s="34" t="s">
        <v>293</v>
      </c>
      <c r="K27" s="21" t="s">
        <v>419</v>
      </c>
      <c r="L27" s="29" t="s">
        <v>294</v>
      </c>
      <c r="M27" s="27" t="s">
        <v>180</v>
      </c>
      <c r="N27" s="33">
        <v>21977</v>
      </c>
      <c r="O27" s="17">
        <f t="shared" si="0"/>
        <v>43954</v>
      </c>
      <c r="P27" s="131">
        <v>12375</v>
      </c>
      <c r="Q27" s="27">
        <v>23</v>
      </c>
      <c r="R27" s="128">
        <f t="shared" si="1"/>
        <v>21027.565293478263</v>
      </c>
      <c r="S27" s="28">
        <v>0.74725799999999998</v>
      </c>
      <c r="T27" s="5">
        <v>190851.31</v>
      </c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s="28" customFormat="1" ht="15.75" customHeight="1" x14ac:dyDescent="0.2">
      <c r="A28" s="27">
        <v>2</v>
      </c>
      <c r="B28" s="28" t="s">
        <v>30</v>
      </c>
      <c r="C28" s="29" t="s">
        <v>99</v>
      </c>
      <c r="D28" s="35" t="s">
        <v>291</v>
      </c>
      <c r="E28" s="24" t="s">
        <v>17</v>
      </c>
      <c r="F28" s="23" t="s">
        <v>114</v>
      </c>
      <c r="G28" s="31">
        <v>5300</v>
      </c>
      <c r="H28" s="20" t="s">
        <v>299</v>
      </c>
      <c r="I28" s="34" t="s">
        <v>292</v>
      </c>
      <c r="J28" s="34" t="s">
        <v>293</v>
      </c>
      <c r="K28" s="21" t="s">
        <v>419</v>
      </c>
      <c r="L28" s="29" t="s">
        <v>294</v>
      </c>
      <c r="M28" s="27" t="s">
        <v>180</v>
      </c>
      <c r="N28" s="33">
        <v>22592.61</v>
      </c>
      <c r="O28" s="17">
        <f t="shared" si="0"/>
        <v>45185.22</v>
      </c>
      <c r="P28" s="131">
        <v>12375</v>
      </c>
      <c r="Q28" s="27">
        <v>23</v>
      </c>
      <c r="R28" s="128">
        <f t="shared" si="1"/>
        <v>21643.175293478263</v>
      </c>
      <c r="S28" s="28">
        <v>0.74725799999999998</v>
      </c>
      <c r="T28" s="5">
        <v>190851.31</v>
      </c>
    </row>
    <row r="29" spans="1:55" s="28" customFormat="1" ht="15.75" customHeight="1" x14ac:dyDescent="0.2">
      <c r="A29" s="27"/>
      <c r="C29" s="29"/>
      <c r="D29" s="35"/>
      <c r="E29" s="24"/>
      <c r="F29" s="23"/>
      <c r="G29" s="31"/>
      <c r="H29" s="20"/>
      <c r="I29" s="34"/>
      <c r="J29" s="34"/>
      <c r="K29" s="21"/>
      <c r="L29" s="29"/>
      <c r="M29" s="27"/>
      <c r="N29" s="33"/>
      <c r="O29" s="17"/>
      <c r="P29" s="131"/>
      <c r="Q29" s="27"/>
      <c r="R29" s="128"/>
      <c r="T29" s="5"/>
    </row>
    <row r="30" spans="1:55" s="28" customFormat="1" ht="15.75" customHeight="1" x14ac:dyDescent="0.2">
      <c r="A30" s="27"/>
      <c r="C30" s="29"/>
      <c r="D30" s="35"/>
      <c r="E30" s="24"/>
      <c r="F30" s="23"/>
      <c r="G30" s="31"/>
      <c r="H30" s="20"/>
      <c r="I30" s="34"/>
      <c r="J30" s="34"/>
      <c r="K30" s="21"/>
      <c r="L30" s="29"/>
      <c r="M30" s="27"/>
      <c r="N30" s="33"/>
      <c r="O30" s="17"/>
      <c r="P30" s="131"/>
      <c r="Q30" s="27"/>
      <c r="R30" s="128"/>
      <c r="T30" s="5"/>
    </row>
    <row r="31" spans="1:55" s="28" customFormat="1" ht="15.75" customHeight="1" x14ac:dyDescent="0.2">
      <c r="A31" s="27">
        <v>12</v>
      </c>
      <c r="B31" s="28" t="s">
        <v>42</v>
      </c>
      <c r="C31" s="29" t="s">
        <v>116</v>
      </c>
      <c r="D31" s="2" t="s">
        <v>316</v>
      </c>
      <c r="E31" s="24" t="s">
        <v>17</v>
      </c>
      <c r="F31" s="20" t="s">
        <v>325</v>
      </c>
      <c r="G31" s="31">
        <v>7300</v>
      </c>
      <c r="H31" s="21" t="s">
        <v>326</v>
      </c>
      <c r="I31" s="34" t="s">
        <v>18</v>
      </c>
      <c r="J31" s="34" t="s">
        <v>18</v>
      </c>
      <c r="K31" s="20" t="s">
        <v>438</v>
      </c>
      <c r="L31" s="29" t="s">
        <v>294</v>
      </c>
      <c r="M31" s="27" t="s">
        <v>180</v>
      </c>
      <c r="N31" s="33">
        <v>22216</v>
      </c>
      <c r="O31" s="17">
        <f t="shared" ref="O31:O58" si="2">A31*N31</f>
        <v>266592</v>
      </c>
      <c r="P31" s="131">
        <v>8575</v>
      </c>
      <c r="Q31" s="27">
        <v>21</v>
      </c>
      <c r="R31" s="128">
        <f t="shared" ref="R31:R40" si="3">N31+(T31/Q31)-(P31*AO$310)</f>
        <v>24896.42026904762</v>
      </c>
      <c r="S31" s="28">
        <v>0.74725799999999998</v>
      </c>
      <c r="T31" s="5">
        <v>190851.31</v>
      </c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s="28" customFormat="1" ht="15.75" customHeight="1" x14ac:dyDescent="0.2">
      <c r="A32" s="27">
        <v>12</v>
      </c>
      <c r="B32" s="28" t="s">
        <v>42</v>
      </c>
      <c r="C32" s="29" t="s">
        <v>116</v>
      </c>
      <c r="D32" s="35" t="s">
        <v>289</v>
      </c>
      <c r="E32" s="23" t="s">
        <v>179</v>
      </c>
      <c r="F32" s="20" t="s">
        <v>193</v>
      </c>
      <c r="G32" s="31">
        <v>8520</v>
      </c>
      <c r="H32" s="20" t="s">
        <v>194</v>
      </c>
      <c r="I32" s="34" t="s">
        <v>283</v>
      </c>
      <c r="J32" s="34" t="s">
        <v>196</v>
      </c>
      <c r="K32" s="21" t="s">
        <v>417</v>
      </c>
      <c r="L32" s="28" t="s">
        <v>197</v>
      </c>
      <c r="M32" s="27" t="s">
        <v>180</v>
      </c>
      <c r="N32" s="33">
        <v>18297.5</v>
      </c>
      <c r="O32" s="17">
        <f t="shared" si="2"/>
        <v>219570</v>
      </c>
      <c r="P32" s="131" t="s">
        <v>439</v>
      </c>
      <c r="Q32" s="27">
        <v>16</v>
      </c>
      <c r="R32" s="128" t="e">
        <f t="shared" si="3"/>
        <v>#VALUE!</v>
      </c>
      <c r="S32" s="28">
        <v>0.74725799999999998</v>
      </c>
      <c r="T32" s="5">
        <v>190851.31</v>
      </c>
    </row>
    <row r="33" spans="1:55" s="28" customFormat="1" ht="15.75" customHeight="1" x14ac:dyDescent="0.2">
      <c r="A33" s="27">
        <v>12</v>
      </c>
      <c r="B33" s="28" t="s">
        <v>42</v>
      </c>
      <c r="C33" s="29" t="s">
        <v>116</v>
      </c>
      <c r="D33" s="130" t="s">
        <v>287</v>
      </c>
      <c r="E33" s="23" t="s">
        <v>179</v>
      </c>
      <c r="F33" s="20" t="s">
        <v>193</v>
      </c>
      <c r="G33" s="31">
        <v>8520</v>
      </c>
      <c r="H33" s="20" t="s">
        <v>194</v>
      </c>
      <c r="I33" s="34" t="s">
        <v>195</v>
      </c>
      <c r="J33" s="34" t="s">
        <v>196</v>
      </c>
      <c r="K33" s="21" t="s">
        <v>417</v>
      </c>
      <c r="L33" s="28" t="s">
        <v>197</v>
      </c>
      <c r="M33" s="27" t="s">
        <v>180</v>
      </c>
      <c r="N33" s="33">
        <v>18135</v>
      </c>
      <c r="O33" s="17">
        <f t="shared" si="2"/>
        <v>217620</v>
      </c>
      <c r="P33" s="131" t="s">
        <v>439</v>
      </c>
      <c r="Q33" s="27">
        <v>17</v>
      </c>
      <c r="R33" s="128" t="e">
        <f t="shared" si="3"/>
        <v>#VALUE!</v>
      </c>
      <c r="S33" s="28">
        <v>0.74725799999999998</v>
      </c>
      <c r="T33" s="5">
        <v>190851.31</v>
      </c>
    </row>
    <row r="34" spans="1:55" s="28" customFormat="1" ht="15.75" customHeight="1" x14ac:dyDescent="0.2">
      <c r="A34" s="27">
        <v>6</v>
      </c>
      <c r="B34" s="28" t="s">
        <v>43</v>
      </c>
      <c r="C34" s="29" t="s">
        <v>117</v>
      </c>
      <c r="D34" s="35" t="s">
        <v>316</v>
      </c>
      <c r="E34" s="24" t="s">
        <v>17</v>
      </c>
      <c r="F34" s="20" t="s">
        <v>325</v>
      </c>
      <c r="G34" s="31">
        <v>7300</v>
      </c>
      <c r="H34" s="21" t="s">
        <v>326</v>
      </c>
      <c r="I34" s="34" t="s">
        <v>18</v>
      </c>
      <c r="J34" s="34" t="s">
        <v>18</v>
      </c>
      <c r="K34" s="20" t="s">
        <v>438</v>
      </c>
      <c r="L34" s="29" t="s">
        <v>294</v>
      </c>
      <c r="M34" s="27" t="s">
        <v>180</v>
      </c>
      <c r="N34" s="33">
        <v>22236</v>
      </c>
      <c r="O34" s="17">
        <f t="shared" si="2"/>
        <v>133416</v>
      </c>
      <c r="P34" s="131">
        <v>8575</v>
      </c>
      <c r="Q34" s="27">
        <v>21</v>
      </c>
      <c r="R34" s="128">
        <f t="shared" si="3"/>
        <v>24916.42026904762</v>
      </c>
      <c r="S34" s="28">
        <v>0.74725799999999998</v>
      </c>
      <c r="T34" s="5">
        <v>190851.31</v>
      </c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s="28" customFormat="1" ht="15.75" customHeight="1" x14ac:dyDescent="0.2">
      <c r="A35" s="27">
        <v>6</v>
      </c>
      <c r="B35" s="28" t="s">
        <v>43</v>
      </c>
      <c r="C35" s="29" t="s">
        <v>117</v>
      </c>
      <c r="D35" s="130" t="s">
        <v>287</v>
      </c>
      <c r="E35" s="23" t="s">
        <v>179</v>
      </c>
      <c r="F35" s="20" t="s">
        <v>193</v>
      </c>
      <c r="G35" s="31">
        <v>8520</v>
      </c>
      <c r="H35" s="20" t="s">
        <v>194</v>
      </c>
      <c r="I35" s="34" t="s">
        <v>195</v>
      </c>
      <c r="J35" s="34" t="s">
        <v>196</v>
      </c>
      <c r="K35" s="21" t="s">
        <v>417</v>
      </c>
      <c r="L35" s="28" t="s">
        <v>197</v>
      </c>
      <c r="M35" s="27" t="s">
        <v>180</v>
      </c>
      <c r="N35" s="33">
        <v>22552</v>
      </c>
      <c r="O35" s="17">
        <f t="shared" si="2"/>
        <v>135312</v>
      </c>
      <c r="P35" s="131" t="s">
        <v>439</v>
      </c>
      <c r="Q35" s="27">
        <v>17</v>
      </c>
      <c r="R35" s="128" t="e">
        <f t="shared" si="3"/>
        <v>#VALUE!</v>
      </c>
      <c r="S35" s="28">
        <v>0.74725799999999998</v>
      </c>
      <c r="T35" s="5">
        <v>190851.31</v>
      </c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s="28" customFormat="1" ht="15.75" customHeight="1" x14ac:dyDescent="0.2">
      <c r="A36" s="27">
        <v>1</v>
      </c>
      <c r="B36" s="28" t="s">
        <v>44</v>
      </c>
      <c r="C36" s="29" t="s">
        <v>116</v>
      </c>
      <c r="D36" s="35" t="s">
        <v>316</v>
      </c>
      <c r="E36" s="24" t="s">
        <v>17</v>
      </c>
      <c r="F36" s="20" t="s">
        <v>325</v>
      </c>
      <c r="G36" s="32">
        <v>7300</v>
      </c>
      <c r="H36" s="21" t="s">
        <v>326</v>
      </c>
      <c r="I36" s="34" t="s">
        <v>18</v>
      </c>
      <c r="J36" s="34" t="s">
        <v>18</v>
      </c>
      <c r="K36" s="20" t="s">
        <v>438</v>
      </c>
      <c r="L36" s="29" t="s">
        <v>294</v>
      </c>
      <c r="M36" s="27" t="s">
        <v>180</v>
      </c>
      <c r="N36" s="33">
        <v>21778</v>
      </c>
      <c r="O36" s="17">
        <f t="shared" si="2"/>
        <v>21778</v>
      </c>
      <c r="P36" s="131">
        <v>8575</v>
      </c>
      <c r="Q36" s="27">
        <v>21</v>
      </c>
      <c r="R36" s="128">
        <f t="shared" si="3"/>
        <v>24458.42026904762</v>
      </c>
      <c r="S36" s="28">
        <v>0.74725799999999998</v>
      </c>
      <c r="T36" s="5">
        <v>190851.31</v>
      </c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s="28" customFormat="1" ht="15.75" customHeight="1" x14ac:dyDescent="0.2">
      <c r="A37" s="27">
        <v>1</v>
      </c>
      <c r="B37" s="28" t="s">
        <v>44</v>
      </c>
      <c r="C37" s="29" t="s">
        <v>116</v>
      </c>
      <c r="D37" s="130" t="s">
        <v>287</v>
      </c>
      <c r="E37" s="23" t="s">
        <v>179</v>
      </c>
      <c r="F37" s="20" t="s">
        <v>193</v>
      </c>
      <c r="G37" s="31">
        <v>8520</v>
      </c>
      <c r="H37" s="20" t="s">
        <v>194</v>
      </c>
      <c r="I37" s="34" t="s">
        <v>195</v>
      </c>
      <c r="J37" s="34" t="s">
        <v>196</v>
      </c>
      <c r="K37" s="21" t="s">
        <v>417</v>
      </c>
      <c r="L37" s="28" t="s">
        <v>197</v>
      </c>
      <c r="M37" s="27" t="s">
        <v>180</v>
      </c>
      <c r="N37" s="33">
        <v>19906</v>
      </c>
      <c r="O37" s="17">
        <f t="shared" si="2"/>
        <v>19906</v>
      </c>
      <c r="P37" s="131" t="s">
        <v>439</v>
      </c>
      <c r="Q37" s="27">
        <v>17</v>
      </c>
      <c r="R37" s="128" t="e">
        <f t="shared" si="3"/>
        <v>#VALUE!</v>
      </c>
      <c r="S37" s="28">
        <v>0.74725799999999998</v>
      </c>
      <c r="T37" s="5">
        <v>190851.31</v>
      </c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s="38" customFormat="1" ht="15.75" customHeight="1" x14ac:dyDescent="0.2">
      <c r="A38" s="27">
        <v>1</v>
      </c>
      <c r="B38" s="28" t="s">
        <v>45</v>
      </c>
      <c r="C38" s="29" t="s">
        <v>116</v>
      </c>
      <c r="D38" s="35" t="s">
        <v>316</v>
      </c>
      <c r="E38" s="24" t="s">
        <v>17</v>
      </c>
      <c r="F38" s="20" t="s">
        <v>325</v>
      </c>
      <c r="G38" s="32">
        <v>7300</v>
      </c>
      <c r="H38" s="21" t="s">
        <v>326</v>
      </c>
      <c r="I38" s="34" t="s">
        <v>18</v>
      </c>
      <c r="J38" s="34" t="s">
        <v>18</v>
      </c>
      <c r="K38" s="20" t="s">
        <v>438</v>
      </c>
      <c r="L38" s="29" t="s">
        <v>294</v>
      </c>
      <c r="M38" s="27" t="s">
        <v>180</v>
      </c>
      <c r="N38" s="33">
        <v>21553</v>
      </c>
      <c r="O38" s="17">
        <f t="shared" si="2"/>
        <v>21553</v>
      </c>
      <c r="P38" s="131">
        <v>8575</v>
      </c>
      <c r="Q38" s="27">
        <v>21</v>
      </c>
      <c r="R38" s="128">
        <f t="shared" si="3"/>
        <v>24233.42026904762</v>
      </c>
      <c r="S38" s="28">
        <v>0.74725799999999998</v>
      </c>
      <c r="T38" s="5">
        <v>190851.31</v>
      </c>
      <c r="U38" s="28"/>
      <c r="V38" s="28"/>
      <c r="W38" s="28"/>
      <c r="X38" s="28"/>
      <c r="Y38" s="28"/>
      <c r="Z38" s="28"/>
      <c r="AA38" s="28"/>
    </row>
    <row r="39" spans="1:55" s="38" customFormat="1" ht="15.75" customHeight="1" x14ac:dyDescent="0.2">
      <c r="A39" s="27">
        <v>1</v>
      </c>
      <c r="B39" s="28" t="s">
        <v>45</v>
      </c>
      <c r="C39" s="29" t="s">
        <v>116</v>
      </c>
      <c r="D39" s="35" t="s">
        <v>289</v>
      </c>
      <c r="E39" s="23" t="s">
        <v>179</v>
      </c>
      <c r="F39" s="20" t="s">
        <v>193</v>
      </c>
      <c r="G39" s="31">
        <v>8520</v>
      </c>
      <c r="H39" s="20" t="s">
        <v>194</v>
      </c>
      <c r="I39" s="34" t="s">
        <v>283</v>
      </c>
      <c r="J39" s="34" t="s">
        <v>196</v>
      </c>
      <c r="K39" s="21" t="s">
        <v>417</v>
      </c>
      <c r="L39" s="28" t="s">
        <v>197</v>
      </c>
      <c r="M39" s="27" t="s">
        <v>180</v>
      </c>
      <c r="N39" s="33">
        <v>18042.5</v>
      </c>
      <c r="O39" s="17">
        <f t="shared" si="2"/>
        <v>18042.5</v>
      </c>
      <c r="P39" s="131" t="s">
        <v>439</v>
      </c>
      <c r="Q39" s="27">
        <v>16</v>
      </c>
      <c r="R39" s="128" t="e">
        <f t="shared" si="3"/>
        <v>#VALUE!</v>
      </c>
      <c r="S39" s="28">
        <v>0.74725799999999998</v>
      </c>
      <c r="T39" s="5">
        <v>190851.31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 s="38" customFormat="1" ht="15.75" customHeight="1" x14ac:dyDescent="0.2">
      <c r="A40" s="27">
        <v>1</v>
      </c>
      <c r="B40" s="28" t="s">
        <v>45</v>
      </c>
      <c r="C40" s="29" t="s">
        <v>116</v>
      </c>
      <c r="D40" s="130" t="s">
        <v>287</v>
      </c>
      <c r="E40" s="23" t="s">
        <v>179</v>
      </c>
      <c r="F40" s="20" t="s">
        <v>193</v>
      </c>
      <c r="G40" s="31">
        <v>8520</v>
      </c>
      <c r="H40" s="20" t="s">
        <v>194</v>
      </c>
      <c r="I40" s="34" t="s">
        <v>195</v>
      </c>
      <c r="J40" s="34" t="s">
        <v>196</v>
      </c>
      <c r="K40" s="21" t="s">
        <v>417</v>
      </c>
      <c r="L40" s="28" t="s">
        <v>197</v>
      </c>
      <c r="M40" s="27" t="s">
        <v>180</v>
      </c>
      <c r="N40" s="33">
        <v>17841</v>
      </c>
      <c r="O40" s="17">
        <f t="shared" si="2"/>
        <v>17841</v>
      </c>
      <c r="P40" s="131" t="s">
        <v>439</v>
      </c>
      <c r="Q40" s="27">
        <v>17</v>
      </c>
      <c r="R40" s="128" t="e">
        <f t="shared" si="3"/>
        <v>#VALUE!</v>
      </c>
      <c r="S40" s="28">
        <v>0.74725799999999998</v>
      </c>
      <c r="T40" s="5">
        <v>190851.31</v>
      </c>
      <c r="U40" s="28"/>
      <c r="V40" s="28"/>
      <c r="W40" s="28"/>
      <c r="X40" s="28"/>
      <c r="Y40" s="28"/>
      <c r="Z40" s="28"/>
      <c r="AA40" s="28"/>
    </row>
    <row r="41" spans="1:55" s="38" customFormat="1" ht="15.75" customHeight="1" x14ac:dyDescent="0.2">
      <c r="A41" s="27">
        <v>3</v>
      </c>
      <c r="B41" s="28" t="s">
        <v>46</v>
      </c>
      <c r="C41" s="29" t="s">
        <v>118</v>
      </c>
      <c r="D41" s="35" t="s">
        <v>316</v>
      </c>
      <c r="E41" s="24" t="s">
        <v>17</v>
      </c>
      <c r="F41" s="20" t="s">
        <v>325</v>
      </c>
      <c r="G41" s="31">
        <v>9600</v>
      </c>
      <c r="H41" s="20" t="s">
        <v>327</v>
      </c>
      <c r="I41" s="34" t="s">
        <v>18</v>
      </c>
      <c r="J41" s="34" t="s">
        <v>18</v>
      </c>
      <c r="K41" s="20" t="s">
        <v>333</v>
      </c>
      <c r="L41" s="29" t="s">
        <v>328</v>
      </c>
      <c r="M41" s="137" t="s">
        <v>180</v>
      </c>
      <c r="N41" s="33">
        <v>25816.5</v>
      </c>
      <c r="O41" s="17">
        <f t="shared" si="2"/>
        <v>77449.5</v>
      </c>
      <c r="P41" s="131">
        <f>9925+300</f>
        <v>10225</v>
      </c>
      <c r="Q41" s="45" t="s">
        <v>439</v>
      </c>
      <c r="R41" s="128">
        <f t="shared" ref="R41:R49" si="4">N41-(P41*AO$310)</f>
        <v>18175.786950000002</v>
      </c>
      <c r="S41" s="28">
        <v>0.74725799999999998</v>
      </c>
      <c r="T41" s="5" t="s">
        <v>14</v>
      </c>
      <c r="U41" s="28"/>
      <c r="V41" s="28"/>
      <c r="W41" s="28"/>
      <c r="X41" s="28"/>
    </row>
    <row r="42" spans="1:55" s="38" customFormat="1" ht="15.75" customHeight="1" x14ac:dyDescent="0.2">
      <c r="A42" s="27">
        <v>3</v>
      </c>
      <c r="B42" s="28" t="s">
        <v>46</v>
      </c>
      <c r="C42" s="29" t="s">
        <v>118</v>
      </c>
      <c r="D42" s="130" t="s">
        <v>287</v>
      </c>
      <c r="E42" s="23" t="s">
        <v>179</v>
      </c>
      <c r="F42" s="23" t="s">
        <v>198</v>
      </c>
      <c r="G42" s="31">
        <v>9500</v>
      </c>
      <c r="H42" s="20" t="s">
        <v>199</v>
      </c>
      <c r="I42" s="34" t="s">
        <v>195</v>
      </c>
      <c r="J42" s="34" t="s">
        <v>200</v>
      </c>
      <c r="K42" s="24" t="s">
        <v>415</v>
      </c>
      <c r="L42" s="29" t="s">
        <v>197</v>
      </c>
      <c r="M42" s="137" t="s">
        <v>180</v>
      </c>
      <c r="N42" s="33">
        <v>25367</v>
      </c>
      <c r="O42" s="17">
        <f t="shared" si="2"/>
        <v>76101</v>
      </c>
      <c r="P42" s="131" t="s">
        <v>439</v>
      </c>
      <c r="Q42" s="45" t="s">
        <v>439</v>
      </c>
      <c r="R42" s="128" t="e">
        <f t="shared" si="4"/>
        <v>#VALUE!</v>
      </c>
      <c r="S42" s="28">
        <v>0.74725799999999998</v>
      </c>
      <c r="T42" s="5" t="s">
        <v>14</v>
      </c>
      <c r="U42" s="28"/>
      <c r="V42" s="28"/>
      <c r="W42" s="28"/>
      <c r="X42" s="28"/>
      <c r="Y42" s="28"/>
      <c r="Z42" s="28"/>
      <c r="AA42" s="28"/>
    </row>
    <row r="43" spans="1:55" s="38" customFormat="1" ht="15.75" customHeight="1" x14ac:dyDescent="0.2">
      <c r="A43" s="27">
        <v>1</v>
      </c>
      <c r="B43" s="28" t="s">
        <v>47</v>
      </c>
      <c r="C43" s="29" t="s">
        <v>118</v>
      </c>
      <c r="D43" s="35" t="s">
        <v>316</v>
      </c>
      <c r="E43" s="24" t="s">
        <v>17</v>
      </c>
      <c r="F43" s="20" t="s">
        <v>325</v>
      </c>
      <c r="G43" s="31">
        <v>9600</v>
      </c>
      <c r="H43" s="20" t="s">
        <v>327</v>
      </c>
      <c r="I43" s="34" t="s">
        <v>18</v>
      </c>
      <c r="J43" s="34" t="s">
        <v>18</v>
      </c>
      <c r="K43" s="20" t="s">
        <v>333</v>
      </c>
      <c r="L43" s="29" t="s">
        <v>328</v>
      </c>
      <c r="M43" s="137" t="s">
        <v>180</v>
      </c>
      <c r="N43" s="33">
        <v>26066.5</v>
      </c>
      <c r="O43" s="17">
        <f t="shared" si="2"/>
        <v>26066.5</v>
      </c>
      <c r="P43" s="131">
        <f>9925+300</f>
        <v>10225</v>
      </c>
      <c r="Q43" s="45" t="s">
        <v>439</v>
      </c>
      <c r="R43" s="128">
        <f t="shared" si="4"/>
        <v>18425.786950000002</v>
      </c>
      <c r="S43" s="28">
        <v>0.74725799999999998</v>
      </c>
      <c r="T43" s="5" t="s">
        <v>14</v>
      </c>
      <c r="U43" s="28"/>
      <c r="V43" s="28"/>
      <c r="W43" s="28"/>
      <c r="X43" s="28"/>
    </row>
    <row r="44" spans="1:55" s="38" customFormat="1" ht="15.75" customHeight="1" x14ac:dyDescent="0.2">
      <c r="A44" s="27">
        <v>1</v>
      </c>
      <c r="B44" s="28" t="s">
        <v>47</v>
      </c>
      <c r="C44" s="29" t="s">
        <v>118</v>
      </c>
      <c r="D44" s="130" t="s">
        <v>287</v>
      </c>
      <c r="E44" s="23" t="s">
        <v>179</v>
      </c>
      <c r="F44" s="23" t="s">
        <v>198</v>
      </c>
      <c r="G44" s="31">
        <v>9500</v>
      </c>
      <c r="H44" s="20" t="s">
        <v>199</v>
      </c>
      <c r="I44" s="34" t="s">
        <v>195</v>
      </c>
      <c r="J44" s="34" t="s">
        <v>200</v>
      </c>
      <c r="K44" s="24" t="s">
        <v>415</v>
      </c>
      <c r="L44" s="29" t="s">
        <v>197</v>
      </c>
      <c r="M44" s="137" t="s">
        <v>180</v>
      </c>
      <c r="N44" s="33">
        <v>25801</v>
      </c>
      <c r="O44" s="17">
        <f t="shared" si="2"/>
        <v>25801</v>
      </c>
      <c r="P44" s="131" t="s">
        <v>439</v>
      </c>
      <c r="Q44" s="45" t="s">
        <v>439</v>
      </c>
      <c r="R44" s="128" t="e">
        <f t="shared" si="4"/>
        <v>#VALUE!</v>
      </c>
      <c r="S44" s="28">
        <v>0.74725799999999998</v>
      </c>
      <c r="T44" s="5" t="s">
        <v>14</v>
      </c>
      <c r="U44" s="28"/>
      <c r="V44" s="28"/>
      <c r="W44" s="28"/>
      <c r="X44" s="28"/>
    </row>
    <row r="45" spans="1:55" s="38" customFormat="1" ht="15.75" customHeight="1" x14ac:dyDescent="0.2">
      <c r="A45" s="27">
        <v>4</v>
      </c>
      <c r="B45" s="28" t="s">
        <v>48</v>
      </c>
      <c r="C45" s="28" t="s">
        <v>119</v>
      </c>
      <c r="D45" s="40" t="s">
        <v>316</v>
      </c>
      <c r="E45" s="24" t="s">
        <v>17</v>
      </c>
      <c r="F45" s="20" t="s">
        <v>325</v>
      </c>
      <c r="G45" s="31">
        <v>9600</v>
      </c>
      <c r="H45" s="20" t="s">
        <v>329</v>
      </c>
      <c r="I45" s="34" t="s">
        <v>18</v>
      </c>
      <c r="J45" s="34" t="s">
        <v>18</v>
      </c>
      <c r="K45" s="20" t="s">
        <v>318</v>
      </c>
      <c r="L45" s="29" t="s">
        <v>294</v>
      </c>
      <c r="M45" s="137" t="s">
        <v>180</v>
      </c>
      <c r="N45" s="33">
        <v>23112.5</v>
      </c>
      <c r="O45" s="17">
        <f t="shared" si="2"/>
        <v>92450</v>
      </c>
      <c r="P45" s="131">
        <v>10225</v>
      </c>
      <c r="Q45" s="45" t="s">
        <v>439</v>
      </c>
      <c r="R45" s="128">
        <f t="shared" si="4"/>
        <v>15471.786950000002</v>
      </c>
      <c r="S45" s="28">
        <v>0.74725799999999998</v>
      </c>
      <c r="T45" s="5" t="s">
        <v>14</v>
      </c>
      <c r="U45" s="28"/>
      <c r="V45" s="28"/>
      <c r="W45" s="28"/>
      <c r="X45" s="28"/>
    </row>
    <row r="46" spans="1:55" s="38" customFormat="1" ht="15.75" customHeight="1" x14ac:dyDescent="0.2">
      <c r="A46" s="27">
        <v>4</v>
      </c>
      <c r="B46" s="28" t="s">
        <v>48</v>
      </c>
      <c r="C46" s="28" t="s">
        <v>119</v>
      </c>
      <c r="D46" s="130" t="s">
        <v>287</v>
      </c>
      <c r="E46" s="23" t="s">
        <v>179</v>
      </c>
      <c r="F46" s="23" t="s">
        <v>198</v>
      </c>
      <c r="G46" s="31">
        <v>9500</v>
      </c>
      <c r="H46" s="20" t="s">
        <v>201</v>
      </c>
      <c r="I46" s="34" t="s">
        <v>195</v>
      </c>
      <c r="J46" s="34" t="s">
        <v>200</v>
      </c>
      <c r="K46" s="24" t="s">
        <v>415</v>
      </c>
      <c r="L46" s="29" t="s">
        <v>197</v>
      </c>
      <c r="M46" s="137" t="s">
        <v>180</v>
      </c>
      <c r="N46" s="33">
        <v>26499</v>
      </c>
      <c r="O46" s="17">
        <f t="shared" si="2"/>
        <v>105996</v>
      </c>
      <c r="P46" s="131" t="s">
        <v>439</v>
      </c>
      <c r="Q46" s="45" t="s">
        <v>439</v>
      </c>
      <c r="R46" s="128" t="e">
        <f t="shared" si="4"/>
        <v>#VALUE!</v>
      </c>
      <c r="S46" s="28">
        <v>0.74725799999999998</v>
      </c>
      <c r="T46" s="5" t="s">
        <v>14</v>
      </c>
      <c r="U46" s="28"/>
      <c r="V46" s="28"/>
      <c r="W46" s="28"/>
      <c r="X46" s="28"/>
    </row>
    <row r="47" spans="1:55" s="38" customFormat="1" ht="15.75" customHeight="1" x14ac:dyDescent="0.2">
      <c r="A47" s="27">
        <v>3</v>
      </c>
      <c r="B47" s="28" t="s">
        <v>49</v>
      </c>
      <c r="C47" s="28" t="s">
        <v>120</v>
      </c>
      <c r="D47" s="40" t="s">
        <v>316</v>
      </c>
      <c r="E47" s="24" t="s">
        <v>17</v>
      </c>
      <c r="F47" s="20" t="s">
        <v>325</v>
      </c>
      <c r="G47" s="31">
        <v>9600</v>
      </c>
      <c r="H47" s="20" t="s">
        <v>329</v>
      </c>
      <c r="I47" s="34" t="s">
        <v>18</v>
      </c>
      <c r="J47" s="34" t="s">
        <v>18</v>
      </c>
      <c r="K47" s="20" t="s">
        <v>318</v>
      </c>
      <c r="L47" s="29" t="s">
        <v>294</v>
      </c>
      <c r="M47" s="137" t="s">
        <v>180</v>
      </c>
      <c r="N47" s="33">
        <v>27010.5</v>
      </c>
      <c r="O47" s="17">
        <f t="shared" si="2"/>
        <v>81031.5</v>
      </c>
      <c r="P47" s="132">
        <f>10225+300</f>
        <v>10525</v>
      </c>
      <c r="Q47" s="45" t="s">
        <v>439</v>
      </c>
      <c r="R47" s="128">
        <f t="shared" si="4"/>
        <v>19145.609550000001</v>
      </c>
      <c r="S47" s="28">
        <v>0.74725799999999998</v>
      </c>
      <c r="T47" s="5" t="s">
        <v>14</v>
      </c>
    </row>
    <row r="48" spans="1:55" s="38" customFormat="1" ht="15.75" customHeight="1" x14ac:dyDescent="0.2">
      <c r="A48" s="27">
        <v>3</v>
      </c>
      <c r="B48" s="28" t="s">
        <v>49</v>
      </c>
      <c r="C48" s="28" t="s">
        <v>120</v>
      </c>
      <c r="D48" s="130" t="s">
        <v>287</v>
      </c>
      <c r="E48" s="23" t="s">
        <v>179</v>
      </c>
      <c r="F48" s="23" t="s">
        <v>198</v>
      </c>
      <c r="G48" s="31">
        <v>9500</v>
      </c>
      <c r="H48" s="20" t="s">
        <v>201</v>
      </c>
      <c r="I48" s="34" t="s">
        <v>195</v>
      </c>
      <c r="J48" s="34" t="s">
        <v>200</v>
      </c>
      <c r="K48" s="24" t="s">
        <v>415</v>
      </c>
      <c r="L48" s="29" t="s">
        <v>197</v>
      </c>
      <c r="M48" s="137" t="s">
        <v>180</v>
      </c>
      <c r="N48" s="33">
        <v>23148</v>
      </c>
      <c r="O48" s="17">
        <f t="shared" si="2"/>
        <v>69444</v>
      </c>
      <c r="P48" s="131" t="s">
        <v>439</v>
      </c>
      <c r="Q48" s="45" t="s">
        <v>439</v>
      </c>
      <c r="R48" s="128" t="e">
        <f t="shared" si="4"/>
        <v>#VALUE!</v>
      </c>
      <c r="S48" s="28">
        <v>0.74725799999999998</v>
      </c>
      <c r="T48" s="5" t="s">
        <v>14</v>
      </c>
      <c r="U48" s="28"/>
      <c r="V48" s="28"/>
      <c r="W48" s="28"/>
      <c r="X48" s="28"/>
    </row>
    <row r="49" spans="1:55" s="38" customFormat="1" ht="15.75" customHeight="1" x14ac:dyDescent="0.2">
      <c r="A49" s="27">
        <v>6</v>
      </c>
      <c r="B49" s="28" t="s">
        <v>50</v>
      </c>
      <c r="C49" s="28" t="s">
        <v>121</v>
      </c>
      <c r="D49" s="35" t="s">
        <v>316</v>
      </c>
      <c r="E49" s="24" t="s">
        <v>17</v>
      </c>
      <c r="F49" s="20" t="s">
        <v>325</v>
      </c>
      <c r="G49" s="31">
        <v>7300</v>
      </c>
      <c r="H49" s="20" t="s">
        <v>331</v>
      </c>
      <c r="I49" s="34" t="s">
        <v>292</v>
      </c>
      <c r="J49" s="34" t="s">
        <v>293</v>
      </c>
      <c r="K49" s="20" t="s">
        <v>330</v>
      </c>
      <c r="L49" s="29" t="s">
        <v>294</v>
      </c>
      <c r="M49" s="137" t="s">
        <v>180</v>
      </c>
      <c r="N49" s="33">
        <v>22398</v>
      </c>
      <c r="O49" s="17">
        <f t="shared" si="2"/>
        <v>134388</v>
      </c>
      <c r="P49" s="132">
        <f>9475+300</f>
        <v>9775</v>
      </c>
      <c r="Q49" s="45" t="s">
        <v>439</v>
      </c>
      <c r="R49" s="128">
        <f t="shared" si="4"/>
        <v>15093.55305</v>
      </c>
      <c r="S49" s="28">
        <v>0.74725799999999998</v>
      </c>
      <c r="T49" s="5" t="s">
        <v>14</v>
      </c>
    </row>
    <row r="50" spans="1:55" s="38" customFormat="1" ht="15.75" customHeight="1" x14ac:dyDescent="0.2">
      <c r="A50" s="27">
        <v>6</v>
      </c>
      <c r="B50" s="28" t="s">
        <v>50</v>
      </c>
      <c r="C50" s="28" t="s">
        <v>121</v>
      </c>
      <c r="D50" s="130" t="s">
        <v>287</v>
      </c>
      <c r="E50" s="23" t="s">
        <v>179</v>
      </c>
      <c r="F50" s="23" t="s">
        <v>193</v>
      </c>
      <c r="G50" s="31">
        <v>8520</v>
      </c>
      <c r="H50" s="20" t="s">
        <v>202</v>
      </c>
      <c r="I50" s="34" t="s">
        <v>184</v>
      </c>
      <c r="J50" s="34" t="s">
        <v>203</v>
      </c>
      <c r="K50" s="21" t="s">
        <v>417</v>
      </c>
      <c r="L50" s="29" t="s">
        <v>197</v>
      </c>
      <c r="M50" s="27" t="s">
        <v>180</v>
      </c>
      <c r="N50" s="33">
        <v>20317</v>
      </c>
      <c r="O50" s="17">
        <f t="shared" si="2"/>
        <v>121902</v>
      </c>
      <c r="P50" s="131" t="s">
        <v>439</v>
      </c>
      <c r="Q50" s="27">
        <v>16</v>
      </c>
      <c r="R50" s="128" t="e">
        <f>N50+(T50/Q50)-(P50*AO$310)</f>
        <v>#VALUE!</v>
      </c>
      <c r="S50" s="28">
        <v>0.74725799999999998</v>
      </c>
      <c r="T50" s="5">
        <v>190851.31</v>
      </c>
      <c r="U50" s="28"/>
      <c r="V50" s="28"/>
      <c r="W50" s="28"/>
      <c r="X50" s="28"/>
    </row>
    <row r="51" spans="1:55" s="38" customFormat="1" ht="15.75" customHeight="1" x14ac:dyDescent="0.2">
      <c r="A51" s="27">
        <v>26</v>
      </c>
      <c r="B51" s="28" t="s">
        <v>51</v>
      </c>
      <c r="C51" s="28" t="s">
        <v>122</v>
      </c>
      <c r="D51" s="35" t="s">
        <v>316</v>
      </c>
      <c r="E51" s="24" t="s">
        <v>17</v>
      </c>
      <c r="F51" s="20" t="s">
        <v>325</v>
      </c>
      <c r="G51" s="31">
        <v>9500</v>
      </c>
      <c r="H51" s="20" t="s">
        <v>332</v>
      </c>
      <c r="I51" s="34" t="s">
        <v>292</v>
      </c>
      <c r="J51" s="34" t="s">
        <v>293</v>
      </c>
      <c r="K51" s="20" t="s">
        <v>318</v>
      </c>
      <c r="L51" s="29" t="s">
        <v>328</v>
      </c>
      <c r="M51" s="137" t="s">
        <v>180</v>
      </c>
      <c r="N51" s="33">
        <v>24759.5</v>
      </c>
      <c r="O51" s="17">
        <f t="shared" si="2"/>
        <v>643747</v>
      </c>
      <c r="P51" s="132">
        <v>12175</v>
      </c>
      <c r="Q51" s="45" t="s">
        <v>439</v>
      </c>
      <c r="R51" s="128">
        <f t="shared" ref="R51:R58" si="5">N51-(P51*AO$310)</f>
        <v>15661.63385</v>
      </c>
      <c r="S51" s="28">
        <v>0.74725799999999998</v>
      </c>
      <c r="T51" s="5" t="s">
        <v>14</v>
      </c>
    </row>
    <row r="52" spans="1:55" s="38" customFormat="1" ht="15.75" customHeight="1" x14ac:dyDescent="0.2">
      <c r="A52" s="27">
        <v>5</v>
      </c>
      <c r="B52" s="38" t="s">
        <v>52</v>
      </c>
      <c r="C52" s="28" t="s">
        <v>122</v>
      </c>
      <c r="D52" s="40" t="s">
        <v>316</v>
      </c>
      <c r="E52" s="24" t="s">
        <v>17</v>
      </c>
      <c r="F52" s="20" t="s">
        <v>325</v>
      </c>
      <c r="G52" s="39">
        <v>9500</v>
      </c>
      <c r="H52" s="20" t="s">
        <v>332</v>
      </c>
      <c r="I52" s="34" t="s">
        <v>292</v>
      </c>
      <c r="J52" s="40" t="s">
        <v>293</v>
      </c>
      <c r="K52" s="24" t="s">
        <v>333</v>
      </c>
      <c r="L52" s="41" t="s">
        <v>328</v>
      </c>
      <c r="M52" s="137" t="s">
        <v>180</v>
      </c>
      <c r="N52" s="42">
        <v>25522</v>
      </c>
      <c r="O52" s="17">
        <f t="shared" si="2"/>
        <v>127610</v>
      </c>
      <c r="P52" s="132">
        <v>12175</v>
      </c>
      <c r="Q52" s="45" t="s">
        <v>439</v>
      </c>
      <c r="R52" s="128">
        <f t="shared" si="5"/>
        <v>16424.133849999998</v>
      </c>
      <c r="S52" s="28">
        <v>0.74725799999999998</v>
      </c>
      <c r="T52" s="5" t="s">
        <v>14</v>
      </c>
    </row>
    <row r="53" spans="1:55" s="38" customFormat="1" ht="15.75" customHeight="1" x14ac:dyDescent="0.2">
      <c r="A53" s="27">
        <v>5</v>
      </c>
      <c r="B53" s="38" t="s">
        <v>52</v>
      </c>
      <c r="C53" s="28" t="s">
        <v>122</v>
      </c>
      <c r="D53" s="35" t="s">
        <v>289</v>
      </c>
      <c r="E53" s="23" t="s">
        <v>179</v>
      </c>
      <c r="F53" s="24" t="s">
        <v>198</v>
      </c>
      <c r="G53" s="39">
        <v>9100</v>
      </c>
      <c r="H53" s="24" t="s">
        <v>204</v>
      </c>
      <c r="I53" s="40" t="s">
        <v>191</v>
      </c>
      <c r="J53" s="40" t="s">
        <v>205</v>
      </c>
      <c r="K53" s="24" t="s">
        <v>415</v>
      </c>
      <c r="L53" s="41" t="s">
        <v>197</v>
      </c>
      <c r="M53" s="137" t="s">
        <v>180</v>
      </c>
      <c r="N53" s="42">
        <v>25216</v>
      </c>
      <c r="O53" s="17">
        <f t="shared" si="2"/>
        <v>126080</v>
      </c>
      <c r="P53" s="131" t="s">
        <v>439</v>
      </c>
      <c r="Q53" s="45" t="s">
        <v>439</v>
      </c>
      <c r="R53" s="128" t="e">
        <f t="shared" si="5"/>
        <v>#VALUE!</v>
      </c>
      <c r="S53" s="28">
        <v>0.74725799999999998</v>
      </c>
      <c r="T53" s="5" t="s">
        <v>14</v>
      </c>
    </row>
    <row r="54" spans="1:55" s="38" customFormat="1" ht="15.75" customHeight="1" x14ac:dyDescent="0.2">
      <c r="A54" s="27">
        <v>5</v>
      </c>
      <c r="B54" s="38" t="s">
        <v>52</v>
      </c>
      <c r="C54" s="28" t="s">
        <v>122</v>
      </c>
      <c r="D54" s="130" t="s">
        <v>287</v>
      </c>
      <c r="E54" s="23" t="s">
        <v>179</v>
      </c>
      <c r="F54" s="24" t="s">
        <v>198</v>
      </c>
      <c r="G54" s="39">
        <v>9100</v>
      </c>
      <c r="H54" s="24" t="s">
        <v>204</v>
      </c>
      <c r="I54" s="40" t="s">
        <v>191</v>
      </c>
      <c r="J54" s="40" t="s">
        <v>205</v>
      </c>
      <c r="K54" s="24" t="s">
        <v>415</v>
      </c>
      <c r="L54" s="41" t="s">
        <v>197</v>
      </c>
      <c r="M54" s="137" t="s">
        <v>180</v>
      </c>
      <c r="N54" s="42">
        <v>25461</v>
      </c>
      <c r="O54" s="17">
        <f t="shared" si="2"/>
        <v>127305</v>
      </c>
      <c r="P54" s="131" t="s">
        <v>439</v>
      </c>
      <c r="Q54" s="45" t="s">
        <v>439</v>
      </c>
      <c r="R54" s="128" t="e">
        <f t="shared" si="5"/>
        <v>#VALUE!</v>
      </c>
      <c r="S54" s="28">
        <v>0.74725799999999998</v>
      </c>
      <c r="T54" s="5" t="s">
        <v>14</v>
      </c>
    </row>
    <row r="55" spans="1:55" s="38" customFormat="1" ht="15.75" customHeight="1" x14ac:dyDescent="0.2">
      <c r="A55" s="27">
        <v>1</v>
      </c>
      <c r="B55" s="38" t="s">
        <v>53</v>
      </c>
      <c r="C55" s="28" t="s">
        <v>122</v>
      </c>
      <c r="D55" s="40" t="s">
        <v>316</v>
      </c>
      <c r="E55" s="24" t="s">
        <v>17</v>
      </c>
      <c r="F55" s="20" t="s">
        <v>325</v>
      </c>
      <c r="G55" s="39">
        <v>9500</v>
      </c>
      <c r="H55" s="20" t="s">
        <v>332</v>
      </c>
      <c r="I55" s="34" t="s">
        <v>292</v>
      </c>
      <c r="J55" s="40" t="s">
        <v>293</v>
      </c>
      <c r="K55" s="24" t="s">
        <v>333</v>
      </c>
      <c r="L55" s="41" t="s">
        <v>328</v>
      </c>
      <c r="M55" s="137" t="s">
        <v>180</v>
      </c>
      <c r="N55" s="42">
        <v>25522</v>
      </c>
      <c r="O55" s="17">
        <f t="shared" si="2"/>
        <v>25522</v>
      </c>
      <c r="P55" s="132">
        <v>12175</v>
      </c>
      <c r="Q55" s="45" t="s">
        <v>439</v>
      </c>
      <c r="R55" s="128">
        <f t="shared" si="5"/>
        <v>16424.133849999998</v>
      </c>
      <c r="S55" s="28">
        <v>0.74725799999999998</v>
      </c>
      <c r="T55" s="5" t="s">
        <v>14</v>
      </c>
    </row>
    <row r="56" spans="1:55" s="38" customFormat="1" ht="15.75" customHeight="1" x14ac:dyDescent="0.2">
      <c r="A56" s="27">
        <v>1</v>
      </c>
      <c r="B56" s="38" t="s">
        <v>53</v>
      </c>
      <c r="C56" s="28" t="s">
        <v>122</v>
      </c>
      <c r="D56" s="130" t="s">
        <v>287</v>
      </c>
      <c r="E56" s="23" t="s">
        <v>179</v>
      </c>
      <c r="F56" s="24" t="s">
        <v>198</v>
      </c>
      <c r="G56" s="39">
        <v>9100</v>
      </c>
      <c r="H56" s="24" t="s">
        <v>204</v>
      </c>
      <c r="I56" s="40" t="s">
        <v>191</v>
      </c>
      <c r="J56" s="40" t="s">
        <v>205</v>
      </c>
      <c r="K56" s="24" t="s">
        <v>415</v>
      </c>
      <c r="L56" s="41" t="s">
        <v>197</v>
      </c>
      <c r="M56" s="137" t="s">
        <v>180</v>
      </c>
      <c r="N56" s="42">
        <v>33711</v>
      </c>
      <c r="O56" s="17">
        <f t="shared" si="2"/>
        <v>33711</v>
      </c>
      <c r="P56" s="131" t="s">
        <v>439</v>
      </c>
      <c r="Q56" s="45" t="s">
        <v>439</v>
      </c>
      <c r="R56" s="128" t="e">
        <f t="shared" si="5"/>
        <v>#VALUE!</v>
      </c>
      <c r="S56" s="28">
        <v>0.74725799999999998</v>
      </c>
      <c r="T56" s="5" t="s">
        <v>14</v>
      </c>
    </row>
    <row r="57" spans="1:55" s="38" customFormat="1" ht="15.75" customHeight="1" x14ac:dyDescent="0.2">
      <c r="A57" s="27">
        <v>1</v>
      </c>
      <c r="B57" s="38" t="s">
        <v>54</v>
      </c>
      <c r="C57" s="38" t="s">
        <v>123</v>
      </c>
      <c r="D57" s="130" t="s">
        <v>287</v>
      </c>
      <c r="E57" s="23" t="s">
        <v>179</v>
      </c>
      <c r="F57" s="24" t="s">
        <v>206</v>
      </c>
      <c r="G57" s="39">
        <v>14500</v>
      </c>
      <c r="H57" s="24" t="s">
        <v>208</v>
      </c>
      <c r="I57" s="40" t="s">
        <v>195</v>
      </c>
      <c r="J57" s="40" t="s">
        <v>209</v>
      </c>
      <c r="K57" s="24" t="s">
        <v>207</v>
      </c>
      <c r="L57" s="41" t="s">
        <v>210</v>
      </c>
      <c r="M57" s="137" t="s">
        <v>180</v>
      </c>
      <c r="N57" s="42">
        <v>37994</v>
      </c>
      <c r="O57" s="17">
        <f t="shared" si="2"/>
        <v>37994</v>
      </c>
      <c r="P57" s="131" t="s">
        <v>439</v>
      </c>
      <c r="Q57" s="45" t="s">
        <v>439</v>
      </c>
      <c r="R57" s="128" t="e">
        <f t="shared" si="5"/>
        <v>#VALUE!</v>
      </c>
      <c r="S57" s="28">
        <v>0.74725799999999998</v>
      </c>
      <c r="T57" s="5" t="s">
        <v>14</v>
      </c>
    </row>
    <row r="58" spans="1:55" s="38" customFormat="1" ht="15.75" customHeight="1" x14ac:dyDescent="0.2">
      <c r="A58" s="27">
        <v>1</v>
      </c>
      <c r="B58" s="28" t="s">
        <v>54</v>
      </c>
      <c r="C58" s="28" t="s">
        <v>411</v>
      </c>
      <c r="D58" s="4" t="s">
        <v>316</v>
      </c>
      <c r="E58" s="24" t="s">
        <v>17</v>
      </c>
      <c r="F58" s="20" t="s">
        <v>325</v>
      </c>
      <c r="G58" s="45">
        <v>14200</v>
      </c>
      <c r="H58" s="41" t="s">
        <v>412</v>
      </c>
      <c r="I58" s="4" t="s">
        <v>18</v>
      </c>
      <c r="J58" s="4" t="s">
        <v>413</v>
      </c>
      <c r="K58" s="41" t="s">
        <v>333</v>
      </c>
      <c r="L58" s="41" t="s">
        <v>328</v>
      </c>
      <c r="M58" s="137" t="s">
        <v>180</v>
      </c>
      <c r="N58" s="33">
        <v>33962</v>
      </c>
      <c r="O58" s="17">
        <f t="shared" si="2"/>
        <v>33962</v>
      </c>
      <c r="P58" s="132" t="s">
        <v>424</v>
      </c>
      <c r="Q58" s="45" t="s">
        <v>439</v>
      </c>
      <c r="R58" s="128" t="e">
        <f t="shared" si="5"/>
        <v>#VALUE!</v>
      </c>
      <c r="S58" s="28">
        <v>0.74725799999999998</v>
      </c>
      <c r="T58" s="5" t="s">
        <v>14</v>
      </c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</row>
    <row r="59" spans="1:55" s="38" customFormat="1" ht="15.75" customHeight="1" x14ac:dyDescent="0.2">
      <c r="A59" s="27"/>
      <c r="B59" s="28"/>
      <c r="C59" s="28"/>
      <c r="D59" s="4"/>
      <c r="E59" s="24"/>
      <c r="F59" s="20"/>
      <c r="G59" s="45"/>
      <c r="H59" s="41"/>
      <c r="I59" s="4"/>
      <c r="J59" s="4"/>
      <c r="K59" s="41"/>
      <c r="L59" s="41"/>
      <c r="M59" s="137"/>
      <c r="N59" s="33"/>
      <c r="O59" s="17"/>
      <c r="P59" s="132"/>
      <c r="Q59" s="45"/>
      <c r="R59" s="128"/>
      <c r="S59" s="28"/>
      <c r="T59" s="5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</row>
    <row r="60" spans="1:55" s="38" customFormat="1" ht="15.75" customHeight="1" x14ac:dyDescent="0.2">
      <c r="A60" s="27"/>
      <c r="B60" s="28"/>
      <c r="C60" s="28"/>
      <c r="D60" s="4"/>
      <c r="E60" s="24"/>
      <c r="F60" s="20"/>
      <c r="G60" s="45"/>
      <c r="H60" s="41"/>
      <c r="I60" s="4"/>
      <c r="J60" s="4"/>
      <c r="K60" s="41"/>
      <c r="L60" s="41"/>
      <c r="M60" s="137"/>
      <c r="N60" s="33"/>
      <c r="O60" s="17"/>
      <c r="P60" s="132"/>
      <c r="Q60" s="45"/>
      <c r="R60" s="128"/>
      <c r="S60" s="28"/>
      <c r="T60" s="5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</row>
    <row r="61" spans="1:55" s="38" customFormat="1" ht="15.75" customHeight="1" x14ac:dyDescent="0.2">
      <c r="A61" s="27">
        <v>5</v>
      </c>
      <c r="B61" s="38" t="s">
        <v>55</v>
      </c>
      <c r="C61" s="38" t="s">
        <v>124</v>
      </c>
      <c r="D61" s="130" t="s">
        <v>287</v>
      </c>
      <c r="E61" s="23" t="s">
        <v>179</v>
      </c>
      <c r="F61" s="24" t="s">
        <v>211</v>
      </c>
      <c r="G61" s="39">
        <v>10000</v>
      </c>
      <c r="H61" s="24" t="s">
        <v>213</v>
      </c>
      <c r="I61" s="40" t="s">
        <v>184</v>
      </c>
      <c r="J61" s="40" t="s">
        <v>214</v>
      </c>
      <c r="K61" s="24" t="s">
        <v>212</v>
      </c>
      <c r="L61" s="41" t="s">
        <v>215</v>
      </c>
      <c r="M61" s="137" t="s">
        <v>180</v>
      </c>
      <c r="N61" s="42">
        <v>19303</v>
      </c>
      <c r="O61" s="17">
        <f t="shared" ref="O61:O92" si="6">A61*N61</f>
        <v>96515</v>
      </c>
      <c r="P61" s="132">
        <v>9525</v>
      </c>
      <c r="Q61" s="45" t="s">
        <v>439</v>
      </c>
      <c r="R61" s="128">
        <f>N61-(P61*AO$310)</f>
        <v>12185.367549999999</v>
      </c>
      <c r="S61" s="28">
        <v>0.74725799999999998</v>
      </c>
      <c r="T61" s="5" t="s">
        <v>14</v>
      </c>
    </row>
    <row r="62" spans="1:55" s="38" customFormat="1" ht="15.75" customHeight="1" x14ac:dyDescent="0.2">
      <c r="A62" s="27">
        <v>5</v>
      </c>
      <c r="B62" s="38" t="s">
        <v>55</v>
      </c>
      <c r="C62" s="38" t="s">
        <v>124</v>
      </c>
      <c r="D62" s="35" t="s">
        <v>289</v>
      </c>
      <c r="E62" s="23" t="s">
        <v>179</v>
      </c>
      <c r="F62" s="24" t="s">
        <v>211</v>
      </c>
      <c r="G62" s="39">
        <v>10000</v>
      </c>
      <c r="H62" s="24" t="s">
        <v>213</v>
      </c>
      <c r="I62" s="40" t="s">
        <v>184</v>
      </c>
      <c r="J62" s="40" t="s">
        <v>214</v>
      </c>
      <c r="K62" s="24" t="s">
        <v>414</v>
      </c>
      <c r="L62" s="41" t="s">
        <v>215</v>
      </c>
      <c r="M62" s="137" t="s">
        <v>180</v>
      </c>
      <c r="N62" s="42">
        <v>19678</v>
      </c>
      <c r="O62" s="17">
        <f t="shared" si="6"/>
        <v>98390</v>
      </c>
      <c r="P62" s="132">
        <v>9525</v>
      </c>
      <c r="Q62" s="45" t="s">
        <v>439</v>
      </c>
      <c r="R62" s="128">
        <f>N62-(P62*AO$310)</f>
        <v>12560.367549999999</v>
      </c>
      <c r="S62" s="28">
        <v>0.74725799999999998</v>
      </c>
      <c r="T62" s="5" t="s">
        <v>14</v>
      </c>
    </row>
    <row r="63" spans="1:55" s="38" customFormat="1" ht="15.75" customHeight="1" x14ac:dyDescent="0.2">
      <c r="A63" s="27">
        <v>5</v>
      </c>
      <c r="B63" s="38" t="s">
        <v>55</v>
      </c>
      <c r="C63" s="38" t="s">
        <v>124</v>
      </c>
      <c r="D63" s="40" t="s">
        <v>316</v>
      </c>
      <c r="E63" s="24" t="s">
        <v>17</v>
      </c>
      <c r="F63" s="23" t="s">
        <v>300</v>
      </c>
      <c r="G63" s="39">
        <v>9300</v>
      </c>
      <c r="H63" s="24" t="s">
        <v>334</v>
      </c>
      <c r="I63" s="34" t="s">
        <v>292</v>
      </c>
      <c r="J63" s="40" t="s">
        <v>293</v>
      </c>
      <c r="K63" s="28" t="s">
        <v>333</v>
      </c>
      <c r="L63" s="41" t="s">
        <v>328</v>
      </c>
      <c r="M63" s="137" t="s">
        <v>180</v>
      </c>
      <c r="N63" s="42">
        <v>21701.5</v>
      </c>
      <c r="O63" s="17">
        <f t="shared" si="6"/>
        <v>108507.5</v>
      </c>
      <c r="P63" s="132">
        <v>11500</v>
      </c>
      <c r="Q63" s="45" t="s">
        <v>439</v>
      </c>
      <c r="R63" s="128">
        <f>N63-(P63*AO$310)</f>
        <v>13108.032999999999</v>
      </c>
      <c r="S63" s="28">
        <v>0.74725799999999998</v>
      </c>
      <c r="T63" s="5" t="s">
        <v>14</v>
      </c>
    </row>
    <row r="64" spans="1:55" s="38" customFormat="1" ht="15.75" customHeight="1" x14ac:dyDescent="0.2">
      <c r="A64" s="27">
        <v>5</v>
      </c>
      <c r="B64" s="38" t="s">
        <v>55</v>
      </c>
      <c r="C64" s="38" t="s">
        <v>124</v>
      </c>
      <c r="D64" s="40" t="s">
        <v>142</v>
      </c>
      <c r="E64" s="28" t="s">
        <v>143</v>
      </c>
      <c r="F64" s="24" t="s">
        <v>157</v>
      </c>
      <c r="G64" s="39">
        <v>8650</v>
      </c>
      <c r="H64" s="24" t="s">
        <v>158</v>
      </c>
      <c r="I64" s="40" t="s">
        <v>146</v>
      </c>
      <c r="J64" s="40" t="s">
        <v>159</v>
      </c>
      <c r="K64" s="24" t="s">
        <v>248</v>
      </c>
      <c r="L64" s="41" t="s">
        <v>160</v>
      </c>
      <c r="M64" s="39" t="s">
        <v>442</v>
      </c>
      <c r="N64" s="42">
        <v>21375</v>
      </c>
      <c r="O64" s="17">
        <f t="shared" si="6"/>
        <v>106875</v>
      </c>
      <c r="P64" s="132">
        <v>9575</v>
      </c>
      <c r="Q64" s="45" t="s">
        <v>439</v>
      </c>
      <c r="R64" s="128" t="e">
        <f>N64+(T64/Q64)-(P64*AO$310)</f>
        <v>#VALUE!</v>
      </c>
      <c r="S64" s="28">
        <v>0.74725799999999998</v>
      </c>
      <c r="T64" s="5">
        <v>190851.31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 s="38" customFormat="1" ht="15.75" customHeight="1" x14ac:dyDescent="0.2">
      <c r="A65" s="27">
        <v>5</v>
      </c>
      <c r="B65" s="38" t="s">
        <v>55</v>
      </c>
      <c r="C65" s="38" t="s">
        <v>124</v>
      </c>
      <c r="D65" s="40" t="s">
        <v>288</v>
      </c>
      <c r="E65" s="28" t="s">
        <v>143</v>
      </c>
      <c r="F65" s="24" t="s">
        <v>247</v>
      </c>
      <c r="G65" s="39">
        <v>8650</v>
      </c>
      <c r="H65" s="24" t="s">
        <v>249</v>
      </c>
      <c r="I65" s="40" t="s">
        <v>241</v>
      </c>
      <c r="J65" s="40" t="s">
        <v>250</v>
      </c>
      <c r="K65" s="24" t="s">
        <v>248</v>
      </c>
      <c r="L65" s="41" t="s">
        <v>160</v>
      </c>
      <c r="M65" s="27" t="s">
        <v>180</v>
      </c>
      <c r="N65" s="42">
        <v>21523.5</v>
      </c>
      <c r="O65" s="17">
        <f t="shared" si="6"/>
        <v>107617.5</v>
      </c>
      <c r="P65" s="132">
        <v>12100</v>
      </c>
      <c r="Q65" s="45" t="s">
        <v>439</v>
      </c>
      <c r="R65" s="128" t="e">
        <f>N65+(T65/Q65)-(P65*AO$310)</f>
        <v>#VALUE!</v>
      </c>
      <c r="S65" s="28">
        <v>0.74725799999999998</v>
      </c>
      <c r="T65" s="5">
        <v>190851.31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 s="38" customFormat="1" ht="15.75" customHeight="1" x14ac:dyDescent="0.2">
      <c r="A66" s="27">
        <v>2</v>
      </c>
      <c r="B66" s="38" t="s">
        <v>56</v>
      </c>
      <c r="C66" s="38" t="s">
        <v>124</v>
      </c>
      <c r="D66" s="130" t="s">
        <v>287</v>
      </c>
      <c r="E66" s="23" t="s">
        <v>179</v>
      </c>
      <c r="F66" s="24" t="s">
        <v>211</v>
      </c>
      <c r="G66" s="39">
        <v>10000</v>
      </c>
      <c r="H66" s="24" t="s">
        <v>213</v>
      </c>
      <c r="I66" s="40" t="s">
        <v>184</v>
      </c>
      <c r="J66" s="40" t="s">
        <v>214</v>
      </c>
      <c r="K66" s="24" t="s">
        <v>212</v>
      </c>
      <c r="L66" s="41" t="s">
        <v>215</v>
      </c>
      <c r="M66" s="137" t="s">
        <v>180</v>
      </c>
      <c r="N66" s="42">
        <v>19586</v>
      </c>
      <c r="O66" s="17">
        <f t="shared" si="6"/>
        <v>39172</v>
      </c>
      <c r="P66" s="132">
        <v>9525</v>
      </c>
      <c r="Q66" s="45" t="s">
        <v>439</v>
      </c>
      <c r="R66" s="128">
        <f>N66-(P66*AO$310)</f>
        <v>12468.367549999999</v>
      </c>
      <c r="S66" s="28">
        <v>0.74725799999999998</v>
      </c>
      <c r="T66" s="5" t="s">
        <v>14</v>
      </c>
    </row>
    <row r="67" spans="1:55" s="38" customFormat="1" ht="15.75" customHeight="1" x14ac:dyDescent="0.2">
      <c r="A67" s="27">
        <v>2</v>
      </c>
      <c r="B67" s="38" t="s">
        <v>56</v>
      </c>
      <c r="C67" s="38" t="s">
        <v>124</v>
      </c>
      <c r="D67" s="40" t="s">
        <v>316</v>
      </c>
      <c r="E67" s="24" t="s">
        <v>17</v>
      </c>
      <c r="F67" s="23" t="s">
        <v>300</v>
      </c>
      <c r="G67" s="39">
        <v>9300</v>
      </c>
      <c r="H67" s="24" t="s">
        <v>334</v>
      </c>
      <c r="I67" s="34" t="s">
        <v>292</v>
      </c>
      <c r="J67" s="40" t="s">
        <v>293</v>
      </c>
      <c r="K67" s="28" t="s">
        <v>333</v>
      </c>
      <c r="L67" s="41" t="s">
        <v>328</v>
      </c>
      <c r="M67" s="137" t="s">
        <v>180</v>
      </c>
      <c r="N67" s="42">
        <v>21372.5</v>
      </c>
      <c r="O67" s="17">
        <f t="shared" si="6"/>
        <v>42745</v>
      </c>
      <c r="P67" s="132">
        <v>11500</v>
      </c>
      <c r="Q67" s="45" t="s">
        <v>439</v>
      </c>
      <c r="R67" s="128">
        <f>N67-(P67*AO$310)</f>
        <v>12779.032999999999</v>
      </c>
      <c r="S67" s="28">
        <v>0.74725799999999998</v>
      </c>
      <c r="T67" s="5" t="s">
        <v>14</v>
      </c>
    </row>
    <row r="68" spans="1:55" s="38" customFormat="1" ht="15.75" customHeight="1" x14ac:dyDescent="0.2">
      <c r="A68" s="27">
        <v>2</v>
      </c>
      <c r="B68" s="38" t="s">
        <v>56</v>
      </c>
      <c r="C68" s="38" t="s">
        <v>124</v>
      </c>
      <c r="D68" s="35" t="s">
        <v>289</v>
      </c>
      <c r="E68" s="23" t="s">
        <v>179</v>
      </c>
      <c r="F68" s="24" t="s">
        <v>211</v>
      </c>
      <c r="G68" s="39">
        <v>10000</v>
      </c>
      <c r="H68" s="24" t="s">
        <v>213</v>
      </c>
      <c r="I68" s="40" t="s">
        <v>184</v>
      </c>
      <c r="J68" s="40" t="s">
        <v>214</v>
      </c>
      <c r="K68" s="24" t="s">
        <v>414</v>
      </c>
      <c r="L68" s="41" t="s">
        <v>215</v>
      </c>
      <c r="M68" s="137" t="s">
        <v>180</v>
      </c>
      <c r="N68" s="42">
        <v>19973</v>
      </c>
      <c r="O68" s="17">
        <f t="shared" si="6"/>
        <v>39946</v>
      </c>
      <c r="P68" s="132">
        <v>9525</v>
      </c>
      <c r="Q68" s="45" t="s">
        <v>439</v>
      </c>
      <c r="R68" s="128">
        <f>N68-(P68*AO$310)</f>
        <v>12855.367549999999</v>
      </c>
      <c r="S68" s="28">
        <v>0.74725799999999998</v>
      </c>
      <c r="T68" s="5" t="s">
        <v>14</v>
      </c>
    </row>
    <row r="69" spans="1:55" s="38" customFormat="1" ht="15.75" customHeight="1" x14ac:dyDescent="0.2">
      <c r="A69" s="27">
        <v>2</v>
      </c>
      <c r="B69" s="38" t="s">
        <v>56</v>
      </c>
      <c r="C69" s="38" t="s">
        <v>124</v>
      </c>
      <c r="D69" s="40" t="s">
        <v>142</v>
      </c>
      <c r="E69" s="28" t="s">
        <v>143</v>
      </c>
      <c r="F69" s="24" t="s">
        <v>157</v>
      </c>
      <c r="G69" s="39">
        <v>8650</v>
      </c>
      <c r="H69" s="24" t="s">
        <v>158</v>
      </c>
      <c r="I69" s="40" t="s">
        <v>146</v>
      </c>
      <c r="J69" s="40" t="s">
        <v>159</v>
      </c>
      <c r="K69" s="24" t="s">
        <v>248</v>
      </c>
      <c r="L69" s="41" t="s">
        <v>160</v>
      </c>
      <c r="M69" s="39" t="s">
        <v>442</v>
      </c>
      <c r="N69" s="42">
        <v>21685</v>
      </c>
      <c r="O69" s="17">
        <f t="shared" si="6"/>
        <v>43370</v>
      </c>
      <c r="P69" s="132">
        <v>9575</v>
      </c>
      <c r="Q69" s="45" t="s">
        <v>439</v>
      </c>
      <c r="R69" s="128" t="e">
        <f>N69+(T69/Q69)-(P69*AO$310)</f>
        <v>#VALUE!</v>
      </c>
      <c r="S69" s="28">
        <v>0.74725799999999998</v>
      </c>
      <c r="T69" s="5">
        <v>190851.31</v>
      </c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 s="38" customFormat="1" ht="15.75" customHeight="1" x14ac:dyDescent="0.2">
      <c r="A70" s="27">
        <v>2</v>
      </c>
      <c r="B70" s="38" t="s">
        <v>56</v>
      </c>
      <c r="C70" s="38" t="s">
        <v>124</v>
      </c>
      <c r="D70" s="40" t="s">
        <v>288</v>
      </c>
      <c r="E70" s="28" t="s">
        <v>143</v>
      </c>
      <c r="F70" s="24" t="s">
        <v>247</v>
      </c>
      <c r="G70" s="39">
        <v>8650</v>
      </c>
      <c r="H70" s="24" t="s">
        <v>249</v>
      </c>
      <c r="I70" s="40" t="s">
        <v>241</v>
      </c>
      <c r="J70" s="40" t="s">
        <v>250</v>
      </c>
      <c r="K70" s="24" t="s">
        <v>248</v>
      </c>
      <c r="L70" s="41" t="s">
        <v>160</v>
      </c>
      <c r="M70" s="27" t="s">
        <v>180</v>
      </c>
      <c r="N70" s="42">
        <v>21379.5</v>
      </c>
      <c r="O70" s="17">
        <f t="shared" si="6"/>
        <v>42759</v>
      </c>
      <c r="P70" s="132">
        <v>12100</v>
      </c>
      <c r="Q70" s="45" t="s">
        <v>439</v>
      </c>
      <c r="R70" s="128" t="e">
        <f>N70+(T70/Q70)-(P70*AO$310)</f>
        <v>#VALUE!</v>
      </c>
      <c r="S70" s="28">
        <v>0.74725799999999998</v>
      </c>
      <c r="T70" s="5">
        <v>190851.31</v>
      </c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 s="38" customFormat="1" ht="15.75" customHeight="1" x14ac:dyDescent="0.2">
      <c r="A71" s="27">
        <v>2</v>
      </c>
      <c r="B71" s="38" t="s">
        <v>57</v>
      </c>
      <c r="C71" s="38" t="s">
        <v>125</v>
      </c>
      <c r="D71" s="130" t="s">
        <v>287</v>
      </c>
      <c r="E71" s="23" t="s">
        <v>179</v>
      </c>
      <c r="F71" s="24" t="s">
        <v>211</v>
      </c>
      <c r="G71" s="39">
        <v>10000</v>
      </c>
      <c r="H71" s="24" t="s">
        <v>213</v>
      </c>
      <c r="I71" s="40" t="s">
        <v>184</v>
      </c>
      <c r="J71" s="40" t="s">
        <v>214</v>
      </c>
      <c r="K71" s="24" t="s">
        <v>212</v>
      </c>
      <c r="L71" s="41" t="s">
        <v>215</v>
      </c>
      <c r="M71" s="137" t="s">
        <v>180</v>
      </c>
      <c r="N71" s="42">
        <v>21707</v>
      </c>
      <c r="O71" s="17">
        <f t="shared" si="6"/>
        <v>43414</v>
      </c>
      <c r="P71" s="132">
        <v>9525</v>
      </c>
      <c r="Q71" s="45" t="s">
        <v>439</v>
      </c>
      <c r="R71" s="128">
        <f>N71-(P71*AO$310)</f>
        <v>14589.367549999999</v>
      </c>
      <c r="S71" s="28">
        <v>0.74725799999999998</v>
      </c>
      <c r="T71" s="5" t="s">
        <v>14</v>
      </c>
    </row>
    <row r="72" spans="1:55" s="38" customFormat="1" ht="15.75" customHeight="1" x14ac:dyDescent="0.2">
      <c r="A72" s="27">
        <v>2</v>
      </c>
      <c r="B72" s="38" t="s">
        <v>57</v>
      </c>
      <c r="C72" s="38" t="s">
        <v>125</v>
      </c>
      <c r="D72" s="40" t="s">
        <v>316</v>
      </c>
      <c r="E72" s="24" t="s">
        <v>17</v>
      </c>
      <c r="F72" s="23" t="s">
        <v>300</v>
      </c>
      <c r="G72" s="39">
        <v>9300</v>
      </c>
      <c r="H72" s="24" t="s">
        <v>334</v>
      </c>
      <c r="I72" s="34" t="s">
        <v>292</v>
      </c>
      <c r="J72" s="40" t="s">
        <v>293</v>
      </c>
      <c r="K72" s="28" t="s">
        <v>333</v>
      </c>
      <c r="L72" s="41" t="s">
        <v>328</v>
      </c>
      <c r="M72" s="137" t="s">
        <v>180</v>
      </c>
      <c r="N72" s="42">
        <v>23582.5</v>
      </c>
      <c r="O72" s="17">
        <f t="shared" si="6"/>
        <v>47165</v>
      </c>
      <c r="P72" s="132">
        <v>11500</v>
      </c>
      <c r="Q72" s="45" t="s">
        <v>439</v>
      </c>
      <c r="R72" s="128">
        <f>N72-(P72*AO$310)</f>
        <v>14989.032999999999</v>
      </c>
      <c r="S72" s="28">
        <v>0.74725799999999998</v>
      </c>
      <c r="T72" s="5" t="s">
        <v>14</v>
      </c>
    </row>
    <row r="73" spans="1:55" s="38" customFormat="1" ht="15.75" customHeight="1" x14ac:dyDescent="0.2">
      <c r="A73" s="27">
        <v>2</v>
      </c>
      <c r="B73" s="38" t="s">
        <v>57</v>
      </c>
      <c r="C73" s="38" t="s">
        <v>125</v>
      </c>
      <c r="D73" s="40" t="s">
        <v>142</v>
      </c>
      <c r="E73" s="28" t="s">
        <v>143</v>
      </c>
      <c r="F73" s="24" t="s">
        <v>157</v>
      </c>
      <c r="G73" s="39">
        <v>8650</v>
      </c>
      <c r="H73" s="24" t="s">
        <v>158</v>
      </c>
      <c r="I73" s="40" t="s">
        <v>146</v>
      </c>
      <c r="J73" s="40" t="s">
        <v>159</v>
      </c>
      <c r="K73" s="24" t="s">
        <v>248</v>
      </c>
      <c r="L73" s="41" t="s">
        <v>160</v>
      </c>
      <c r="M73" s="39" t="s">
        <v>442</v>
      </c>
      <c r="N73" s="42">
        <v>24100</v>
      </c>
      <c r="O73" s="17">
        <f t="shared" si="6"/>
        <v>48200</v>
      </c>
      <c r="P73" s="132">
        <v>9575</v>
      </c>
      <c r="Q73" s="45" t="s">
        <v>439</v>
      </c>
      <c r="R73" s="128" t="e">
        <f>N73+(T73/Q73)-(P73*AO$310)</f>
        <v>#VALUE!</v>
      </c>
      <c r="S73" s="28">
        <v>0.74725799999999998</v>
      </c>
      <c r="T73" s="5">
        <v>190851.31</v>
      </c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 s="38" customFormat="1" ht="15.75" customHeight="1" x14ac:dyDescent="0.2">
      <c r="A74" s="27">
        <v>2</v>
      </c>
      <c r="B74" s="38" t="s">
        <v>57</v>
      </c>
      <c r="C74" s="38" t="s">
        <v>125</v>
      </c>
      <c r="D74" s="40" t="s">
        <v>288</v>
      </c>
      <c r="E74" s="28" t="s">
        <v>143</v>
      </c>
      <c r="F74" s="24" t="s">
        <v>247</v>
      </c>
      <c r="G74" s="39">
        <v>8650</v>
      </c>
      <c r="H74" s="24" t="s">
        <v>249</v>
      </c>
      <c r="I74" s="40" t="s">
        <v>241</v>
      </c>
      <c r="J74" s="40" t="s">
        <v>250</v>
      </c>
      <c r="K74" s="24" t="s">
        <v>248</v>
      </c>
      <c r="L74" s="41" t="s">
        <v>160</v>
      </c>
      <c r="M74" s="27" t="s">
        <v>180</v>
      </c>
      <c r="N74" s="42">
        <v>23389.5</v>
      </c>
      <c r="O74" s="17">
        <f t="shared" si="6"/>
        <v>46779</v>
      </c>
      <c r="P74" s="132">
        <v>12100</v>
      </c>
      <c r="Q74" s="45" t="s">
        <v>439</v>
      </c>
      <c r="R74" s="128" t="e">
        <f>N74+(T74/Q74)-(P74*AO$310)</f>
        <v>#VALUE!</v>
      </c>
      <c r="S74" s="28">
        <v>0.74725799999999998</v>
      </c>
      <c r="T74" s="5">
        <v>190851.31</v>
      </c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 s="38" customFormat="1" ht="15.75" customHeight="1" x14ac:dyDescent="0.2">
      <c r="A75" s="27">
        <v>1</v>
      </c>
      <c r="B75" s="38" t="s">
        <v>58</v>
      </c>
      <c r="C75" s="38" t="s">
        <v>124</v>
      </c>
      <c r="D75" s="130" t="s">
        <v>287</v>
      </c>
      <c r="E75" s="23" t="s">
        <v>179</v>
      </c>
      <c r="F75" s="24" t="s">
        <v>211</v>
      </c>
      <c r="G75" s="39">
        <v>10000</v>
      </c>
      <c r="H75" s="24" t="s">
        <v>213</v>
      </c>
      <c r="I75" s="40" t="s">
        <v>184</v>
      </c>
      <c r="J75" s="40" t="s">
        <v>214</v>
      </c>
      <c r="K75" s="24" t="s">
        <v>212</v>
      </c>
      <c r="L75" s="41" t="s">
        <v>215</v>
      </c>
      <c r="M75" s="137" t="s">
        <v>180</v>
      </c>
      <c r="N75" s="42">
        <v>19418</v>
      </c>
      <c r="O75" s="17">
        <f t="shared" si="6"/>
        <v>19418</v>
      </c>
      <c r="P75" s="132">
        <v>9525</v>
      </c>
      <c r="Q75" s="45" t="s">
        <v>439</v>
      </c>
      <c r="R75" s="128">
        <f>N75-(P75*AO$310)</f>
        <v>12300.367549999999</v>
      </c>
      <c r="S75" s="28">
        <v>0.74725799999999998</v>
      </c>
      <c r="T75" s="5" t="s">
        <v>14</v>
      </c>
    </row>
    <row r="76" spans="1:55" s="38" customFormat="1" ht="15.75" customHeight="1" x14ac:dyDescent="0.2">
      <c r="A76" s="27">
        <v>1</v>
      </c>
      <c r="B76" s="38" t="s">
        <v>58</v>
      </c>
      <c r="C76" s="38" t="s">
        <v>124</v>
      </c>
      <c r="D76" s="35" t="s">
        <v>289</v>
      </c>
      <c r="E76" s="23" t="s">
        <v>179</v>
      </c>
      <c r="F76" s="24" t="s">
        <v>211</v>
      </c>
      <c r="G76" s="39">
        <v>10000</v>
      </c>
      <c r="H76" s="24" t="s">
        <v>213</v>
      </c>
      <c r="I76" s="40" t="s">
        <v>184</v>
      </c>
      <c r="J76" s="40" t="s">
        <v>214</v>
      </c>
      <c r="K76" s="24" t="s">
        <v>414</v>
      </c>
      <c r="L76" s="41" t="s">
        <v>215</v>
      </c>
      <c r="M76" s="137" t="s">
        <v>180</v>
      </c>
      <c r="N76" s="42">
        <v>19853</v>
      </c>
      <c r="O76" s="17">
        <f t="shared" si="6"/>
        <v>19853</v>
      </c>
      <c r="P76" s="132">
        <v>9525</v>
      </c>
      <c r="Q76" s="45" t="s">
        <v>439</v>
      </c>
      <c r="R76" s="128">
        <f>N76-(P76*AO$310)</f>
        <v>12735.367549999999</v>
      </c>
      <c r="S76" s="28">
        <v>0.74725799999999998</v>
      </c>
      <c r="T76" s="5" t="s">
        <v>14</v>
      </c>
    </row>
    <row r="77" spans="1:55" s="38" customFormat="1" ht="15.75" customHeight="1" x14ac:dyDescent="0.2">
      <c r="A77" s="27">
        <v>1</v>
      </c>
      <c r="B77" s="38" t="s">
        <v>58</v>
      </c>
      <c r="C77" s="38" t="s">
        <v>124</v>
      </c>
      <c r="D77" s="40" t="s">
        <v>316</v>
      </c>
      <c r="E77" s="24" t="s">
        <v>17</v>
      </c>
      <c r="F77" s="23" t="s">
        <v>300</v>
      </c>
      <c r="G77" s="39">
        <v>9300</v>
      </c>
      <c r="H77" s="24" t="s">
        <v>334</v>
      </c>
      <c r="I77" s="34" t="s">
        <v>292</v>
      </c>
      <c r="J77" s="40" t="s">
        <v>293</v>
      </c>
      <c r="K77" s="28" t="s">
        <v>333</v>
      </c>
      <c r="L77" s="41" t="s">
        <v>328</v>
      </c>
      <c r="M77" s="137" t="s">
        <v>180</v>
      </c>
      <c r="N77" s="42">
        <v>21839</v>
      </c>
      <c r="O77" s="17">
        <f t="shared" si="6"/>
        <v>21839</v>
      </c>
      <c r="P77" s="132">
        <v>11500</v>
      </c>
      <c r="Q77" s="45" t="s">
        <v>439</v>
      </c>
      <c r="R77" s="128">
        <f>N77-(P77*AO$310)</f>
        <v>13245.532999999999</v>
      </c>
      <c r="S77" s="28">
        <v>0.74725799999999998</v>
      </c>
      <c r="T77" s="5" t="s">
        <v>14</v>
      </c>
    </row>
    <row r="78" spans="1:55" s="38" customFormat="1" ht="15.75" customHeight="1" x14ac:dyDescent="0.2">
      <c r="A78" s="27">
        <v>1</v>
      </c>
      <c r="B78" s="38" t="s">
        <v>58</v>
      </c>
      <c r="C78" s="38" t="s">
        <v>124</v>
      </c>
      <c r="D78" s="40" t="s">
        <v>142</v>
      </c>
      <c r="E78" s="28" t="s">
        <v>143</v>
      </c>
      <c r="F78" s="24" t="s">
        <v>157</v>
      </c>
      <c r="G78" s="39">
        <v>8650</v>
      </c>
      <c r="H78" s="24" t="s">
        <v>158</v>
      </c>
      <c r="I78" s="40" t="s">
        <v>146</v>
      </c>
      <c r="J78" s="40" t="s">
        <v>159</v>
      </c>
      <c r="K78" s="24" t="s">
        <v>248</v>
      </c>
      <c r="L78" s="41" t="s">
        <v>160</v>
      </c>
      <c r="M78" s="39" t="s">
        <v>442</v>
      </c>
      <c r="N78" s="42">
        <v>21625</v>
      </c>
      <c r="O78" s="17">
        <f t="shared" si="6"/>
        <v>21625</v>
      </c>
      <c r="P78" s="132">
        <v>9575</v>
      </c>
      <c r="Q78" s="45" t="s">
        <v>439</v>
      </c>
      <c r="R78" s="128" t="e">
        <f>N78+(T78/Q78)-(P78*AO$310)</f>
        <v>#VALUE!</v>
      </c>
      <c r="S78" s="28">
        <v>0.74725799999999998</v>
      </c>
      <c r="T78" s="5">
        <v>190851.31</v>
      </c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 s="38" customFormat="1" ht="15.75" customHeight="1" x14ac:dyDescent="0.2">
      <c r="A79" s="27">
        <v>1</v>
      </c>
      <c r="B79" s="38" t="s">
        <v>58</v>
      </c>
      <c r="C79" s="38" t="s">
        <v>124</v>
      </c>
      <c r="D79" s="40" t="s">
        <v>288</v>
      </c>
      <c r="E79" s="28" t="s">
        <v>143</v>
      </c>
      <c r="F79" s="24" t="s">
        <v>247</v>
      </c>
      <c r="G79" s="39">
        <v>8650</v>
      </c>
      <c r="H79" s="24" t="s">
        <v>249</v>
      </c>
      <c r="I79" s="40" t="s">
        <v>241</v>
      </c>
      <c r="J79" s="40" t="s">
        <v>250</v>
      </c>
      <c r="K79" s="24" t="s">
        <v>248</v>
      </c>
      <c r="L79" s="41" t="s">
        <v>160</v>
      </c>
      <c r="M79" s="27" t="s">
        <v>180</v>
      </c>
      <c r="N79" s="42">
        <v>21501</v>
      </c>
      <c r="O79" s="17">
        <f t="shared" si="6"/>
        <v>21501</v>
      </c>
      <c r="P79" s="132">
        <v>12100</v>
      </c>
      <c r="Q79" s="45" t="s">
        <v>439</v>
      </c>
      <c r="R79" s="128" t="e">
        <f>N79+(T79/Q79)-(P79*AO$310)</f>
        <v>#VALUE!</v>
      </c>
      <c r="S79" s="28">
        <v>0.74725799999999998</v>
      </c>
      <c r="T79" s="5">
        <v>190851.31</v>
      </c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 ht="15.75" customHeight="1" x14ac:dyDescent="0.2">
      <c r="A80" s="27">
        <v>1</v>
      </c>
      <c r="B80" s="38" t="s">
        <v>59</v>
      </c>
      <c r="C80" s="38" t="s">
        <v>126</v>
      </c>
      <c r="D80" s="35" t="s">
        <v>289</v>
      </c>
      <c r="E80" s="23" t="s">
        <v>179</v>
      </c>
      <c r="F80" s="24" t="s">
        <v>211</v>
      </c>
      <c r="G80" s="39">
        <v>10000</v>
      </c>
      <c r="H80" s="24" t="s">
        <v>216</v>
      </c>
      <c r="I80" s="40" t="s">
        <v>184</v>
      </c>
      <c r="J80" s="40" t="s">
        <v>214</v>
      </c>
      <c r="K80" s="24" t="s">
        <v>414</v>
      </c>
      <c r="L80" s="41" t="s">
        <v>215</v>
      </c>
      <c r="M80" s="137" t="s">
        <v>180</v>
      </c>
      <c r="N80" s="42">
        <v>22249</v>
      </c>
      <c r="O80" s="17">
        <f t="shared" si="6"/>
        <v>22249</v>
      </c>
      <c r="P80" s="132">
        <v>11600</v>
      </c>
      <c r="Q80" s="45" t="s">
        <v>439</v>
      </c>
      <c r="R80" s="128">
        <f>N80-(P80*AO$310)</f>
        <v>13580.807200000001</v>
      </c>
      <c r="S80" s="28">
        <v>0.74725799999999998</v>
      </c>
      <c r="T80" s="5" t="s">
        <v>14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</row>
    <row r="81" spans="1:55" ht="15.75" customHeight="1" x14ac:dyDescent="0.2">
      <c r="A81" s="27">
        <v>1</v>
      </c>
      <c r="B81" s="38" t="s">
        <v>59</v>
      </c>
      <c r="C81" s="38" t="s">
        <v>126</v>
      </c>
      <c r="D81" s="130" t="s">
        <v>287</v>
      </c>
      <c r="E81" s="23" t="s">
        <v>179</v>
      </c>
      <c r="F81" s="24" t="s">
        <v>211</v>
      </c>
      <c r="G81" s="39">
        <v>10000</v>
      </c>
      <c r="H81" s="24" t="s">
        <v>216</v>
      </c>
      <c r="I81" s="40" t="s">
        <v>191</v>
      </c>
      <c r="J81" s="40" t="s">
        <v>217</v>
      </c>
      <c r="K81" s="24" t="s">
        <v>212</v>
      </c>
      <c r="L81" s="41" t="s">
        <v>215</v>
      </c>
      <c r="M81" s="137" t="s">
        <v>180</v>
      </c>
      <c r="N81" s="42">
        <v>24413</v>
      </c>
      <c r="O81" s="17">
        <f t="shared" si="6"/>
        <v>24413</v>
      </c>
      <c r="P81" s="132">
        <v>13425</v>
      </c>
      <c r="Q81" s="45" t="s">
        <v>439</v>
      </c>
      <c r="R81" s="128">
        <f>N81-(P81*AO$310)</f>
        <v>14381.06135</v>
      </c>
      <c r="S81" s="28">
        <v>0.74725799999999998</v>
      </c>
      <c r="T81" s="5" t="s">
        <v>14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</row>
    <row r="82" spans="1:55" s="38" customFormat="1" ht="15.75" customHeight="1" x14ac:dyDescent="0.2">
      <c r="A82" s="27">
        <v>1</v>
      </c>
      <c r="B82" s="38" t="s">
        <v>59</v>
      </c>
      <c r="C82" s="38" t="s">
        <v>126</v>
      </c>
      <c r="D82" s="40" t="s">
        <v>316</v>
      </c>
      <c r="E82" s="24" t="s">
        <v>17</v>
      </c>
      <c r="F82" s="23" t="s">
        <v>300</v>
      </c>
      <c r="G82" s="39">
        <v>9500</v>
      </c>
      <c r="H82" s="24" t="s">
        <v>335</v>
      </c>
      <c r="I82" s="34" t="s">
        <v>292</v>
      </c>
      <c r="J82" s="40" t="s">
        <v>293</v>
      </c>
      <c r="K82" s="24" t="s">
        <v>333</v>
      </c>
      <c r="L82" s="41" t="s">
        <v>328</v>
      </c>
      <c r="M82" s="137" t="s">
        <v>180</v>
      </c>
      <c r="N82" s="42">
        <v>24861</v>
      </c>
      <c r="O82" s="17">
        <f t="shared" si="6"/>
        <v>24861</v>
      </c>
      <c r="P82" s="132">
        <v>12450</v>
      </c>
      <c r="Q82" s="45" t="s">
        <v>439</v>
      </c>
      <c r="R82" s="128">
        <f>N82-(P82*AO$310)</f>
        <v>15557.6379</v>
      </c>
      <c r="S82" s="28">
        <v>0.74725799999999998</v>
      </c>
      <c r="T82" s="5" t="s">
        <v>14</v>
      </c>
    </row>
    <row r="83" spans="1:55" s="38" customFormat="1" ht="15.75" customHeight="1" x14ac:dyDescent="0.2">
      <c r="A83" s="27">
        <v>1</v>
      </c>
      <c r="B83" s="38" t="s">
        <v>59</v>
      </c>
      <c r="C83" s="38" t="s">
        <v>126</v>
      </c>
      <c r="D83" s="40" t="s">
        <v>142</v>
      </c>
      <c r="E83" s="28" t="s">
        <v>143</v>
      </c>
      <c r="F83" s="24" t="s">
        <v>161</v>
      </c>
      <c r="G83" s="39">
        <v>8650</v>
      </c>
      <c r="H83" s="24" t="s">
        <v>162</v>
      </c>
      <c r="I83" s="40" t="s">
        <v>146</v>
      </c>
      <c r="J83" s="40" t="s">
        <v>159</v>
      </c>
      <c r="K83" s="24" t="s">
        <v>248</v>
      </c>
      <c r="L83" s="41" t="s">
        <v>160</v>
      </c>
      <c r="M83" s="39" t="s">
        <v>442</v>
      </c>
      <c r="N83" s="42">
        <v>24309</v>
      </c>
      <c r="O83" s="17">
        <f t="shared" si="6"/>
        <v>24309</v>
      </c>
      <c r="P83" s="132">
        <v>11875</v>
      </c>
      <c r="Q83" s="45" t="s">
        <v>439</v>
      </c>
      <c r="R83" s="128" t="e">
        <f>N83+(T83/Q83)-(P83*AO$310)</f>
        <v>#VALUE!</v>
      </c>
      <c r="S83" s="28">
        <v>0.74725799999999998</v>
      </c>
      <c r="T83" s="5">
        <v>190851.31</v>
      </c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</row>
    <row r="84" spans="1:55" s="38" customFormat="1" ht="15.75" customHeight="1" x14ac:dyDescent="0.2">
      <c r="A84" s="27">
        <v>1</v>
      </c>
      <c r="B84" s="38" t="s">
        <v>59</v>
      </c>
      <c r="C84" s="38" t="s">
        <v>126</v>
      </c>
      <c r="D84" s="40" t="s">
        <v>288</v>
      </c>
      <c r="E84" s="28" t="s">
        <v>143</v>
      </c>
      <c r="F84" s="24" t="s">
        <v>247</v>
      </c>
      <c r="G84" s="39">
        <v>8650</v>
      </c>
      <c r="H84" s="24" t="s">
        <v>251</v>
      </c>
      <c r="I84" s="40" t="s">
        <v>241</v>
      </c>
      <c r="J84" s="40" t="s">
        <v>250</v>
      </c>
      <c r="K84" s="24" t="s">
        <v>248</v>
      </c>
      <c r="L84" s="41" t="s">
        <v>160</v>
      </c>
      <c r="M84" s="27" t="s">
        <v>180</v>
      </c>
      <c r="N84" s="42">
        <v>24593.5</v>
      </c>
      <c r="O84" s="17">
        <f t="shared" si="6"/>
        <v>24593.5</v>
      </c>
      <c r="P84" s="132">
        <v>14400</v>
      </c>
      <c r="Q84" s="45" t="s">
        <v>439</v>
      </c>
      <c r="R84" s="128" t="e">
        <f>N84+(T84/Q84)-(P84*AO$310)</f>
        <v>#VALUE!</v>
      </c>
      <c r="S84" s="28">
        <v>0.74725799999999998</v>
      </c>
      <c r="T84" s="5">
        <v>190851.31</v>
      </c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</row>
    <row r="85" spans="1:55" s="38" customFormat="1" ht="15.75" customHeight="1" x14ac:dyDescent="0.2">
      <c r="A85" s="27">
        <v>2</v>
      </c>
      <c r="B85" s="38" t="s">
        <v>60</v>
      </c>
      <c r="C85" s="38" t="s">
        <v>126</v>
      </c>
      <c r="D85" s="35" t="s">
        <v>289</v>
      </c>
      <c r="E85" s="23" t="s">
        <v>179</v>
      </c>
      <c r="F85" s="24" t="s">
        <v>211</v>
      </c>
      <c r="G85" s="39">
        <v>10000</v>
      </c>
      <c r="H85" s="24" t="s">
        <v>216</v>
      </c>
      <c r="I85" s="40" t="s">
        <v>184</v>
      </c>
      <c r="J85" s="40" t="s">
        <v>214</v>
      </c>
      <c r="K85" s="24" t="s">
        <v>414</v>
      </c>
      <c r="L85" s="41" t="s">
        <v>215</v>
      </c>
      <c r="M85" s="137" t="s">
        <v>180</v>
      </c>
      <c r="N85" s="42">
        <v>21817</v>
      </c>
      <c r="O85" s="17">
        <f t="shared" si="6"/>
        <v>43634</v>
      </c>
      <c r="P85" s="132">
        <v>11600</v>
      </c>
      <c r="Q85" s="45" t="s">
        <v>439</v>
      </c>
      <c r="R85" s="128">
        <f>N85-(P85*AO$310)</f>
        <v>13148.807200000001</v>
      </c>
      <c r="S85" s="28">
        <v>0.74725799999999998</v>
      </c>
      <c r="T85" s="5" t="s">
        <v>14</v>
      </c>
    </row>
    <row r="86" spans="1:55" s="38" customFormat="1" ht="15.75" customHeight="1" x14ac:dyDescent="0.2">
      <c r="A86" s="27">
        <v>2</v>
      </c>
      <c r="B86" s="38" t="s">
        <v>60</v>
      </c>
      <c r="C86" s="38" t="s">
        <v>126</v>
      </c>
      <c r="D86" s="130" t="s">
        <v>287</v>
      </c>
      <c r="E86" s="23" t="s">
        <v>179</v>
      </c>
      <c r="F86" s="24" t="s">
        <v>211</v>
      </c>
      <c r="G86" s="39">
        <v>10000</v>
      </c>
      <c r="H86" s="24" t="s">
        <v>216</v>
      </c>
      <c r="I86" s="40" t="s">
        <v>191</v>
      </c>
      <c r="J86" s="40" t="s">
        <v>217</v>
      </c>
      <c r="K86" s="24" t="s">
        <v>212</v>
      </c>
      <c r="L86" s="41" t="s">
        <v>215</v>
      </c>
      <c r="M86" s="137" t="s">
        <v>180</v>
      </c>
      <c r="N86" s="42">
        <v>24414</v>
      </c>
      <c r="O86" s="17">
        <f t="shared" si="6"/>
        <v>48828</v>
      </c>
      <c r="P86" s="132">
        <v>13425</v>
      </c>
      <c r="Q86" s="45" t="s">
        <v>439</v>
      </c>
      <c r="R86" s="128">
        <f>N86-(P86*AO$310)</f>
        <v>14382.06135</v>
      </c>
      <c r="S86" s="28">
        <v>0.74725799999999998</v>
      </c>
      <c r="T86" s="5" t="s">
        <v>14</v>
      </c>
    </row>
    <row r="87" spans="1:55" s="38" customFormat="1" ht="15.75" customHeight="1" x14ac:dyDescent="0.2">
      <c r="A87" s="27">
        <v>2</v>
      </c>
      <c r="B87" s="38" t="s">
        <v>60</v>
      </c>
      <c r="C87" s="38" t="s">
        <v>126</v>
      </c>
      <c r="D87" s="40" t="s">
        <v>316</v>
      </c>
      <c r="E87" s="24" t="s">
        <v>17</v>
      </c>
      <c r="F87" s="23" t="s">
        <v>300</v>
      </c>
      <c r="G87" s="39">
        <v>9500</v>
      </c>
      <c r="H87" s="24" t="s">
        <v>335</v>
      </c>
      <c r="I87" s="34" t="s">
        <v>292</v>
      </c>
      <c r="J87" s="40" t="s">
        <v>293</v>
      </c>
      <c r="K87" s="24" t="s">
        <v>333</v>
      </c>
      <c r="L87" s="41" t="s">
        <v>328</v>
      </c>
      <c r="M87" s="137" t="s">
        <v>180</v>
      </c>
      <c r="N87" s="42">
        <v>24532</v>
      </c>
      <c r="O87" s="17">
        <f t="shared" si="6"/>
        <v>49064</v>
      </c>
      <c r="P87" s="132">
        <v>12450</v>
      </c>
      <c r="Q87" s="45" t="s">
        <v>439</v>
      </c>
      <c r="R87" s="128">
        <f>N87-(P87*AO$310)</f>
        <v>15228.6379</v>
      </c>
      <c r="S87" s="28">
        <v>0.74725799999999998</v>
      </c>
      <c r="T87" s="5" t="s">
        <v>14</v>
      </c>
    </row>
    <row r="88" spans="1:55" s="38" customFormat="1" ht="15.75" customHeight="1" x14ac:dyDescent="0.2">
      <c r="A88" s="27">
        <v>2</v>
      </c>
      <c r="B88" s="38" t="s">
        <v>60</v>
      </c>
      <c r="C88" s="38" t="s">
        <v>126</v>
      </c>
      <c r="D88" s="40" t="s">
        <v>142</v>
      </c>
      <c r="E88" s="28" t="s">
        <v>143</v>
      </c>
      <c r="F88" s="24" t="s">
        <v>161</v>
      </c>
      <c r="G88" s="39">
        <v>8650</v>
      </c>
      <c r="H88" s="24" t="s">
        <v>162</v>
      </c>
      <c r="I88" s="40" t="s">
        <v>146</v>
      </c>
      <c r="J88" s="40" t="s">
        <v>159</v>
      </c>
      <c r="K88" s="24" t="s">
        <v>248</v>
      </c>
      <c r="L88" s="41" t="s">
        <v>160</v>
      </c>
      <c r="M88" s="39" t="s">
        <v>442</v>
      </c>
      <c r="N88" s="42">
        <v>24217</v>
      </c>
      <c r="O88" s="17">
        <f t="shared" si="6"/>
        <v>48434</v>
      </c>
      <c r="P88" s="132">
        <v>11875</v>
      </c>
      <c r="Q88" s="45" t="s">
        <v>439</v>
      </c>
      <c r="R88" s="128" t="e">
        <f>N88+(T88/Q88)-(P88*AO$310)</f>
        <v>#VALUE!</v>
      </c>
      <c r="S88" s="28">
        <v>0.74725799999999998</v>
      </c>
      <c r="T88" s="5">
        <v>190851.31</v>
      </c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</row>
    <row r="89" spans="1:55" s="38" customFormat="1" ht="15.75" customHeight="1" x14ac:dyDescent="0.2">
      <c r="A89" s="27">
        <v>2</v>
      </c>
      <c r="B89" s="38" t="s">
        <v>60</v>
      </c>
      <c r="C89" s="38" t="s">
        <v>126</v>
      </c>
      <c r="D89" s="40" t="s">
        <v>288</v>
      </c>
      <c r="E89" s="28" t="s">
        <v>143</v>
      </c>
      <c r="F89" s="24" t="s">
        <v>247</v>
      </c>
      <c r="G89" s="39">
        <v>8650</v>
      </c>
      <c r="H89" s="24" t="s">
        <v>251</v>
      </c>
      <c r="I89" s="40" t="s">
        <v>241</v>
      </c>
      <c r="J89" s="40" t="s">
        <v>250</v>
      </c>
      <c r="K89" s="24" t="s">
        <v>248</v>
      </c>
      <c r="L89" s="41" t="s">
        <v>160</v>
      </c>
      <c r="M89" s="27" t="s">
        <v>180</v>
      </c>
      <c r="N89" s="42">
        <v>24058</v>
      </c>
      <c r="O89" s="17">
        <f t="shared" si="6"/>
        <v>48116</v>
      </c>
      <c r="P89" s="132">
        <v>14400</v>
      </c>
      <c r="Q89" s="45" t="s">
        <v>439</v>
      </c>
      <c r="R89" s="128" t="e">
        <f>N89+(T89/Q89)-(P89*AO$310)</f>
        <v>#VALUE!</v>
      </c>
      <c r="S89" s="28">
        <v>0.74725799999999998</v>
      </c>
      <c r="T89" s="5">
        <v>190851.31</v>
      </c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</row>
    <row r="90" spans="1:55" s="38" customFormat="1" ht="15.75" customHeight="1" x14ac:dyDescent="0.2">
      <c r="A90" s="27">
        <v>1</v>
      </c>
      <c r="B90" s="38" t="s">
        <v>61</v>
      </c>
      <c r="C90" s="38" t="s">
        <v>127</v>
      </c>
      <c r="D90" s="40" t="s">
        <v>316</v>
      </c>
      <c r="E90" s="24" t="s">
        <v>17</v>
      </c>
      <c r="F90" s="23" t="s">
        <v>300</v>
      </c>
      <c r="G90" s="39">
        <v>12800</v>
      </c>
      <c r="H90" s="24" t="s">
        <v>336</v>
      </c>
      <c r="I90" s="34" t="s">
        <v>292</v>
      </c>
      <c r="J90" s="40" t="s">
        <v>293</v>
      </c>
      <c r="K90" s="24" t="s">
        <v>333</v>
      </c>
      <c r="L90" s="41" t="s">
        <v>328</v>
      </c>
      <c r="M90" s="137" t="s">
        <v>180</v>
      </c>
      <c r="N90" s="42">
        <v>25164.5</v>
      </c>
      <c r="O90" s="17">
        <f t="shared" si="6"/>
        <v>25164.5</v>
      </c>
      <c r="P90" s="132">
        <v>11900</v>
      </c>
      <c r="Q90" s="45" t="s">
        <v>439</v>
      </c>
      <c r="R90" s="128">
        <f t="shared" ref="R90:R121" si="7">N90-(P90*AO$310)</f>
        <v>16272.129800000001</v>
      </c>
      <c r="S90" s="28">
        <v>0.74725799999999998</v>
      </c>
      <c r="T90" s="5" t="s">
        <v>14</v>
      </c>
    </row>
    <row r="91" spans="1:55" s="38" customFormat="1" ht="15.75" customHeight="1" x14ac:dyDescent="0.2">
      <c r="A91" s="27">
        <v>1</v>
      </c>
      <c r="B91" s="38" t="s">
        <v>61</v>
      </c>
      <c r="C91" s="38" t="s">
        <v>127</v>
      </c>
      <c r="D91" s="40" t="s">
        <v>288</v>
      </c>
      <c r="E91" s="28" t="s">
        <v>143</v>
      </c>
      <c r="F91" s="24" t="s">
        <v>252</v>
      </c>
      <c r="G91" s="39">
        <v>12000</v>
      </c>
      <c r="H91" s="24" t="s">
        <v>254</v>
      </c>
      <c r="I91" s="40" t="s">
        <v>241</v>
      </c>
      <c r="J91" s="40" t="s">
        <v>255</v>
      </c>
      <c r="K91" s="24" t="s">
        <v>253</v>
      </c>
      <c r="L91" s="41" t="s">
        <v>167</v>
      </c>
      <c r="M91" s="137" t="s">
        <v>180</v>
      </c>
      <c r="N91" s="42">
        <v>31966.5</v>
      </c>
      <c r="O91" s="17">
        <f t="shared" si="6"/>
        <v>31966.5</v>
      </c>
      <c r="P91" s="132">
        <v>17600</v>
      </c>
      <c r="Q91" s="45" t="s">
        <v>439</v>
      </c>
      <c r="R91" s="128">
        <f t="shared" si="7"/>
        <v>18814.7592</v>
      </c>
      <c r="S91" s="28">
        <v>0.74725799999999998</v>
      </c>
      <c r="T91" s="5" t="s">
        <v>14</v>
      </c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</row>
    <row r="92" spans="1:55" s="38" customFormat="1" ht="15.75" customHeight="1" x14ac:dyDescent="0.2">
      <c r="A92" s="27">
        <v>1</v>
      </c>
      <c r="B92" s="38" t="s">
        <v>61</v>
      </c>
      <c r="C92" s="38" t="s">
        <v>127</v>
      </c>
      <c r="D92" s="35" t="s">
        <v>289</v>
      </c>
      <c r="E92" s="23" t="s">
        <v>179</v>
      </c>
      <c r="F92" s="24" t="s">
        <v>218</v>
      </c>
      <c r="G92" s="39">
        <v>13300</v>
      </c>
      <c r="H92" s="24" t="s">
        <v>219</v>
      </c>
      <c r="I92" s="40" t="s">
        <v>184</v>
      </c>
      <c r="J92" s="40" t="s">
        <v>220</v>
      </c>
      <c r="K92" s="24" t="s">
        <v>414</v>
      </c>
      <c r="L92" s="41" t="s">
        <v>215</v>
      </c>
      <c r="M92" s="137" t="s">
        <v>180</v>
      </c>
      <c r="N92" s="42">
        <v>21810</v>
      </c>
      <c r="O92" s="17">
        <f t="shared" si="6"/>
        <v>21810</v>
      </c>
      <c r="P92" s="131" t="s">
        <v>439</v>
      </c>
      <c r="Q92" s="45" t="s">
        <v>439</v>
      </c>
      <c r="R92" s="128" t="e">
        <f t="shared" si="7"/>
        <v>#VALUE!</v>
      </c>
      <c r="S92" s="28">
        <v>0.74725799999999998</v>
      </c>
      <c r="T92" s="5" t="s">
        <v>14</v>
      </c>
    </row>
    <row r="93" spans="1:55" s="38" customFormat="1" ht="15.75" customHeight="1" x14ac:dyDescent="0.2">
      <c r="A93" s="27">
        <v>1</v>
      </c>
      <c r="B93" s="38" t="s">
        <v>61</v>
      </c>
      <c r="C93" s="38" t="s">
        <v>127</v>
      </c>
      <c r="D93" s="130" t="s">
        <v>287</v>
      </c>
      <c r="E93" s="23" t="s">
        <v>179</v>
      </c>
      <c r="F93" s="24" t="s">
        <v>218</v>
      </c>
      <c r="G93" s="39">
        <v>13300</v>
      </c>
      <c r="H93" s="24" t="s">
        <v>219</v>
      </c>
      <c r="I93" s="40" t="s">
        <v>184</v>
      </c>
      <c r="J93" s="40" t="s">
        <v>220</v>
      </c>
      <c r="K93" s="24" t="s">
        <v>212</v>
      </c>
      <c r="L93" s="41" t="s">
        <v>215</v>
      </c>
      <c r="M93" s="137" t="s">
        <v>180</v>
      </c>
      <c r="N93" s="42">
        <v>21231</v>
      </c>
      <c r="O93" s="17">
        <f t="shared" ref="O93:O124" si="8">A93*N93</f>
        <v>21231</v>
      </c>
      <c r="P93" s="131" t="s">
        <v>439</v>
      </c>
      <c r="Q93" s="45" t="s">
        <v>439</v>
      </c>
      <c r="R93" s="128" t="e">
        <f t="shared" si="7"/>
        <v>#VALUE!</v>
      </c>
      <c r="S93" s="28">
        <v>0.74725799999999998</v>
      </c>
      <c r="T93" s="5" t="s">
        <v>14</v>
      </c>
    </row>
    <row r="94" spans="1:55" s="38" customFormat="1" ht="15.75" customHeight="1" x14ac:dyDescent="0.2">
      <c r="A94" s="27">
        <v>1</v>
      </c>
      <c r="B94" s="38" t="s">
        <v>62</v>
      </c>
      <c r="C94" s="38" t="s">
        <v>128</v>
      </c>
      <c r="D94" s="40" t="s">
        <v>316</v>
      </c>
      <c r="E94" s="24" t="s">
        <v>17</v>
      </c>
      <c r="F94" s="23" t="s">
        <v>300</v>
      </c>
      <c r="G94" s="39">
        <v>12800</v>
      </c>
      <c r="H94" s="24" t="s">
        <v>337</v>
      </c>
      <c r="I94" s="34" t="s">
        <v>292</v>
      </c>
      <c r="J94" s="40" t="s">
        <v>293</v>
      </c>
      <c r="K94" s="24" t="s">
        <v>333</v>
      </c>
      <c r="L94" s="41" t="s">
        <v>328</v>
      </c>
      <c r="M94" s="137" t="s">
        <v>180</v>
      </c>
      <c r="N94" s="42">
        <v>25399.5</v>
      </c>
      <c r="O94" s="17">
        <f t="shared" si="8"/>
        <v>25399.5</v>
      </c>
      <c r="P94" s="132">
        <v>14300</v>
      </c>
      <c r="Q94" s="45" t="s">
        <v>439</v>
      </c>
      <c r="R94" s="128">
        <f t="shared" si="7"/>
        <v>14713.7106</v>
      </c>
      <c r="S94" s="28">
        <v>0.74725799999999998</v>
      </c>
      <c r="T94" s="5" t="s">
        <v>14</v>
      </c>
    </row>
    <row r="95" spans="1:55" s="38" customFormat="1" ht="15.75" customHeight="1" x14ac:dyDescent="0.2">
      <c r="A95" s="27">
        <v>1</v>
      </c>
      <c r="B95" s="38" t="s">
        <v>62</v>
      </c>
      <c r="C95" s="38" t="s">
        <v>128</v>
      </c>
      <c r="D95" s="40" t="s">
        <v>288</v>
      </c>
      <c r="E95" s="28" t="s">
        <v>143</v>
      </c>
      <c r="F95" s="24" t="s">
        <v>252</v>
      </c>
      <c r="G95" s="39">
        <v>12200</v>
      </c>
      <c r="H95" s="24" t="s">
        <v>256</v>
      </c>
      <c r="I95" s="40" t="s">
        <v>241</v>
      </c>
      <c r="J95" s="40" t="s">
        <v>255</v>
      </c>
      <c r="K95" s="24" t="s">
        <v>253</v>
      </c>
      <c r="L95" s="41" t="s">
        <v>167</v>
      </c>
      <c r="M95" s="137" t="s">
        <v>180</v>
      </c>
      <c r="N95" s="42">
        <v>33744.5</v>
      </c>
      <c r="O95" s="17">
        <f t="shared" si="8"/>
        <v>33744.5</v>
      </c>
      <c r="P95" s="132">
        <v>19900</v>
      </c>
      <c r="Q95" s="45" t="s">
        <v>439</v>
      </c>
      <c r="R95" s="128">
        <f t="shared" si="7"/>
        <v>18874.0658</v>
      </c>
      <c r="S95" s="28">
        <v>0.74725799999999998</v>
      </c>
      <c r="T95" s="5" t="s">
        <v>14</v>
      </c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</row>
    <row r="96" spans="1:55" s="38" customFormat="1" ht="15.75" customHeight="1" x14ac:dyDescent="0.2">
      <c r="A96" s="27">
        <v>1</v>
      </c>
      <c r="B96" s="38" t="s">
        <v>62</v>
      </c>
      <c r="C96" s="38" t="s">
        <v>128</v>
      </c>
      <c r="D96" s="35" t="s">
        <v>289</v>
      </c>
      <c r="E96" s="23" t="s">
        <v>179</v>
      </c>
      <c r="F96" s="24" t="s">
        <v>218</v>
      </c>
      <c r="G96" s="39">
        <v>13300</v>
      </c>
      <c r="H96" s="24" t="s">
        <v>221</v>
      </c>
      <c r="I96" s="40" t="s">
        <v>184</v>
      </c>
      <c r="J96" s="40" t="s">
        <v>220</v>
      </c>
      <c r="K96" s="24" t="s">
        <v>414</v>
      </c>
      <c r="L96" s="41" t="s">
        <v>215</v>
      </c>
      <c r="M96" s="137" t="s">
        <v>180</v>
      </c>
      <c r="N96" s="42">
        <v>24418</v>
      </c>
      <c r="O96" s="17">
        <f t="shared" si="8"/>
        <v>24418</v>
      </c>
      <c r="P96" s="131" t="s">
        <v>439</v>
      </c>
      <c r="Q96" s="45" t="s">
        <v>439</v>
      </c>
      <c r="R96" s="128" t="e">
        <f t="shared" si="7"/>
        <v>#VALUE!</v>
      </c>
      <c r="S96" s="28">
        <v>0.74725799999999998</v>
      </c>
      <c r="T96" s="5" t="s">
        <v>14</v>
      </c>
    </row>
    <row r="97" spans="1:55" ht="15.75" customHeight="1" x14ac:dyDescent="0.2">
      <c r="A97" s="27">
        <v>1</v>
      </c>
      <c r="B97" s="38" t="s">
        <v>62</v>
      </c>
      <c r="C97" s="38" t="s">
        <v>128</v>
      </c>
      <c r="D97" s="130" t="s">
        <v>287</v>
      </c>
      <c r="E97" s="23" t="s">
        <v>179</v>
      </c>
      <c r="F97" s="24" t="s">
        <v>218</v>
      </c>
      <c r="G97" s="39">
        <v>13300</v>
      </c>
      <c r="H97" s="24" t="s">
        <v>221</v>
      </c>
      <c r="I97" s="40" t="s">
        <v>184</v>
      </c>
      <c r="J97" s="40" t="s">
        <v>220</v>
      </c>
      <c r="K97" s="24" t="s">
        <v>212</v>
      </c>
      <c r="L97" s="41" t="s">
        <v>215</v>
      </c>
      <c r="M97" s="137" t="s">
        <v>180</v>
      </c>
      <c r="N97" s="42">
        <v>23887</v>
      </c>
      <c r="O97" s="17">
        <f t="shared" si="8"/>
        <v>23887</v>
      </c>
      <c r="P97" s="131" t="s">
        <v>439</v>
      </c>
      <c r="Q97" s="45" t="s">
        <v>439</v>
      </c>
      <c r="R97" s="128" t="e">
        <f t="shared" si="7"/>
        <v>#VALUE!</v>
      </c>
      <c r="S97" s="28">
        <v>0.74725799999999998</v>
      </c>
      <c r="T97" s="5" t="s">
        <v>14</v>
      </c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s="38" customFormat="1" ht="15.75" customHeight="1" x14ac:dyDescent="0.2">
      <c r="A98" s="27">
        <v>1</v>
      </c>
      <c r="B98" s="38" t="s">
        <v>63</v>
      </c>
      <c r="C98" s="38" t="s">
        <v>129</v>
      </c>
      <c r="D98" s="130" t="s">
        <v>287</v>
      </c>
      <c r="E98" s="23" t="s">
        <v>179</v>
      </c>
      <c r="F98" s="24" t="s">
        <v>211</v>
      </c>
      <c r="G98" s="39">
        <v>10000</v>
      </c>
      <c r="H98" s="24" t="s">
        <v>222</v>
      </c>
      <c r="I98" s="40" t="s">
        <v>184</v>
      </c>
      <c r="J98" s="40" t="s">
        <v>214</v>
      </c>
      <c r="K98" s="24" t="s">
        <v>212</v>
      </c>
      <c r="L98" s="41" t="s">
        <v>215</v>
      </c>
      <c r="M98" s="137" t="s">
        <v>180</v>
      </c>
      <c r="N98" s="42">
        <v>21267</v>
      </c>
      <c r="O98" s="17">
        <f t="shared" si="8"/>
        <v>21267</v>
      </c>
      <c r="P98" s="132">
        <v>10975</v>
      </c>
      <c r="Q98" s="45" t="s">
        <v>439</v>
      </c>
      <c r="R98" s="128">
        <f t="shared" si="7"/>
        <v>13065.84345</v>
      </c>
      <c r="S98" s="28">
        <v>0.74725799999999998</v>
      </c>
      <c r="T98" s="5" t="s">
        <v>14</v>
      </c>
    </row>
    <row r="99" spans="1:55" s="38" customFormat="1" ht="15.75" customHeight="1" x14ac:dyDescent="0.2">
      <c r="A99" s="27">
        <v>1</v>
      </c>
      <c r="B99" s="38" t="s">
        <v>63</v>
      </c>
      <c r="C99" s="38" t="s">
        <v>129</v>
      </c>
      <c r="D99" s="40" t="s">
        <v>288</v>
      </c>
      <c r="E99" s="28" t="s">
        <v>143</v>
      </c>
      <c r="F99" s="24" t="s">
        <v>247</v>
      </c>
      <c r="G99" s="39">
        <v>8800</v>
      </c>
      <c r="H99" s="24" t="s">
        <v>257</v>
      </c>
      <c r="I99" s="40" t="s">
        <v>241</v>
      </c>
      <c r="J99" s="40" t="s">
        <v>250</v>
      </c>
      <c r="K99" s="24" t="s">
        <v>248</v>
      </c>
      <c r="L99" s="41" t="s">
        <v>160</v>
      </c>
      <c r="M99" s="137" t="s">
        <v>180</v>
      </c>
      <c r="N99" s="42">
        <v>24668.5</v>
      </c>
      <c r="O99" s="17">
        <f t="shared" si="8"/>
        <v>24668.5</v>
      </c>
      <c r="P99" s="132">
        <v>15350</v>
      </c>
      <c r="Q99" s="45" t="s">
        <v>439</v>
      </c>
      <c r="R99" s="128">
        <f t="shared" si="7"/>
        <v>13198.0897</v>
      </c>
      <c r="S99" s="28">
        <v>0.74725799999999998</v>
      </c>
      <c r="T99" s="5" t="s">
        <v>14</v>
      </c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</row>
    <row r="100" spans="1:55" s="38" customFormat="1" ht="15.75" customHeight="1" x14ac:dyDescent="0.2">
      <c r="A100" s="27">
        <v>1</v>
      </c>
      <c r="B100" s="38" t="s">
        <v>63</v>
      </c>
      <c r="C100" s="38" t="s">
        <v>129</v>
      </c>
      <c r="D100" s="35" t="s">
        <v>289</v>
      </c>
      <c r="E100" s="23" t="s">
        <v>179</v>
      </c>
      <c r="F100" s="24" t="s">
        <v>211</v>
      </c>
      <c r="G100" s="39">
        <v>10000</v>
      </c>
      <c r="H100" s="24" t="s">
        <v>222</v>
      </c>
      <c r="I100" s="40" t="s">
        <v>184</v>
      </c>
      <c r="J100" s="40" t="s">
        <v>214</v>
      </c>
      <c r="K100" s="24" t="s">
        <v>414</v>
      </c>
      <c r="L100" s="41" t="s">
        <v>215</v>
      </c>
      <c r="M100" s="137" t="s">
        <v>180</v>
      </c>
      <c r="N100" s="42">
        <v>21948</v>
      </c>
      <c r="O100" s="17">
        <f t="shared" si="8"/>
        <v>21948</v>
      </c>
      <c r="P100" s="132">
        <v>10975</v>
      </c>
      <c r="Q100" s="45" t="s">
        <v>439</v>
      </c>
      <c r="R100" s="128">
        <f t="shared" si="7"/>
        <v>13746.84345</v>
      </c>
      <c r="S100" s="28">
        <v>0.74725799999999998</v>
      </c>
      <c r="T100" s="5" t="s">
        <v>14</v>
      </c>
    </row>
    <row r="101" spans="1:55" s="38" customFormat="1" ht="15.75" customHeight="1" x14ac:dyDescent="0.2">
      <c r="A101" s="27">
        <v>1</v>
      </c>
      <c r="B101" s="38" t="s">
        <v>63</v>
      </c>
      <c r="C101" s="38" t="s">
        <v>129</v>
      </c>
      <c r="D101" s="40" t="s">
        <v>316</v>
      </c>
      <c r="E101" s="24" t="s">
        <v>17</v>
      </c>
      <c r="F101" s="23" t="s">
        <v>300</v>
      </c>
      <c r="G101" s="39">
        <v>9500</v>
      </c>
      <c r="H101" s="24" t="s">
        <v>338</v>
      </c>
      <c r="I101" s="34" t="s">
        <v>292</v>
      </c>
      <c r="J101" s="40" t="s">
        <v>293</v>
      </c>
      <c r="K101" s="24" t="s">
        <v>333</v>
      </c>
      <c r="L101" s="41" t="s">
        <v>315</v>
      </c>
      <c r="M101" s="137" t="s">
        <v>180</v>
      </c>
      <c r="N101" s="42">
        <v>24523</v>
      </c>
      <c r="O101" s="17">
        <f t="shared" si="8"/>
        <v>24523</v>
      </c>
      <c r="P101" s="132">
        <v>13150</v>
      </c>
      <c r="Q101" s="45" t="s">
        <v>439</v>
      </c>
      <c r="R101" s="128">
        <f t="shared" si="7"/>
        <v>14696.5573</v>
      </c>
      <c r="S101" s="28">
        <v>0.74725799999999998</v>
      </c>
      <c r="T101" s="5" t="s">
        <v>14</v>
      </c>
    </row>
    <row r="102" spans="1:55" s="38" customFormat="1" ht="15.75" customHeight="1" x14ac:dyDescent="0.2">
      <c r="A102" s="27">
        <v>1</v>
      </c>
      <c r="B102" s="38" t="s">
        <v>64</v>
      </c>
      <c r="C102" s="38" t="s">
        <v>129</v>
      </c>
      <c r="D102" s="40" t="s">
        <v>288</v>
      </c>
      <c r="E102" s="28" t="s">
        <v>143</v>
      </c>
      <c r="F102" s="24" t="s">
        <v>247</v>
      </c>
      <c r="G102" s="39">
        <v>8800</v>
      </c>
      <c r="H102" s="24" t="s">
        <v>257</v>
      </c>
      <c r="I102" s="40" t="s">
        <v>241</v>
      </c>
      <c r="J102" s="40" t="s">
        <v>250</v>
      </c>
      <c r="K102" s="24" t="s">
        <v>248</v>
      </c>
      <c r="L102" s="41" t="s">
        <v>160</v>
      </c>
      <c r="M102" s="137" t="s">
        <v>180</v>
      </c>
      <c r="N102" s="42">
        <v>24146.5</v>
      </c>
      <c r="O102" s="17">
        <f t="shared" si="8"/>
        <v>24146.5</v>
      </c>
      <c r="P102" s="132">
        <v>15350</v>
      </c>
      <c r="Q102" s="45" t="s">
        <v>439</v>
      </c>
      <c r="R102" s="128">
        <f t="shared" si="7"/>
        <v>12676.0897</v>
      </c>
      <c r="S102" s="28">
        <v>0.74725799999999998</v>
      </c>
      <c r="T102" s="5" t="s">
        <v>14</v>
      </c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</row>
    <row r="103" spans="1:55" s="38" customFormat="1" ht="15.75" customHeight="1" x14ac:dyDescent="0.2">
      <c r="A103" s="27">
        <v>1</v>
      </c>
      <c r="B103" s="38" t="s">
        <v>64</v>
      </c>
      <c r="C103" s="38" t="s">
        <v>129</v>
      </c>
      <c r="D103" s="130" t="s">
        <v>287</v>
      </c>
      <c r="E103" s="23" t="s">
        <v>179</v>
      </c>
      <c r="F103" s="24" t="s">
        <v>211</v>
      </c>
      <c r="G103" s="39">
        <v>10000</v>
      </c>
      <c r="H103" s="24" t="s">
        <v>222</v>
      </c>
      <c r="I103" s="40" t="s">
        <v>184</v>
      </c>
      <c r="J103" s="40" t="s">
        <v>214</v>
      </c>
      <c r="K103" s="24" t="s">
        <v>212</v>
      </c>
      <c r="L103" s="41" t="s">
        <v>215</v>
      </c>
      <c r="M103" s="137" t="s">
        <v>180</v>
      </c>
      <c r="N103" s="42">
        <v>21037</v>
      </c>
      <c r="O103" s="17">
        <f t="shared" si="8"/>
        <v>21037</v>
      </c>
      <c r="P103" s="132">
        <v>10975</v>
      </c>
      <c r="Q103" s="45" t="s">
        <v>439</v>
      </c>
      <c r="R103" s="128">
        <f t="shared" si="7"/>
        <v>12835.84345</v>
      </c>
      <c r="S103" s="28">
        <v>0.74725799999999998</v>
      </c>
      <c r="T103" s="5" t="s">
        <v>14</v>
      </c>
    </row>
    <row r="104" spans="1:55" s="38" customFormat="1" ht="15.75" customHeight="1" x14ac:dyDescent="0.2">
      <c r="A104" s="27">
        <v>1</v>
      </c>
      <c r="B104" s="38" t="s">
        <v>64</v>
      </c>
      <c r="C104" s="38" t="s">
        <v>129</v>
      </c>
      <c r="D104" s="35" t="s">
        <v>289</v>
      </c>
      <c r="E104" s="23" t="s">
        <v>179</v>
      </c>
      <c r="F104" s="24" t="s">
        <v>211</v>
      </c>
      <c r="G104" s="39">
        <v>10000</v>
      </c>
      <c r="H104" s="24" t="s">
        <v>222</v>
      </c>
      <c r="I104" s="40" t="s">
        <v>184</v>
      </c>
      <c r="J104" s="40" t="s">
        <v>214</v>
      </c>
      <c r="K104" s="24" t="s">
        <v>414</v>
      </c>
      <c r="L104" s="41" t="s">
        <v>215</v>
      </c>
      <c r="M104" s="137" t="s">
        <v>180</v>
      </c>
      <c r="N104" s="42">
        <v>21343</v>
      </c>
      <c r="O104" s="17">
        <f t="shared" si="8"/>
        <v>21343</v>
      </c>
      <c r="P104" s="132">
        <v>10975</v>
      </c>
      <c r="Q104" s="45" t="s">
        <v>439</v>
      </c>
      <c r="R104" s="128">
        <f t="shared" si="7"/>
        <v>13141.84345</v>
      </c>
      <c r="S104" s="28">
        <v>0.74725799999999998</v>
      </c>
      <c r="T104" s="5" t="s">
        <v>14</v>
      </c>
    </row>
    <row r="105" spans="1:55" s="38" customFormat="1" ht="15.75" customHeight="1" x14ac:dyDescent="0.2">
      <c r="A105" s="27">
        <v>1</v>
      </c>
      <c r="B105" s="38" t="s">
        <v>64</v>
      </c>
      <c r="C105" s="38" t="s">
        <v>129</v>
      </c>
      <c r="D105" s="40" t="s">
        <v>316</v>
      </c>
      <c r="E105" s="24" t="s">
        <v>17</v>
      </c>
      <c r="F105" s="23" t="s">
        <v>300</v>
      </c>
      <c r="G105" s="39">
        <v>9500</v>
      </c>
      <c r="H105" s="24" t="s">
        <v>338</v>
      </c>
      <c r="I105" s="34" t="s">
        <v>292</v>
      </c>
      <c r="J105" s="40" t="s">
        <v>293</v>
      </c>
      <c r="K105" s="24" t="s">
        <v>333</v>
      </c>
      <c r="L105" s="41" t="s">
        <v>315</v>
      </c>
      <c r="M105" s="137" t="s">
        <v>180</v>
      </c>
      <c r="N105" s="42">
        <v>24141.5</v>
      </c>
      <c r="O105" s="17">
        <f t="shared" si="8"/>
        <v>24141.5</v>
      </c>
      <c r="P105" s="132">
        <v>13150</v>
      </c>
      <c r="Q105" s="45" t="s">
        <v>439</v>
      </c>
      <c r="R105" s="128">
        <f t="shared" si="7"/>
        <v>14315.0573</v>
      </c>
      <c r="S105" s="28">
        <v>0.74725799999999998</v>
      </c>
      <c r="T105" s="5" t="s">
        <v>14</v>
      </c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</row>
    <row r="106" spans="1:55" s="38" customFormat="1" ht="15.75" customHeight="1" x14ac:dyDescent="0.2">
      <c r="A106" s="27">
        <v>1</v>
      </c>
      <c r="B106" s="38" t="s">
        <v>65</v>
      </c>
      <c r="C106" s="38" t="s">
        <v>130</v>
      </c>
      <c r="D106" s="130" t="s">
        <v>287</v>
      </c>
      <c r="E106" s="23" t="s">
        <v>179</v>
      </c>
      <c r="F106" s="24" t="s">
        <v>211</v>
      </c>
      <c r="G106" s="39">
        <v>10000</v>
      </c>
      <c r="H106" s="24" t="s">
        <v>222</v>
      </c>
      <c r="I106" s="40" t="s">
        <v>191</v>
      </c>
      <c r="J106" s="40" t="s">
        <v>217</v>
      </c>
      <c r="K106" s="24" t="s">
        <v>416</v>
      </c>
      <c r="L106" s="41" t="s">
        <v>223</v>
      </c>
      <c r="M106" s="137" t="s">
        <v>180</v>
      </c>
      <c r="N106" s="42">
        <v>30101</v>
      </c>
      <c r="O106" s="17">
        <f t="shared" si="8"/>
        <v>30101</v>
      </c>
      <c r="P106" s="132">
        <f>12875+4625</f>
        <v>17500</v>
      </c>
      <c r="Q106" s="45" t="s">
        <v>439</v>
      </c>
      <c r="R106" s="128">
        <f t="shared" si="7"/>
        <v>17023.985000000001</v>
      </c>
      <c r="S106" s="28">
        <v>0.74725799999999998</v>
      </c>
      <c r="T106" s="5" t="s">
        <v>14</v>
      </c>
    </row>
    <row r="107" spans="1:55" s="38" customFormat="1" ht="15.75" customHeight="1" x14ac:dyDescent="0.2">
      <c r="A107" s="27">
        <v>1</v>
      </c>
      <c r="B107" s="38" t="s">
        <v>65</v>
      </c>
      <c r="C107" s="38" t="s">
        <v>130</v>
      </c>
      <c r="D107" s="35" t="s">
        <v>289</v>
      </c>
      <c r="E107" s="23" t="s">
        <v>179</v>
      </c>
      <c r="F107" s="24" t="s">
        <v>211</v>
      </c>
      <c r="G107" s="39">
        <v>10000</v>
      </c>
      <c r="H107" s="24" t="s">
        <v>222</v>
      </c>
      <c r="I107" s="40" t="s">
        <v>191</v>
      </c>
      <c r="J107" s="40" t="s">
        <v>217</v>
      </c>
      <c r="K107" s="24" t="s">
        <v>416</v>
      </c>
      <c r="L107" s="41" t="s">
        <v>223</v>
      </c>
      <c r="M107" s="137" t="s">
        <v>180</v>
      </c>
      <c r="N107" s="42">
        <v>31443</v>
      </c>
      <c r="O107" s="17">
        <f t="shared" si="8"/>
        <v>31443</v>
      </c>
      <c r="P107" s="132">
        <f>12875+4625</f>
        <v>17500</v>
      </c>
      <c r="Q107" s="45" t="s">
        <v>439</v>
      </c>
      <c r="R107" s="128">
        <f t="shared" si="7"/>
        <v>18365.985000000001</v>
      </c>
      <c r="S107" s="28">
        <v>0.74725799999999998</v>
      </c>
      <c r="T107" s="5" t="s">
        <v>14</v>
      </c>
    </row>
    <row r="108" spans="1:55" s="38" customFormat="1" ht="15.75" customHeight="1" x14ac:dyDescent="0.2">
      <c r="A108" s="27">
        <v>1</v>
      </c>
      <c r="B108" s="38" t="s">
        <v>65</v>
      </c>
      <c r="C108" s="38" t="s">
        <v>130</v>
      </c>
      <c r="D108" s="40" t="s">
        <v>288</v>
      </c>
      <c r="E108" s="28" t="s">
        <v>143</v>
      </c>
      <c r="F108" s="24" t="s">
        <v>252</v>
      </c>
      <c r="G108" s="39">
        <v>10100</v>
      </c>
      <c r="H108" s="24" t="s">
        <v>258</v>
      </c>
      <c r="I108" s="40" t="s">
        <v>241</v>
      </c>
      <c r="J108" s="40" t="s">
        <v>255</v>
      </c>
      <c r="K108" s="24" t="s">
        <v>253</v>
      </c>
      <c r="L108" s="41" t="s">
        <v>167</v>
      </c>
      <c r="M108" s="137" t="s">
        <v>180</v>
      </c>
      <c r="N108" s="42">
        <v>35215.5</v>
      </c>
      <c r="O108" s="17">
        <f t="shared" si="8"/>
        <v>35215.5</v>
      </c>
      <c r="P108" s="132">
        <v>20850</v>
      </c>
      <c r="Q108" s="45" t="s">
        <v>439</v>
      </c>
      <c r="R108" s="128">
        <f t="shared" si="7"/>
        <v>19635.170700000002</v>
      </c>
      <c r="S108" s="28">
        <v>0.74725799999999998</v>
      </c>
      <c r="T108" s="5" t="s">
        <v>14</v>
      </c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</row>
    <row r="109" spans="1:55" s="38" customFormat="1" ht="15.75" customHeight="1" x14ac:dyDescent="0.2">
      <c r="A109" s="27">
        <v>1</v>
      </c>
      <c r="B109" s="38" t="s">
        <v>65</v>
      </c>
      <c r="C109" s="38" t="s">
        <v>130</v>
      </c>
      <c r="D109" s="40" t="s">
        <v>316</v>
      </c>
      <c r="E109" s="24" t="s">
        <v>17</v>
      </c>
      <c r="F109" s="23" t="s">
        <v>300</v>
      </c>
      <c r="G109" s="39">
        <v>10000</v>
      </c>
      <c r="H109" s="24" t="s">
        <v>338</v>
      </c>
      <c r="I109" s="34" t="s">
        <v>292</v>
      </c>
      <c r="J109" s="40" t="s">
        <v>293</v>
      </c>
      <c r="K109" s="24" t="s">
        <v>420</v>
      </c>
      <c r="L109" s="41" t="s">
        <v>315</v>
      </c>
      <c r="M109" s="137" t="s">
        <v>180</v>
      </c>
      <c r="N109" s="42">
        <v>34598.5</v>
      </c>
      <c r="O109" s="17">
        <f t="shared" si="8"/>
        <v>34598.5</v>
      </c>
      <c r="P109" s="132">
        <f>13150+4625</f>
        <v>17775</v>
      </c>
      <c r="Q109" s="45" t="s">
        <v>439</v>
      </c>
      <c r="R109" s="128">
        <f t="shared" si="7"/>
        <v>21315.98905</v>
      </c>
      <c r="S109" s="28">
        <v>0.74725799999999998</v>
      </c>
      <c r="T109" s="5" t="s">
        <v>14</v>
      </c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</row>
    <row r="110" spans="1:55" s="38" customFormat="1" ht="15.75" customHeight="1" x14ac:dyDescent="0.2">
      <c r="A110" s="27">
        <v>1</v>
      </c>
      <c r="B110" s="38" t="s">
        <v>66</v>
      </c>
      <c r="C110" s="38" t="s">
        <v>131</v>
      </c>
      <c r="D110" s="40" t="s">
        <v>288</v>
      </c>
      <c r="E110" s="28" t="s">
        <v>143</v>
      </c>
      <c r="F110" s="24" t="s">
        <v>247</v>
      </c>
      <c r="G110" s="39">
        <v>8800</v>
      </c>
      <c r="H110" s="24" t="s">
        <v>259</v>
      </c>
      <c r="I110" s="40" t="s">
        <v>241</v>
      </c>
      <c r="J110" s="40" t="s">
        <v>250</v>
      </c>
      <c r="K110" s="24" t="s">
        <v>248</v>
      </c>
      <c r="L110" s="41" t="s">
        <v>160</v>
      </c>
      <c r="M110" s="137" t="s">
        <v>180</v>
      </c>
      <c r="N110" s="42">
        <v>24184.5</v>
      </c>
      <c r="O110" s="17">
        <f t="shared" si="8"/>
        <v>24184.5</v>
      </c>
      <c r="P110" s="132">
        <v>15400</v>
      </c>
      <c r="Q110" s="45" t="s">
        <v>439</v>
      </c>
      <c r="R110" s="128">
        <f t="shared" si="7"/>
        <v>12676.7268</v>
      </c>
      <c r="S110" s="28">
        <v>0.74725799999999998</v>
      </c>
      <c r="T110" s="5" t="s">
        <v>14</v>
      </c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</row>
    <row r="111" spans="1:55" s="38" customFormat="1" ht="15.75" customHeight="1" x14ac:dyDescent="0.2">
      <c r="A111" s="27">
        <v>1</v>
      </c>
      <c r="B111" s="38" t="s">
        <v>66</v>
      </c>
      <c r="C111" s="38" t="s">
        <v>131</v>
      </c>
      <c r="D111" s="130" t="s">
        <v>287</v>
      </c>
      <c r="E111" s="23" t="s">
        <v>179</v>
      </c>
      <c r="F111" s="24" t="s">
        <v>211</v>
      </c>
      <c r="G111" s="39">
        <v>10000</v>
      </c>
      <c r="H111" s="24" t="s">
        <v>222</v>
      </c>
      <c r="I111" s="40" t="s">
        <v>184</v>
      </c>
      <c r="J111" s="40" t="s">
        <v>214</v>
      </c>
      <c r="K111" s="24" t="s">
        <v>212</v>
      </c>
      <c r="L111" s="41" t="s">
        <v>215</v>
      </c>
      <c r="M111" s="137" t="s">
        <v>180</v>
      </c>
      <c r="N111" s="42">
        <v>21437</v>
      </c>
      <c r="O111" s="17">
        <f t="shared" si="8"/>
        <v>21437</v>
      </c>
      <c r="P111" s="132">
        <v>10975</v>
      </c>
      <c r="Q111" s="45" t="s">
        <v>439</v>
      </c>
      <c r="R111" s="128">
        <f t="shared" si="7"/>
        <v>13235.84345</v>
      </c>
      <c r="S111" s="28">
        <v>0.74725799999999998</v>
      </c>
      <c r="T111" s="5" t="s">
        <v>14</v>
      </c>
    </row>
    <row r="112" spans="1:55" s="38" customFormat="1" ht="15.75" customHeight="1" x14ac:dyDescent="0.2">
      <c r="A112" s="27">
        <v>1</v>
      </c>
      <c r="B112" s="38" t="s">
        <v>66</v>
      </c>
      <c r="C112" s="38" t="s">
        <v>131</v>
      </c>
      <c r="D112" s="35" t="s">
        <v>289</v>
      </c>
      <c r="E112" s="23" t="s">
        <v>179</v>
      </c>
      <c r="F112" s="24" t="s">
        <v>211</v>
      </c>
      <c r="G112" s="39">
        <v>10000</v>
      </c>
      <c r="H112" s="24" t="s">
        <v>222</v>
      </c>
      <c r="I112" s="40" t="s">
        <v>184</v>
      </c>
      <c r="J112" s="40" t="s">
        <v>214</v>
      </c>
      <c r="K112" s="24" t="s">
        <v>414</v>
      </c>
      <c r="L112" s="41" t="s">
        <v>215</v>
      </c>
      <c r="M112" s="137" t="s">
        <v>180</v>
      </c>
      <c r="N112" s="42">
        <v>21857</v>
      </c>
      <c r="O112" s="17">
        <f t="shared" si="8"/>
        <v>21857</v>
      </c>
      <c r="P112" s="132">
        <v>10975</v>
      </c>
      <c r="Q112" s="45" t="s">
        <v>439</v>
      </c>
      <c r="R112" s="128">
        <f t="shared" si="7"/>
        <v>13655.84345</v>
      </c>
      <c r="S112" s="28">
        <v>0.74725799999999998</v>
      </c>
      <c r="T112" s="5" t="s">
        <v>14</v>
      </c>
    </row>
    <row r="113" spans="1:55" s="38" customFormat="1" ht="15.75" customHeight="1" x14ac:dyDescent="0.2">
      <c r="A113" s="27">
        <v>1</v>
      </c>
      <c r="B113" s="38" t="s">
        <v>66</v>
      </c>
      <c r="C113" s="38" t="s">
        <v>131</v>
      </c>
      <c r="D113" s="40" t="s">
        <v>316</v>
      </c>
      <c r="E113" s="24" t="s">
        <v>17</v>
      </c>
      <c r="F113" s="23" t="s">
        <v>300</v>
      </c>
      <c r="G113" s="39">
        <v>9500</v>
      </c>
      <c r="H113" s="24" t="s">
        <v>339</v>
      </c>
      <c r="I113" s="34" t="s">
        <v>292</v>
      </c>
      <c r="J113" s="40" t="s">
        <v>293</v>
      </c>
      <c r="K113" s="24" t="s">
        <v>333</v>
      </c>
      <c r="L113" s="41" t="s">
        <v>315</v>
      </c>
      <c r="M113" s="137" t="s">
        <v>180</v>
      </c>
      <c r="N113" s="42">
        <v>24180</v>
      </c>
      <c r="O113" s="17">
        <f t="shared" si="8"/>
        <v>24180</v>
      </c>
      <c r="P113" s="132">
        <v>13200</v>
      </c>
      <c r="Q113" s="45" t="s">
        <v>439</v>
      </c>
      <c r="R113" s="128">
        <f t="shared" si="7"/>
        <v>14316.1944</v>
      </c>
      <c r="S113" s="28">
        <v>0.74725799999999998</v>
      </c>
      <c r="T113" s="5" t="s">
        <v>14</v>
      </c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</row>
    <row r="114" spans="1:55" s="38" customFormat="1" ht="15.75" customHeight="1" x14ac:dyDescent="0.2">
      <c r="A114" s="27">
        <v>1</v>
      </c>
      <c r="B114" s="38" t="s">
        <v>67</v>
      </c>
      <c r="C114" s="38" t="s">
        <v>132</v>
      </c>
      <c r="D114" s="40" t="s">
        <v>288</v>
      </c>
      <c r="E114" s="28" t="s">
        <v>143</v>
      </c>
      <c r="F114" s="24" t="s">
        <v>247</v>
      </c>
      <c r="G114" s="39">
        <v>8800</v>
      </c>
      <c r="H114" s="24" t="s">
        <v>259</v>
      </c>
      <c r="I114" s="40" t="s">
        <v>241</v>
      </c>
      <c r="J114" s="40" t="s">
        <v>250</v>
      </c>
      <c r="K114" s="24" t="s">
        <v>248</v>
      </c>
      <c r="L114" s="41" t="s">
        <v>160</v>
      </c>
      <c r="M114" s="137" t="s">
        <v>180</v>
      </c>
      <c r="N114" s="42">
        <v>26012.5</v>
      </c>
      <c r="O114" s="17">
        <f t="shared" si="8"/>
        <v>26012.5</v>
      </c>
      <c r="P114" s="132">
        <v>15400</v>
      </c>
      <c r="Q114" s="45" t="s">
        <v>439</v>
      </c>
      <c r="R114" s="128">
        <f t="shared" si="7"/>
        <v>14504.7268</v>
      </c>
      <c r="S114" s="28">
        <v>0.74725799999999998</v>
      </c>
      <c r="T114" s="5" t="s">
        <v>14</v>
      </c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</row>
    <row r="115" spans="1:55" s="38" customFormat="1" ht="15.75" customHeight="1" x14ac:dyDescent="0.2">
      <c r="A115" s="27">
        <v>1</v>
      </c>
      <c r="B115" s="38" t="s">
        <v>67</v>
      </c>
      <c r="C115" s="38" t="s">
        <v>132</v>
      </c>
      <c r="D115" s="130" t="s">
        <v>287</v>
      </c>
      <c r="E115" s="23" t="s">
        <v>179</v>
      </c>
      <c r="F115" s="24" t="s">
        <v>211</v>
      </c>
      <c r="G115" s="39">
        <v>10000</v>
      </c>
      <c r="H115" s="24" t="s">
        <v>222</v>
      </c>
      <c r="I115" s="40" t="s">
        <v>184</v>
      </c>
      <c r="J115" s="40" t="s">
        <v>214</v>
      </c>
      <c r="K115" s="24" t="s">
        <v>212</v>
      </c>
      <c r="L115" s="41" t="s">
        <v>215</v>
      </c>
      <c r="M115" s="137" t="s">
        <v>180</v>
      </c>
      <c r="N115" s="42">
        <v>23726</v>
      </c>
      <c r="O115" s="17">
        <f t="shared" si="8"/>
        <v>23726</v>
      </c>
      <c r="P115" s="132">
        <v>10975</v>
      </c>
      <c r="Q115" s="45" t="s">
        <v>439</v>
      </c>
      <c r="R115" s="128">
        <f t="shared" si="7"/>
        <v>15524.84345</v>
      </c>
      <c r="S115" s="28">
        <v>0.74725799999999998</v>
      </c>
      <c r="T115" s="5" t="s">
        <v>14</v>
      </c>
    </row>
    <row r="116" spans="1:55" s="38" customFormat="1" ht="15.75" customHeight="1" x14ac:dyDescent="0.2">
      <c r="A116" s="27">
        <v>1</v>
      </c>
      <c r="B116" s="38" t="s">
        <v>67</v>
      </c>
      <c r="C116" s="38" t="s">
        <v>132</v>
      </c>
      <c r="D116" s="40" t="s">
        <v>316</v>
      </c>
      <c r="E116" s="24" t="s">
        <v>17</v>
      </c>
      <c r="F116" s="23" t="s">
        <v>300</v>
      </c>
      <c r="G116" s="39">
        <v>9500</v>
      </c>
      <c r="H116" s="24" t="s">
        <v>339</v>
      </c>
      <c r="I116" s="34" t="s">
        <v>292</v>
      </c>
      <c r="J116" s="40" t="s">
        <v>293</v>
      </c>
      <c r="K116" s="24" t="s">
        <v>333</v>
      </c>
      <c r="L116" s="41" t="s">
        <v>315</v>
      </c>
      <c r="M116" s="137" t="s">
        <v>180</v>
      </c>
      <c r="N116" s="42">
        <v>25528.5</v>
      </c>
      <c r="O116" s="17">
        <f t="shared" si="8"/>
        <v>25528.5</v>
      </c>
      <c r="P116" s="132">
        <v>13200</v>
      </c>
      <c r="Q116" s="45" t="s">
        <v>439</v>
      </c>
      <c r="R116" s="128">
        <f t="shared" si="7"/>
        <v>15664.6944</v>
      </c>
      <c r="S116" s="28">
        <v>0.74725799999999998</v>
      </c>
      <c r="T116" s="5" t="s">
        <v>14</v>
      </c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</row>
    <row r="117" spans="1:55" s="38" customFormat="1" ht="15.75" customHeight="1" x14ac:dyDescent="0.2">
      <c r="A117" s="27">
        <v>3</v>
      </c>
      <c r="B117" s="38" t="s">
        <v>68</v>
      </c>
      <c r="C117" s="38" t="s">
        <v>131</v>
      </c>
      <c r="D117" s="40" t="s">
        <v>288</v>
      </c>
      <c r="E117" s="28" t="s">
        <v>143</v>
      </c>
      <c r="F117" s="24" t="s">
        <v>247</v>
      </c>
      <c r="G117" s="39">
        <v>8800</v>
      </c>
      <c r="H117" s="24" t="s">
        <v>259</v>
      </c>
      <c r="I117" s="40" t="s">
        <v>241</v>
      </c>
      <c r="J117" s="40" t="s">
        <v>250</v>
      </c>
      <c r="K117" s="24" t="s">
        <v>248</v>
      </c>
      <c r="L117" s="41" t="s">
        <v>160</v>
      </c>
      <c r="M117" s="137" t="s">
        <v>180</v>
      </c>
      <c r="N117" s="42">
        <v>24299.5</v>
      </c>
      <c r="O117" s="17">
        <f t="shared" si="8"/>
        <v>72898.5</v>
      </c>
      <c r="P117" s="132">
        <v>15400</v>
      </c>
      <c r="Q117" s="45" t="s">
        <v>439</v>
      </c>
      <c r="R117" s="128">
        <f t="shared" si="7"/>
        <v>12791.7268</v>
      </c>
      <c r="S117" s="28">
        <v>0.74725799999999998</v>
      </c>
      <c r="T117" s="5" t="s">
        <v>14</v>
      </c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</row>
    <row r="118" spans="1:55" s="38" customFormat="1" ht="15.75" customHeight="1" x14ac:dyDescent="0.2">
      <c r="A118" s="27">
        <v>3</v>
      </c>
      <c r="B118" s="38" t="s">
        <v>68</v>
      </c>
      <c r="C118" s="38" t="s">
        <v>131</v>
      </c>
      <c r="D118" s="130" t="s">
        <v>287</v>
      </c>
      <c r="E118" s="23" t="s">
        <v>179</v>
      </c>
      <c r="F118" s="24" t="s">
        <v>211</v>
      </c>
      <c r="G118" s="39">
        <v>10000</v>
      </c>
      <c r="H118" s="24" t="s">
        <v>222</v>
      </c>
      <c r="I118" s="40" t="s">
        <v>184</v>
      </c>
      <c r="J118" s="40" t="s">
        <v>214</v>
      </c>
      <c r="K118" s="24" t="s">
        <v>212</v>
      </c>
      <c r="L118" s="41" t="s">
        <v>215</v>
      </c>
      <c r="M118" s="137" t="s">
        <v>180</v>
      </c>
      <c r="N118" s="42">
        <v>21402</v>
      </c>
      <c r="O118" s="17">
        <f t="shared" si="8"/>
        <v>64206</v>
      </c>
      <c r="P118" s="132">
        <v>10975</v>
      </c>
      <c r="Q118" s="45" t="s">
        <v>439</v>
      </c>
      <c r="R118" s="128">
        <f t="shared" si="7"/>
        <v>13200.84345</v>
      </c>
      <c r="S118" s="28">
        <v>0.74725799999999998</v>
      </c>
      <c r="T118" s="5" t="s">
        <v>14</v>
      </c>
    </row>
    <row r="119" spans="1:55" s="38" customFormat="1" ht="15.75" customHeight="1" x14ac:dyDescent="0.2">
      <c r="A119" s="27">
        <v>3</v>
      </c>
      <c r="B119" s="38" t="s">
        <v>68</v>
      </c>
      <c r="C119" s="38" t="s">
        <v>131</v>
      </c>
      <c r="D119" s="40" t="s">
        <v>316</v>
      </c>
      <c r="E119" s="24" t="s">
        <v>17</v>
      </c>
      <c r="F119" s="23" t="s">
        <v>300</v>
      </c>
      <c r="G119" s="39">
        <v>9500</v>
      </c>
      <c r="H119" s="24" t="s">
        <v>339</v>
      </c>
      <c r="I119" s="34" t="s">
        <v>292</v>
      </c>
      <c r="J119" s="40" t="s">
        <v>293</v>
      </c>
      <c r="K119" s="24" t="s">
        <v>333</v>
      </c>
      <c r="L119" s="41" t="s">
        <v>315</v>
      </c>
      <c r="M119" s="137" t="s">
        <v>180</v>
      </c>
      <c r="N119" s="42">
        <v>24317.5</v>
      </c>
      <c r="O119" s="17">
        <f t="shared" si="8"/>
        <v>72952.5</v>
      </c>
      <c r="P119" s="132">
        <v>13200</v>
      </c>
      <c r="Q119" s="45" t="s">
        <v>439</v>
      </c>
      <c r="R119" s="128">
        <f t="shared" si="7"/>
        <v>14453.6944</v>
      </c>
      <c r="S119" s="28">
        <v>0.74725799999999998</v>
      </c>
      <c r="T119" s="5" t="s">
        <v>14</v>
      </c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</row>
    <row r="120" spans="1:55" s="38" customFormat="1" ht="15.75" customHeight="1" x14ac:dyDescent="0.2">
      <c r="A120" s="27">
        <v>3</v>
      </c>
      <c r="B120" s="38" t="s">
        <v>290</v>
      </c>
      <c r="C120" s="38" t="s">
        <v>131</v>
      </c>
      <c r="D120" s="35" t="s">
        <v>289</v>
      </c>
      <c r="E120" s="23" t="s">
        <v>179</v>
      </c>
      <c r="F120" s="24" t="s">
        <v>211</v>
      </c>
      <c r="G120" s="39">
        <v>10000</v>
      </c>
      <c r="H120" s="24" t="s">
        <v>222</v>
      </c>
      <c r="I120" s="40" t="s">
        <v>184</v>
      </c>
      <c r="J120" s="40" t="s">
        <v>214</v>
      </c>
      <c r="K120" s="24" t="s">
        <v>414</v>
      </c>
      <c r="L120" s="41" t="s">
        <v>215</v>
      </c>
      <c r="M120" s="137" t="s">
        <v>180</v>
      </c>
      <c r="N120" s="42">
        <v>21982</v>
      </c>
      <c r="O120" s="17">
        <f t="shared" si="8"/>
        <v>65946</v>
      </c>
      <c r="P120" s="132">
        <v>10975</v>
      </c>
      <c r="Q120" s="45" t="s">
        <v>439</v>
      </c>
      <c r="R120" s="128">
        <f t="shared" si="7"/>
        <v>13780.84345</v>
      </c>
      <c r="S120" s="28">
        <v>0.74725799999999998</v>
      </c>
      <c r="T120" s="5" t="s">
        <v>14</v>
      </c>
      <c r="Y120" s="43"/>
      <c r="Z120" s="43"/>
      <c r="AA120" s="43"/>
    </row>
    <row r="121" spans="1:55" s="38" customFormat="1" ht="15.75" customHeight="1" x14ac:dyDescent="0.2">
      <c r="A121" s="27">
        <v>1</v>
      </c>
      <c r="B121" s="38" t="s">
        <v>69</v>
      </c>
      <c r="C121" s="38" t="s">
        <v>133</v>
      </c>
      <c r="D121" s="130" t="s">
        <v>287</v>
      </c>
      <c r="E121" s="23" t="s">
        <v>179</v>
      </c>
      <c r="F121" s="24" t="s">
        <v>211</v>
      </c>
      <c r="G121" s="39">
        <v>10000</v>
      </c>
      <c r="H121" s="24" t="s">
        <v>224</v>
      </c>
      <c r="I121" s="40" t="s">
        <v>191</v>
      </c>
      <c r="J121" s="40" t="s">
        <v>217</v>
      </c>
      <c r="K121" s="24" t="s">
        <v>212</v>
      </c>
      <c r="L121" s="41" t="s">
        <v>215</v>
      </c>
      <c r="M121" s="137" t="s">
        <v>180</v>
      </c>
      <c r="N121" s="42">
        <v>26914</v>
      </c>
      <c r="O121" s="17">
        <f t="shared" si="8"/>
        <v>26914</v>
      </c>
      <c r="P121" s="132">
        <v>15800</v>
      </c>
      <c r="Q121" s="45" t="s">
        <v>439</v>
      </c>
      <c r="R121" s="128">
        <f t="shared" si="7"/>
        <v>15107.3236</v>
      </c>
      <c r="S121" s="28">
        <v>0.74725799999999998</v>
      </c>
      <c r="T121" s="5" t="s">
        <v>14</v>
      </c>
    </row>
    <row r="122" spans="1:55" s="38" customFormat="1" ht="15.75" customHeight="1" x14ac:dyDescent="0.2">
      <c r="A122" s="27">
        <v>1</v>
      </c>
      <c r="B122" s="38" t="s">
        <v>69</v>
      </c>
      <c r="C122" s="38" t="s">
        <v>133</v>
      </c>
      <c r="D122" s="35" t="s">
        <v>289</v>
      </c>
      <c r="E122" s="23" t="s">
        <v>179</v>
      </c>
      <c r="F122" s="24" t="s">
        <v>211</v>
      </c>
      <c r="G122" s="39">
        <v>10000</v>
      </c>
      <c r="H122" s="24" t="s">
        <v>224</v>
      </c>
      <c r="I122" s="40" t="s">
        <v>191</v>
      </c>
      <c r="J122" s="40" t="s">
        <v>217</v>
      </c>
      <c r="K122" s="24" t="s">
        <v>414</v>
      </c>
      <c r="L122" s="41" t="s">
        <v>215</v>
      </c>
      <c r="M122" s="137" t="s">
        <v>180</v>
      </c>
      <c r="N122" s="42">
        <v>27247</v>
      </c>
      <c r="O122" s="17">
        <f t="shared" si="8"/>
        <v>27247</v>
      </c>
      <c r="P122" s="132">
        <v>15800</v>
      </c>
      <c r="Q122" s="45" t="s">
        <v>439</v>
      </c>
      <c r="R122" s="128">
        <f t="shared" ref="R122:R153" si="9">N122-(P122*AO$310)</f>
        <v>15440.3236</v>
      </c>
      <c r="S122" s="28">
        <v>0.74725799999999998</v>
      </c>
      <c r="T122" s="5" t="s">
        <v>14</v>
      </c>
    </row>
    <row r="123" spans="1:55" s="38" customFormat="1" ht="15.75" customHeight="1" x14ac:dyDescent="0.2">
      <c r="A123" s="27">
        <v>1</v>
      </c>
      <c r="B123" s="38" t="s">
        <v>69</v>
      </c>
      <c r="C123" s="38" t="s">
        <v>133</v>
      </c>
      <c r="D123" s="40" t="s">
        <v>316</v>
      </c>
      <c r="E123" s="24" t="s">
        <v>17</v>
      </c>
      <c r="F123" s="23" t="s">
        <v>300</v>
      </c>
      <c r="G123" s="39">
        <v>9500</v>
      </c>
      <c r="H123" s="24" t="s">
        <v>340</v>
      </c>
      <c r="I123" s="34" t="s">
        <v>292</v>
      </c>
      <c r="J123" s="40" t="s">
        <v>293</v>
      </c>
      <c r="K123" s="24" t="s">
        <v>333</v>
      </c>
      <c r="L123" s="41" t="s">
        <v>315</v>
      </c>
      <c r="M123" s="137" t="s">
        <v>180</v>
      </c>
      <c r="N123" s="42">
        <v>27080</v>
      </c>
      <c r="O123" s="17">
        <f t="shared" si="8"/>
        <v>27080</v>
      </c>
      <c r="P123" s="132">
        <v>15550</v>
      </c>
      <c r="Q123" s="45" t="s">
        <v>439</v>
      </c>
      <c r="R123" s="128">
        <f t="shared" si="9"/>
        <v>15460.1381</v>
      </c>
      <c r="S123" s="28">
        <v>0.74725799999999998</v>
      </c>
      <c r="T123" s="5" t="s">
        <v>14</v>
      </c>
    </row>
    <row r="124" spans="1:55" s="38" customFormat="1" ht="15.75" customHeight="1" x14ac:dyDescent="0.2">
      <c r="A124" s="27">
        <v>1</v>
      </c>
      <c r="B124" s="38" t="s">
        <v>69</v>
      </c>
      <c r="C124" s="38" t="s">
        <v>133</v>
      </c>
      <c r="D124" s="40" t="s">
        <v>288</v>
      </c>
      <c r="E124" s="28" t="s">
        <v>143</v>
      </c>
      <c r="F124" s="24" t="s">
        <v>247</v>
      </c>
      <c r="G124" s="39">
        <v>8800</v>
      </c>
      <c r="H124" s="24" t="s">
        <v>260</v>
      </c>
      <c r="I124" s="40" t="s">
        <v>241</v>
      </c>
      <c r="J124" s="40" t="s">
        <v>250</v>
      </c>
      <c r="K124" s="24" t="s">
        <v>248</v>
      </c>
      <c r="L124" s="41" t="s">
        <v>160</v>
      </c>
      <c r="M124" s="137" t="s">
        <v>180</v>
      </c>
      <c r="N124" s="42">
        <v>26863.5</v>
      </c>
      <c r="O124" s="17">
        <f t="shared" si="8"/>
        <v>26863.5</v>
      </c>
      <c r="P124" s="132">
        <v>14775</v>
      </c>
      <c r="Q124" s="45" t="s">
        <v>439</v>
      </c>
      <c r="R124" s="128">
        <f t="shared" si="9"/>
        <v>15822.76305</v>
      </c>
      <c r="S124" s="28">
        <v>0.74725799999999998</v>
      </c>
      <c r="T124" s="5" t="s">
        <v>14</v>
      </c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</row>
    <row r="125" spans="1:55" s="38" customFormat="1" ht="15.75" customHeight="1" x14ac:dyDescent="0.2">
      <c r="A125" s="27">
        <v>1</v>
      </c>
      <c r="B125" s="38" t="s">
        <v>70</v>
      </c>
      <c r="C125" s="38" t="s">
        <v>134</v>
      </c>
      <c r="D125" s="40" t="s">
        <v>316</v>
      </c>
      <c r="E125" s="24" t="s">
        <v>17</v>
      </c>
      <c r="F125" s="23" t="s">
        <v>300</v>
      </c>
      <c r="G125" s="39">
        <v>9500</v>
      </c>
      <c r="H125" s="24" t="s">
        <v>340</v>
      </c>
      <c r="I125" s="34" t="s">
        <v>292</v>
      </c>
      <c r="J125" s="40" t="s">
        <v>293</v>
      </c>
      <c r="K125" s="24" t="s">
        <v>333</v>
      </c>
      <c r="L125" s="41" t="s">
        <v>315</v>
      </c>
      <c r="M125" s="137" t="s">
        <v>180</v>
      </c>
      <c r="N125" s="42">
        <v>27078</v>
      </c>
      <c r="O125" s="17">
        <f t="shared" ref="O125:O156" si="10">A125*N125</f>
        <v>27078</v>
      </c>
      <c r="P125" s="132">
        <v>15550</v>
      </c>
      <c r="Q125" s="45" t="s">
        <v>439</v>
      </c>
      <c r="R125" s="128">
        <f t="shared" si="9"/>
        <v>15458.1381</v>
      </c>
      <c r="S125" s="28">
        <v>0.74725799999999998</v>
      </c>
      <c r="T125" s="5" t="s">
        <v>14</v>
      </c>
    </row>
    <row r="126" spans="1:55" s="38" customFormat="1" ht="15.75" customHeight="1" x14ac:dyDescent="0.2">
      <c r="A126" s="27">
        <v>1</v>
      </c>
      <c r="B126" s="38" t="s">
        <v>70</v>
      </c>
      <c r="C126" s="38" t="s">
        <v>134</v>
      </c>
      <c r="D126" s="130" t="s">
        <v>287</v>
      </c>
      <c r="E126" s="23" t="s">
        <v>179</v>
      </c>
      <c r="F126" s="24" t="s">
        <v>211</v>
      </c>
      <c r="G126" s="39">
        <v>10000</v>
      </c>
      <c r="H126" s="24" t="s">
        <v>224</v>
      </c>
      <c r="I126" s="40" t="s">
        <v>191</v>
      </c>
      <c r="J126" s="40" t="s">
        <v>217</v>
      </c>
      <c r="K126" s="24" t="s">
        <v>212</v>
      </c>
      <c r="L126" s="41" t="s">
        <v>215</v>
      </c>
      <c r="M126" s="137" t="s">
        <v>180</v>
      </c>
      <c r="N126" s="42">
        <v>28690</v>
      </c>
      <c r="O126" s="17">
        <f t="shared" si="10"/>
        <v>28690</v>
      </c>
      <c r="P126" s="132">
        <v>15800</v>
      </c>
      <c r="Q126" s="45" t="s">
        <v>439</v>
      </c>
      <c r="R126" s="128">
        <f t="shared" si="9"/>
        <v>16883.3236</v>
      </c>
      <c r="S126" s="28">
        <v>0.74725799999999998</v>
      </c>
      <c r="T126" s="5" t="s">
        <v>14</v>
      </c>
    </row>
    <row r="127" spans="1:55" s="38" customFormat="1" ht="15.75" customHeight="1" x14ac:dyDescent="0.2">
      <c r="A127" s="27">
        <v>1</v>
      </c>
      <c r="B127" s="38" t="s">
        <v>70</v>
      </c>
      <c r="C127" s="38" t="s">
        <v>134</v>
      </c>
      <c r="D127" s="40" t="s">
        <v>288</v>
      </c>
      <c r="E127" s="28" t="s">
        <v>143</v>
      </c>
      <c r="F127" s="24" t="s">
        <v>247</v>
      </c>
      <c r="G127" s="39">
        <v>8800</v>
      </c>
      <c r="H127" s="24" t="s">
        <v>260</v>
      </c>
      <c r="I127" s="40" t="s">
        <v>241</v>
      </c>
      <c r="J127" s="40" t="s">
        <v>250</v>
      </c>
      <c r="K127" s="24" t="s">
        <v>248</v>
      </c>
      <c r="L127" s="41" t="s">
        <v>160</v>
      </c>
      <c r="M127" s="137" t="s">
        <v>180</v>
      </c>
      <c r="N127" s="42">
        <v>28023.5</v>
      </c>
      <c r="O127" s="17">
        <f t="shared" si="10"/>
        <v>28023.5</v>
      </c>
      <c r="P127" s="132">
        <v>14775</v>
      </c>
      <c r="Q127" s="45" t="s">
        <v>439</v>
      </c>
      <c r="R127" s="128">
        <f t="shared" si="9"/>
        <v>16982.763050000001</v>
      </c>
      <c r="S127" s="28">
        <v>0.74725799999999998</v>
      </c>
      <c r="T127" s="5" t="s">
        <v>14</v>
      </c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</row>
    <row r="128" spans="1:55" ht="15.75" customHeight="1" x14ac:dyDescent="0.2">
      <c r="A128" s="27">
        <v>1</v>
      </c>
      <c r="B128" s="38" t="s">
        <v>70</v>
      </c>
      <c r="C128" s="38" t="s">
        <v>134</v>
      </c>
      <c r="D128" s="35" t="s">
        <v>289</v>
      </c>
      <c r="E128" s="23" t="s">
        <v>179</v>
      </c>
      <c r="F128" s="24" t="s">
        <v>211</v>
      </c>
      <c r="G128" s="39">
        <v>10000</v>
      </c>
      <c r="H128" s="24" t="s">
        <v>224</v>
      </c>
      <c r="I128" s="40" t="s">
        <v>191</v>
      </c>
      <c r="J128" s="40" t="s">
        <v>217</v>
      </c>
      <c r="K128" s="24" t="s">
        <v>414</v>
      </c>
      <c r="L128" s="41" t="s">
        <v>215</v>
      </c>
      <c r="M128" s="137" t="s">
        <v>180</v>
      </c>
      <c r="N128" s="42">
        <v>29824</v>
      </c>
      <c r="O128" s="17">
        <f t="shared" si="10"/>
        <v>29824</v>
      </c>
      <c r="P128" s="132">
        <v>15800</v>
      </c>
      <c r="Q128" s="45" t="s">
        <v>439</v>
      </c>
      <c r="R128" s="128">
        <f t="shared" si="9"/>
        <v>18017.3236</v>
      </c>
      <c r="S128" s="28">
        <v>0.74725799999999998</v>
      </c>
      <c r="T128" s="5" t="s">
        <v>14</v>
      </c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</row>
    <row r="129" spans="1:55" s="28" customFormat="1" ht="15.75" customHeight="1" x14ac:dyDescent="0.2">
      <c r="A129" s="27">
        <v>2</v>
      </c>
      <c r="B129" s="38" t="s">
        <v>71</v>
      </c>
      <c r="C129" s="38" t="s">
        <v>133</v>
      </c>
      <c r="D129" s="40" t="s">
        <v>316</v>
      </c>
      <c r="E129" s="24" t="s">
        <v>17</v>
      </c>
      <c r="F129" s="23" t="s">
        <v>300</v>
      </c>
      <c r="G129" s="39">
        <v>9500</v>
      </c>
      <c r="H129" s="24" t="s">
        <v>340</v>
      </c>
      <c r="I129" s="34" t="s">
        <v>292</v>
      </c>
      <c r="J129" s="40" t="s">
        <v>293</v>
      </c>
      <c r="K129" s="24" t="s">
        <v>333</v>
      </c>
      <c r="L129" s="41" t="s">
        <v>315</v>
      </c>
      <c r="M129" s="137" t="s">
        <v>180</v>
      </c>
      <c r="N129" s="42">
        <v>27420</v>
      </c>
      <c r="O129" s="17">
        <f t="shared" si="10"/>
        <v>54840</v>
      </c>
      <c r="P129" s="132">
        <v>15550</v>
      </c>
      <c r="Q129" s="45" t="s">
        <v>439</v>
      </c>
      <c r="R129" s="128">
        <f t="shared" si="9"/>
        <v>15800.1381</v>
      </c>
      <c r="S129" s="28">
        <v>0.74725799999999998</v>
      </c>
      <c r="T129" s="5" t="s">
        <v>14</v>
      </c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</row>
    <row r="130" spans="1:55" s="14" customFormat="1" ht="15.75" customHeight="1" x14ac:dyDescent="0.2">
      <c r="A130" s="27">
        <v>2</v>
      </c>
      <c r="B130" s="38" t="s">
        <v>71</v>
      </c>
      <c r="C130" s="38" t="s">
        <v>133</v>
      </c>
      <c r="D130" s="35" t="s">
        <v>289</v>
      </c>
      <c r="E130" s="23" t="s">
        <v>179</v>
      </c>
      <c r="F130" s="24" t="s">
        <v>211</v>
      </c>
      <c r="G130" s="39">
        <v>10000</v>
      </c>
      <c r="H130" s="24" t="s">
        <v>224</v>
      </c>
      <c r="I130" s="40" t="s">
        <v>191</v>
      </c>
      <c r="J130" s="40" t="s">
        <v>217</v>
      </c>
      <c r="K130" s="24" t="s">
        <v>414</v>
      </c>
      <c r="L130" s="41" t="s">
        <v>215</v>
      </c>
      <c r="M130" s="137" t="s">
        <v>180</v>
      </c>
      <c r="N130" s="42">
        <v>27705</v>
      </c>
      <c r="O130" s="17">
        <f t="shared" si="10"/>
        <v>55410</v>
      </c>
      <c r="P130" s="132">
        <v>15800</v>
      </c>
      <c r="Q130" s="45" t="s">
        <v>439</v>
      </c>
      <c r="R130" s="128">
        <f t="shared" si="9"/>
        <v>15898.3236</v>
      </c>
      <c r="S130" s="28">
        <v>0.74725799999999998</v>
      </c>
      <c r="T130" s="5" t="s">
        <v>14</v>
      </c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</row>
    <row r="131" spans="1:55" s="28" customFormat="1" ht="15.75" customHeight="1" x14ac:dyDescent="0.2">
      <c r="A131" s="27">
        <v>2</v>
      </c>
      <c r="B131" s="38" t="s">
        <v>71</v>
      </c>
      <c r="C131" s="38" t="s">
        <v>133</v>
      </c>
      <c r="D131" s="40" t="s">
        <v>288</v>
      </c>
      <c r="E131" s="28" t="s">
        <v>143</v>
      </c>
      <c r="F131" s="24" t="s">
        <v>247</v>
      </c>
      <c r="G131" s="39">
        <v>8800</v>
      </c>
      <c r="H131" s="24" t="s">
        <v>260</v>
      </c>
      <c r="I131" s="40" t="s">
        <v>241</v>
      </c>
      <c r="J131" s="40" t="s">
        <v>250</v>
      </c>
      <c r="K131" s="24" t="s">
        <v>248</v>
      </c>
      <c r="L131" s="41" t="s">
        <v>160</v>
      </c>
      <c r="M131" s="137" t="s">
        <v>180</v>
      </c>
      <c r="N131" s="42">
        <v>27500</v>
      </c>
      <c r="O131" s="17">
        <f t="shared" si="10"/>
        <v>55000</v>
      </c>
      <c r="P131" s="132">
        <v>14775</v>
      </c>
      <c r="Q131" s="45" t="s">
        <v>439</v>
      </c>
      <c r="R131" s="128">
        <f t="shared" si="9"/>
        <v>16459.263050000001</v>
      </c>
      <c r="S131" s="28">
        <v>0.74725799999999998</v>
      </c>
      <c r="T131" s="5" t="s">
        <v>14</v>
      </c>
      <c r="U131" s="38"/>
      <c r="V131" s="38"/>
      <c r="W131" s="38"/>
      <c r="X131" s="38"/>
      <c r="Y131" s="38"/>
      <c r="Z131" s="38"/>
      <c r="AA131" s="38"/>
    </row>
    <row r="132" spans="1:55" s="28" customFormat="1" ht="15.75" customHeight="1" x14ac:dyDescent="0.2">
      <c r="A132" s="27">
        <v>2</v>
      </c>
      <c r="B132" s="38" t="s">
        <v>71</v>
      </c>
      <c r="C132" s="38" t="s">
        <v>133</v>
      </c>
      <c r="D132" s="130" t="s">
        <v>287</v>
      </c>
      <c r="E132" s="23" t="s">
        <v>179</v>
      </c>
      <c r="F132" s="24" t="s">
        <v>211</v>
      </c>
      <c r="G132" s="39">
        <v>10000</v>
      </c>
      <c r="H132" s="24" t="s">
        <v>224</v>
      </c>
      <c r="I132" s="40" t="s">
        <v>191</v>
      </c>
      <c r="J132" s="40" t="s">
        <v>217</v>
      </c>
      <c r="K132" s="24" t="s">
        <v>212</v>
      </c>
      <c r="L132" s="41" t="s">
        <v>215</v>
      </c>
      <c r="M132" s="137" t="s">
        <v>180</v>
      </c>
      <c r="N132" s="42">
        <v>28416</v>
      </c>
      <c r="O132" s="17">
        <f t="shared" si="10"/>
        <v>56832</v>
      </c>
      <c r="P132" s="132">
        <v>15800</v>
      </c>
      <c r="Q132" s="45" t="s">
        <v>439</v>
      </c>
      <c r="R132" s="128">
        <f t="shared" si="9"/>
        <v>16609.3236</v>
      </c>
      <c r="S132" s="28">
        <v>0.74725799999999998</v>
      </c>
      <c r="T132" s="5" t="s">
        <v>14</v>
      </c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</row>
    <row r="133" spans="1:55" s="28" customFormat="1" ht="15.75" customHeight="1" x14ac:dyDescent="0.2">
      <c r="A133" s="27">
        <v>1</v>
      </c>
      <c r="B133" s="38" t="s">
        <v>72</v>
      </c>
      <c r="C133" s="38" t="s">
        <v>135</v>
      </c>
      <c r="D133" s="40" t="s">
        <v>316</v>
      </c>
      <c r="E133" s="24" t="s">
        <v>17</v>
      </c>
      <c r="F133" s="23" t="s">
        <v>300</v>
      </c>
      <c r="G133" s="39">
        <v>9500</v>
      </c>
      <c r="H133" s="24" t="s">
        <v>341</v>
      </c>
      <c r="I133" s="34" t="s">
        <v>292</v>
      </c>
      <c r="J133" s="40" t="s">
        <v>293</v>
      </c>
      <c r="K133" s="24" t="s">
        <v>333</v>
      </c>
      <c r="L133" s="41" t="s">
        <v>315</v>
      </c>
      <c r="M133" s="137" t="s">
        <v>180</v>
      </c>
      <c r="N133" s="42">
        <v>27170</v>
      </c>
      <c r="O133" s="17">
        <f t="shared" si="10"/>
        <v>27170</v>
      </c>
      <c r="P133" s="132">
        <v>18150</v>
      </c>
      <c r="Q133" s="45" t="s">
        <v>439</v>
      </c>
      <c r="R133" s="128">
        <f t="shared" si="9"/>
        <v>13607.2673</v>
      </c>
      <c r="S133" s="28">
        <v>0.74725799999999998</v>
      </c>
      <c r="T133" s="5" t="s">
        <v>14</v>
      </c>
      <c r="U133" s="38"/>
      <c r="V133" s="38"/>
      <c r="W133" s="38"/>
      <c r="X133" s="38"/>
      <c r="Y133" s="14"/>
      <c r="Z133" s="14"/>
      <c r="AA133" s="14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</row>
    <row r="134" spans="1:55" s="28" customFormat="1" ht="15.75" customHeight="1" x14ac:dyDescent="0.2">
      <c r="A134" s="27">
        <v>1</v>
      </c>
      <c r="B134" s="38" t="s">
        <v>72</v>
      </c>
      <c r="C134" s="38" t="s">
        <v>135</v>
      </c>
      <c r="D134" s="40" t="s">
        <v>288</v>
      </c>
      <c r="E134" s="28" t="s">
        <v>143</v>
      </c>
      <c r="F134" s="24" t="s">
        <v>247</v>
      </c>
      <c r="G134" s="39">
        <v>8800</v>
      </c>
      <c r="H134" s="24" t="s">
        <v>261</v>
      </c>
      <c r="I134" s="40" t="s">
        <v>241</v>
      </c>
      <c r="J134" s="40" t="s">
        <v>250</v>
      </c>
      <c r="K134" s="24" t="s">
        <v>248</v>
      </c>
      <c r="L134" s="41" t="s">
        <v>160</v>
      </c>
      <c r="M134" s="137" t="s">
        <v>180</v>
      </c>
      <c r="N134" s="42">
        <v>26917.5</v>
      </c>
      <c r="O134" s="17">
        <f t="shared" si="10"/>
        <v>26917.5</v>
      </c>
      <c r="P134" s="132">
        <v>17700</v>
      </c>
      <c r="Q134" s="45" t="s">
        <v>439</v>
      </c>
      <c r="R134" s="128">
        <f t="shared" si="9"/>
        <v>13691.0334</v>
      </c>
      <c r="S134" s="28">
        <v>0.74725799999999998</v>
      </c>
      <c r="T134" s="5" t="s">
        <v>14</v>
      </c>
      <c r="U134" s="38"/>
      <c r="V134" s="38"/>
      <c r="W134" s="38"/>
      <c r="X134" s="38"/>
      <c r="Y134" s="43"/>
      <c r="Z134" s="43"/>
      <c r="AA134" s="43"/>
    </row>
    <row r="135" spans="1:55" s="28" customFormat="1" ht="15.75" customHeight="1" x14ac:dyDescent="0.2">
      <c r="A135" s="27">
        <v>1</v>
      </c>
      <c r="B135" s="38" t="s">
        <v>72</v>
      </c>
      <c r="C135" s="38" t="s">
        <v>135</v>
      </c>
      <c r="D135" s="130" t="s">
        <v>287</v>
      </c>
      <c r="E135" s="23" t="s">
        <v>179</v>
      </c>
      <c r="F135" s="24" t="s">
        <v>211</v>
      </c>
      <c r="G135" s="39">
        <v>10000</v>
      </c>
      <c r="H135" s="24" t="s">
        <v>224</v>
      </c>
      <c r="I135" s="40" t="s">
        <v>191</v>
      </c>
      <c r="J135" s="40" t="s">
        <v>217</v>
      </c>
      <c r="K135" s="24" t="s">
        <v>212</v>
      </c>
      <c r="L135" s="41" t="s">
        <v>215</v>
      </c>
      <c r="M135" s="137" t="s">
        <v>180</v>
      </c>
      <c r="N135" s="42">
        <v>27020</v>
      </c>
      <c r="O135" s="17">
        <f t="shared" si="10"/>
        <v>27020</v>
      </c>
      <c r="P135" s="132">
        <v>15800</v>
      </c>
      <c r="Q135" s="45" t="s">
        <v>439</v>
      </c>
      <c r="R135" s="128">
        <f t="shared" si="9"/>
        <v>15213.3236</v>
      </c>
      <c r="S135" s="28">
        <v>0.74725799999999998</v>
      </c>
      <c r="T135" s="5" t="s">
        <v>14</v>
      </c>
      <c r="U135" s="38"/>
      <c r="V135" s="38"/>
      <c r="W135" s="38"/>
      <c r="X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</row>
    <row r="136" spans="1:55" s="28" customFormat="1" ht="15.75" customHeight="1" x14ac:dyDescent="0.2">
      <c r="A136" s="27">
        <v>1</v>
      </c>
      <c r="B136" s="38" t="s">
        <v>72</v>
      </c>
      <c r="C136" s="38" t="s">
        <v>135</v>
      </c>
      <c r="D136" s="35" t="s">
        <v>289</v>
      </c>
      <c r="E136" s="23" t="s">
        <v>179</v>
      </c>
      <c r="F136" s="24" t="s">
        <v>211</v>
      </c>
      <c r="G136" s="39">
        <v>10000</v>
      </c>
      <c r="H136" s="24" t="s">
        <v>224</v>
      </c>
      <c r="I136" s="40" t="s">
        <v>191</v>
      </c>
      <c r="J136" s="40" t="s">
        <v>217</v>
      </c>
      <c r="K136" s="24" t="s">
        <v>414</v>
      </c>
      <c r="L136" s="41" t="s">
        <v>215</v>
      </c>
      <c r="M136" s="137" t="s">
        <v>180</v>
      </c>
      <c r="N136" s="42">
        <v>27207</v>
      </c>
      <c r="O136" s="17">
        <f t="shared" si="10"/>
        <v>27207</v>
      </c>
      <c r="P136" s="132">
        <v>15800</v>
      </c>
      <c r="Q136" s="45" t="s">
        <v>439</v>
      </c>
      <c r="R136" s="128">
        <f t="shared" si="9"/>
        <v>15400.3236</v>
      </c>
      <c r="S136" s="28">
        <v>0.74725799999999998</v>
      </c>
      <c r="T136" s="5" t="s">
        <v>14</v>
      </c>
      <c r="U136" s="38"/>
      <c r="V136" s="38"/>
      <c r="W136" s="38"/>
      <c r="X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</row>
    <row r="137" spans="1:55" s="28" customFormat="1" ht="15.75" customHeight="1" x14ac:dyDescent="0.2">
      <c r="A137" s="27">
        <v>1</v>
      </c>
      <c r="B137" s="38" t="s">
        <v>73</v>
      </c>
      <c r="C137" s="38" t="s">
        <v>135</v>
      </c>
      <c r="D137" s="40" t="s">
        <v>316</v>
      </c>
      <c r="E137" s="24" t="s">
        <v>17</v>
      </c>
      <c r="F137" s="23" t="s">
        <v>300</v>
      </c>
      <c r="G137" s="39">
        <v>9500</v>
      </c>
      <c r="H137" s="24" t="s">
        <v>341</v>
      </c>
      <c r="I137" s="34" t="s">
        <v>292</v>
      </c>
      <c r="J137" s="40" t="s">
        <v>293</v>
      </c>
      <c r="K137" s="24" t="s">
        <v>333</v>
      </c>
      <c r="L137" s="41" t="s">
        <v>315</v>
      </c>
      <c r="M137" s="137" t="s">
        <v>180</v>
      </c>
      <c r="N137" s="42">
        <v>27388</v>
      </c>
      <c r="O137" s="17">
        <f t="shared" si="10"/>
        <v>27388</v>
      </c>
      <c r="P137" s="132">
        <v>18150</v>
      </c>
      <c r="Q137" s="45" t="s">
        <v>439</v>
      </c>
      <c r="R137" s="128">
        <f t="shared" si="9"/>
        <v>13825.2673</v>
      </c>
      <c r="S137" s="28">
        <v>0.74725799999999998</v>
      </c>
      <c r="T137" s="5" t="s">
        <v>14</v>
      </c>
      <c r="U137" s="38"/>
      <c r="V137" s="38"/>
      <c r="W137" s="38"/>
      <c r="X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</row>
    <row r="138" spans="1:55" s="28" customFormat="1" ht="15.75" customHeight="1" x14ac:dyDescent="0.2">
      <c r="A138" s="27">
        <v>1</v>
      </c>
      <c r="B138" s="38" t="s">
        <v>73</v>
      </c>
      <c r="C138" s="38" t="s">
        <v>135</v>
      </c>
      <c r="D138" s="40" t="s">
        <v>288</v>
      </c>
      <c r="E138" s="28" t="s">
        <v>143</v>
      </c>
      <c r="F138" s="24" t="s">
        <v>247</v>
      </c>
      <c r="G138" s="39">
        <v>8800</v>
      </c>
      <c r="H138" s="24" t="s">
        <v>261</v>
      </c>
      <c r="I138" s="40" t="s">
        <v>241</v>
      </c>
      <c r="J138" s="40" t="s">
        <v>250</v>
      </c>
      <c r="K138" s="24" t="s">
        <v>248</v>
      </c>
      <c r="L138" s="41" t="s">
        <v>160</v>
      </c>
      <c r="M138" s="137" t="s">
        <v>180</v>
      </c>
      <c r="N138" s="42">
        <v>28115.5</v>
      </c>
      <c r="O138" s="17">
        <f t="shared" si="10"/>
        <v>28115.5</v>
      </c>
      <c r="P138" s="132">
        <v>17700</v>
      </c>
      <c r="Q138" s="45" t="s">
        <v>439</v>
      </c>
      <c r="R138" s="128">
        <f t="shared" si="9"/>
        <v>14889.0334</v>
      </c>
      <c r="S138" s="28">
        <v>0.74725799999999998</v>
      </c>
      <c r="T138" s="5" t="s">
        <v>14</v>
      </c>
      <c r="U138" s="38"/>
      <c r="V138" s="38"/>
      <c r="W138" s="38"/>
      <c r="X138" s="38"/>
    </row>
    <row r="139" spans="1:55" s="28" customFormat="1" ht="15.75" customHeight="1" x14ac:dyDescent="0.2">
      <c r="A139" s="27">
        <v>1</v>
      </c>
      <c r="B139" s="38" t="s">
        <v>73</v>
      </c>
      <c r="C139" s="38" t="s">
        <v>135</v>
      </c>
      <c r="D139" s="130" t="s">
        <v>287</v>
      </c>
      <c r="E139" s="23" t="s">
        <v>179</v>
      </c>
      <c r="F139" s="24" t="s">
        <v>211</v>
      </c>
      <c r="G139" s="39">
        <v>10000</v>
      </c>
      <c r="H139" s="24" t="s">
        <v>224</v>
      </c>
      <c r="I139" s="40" t="s">
        <v>191</v>
      </c>
      <c r="J139" s="40" t="s">
        <v>217</v>
      </c>
      <c r="K139" s="24" t="s">
        <v>212</v>
      </c>
      <c r="L139" s="41" t="s">
        <v>215</v>
      </c>
      <c r="M139" s="137" t="s">
        <v>180</v>
      </c>
      <c r="N139" s="42">
        <v>28864</v>
      </c>
      <c r="O139" s="17">
        <f t="shared" si="10"/>
        <v>28864</v>
      </c>
      <c r="P139" s="132">
        <v>15800</v>
      </c>
      <c r="Q139" s="45" t="s">
        <v>439</v>
      </c>
      <c r="R139" s="128">
        <f t="shared" si="9"/>
        <v>17057.3236</v>
      </c>
      <c r="S139" s="28">
        <v>0.74725799999999998</v>
      </c>
      <c r="T139" s="5" t="s">
        <v>14</v>
      </c>
      <c r="U139" s="38"/>
      <c r="V139" s="38"/>
      <c r="W139" s="38"/>
      <c r="X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</row>
    <row r="140" spans="1:55" s="28" customFormat="1" ht="15.75" customHeight="1" x14ac:dyDescent="0.2">
      <c r="A140" s="27">
        <v>1</v>
      </c>
      <c r="B140" s="38" t="s">
        <v>73</v>
      </c>
      <c r="C140" s="38" t="s">
        <v>135</v>
      </c>
      <c r="D140" s="35" t="s">
        <v>289</v>
      </c>
      <c r="E140" s="23" t="s">
        <v>179</v>
      </c>
      <c r="F140" s="24" t="s">
        <v>211</v>
      </c>
      <c r="G140" s="39">
        <v>10000</v>
      </c>
      <c r="H140" s="24" t="s">
        <v>224</v>
      </c>
      <c r="I140" s="40" t="s">
        <v>191</v>
      </c>
      <c r="J140" s="40" t="s">
        <v>217</v>
      </c>
      <c r="K140" s="24" t="s">
        <v>414</v>
      </c>
      <c r="L140" s="41" t="s">
        <v>215</v>
      </c>
      <c r="M140" s="137" t="s">
        <v>180</v>
      </c>
      <c r="N140" s="42">
        <v>29867</v>
      </c>
      <c r="O140" s="17">
        <f t="shared" si="10"/>
        <v>29867</v>
      </c>
      <c r="P140" s="132">
        <v>15800</v>
      </c>
      <c r="Q140" s="45" t="s">
        <v>439</v>
      </c>
      <c r="R140" s="128">
        <f t="shared" si="9"/>
        <v>18060.3236</v>
      </c>
      <c r="S140" s="28">
        <v>0.74725799999999998</v>
      </c>
      <c r="T140" s="5" t="s">
        <v>14</v>
      </c>
      <c r="U140" s="38"/>
      <c r="V140" s="38"/>
      <c r="W140" s="38"/>
      <c r="X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</row>
    <row r="141" spans="1:55" s="28" customFormat="1" ht="15.75" customHeight="1" x14ac:dyDescent="0.2">
      <c r="A141" s="27">
        <v>1</v>
      </c>
      <c r="B141" s="38" t="s">
        <v>74</v>
      </c>
      <c r="C141" s="38" t="s">
        <v>135</v>
      </c>
      <c r="D141" s="40" t="s">
        <v>316</v>
      </c>
      <c r="E141" s="24" t="s">
        <v>17</v>
      </c>
      <c r="F141" s="23" t="s">
        <v>300</v>
      </c>
      <c r="G141" s="39">
        <v>9500</v>
      </c>
      <c r="H141" s="24" t="s">
        <v>341</v>
      </c>
      <c r="I141" s="34" t="s">
        <v>292</v>
      </c>
      <c r="J141" s="40" t="s">
        <v>293</v>
      </c>
      <c r="K141" s="24" t="s">
        <v>333</v>
      </c>
      <c r="L141" s="41" t="s">
        <v>315</v>
      </c>
      <c r="M141" s="137" t="s">
        <v>180</v>
      </c>
      <c r="N141" s="42">
        <v>26847.5</v>
      </c>
      <c r="O141" s="17">
        <f t="shared" si="10"/>
        <v>26847.5</v>
      </c>
      <c r="P141" s="132">
        <v>18150</v>
      </c>
      <c r="Q141" s="45" t="s">
        <v>439</v>
      </c>
      <c r="R141" s="128">
        <f t="shared" si="9"/>
        <v>13284.7673</v>
      </c>
      <c r="S141" s="28">
        <v>0.74725799999999998</v>
      </c>
      <c r="T141" s="5" t="s">
        <v>14</v>
      </c>
      <c r="U141" s="38"/>
      <c r="V141" s="38"/>
      <c r="W141" s="38"/>
      <c r="X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</row>
    <row r="142" spans="1:55" s="28" customFormat="1" ht="15.75" customHeight="1" x14ac:dyDescent="0.2">
      <c r="A142" s="27">
        <v>1</v>
      </c>
      <c r="B142" s="38" t="s">
        <v>74</v>
      </c>
      <c r="C142" s="38" t="s">
        <v>135</v>
      </c>
      <c r="D142" s="40" t="s">
        <v>288</v>
      </c>
      <c r="E142" s="28" t="s">
        <v>143</v>
      </c>
      <c r="F142" s="24" t="s">
        <v>247</v>
      </c>
      <c r="G142" s="39">
        <v>8800</v>
      </c>
      <c r="H142" s="24" t="s">
        <v>261</v>
      </c>
      <c r="I142" s="40" t="s">
        <v>241</v>
      </c>
      <c r="J142" s="40" t="s">
        <v>250</v>
      </c>
      <c r="K142" s="24" t="s">
        <v>248</v>
      </c>
      <c r="L142" s="41" t="s">
        <v>160</v>
      </c>
      <c r="M142" s="137" t="s">
        <v>180</v>
      </c>
      <c r="N142" s="42">
        <v>26709.5</v>
      </c>
      <c r="O142" s="17">
        <f t="shared" si="10"/>
        <v>26709.5</v>
      </c>
      <c r="P142" s="132">
        <v>17700</v>
      </c>
      <c r="Q142" s="45" t="s">
        <v>439</v>
      </c>
      <c r="R142" s="128">
        <f t="shared" si="9"/>
        <v>13483.0334</v>
      </c>
      <c r="S142" s="28">
        <v>0.74725799999999998</v>
      </c>
      <c r="T142" s="5" t="s">
        <v>14</v>
      </c>
      <c r="U142" s="38"/>
      <c r="V142" s="38"/>
      <c r="W142" s="38"/>
      <c r="X142" s="38"/>
    </row>
    <row r="143" spans="1:55" s="28" customFormat="1" ht="15.75" customHeight="1" x14ac:dyDescent="0.2">
      <c r="A143" s="27">
        <v>1</v>
      </c>
      <c r="B143" s="38" t="s">
        <v>74</v>
      </c>
      <c r="C143" s="38" t="s">
        <v>135</v>
      </c>
      <c r="D143" s="130" t="s">
        <v>287</v>
      </c>
      <c r="E143" s="23" t="s">
        <v>179</v>
      </c>
      <c r="F143" s="24" t="s">
        <v>211</v>
      </c>
      <c r="G143" s="39">
        <v>10000</v>
      </c>
      <c r="H143" s="24" t="s">
        <v>224</v>
      </c>
      <c r="I143" s="40" t="s">
        <v>184</v>
      </c>
      <c r="J143" s="40" t="s">
        <v>214</v>
      </c>
      <c r="K143" s="24" t="s">
        <v>212</v>
      </c>
      <c r="L143" s="41" t="s">
        <v>215</v>
      </c>
      <c r="M143" s="137" t="s">
        <v>180</v>
      </c>
      <c r="N143" s="42">
        <v>23490</v>
      </c>
      <c r="O143" s="17">
        <f t="shared" si="10"/>
        <v>23490</v>
      </c>
      <c r="P143" s="132">
        <v>13075</v>
      </c>
      <c r="Q143" s="45" t="s">
        <v>439</v>
      </c>
      <c r="R143" s="128">
        <f t="shared" si="9"/>
        <v>13719.601650000001</v>
      </c>
      <c r="S143" s="28">
        <v>0.74725799999999998</v>
      </c>
      <c r="T143" s="5" t="s">
        <v>14</v>
      </c>
      <c r="U143" s="38"/>
      <c r="V143" s="38"/>
      <c r="W143" s="38"/>
      <c r="X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</row>
    <row r="144" spans="1:55" s="28" customFormat="1" ht="15.75" customHeight="1" x14ac:dyDescent="0.2">
      <c r="A144" s="27">
        <v>1</v>
      </c>
      <c r="B144" s="38" t="s">
        <v>74</v>
      </c>
      <c r="C144" s="38" t="s">
        <v>135</v>
      </c>
      <c r="D144" s="35" t="s">
        <v>289</v>
      </c>
      <c r="E144" s="23" t="s">
        <v>179</v>
      </c>
      <c r="F144" s="24" t="s">
        <v>211</v>
      </c>
      <c r="G144" s="39">
        <v>10000</v>
      </c>
      <c r="H144" s="24" t="s">
        <v>224</v>
      </c>
      <c r="I144" s="40" t="s">
        <v>191</v>
      </c>
      <c r="J144" s="40" t="s">
        <v>217</v>
      </c>
      <c r="K144" s="24" t="s">
        <v>414</v>
      </c>
      <c r="L144" s="41" t="s">
        <v>215</v>
      </c>
      <c r="M144" s="137" t="s">
        <v>180</v>
      </c>
      <c r="N144" s="42">
        <v>26153</v>
      </c>
      <c r="O144" s="17">
        <f t="shared" si="10"/>
        <v>26153</v>
      </c>
      <c r="P144" s="132">
        <v>15800</v>
      </c>
      <c r="Q144" s="45" t="s">
        <v>439</v>
      </c>
      <c r="R144" s="128">
        <f t="shared" si="9"/>
        <v>14346.3236</v>
      </c>
      <c r="S144" s="28">
        <v>0.74725799999999998</v>
      </c>
      <c r="T144" s="5" t="s">
        <v>14</v>
      </c>
      <c r="U144" s="38"/>
      <c r="V144" s="38"/>
      <c r="W144" s="38"/>
      <c r="X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</row>
    <row r="145" spans="1:55" s="28" customFormat="1" ht="15.75" customHeight="1" x14ac:dyDescent="0.2">
      <c r="A145" s="27">
        <v>6</v>
      </c>
      <c r="B145" s="38" t="s">
        <v>75</v>
      </c>
      <c r="C145" s="38" t="s">
        <v>101</v>
      </c>
      <c r="D145" s="130" t="s">
        <v>287</v>
      </c>
      <c r="E145" s="23" t="s">
        <v>179</v>
      </c>
      <c r="F145" s="24" t="s">
        <v>211</v>
      </c>
      <c r="G145" s="39">
        <v>10000</v>
      </c>
      <c r="H145" s="24" t="s">
        <v>225</v>
      </c>
      <c r="I145" s="40" t="s">
        <v>191</v>
      </c>
      <c r="J145" s="40" t="s">
        <v>217</v>
      </c>
      <c r="K145" s="24" t="s">
        <v>416</v>
      </c>
      <c r="L145" s="41" t="s">
        <v>223</v>
      </c>
      <c r="M145" s="137" t="s">
        <v>180</v>
      </c>
      <c r="N145" s="42">
        <v>33919</v>
      </c>
      <c r="O145" s="17">
        <f t="shared" si="10"/>
        <v>203514</v>
      </c>
      <c r="P145" s="132">
        <f>17775+4625</f>
        <v>22400</v>
      </c>
      <c r="Q145" s="45" t="s">
        <v>439</v>
      </c>
      <c r="R145" s="128">
        <f t="shared" si="9"/>
        <v>17180.4208</v>
      </c>
      <c r="S145" s="28">
        <v>0.74725799999999998</v>
      </c>
      <c r="T145" s="5" t="s">
        <v>14</v>
      </c>
      <c r="U145" s="38"/>
      <c r="V145" s="38"/>
      <c r="W145" s="38"/>
      <c r="X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</row>
    <row r="146" spans="1:55" s="28" customFormat="1" ht="15.75" customHeight="1" x14ac:dyDescent="0.2">
      <c r="A146" s="27">
        <v>6</v>
      </c>
      <c r="B146" s="38" t="s">
        <v>75</v>
      </c>
      <c r="C146" s="38" t="s">
        <v>101</v>
      </c>
      <c r="D146" s="40" t="s">
        <v>316</v>
      </c>
      <c r="E146" s="24" t="s">
        <v>17</v>
      </c>
      <c r="F146" s="23" t="s">
        <v>300</v>
      </c>
      <c r="G146" s="39">
        <v>9500</v>
      </c>
      <c r="H146" s="24" t="s">
        <v>342</v>
      </c>
      <c r="I146" s="34" t="s">
        <v>292</v>
      </c>
      <c r="J146" s="40" t="s">
        <v>293</v>
      </c>
      <c r="K146" s="24" t="s">
        <v>420</v>
      </c>
      <c r="L146" s="41" t="s">
        <v>328</v>
      </c>
      <c r="M146" s="137" t="s">
        <v>180</v>
      </c>
      <c r="N146" s="42">
        <v>35345</v>
      </c>
      <c r="O146" s="17">
        <f t="shared" si="10"/>
        <v>212070</v>
      </c>
      <c r="P146" s="132">
        <f>17650+4625</f>
        <v>22275</v>
      </c>
      <c r="Q146" s="45" t="s">
        <v>439</v>
      </c>
      <c r="R146" s="128">
        <f t="shared" si="9"/>
        <v>18699.82805</v>
      </c>
      <c r="S146" s="28">
        <v>0.74725799999999998</v>
      </c>
      <c r="T146" s="5" t="s">
        <v>14</v>
      </c>
      <c r="U146" s="38"/>
      <c r="V146" s="38"/>
      <c r="W146" s="38"/>
      <c r="X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</row>
    <row r="147" spans="1:55" s="28" customFormat="1" ht="15.75" customHeight="1" x14ac:dyDescent="0.2">
      <c r="A147" s="27">
        <v>6</v>
      </c>
      <c r="B147" s="38" t="s">
        <v>75</v>
      </c>
      <c r="C147" s="38" t="s">
        <v>101</v>
      </c>
      <c r="D147" s="40" t="s">
        <v>142</v>
      </c>
      <c r="E147" s="28" t="s">
        <v>143</v>
      </c>
      <c r="F147" s="24" t="s">
        <v>163</v>
      </c>
      <c r="G147" s="39">
        <v>8800</v>
      </c>
      <c r="H147" s="24" t="s">
        <v>165</v>
      </c>
      <c r="I147" s="40" t="s">
        <v>146</v>
      </c>
      <c r="J147" s="40" t="s">
        <v>166</v>
      </c>
      <c r="K147" s="24" t="s">
        <v>164</v>
      </c>
      <c r="L147" s="41" t="s">
        <v>167</v>
      </c>
      <c r="M147" s="39" t="s">
        <v>442</v>
      </c>
      <c r="N147" s="42">
        <v>35807</v>
      </c>
      <c r="O147" s="17">
        <f t="shared" si="10"/>
        <v>214842</v>
      </c>
      <c r="P147" s="132">
        <f>14775+4625</f>
        <v>19400</v>
      </c>
      <c r="Q147" s="45" t="s">
        <v>439</v>
      </c>
      <c r="R147" s="128">
        <f t="shared" si="9"/>
        <v>21310.194800000001</v>
      </c>
      <c r="S147" s="28">
        <v>0.74725799999999998</v>
      </c>
      <c r="T147" s="5" t="s">
        <v>14</v>
      </c>
      <c r="U147" s="38"/>
      <c r="V147" s="38"/>
      <c r="W147" s="38"/>
      <c r="X147" s="38"/>
    </row>
    <row r="148" spans="1:55" s="28" customFormat="1" ht="15.75" customHeight="1" x14ac:dyDescent="0.2">
      <c r="A148" s="27">
        <v>6</v>
      </c>
      <c r="B148" s="38" t="s">
        <v>75</v>
      </c>
      <c r="C148" s="38" t="s">
        <v>101</v>
      </c>
      <c r="D148" s="35" t="s">
        <v>289</v>
      </c>
      <c r="E148" s="23" t="s">
        <v>179</v>
      </c>
      <c r="F148" s="24" t="s">
        <v>211</v>
      </c>
      <c r="G148" s="39">
        <v>10000</v>
      </c>
      <c r="H148" s="24" t="s">
        <v>216</v>
      </c>
      <c r="I148" s="40" t="s">
        <v>191</v>
      </c>
      <c r="J148" s="40" t="s">
        <v>217</v>
      </c>
      <c r="K148" s="24" t="s">
        <v>416</v>
      </c>
      <c r="L148" s="41" t="s">
        <v>223</v>
      </c>
      <c r="M148" s="137" t="s">
        <v>180</v>
      </c>
      <c r="N148" s="42">
        <v>35199</v>
      </c>
      <c r="O148" s="17">
        <f t="shared" si="10"/>
        <v>211194</v>
      </c>
      <c r="P148" s="132">
        <f>13425+4625</f>
        <v>18050</v>
      </c>
      <c r="Q148" s="45" t="s">
        <v>439</v>
      </c>
      <c r="R148" s="128">
        <f t="shared" si="9"/>
        <v>21710.9931</v>
      </c>
      <c r="S148" s="28">
        <v>0.74725799999999998</v>
      </c>
      <c r="T148" s="5" t="s">
        <v>14</v>
      </c>
      <c r="U148" s="38"/>
      <c r="V148" s="38"/>
      <c r="W148" s="38"/>
      <c r="X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</row>
    <row r="149" spans="1:55" s="28" customFormat="1" ht="15.75" customHeight="1" x14ac:dyDescent="0.2">
      <c r="A149" s="27">
        <v>6</v>
      </c>
      <c r="B149" s="38" t="s">
        <v>75</v>
      </c>
      <c r="C149" s="38" t="s">
        <v>101</v>
      </c>
      <c r="D149" s="40" t="s">
        <v>288</v>
      </c>
      <c r="E149" s="28" t="s">
        <v>143</v>
      </c>
      <c r="F149" s="24" t="s">
        <v>247</v>
      </c>
      <c r="G149" s="39">
        <v>8800</v>
      </c>
      <c r="H149" s="24" t="s">
        <v>260</v>
      </c>
      <c r="I149" s="40" t="s">
        <v>241</v>
      </c>
      <c r="J149" s="40" t="s">
        <v>255</v>
      </c>
      <c r="K149" s="24" t="s">
        <v>253</v>
      </c>
      <c r="L149" s="41" t="s">
        <v>167</v>
      </c>
      <c r="M149" s="137" t="s">
        <v>180</v>
      </c>
      <c r="N149" s="42">
        <v>35573</v>
      </c>
      <c r="O149" s="17">
        <f t="shared" si="10"/>
        <v>213438</v>
      </c>
      <c r="P149" s="132">
        <v>14775</v>
      </c>
      <c r="Q149" s="45" t="s">
        <v>439</v>
      </c>
      <c r="R149" s="128">
        <f t="shared" si="9"/>
        <v>24532.263050000001</v>
      </c>
      <c r="S149" s="28">
        <v>0.74725799999999998</v>
      </c>
      <c r="T149" s="5" t="s">
        <v>14</v>
      </c>
      <c r="U149" s="38"/>
      <c r="V149" s="38"/>
      <c r="W149" s="38"/>
      <c r="X149" s="38"/>
    </row>
    <row r="150" spans="1:55" s="28" customFormat="1" ht="15.75" customHeight="1" x14ac:dyDescent="0.2">
      <c r="A150" s="27">
        <v>1</v>
      </c>
      <c r="B150" s="38" t="s">
        <v>76</v>
      </c>
      <c r="C150" s="38" t="s">
        <v>103</v>
      </c>
      <c r="D150" s="40" t="s">
        <v>142</v>
      </c>
      <c r="E150" s="28" t="s">
        <v>143</v>
      </c>
      <c r="F150" s="24" t="s">
        <v>163</v>
      </c>
      <c r="G150" s="39">
        <v>8800</v>
      </c>
      <c r="H150" s="24" t="s">
        <v>168</v>
      </c>
      <c r="I150" s="40" t="s">
        <v>146</v>
      </c>
      <c r="J150" s="40" t="s">
        <v>159</v>
      </c>
      <c r="K150" s="24" t="s">
        <v>248</v>
      </c>
      <c r="L150" s="41" t="s">
        <v>160</v>
      </c>
      <c r="M150" s="39" t="s">
        <v>442</v>
      </c>
      <c r="N150" s="42">
        <v>26068</v>
      </c>
      <c r="O150" s="17">
        <f t="shared" si="10"/>
        <v>26068</v>
      </c>
      <c r="P150" s="132">
        <v>14825</v>
      </c>
      <c r="Q150" s="45" t="s">
        <v>439</v>
      </c>
      <c r="R150" s="128">
        <f t="shared" si="9"/>
        <v>14989.900149999999</v>
      </c>
      <c r="S150" s="28">
        <v>0.74725799999999998</v>
      </c>
      <c r="T150" s="5" t="s">
        <v>14</v>
      </c>
      <c r="U150" s="38"/>
      <c r="V150" s="38"/>
      <c r="W150" s="38"/>
      <c r="X150" s="38"/>
    </row>
    <row r="151" spans="1:55" s="28" customFormat="1" ht="15.75" customHeight="1" x14ac:dyDescent="0.2">
      <c r="A151" s="27">
        <v>1</v>
      </c>
      <c r="B151" s="38" t="s">
        <v>76</v>
      </c>
      <c r="C151" s="38" t="s">
        <v>103</v>
      </c>
      <c r="D151" s="130" t="s">
        <v>287</v>
      </c>
      <c r="E151" s="23" t="s">
        <v>179</v>
      </c>
      <c r="F151" s="24" t="s">
        <v>211</v>
      </c>
      <c r="G151" s="39">
        <v>10000</v>
      </c>
      <c r="H151" s="24" t="s">
        <v>226</v>
      </c>
      <c r="I151" s="40" t="s">
        <v>184</v>
      </c>
      <c r="J151" s="40" t="s">
        <v>214</v>
      </c>
      <c r="K151" s="24" t="s">
        <v>212</v>
      </c>
      <c r="L151" s="41" t="s">
        <v>215</v>
      </c>
      <c r="M151" s="137" t="s">
        <v>180</v>
      </c>
      <c r="N151" s="42">
        <v>25061</v>
      </c>
      <c r="O151" s="17">
        <f t="shared" si="10"/>
        <v>25061</v>
      </c>
      <c r="P151" s="132">
        <v>11975</v>
      </c>
      <c r="Q151" s="45" t="s">
        <v>439</v>
      </c>
      <c r="R151" s="128">
        <f t="shared" si="9"/>
        <v>16112.58545</v>
      </c>
      <c r="S151" s="28">
        <v>0.74725799999999998</v>
      </c>
      <c r="T151" s="5" t="s">
        <v>14</v>
      </c>
      <c r="U151" s="38"/>
      <c r="V151" s="38"/>
      <c r="W151" s="38"/>
      <c r="X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</row>
    <row r="152" spans="1:55" s="28" customFormat="1" ht="15.75" customHeight="1" x14ac:dyDescent="0.2">
      <c r="A152" s="27">
        <v>1</v>
      </c>
      <c r="B152" s="38" t="s">
        <v>76</v>
      </c>
      <c r="C152" s="38" t="s">
        <v>103</v>
      </c>
      <c r="D152" s="40" t="s">
        <v>316</v>
      </c>
      <c r="E152" s="24" t="s">
        <v>17</v>
      </c>
      <c r="F152" s="23" t="s">
        <v>300</v>
      </c>
      <c r="G152" s="39">
        <v>9500</v>
      </c>
      <c r="H152" s="24" t="s">
        <v>343</v>
      </c>
      <c r="I152" s="34" t="s">
        <v>292</v>
      </c>
      <c r="J152" s="40" t="s">
        <v>293</v>
      </c>
      <c r="K152" s="24" t="s">
        <v>333</v>
      </c>
      <c r="L152" s="41" t="s">
        <v>328</v>
      </c>
      <c r="M152" s="137" t="s">
        <v>180</v>
      </c>
      <c r="N152" s="42">
        <v>28033.5</v>
      </c>
      <c r="O152" s="17">
        <f t="shared" si="10"/>
        <v>28033.5</v>
      </c>
      <c r="P152" s="132">
        <v>15200</v>
      </c>
      <c r="Q152" s="45" t="s">
        <v>439</v>
      </c>
      <c r="R152" s="128">
        <f t="shared" si="9"/>
        <v>16675.178400000001</v>
      </c>
      <c r="S152" s="28">
        <v>0.74725799999999998</v>
      </c>
      <c r="T152" s="5" t="s">
        <v>14</v>
      </c>
      <c r="U152" s="38"/>
      <c r="V152" s="38"/>
      <c r="W152" s="38"/>
      <c r="X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</row>
    <row r="153" spans="1:55" s="28" customFormat="1" ht="15.75" customHeight="1" x14ac:dyDescent="0.2">
      <c r="A153" s="27">
        <v>4</v>
      </c>
      <c r="B153" s="38" t="s">
        <v>77</v>
      </c>
      <c r="C153" s="38" t="s">
        <v>102</v>
      </c>
      <c r="D153" s="35" t="s">
        <v>289</v>
      </c>
      <c r="E153" s="23" t="s">
        <v>179</v>
      </c>
      <c r="F153" s="24" t="s">
        <v>211</v>
      </c>
      <c r="G153" s="39">
        <v>10000</v>
      </c>
      <c r="H153" s="24" t="s">
        <v>225</v>
      </c>
      <c r="I153" s="40" t="s">
        <v>191</v>
      </c>
      <c r="J153" s="40" t="s">
        <v>217</v>
      </c>
      <c r="K153" s="24" t="s">
        <v>414</v>
      </c>
      <c r="L153" s="41" t="s">
        <v>215</v>
      </c>
      <c r="M153" s="137" t="s">
        <v>180</v>
      </c>
      <c r="N153" s="42">
        <v>25668</v>
      </c>
      <c r="O153" s="17">
        <f t="shared" si="10"/>
        <v>102672</v>
      </c>
      <c r="P153" s="132">
        <v>17775</v>
      </c>
      <c r="Q153" s="45" t="s">
        <v>439</v>
      </c>
      <c r="R153" s="128">
        <f t="shared" si="9"/>
        <v>12385.48905</v>
      </c>
      <c r="S153" s="28">
        <v>0.74725799999999998</v>
      </c>
      <c r="T153" s="5" t="s">
        <v>14</v>
      </c>
      <c r="U153" s="38"/>
      <c r="V153" s="38"/>
      <c r="W153" s="38"/>
      <c r="X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</row>
    <row r="154" spans="1:55" s="28" customFormat="1" ht="15.75" customHeight="1" x14ac:dyDescent="0.2">
      <c r="A154" s="27">
        <v>4</v>
      </c>
      <c r="B154" s="38" t="s">
        <v>77</v>
      </c>
      <c r="C154" s="38" t="s">
        <v>102</v>
      </c>
      <c r="D154" s="40" t="s">
        <v>142</v>
      </c>
      <c r="E154" s="28" t="s">
        <v>143</v>
      </c>
      <c r="F154" s="24" t="s">
        <v>163</v>
      </c>
      <c r="G154" s="39">
        <v>8800</v>
      </c>
      <c r="H154" s="24" t="s">
        <v>168</v>
      </c>
      <c r="I154" s="40" t="s">
        <v>146</v>
      </c>
      <c r="J154" s="40" t="s">
        <v>159</v>
      </c>
      <c r="K154" s="24" t="s">
        <v>248</v>
      </c>
      <c r="L154" s="41" t="s">
        <v>160</v>
      </c>
      <c r="M154" s="39" t="s">
        <v>442</v>
      </c>
      <c r="N154" s="42">
        <v>23503</v>
      </c>
      <c r="O154" s="17">
        <f t="shared" si="10"/>
        <v>94012</v>
      </c>
      <c r="P154" s="132">
        <v>14825</v>
      </c>
      <c r="Q154" s="45" t="s">
        <v>439</v>
      </c>
      <c r="R154" s="128">
        <f t="shared" ref="R154:R174" si="11">N154-(P154*AO$310)</f>
        <v>12424.900149999999</v>
      </c>
      <c r="S154" s="28">
        <v>0.74725799999999998</v>
      </c>
      <c r="T154" s="5" t="s">
        <v>14</v>
      </c>
      <c r="U154" s="38"/>
      <c r="V154" s="38"/>
      <c r="W154" s="38"/>
      <c r="X154" s="38"/>
    </row>
    <row r="155" spans="1:55" s="28" customFormat="1" ht="15.75" customHeight="1" x14ac:dyDescent="0.2">
      <c r="A155" s="27">
        <v>4</v>
      </c>
      <c r="B155" s="38" t="s">
        <v>77</v>
      </c>
      <c r="C155" s="38" t="s">
        <v>102</v>
      </c>
      <c r="D155" s="130" t="s">
        <v>287</v>
      </c>
      <c r="E155" s="23" t="s">
        <v>179</v>
      </c>
      <c r="F155" s="24" t="s">
        <v>211</v>
      </c>
      <c r="G155" s="39">
        <v>10000</v>
      </c>
      <c r="H155" s="24" t="s">
        <v>226</v>
      </c>
      <c r="I155" s="40" t="s">
        <v>184</v>
      </c>
      <c r="J155" s="40" t="s">
        <v>214</v>
      </c>
      <c r="K155" s="24" t="s">
        <v>212</v>
      </c>
      <c r="L155" s="41" t="s">
        <v>215</v>
      </c>
      <c r="M155" s="137" t="s">
        <v>180</v>
      </c>
      <c r="N155" s="42">
        <v>22737</v>
      </c>
      <c r="O155" s="17">
        <f t="shared" si="10"/>
        <v>90948</v>
      </c>
      <c r="P155" s="132">
        <v>11975</v>
      </c>
      <c r="Q155" s="45" t="s">
        <v>439</v>
      </c>
      <c r="R155" s="128">
        <f t="shared" si="11"/>
        <v>13788.58545</v>
      </c>
      <c r="S155" s="28">
        <v>0.74725799999999998</v>
      </c>
      <c r="T155" s="5" t="s">
        <v>14</v>
      </c>
      <c r="U155" s="38"/>
      <c r="V155" s="38"/>
      <c r="W155" s="38"/>
      <c r="X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</row>
    <row r="156" spans="1:55" s="28" customFormat="1" ht="15.75" customHeight="1" x14ac:dyDescent="0.2">
      <c r="A156" s="27">
        <v>4</v>
      </c>
      <c r="B156" s="38" t="s">
        <v>77</v>
      </c>
      <c r="C156" s="38" t="s">
        <v>102</v>
      </c>
      <c r="D156" s="40" t="s">
        <v>316</v>
      </c>
      <c r="E156" s="24" t="s">
        <v>17</v>
      </c>
      <c r="F156" s="23" t="s">
        <v>300</v>
      </c>
      <c r="G156" s="39">
        <v>9500</v>
      </c>
      <c r="H156" s="24" t="s">
        <v>343</v>
      </c>
      <c r="I156" s="34" t="s">
        <v>292</v>
      </c>
      <c r="J156" s="40" t="s">
        <v>293</v>
      </c>
      <c r="K156" s="24" t="s">
        <v>333</v>
      </c>
      <c r="L156" s="41" t="s">
        <v>328</v>
      </c>
      <c r="M156" s="137" t="s">
        <v>180</v>
      </c>
      <c r="N156" s="42">
        <v>26152.5</v>
      </c>
      <c r="O156" s="17">
        <f t="shared" si="10"/>
        <v>104610</v>
      </c>
      <c r="P156" s="132">
        <v>15200</v>
      </c>
      <c r="Q156" s="45" t="s">
        <v>439</v>
      </c>
      <c r="R156" s="128">
        <f t="shared" si="11"/>
        <v>14794.178400000001</v>
      </c>
      <c r="S156" s="28">
        <v>0.74725799999999998</v>
      </c>
      <c r="T156" s="5" t="s">
        <v>14</v>
      </c>
      <c r="U156" s="38"/>
      <c r="V156" s="38"/>
      <c r="W156" s="38"/>
      <c r="X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</row>
    <row r="157" spans="1:55" s="28" customFormat="1" ht="15.75" customHeight="1" x14ac:dyDescent="0.2">
      <c r="A157" s="27">
        <v>1</v>
      </c>
      <c r="B157" s="38" t="s">
        <v>78</v>
      </c>
      <c r="C157" s="38" t="s">
        <v>104</v>
      </c>
      <c r="D157" s="40" t="s">
        <v>288</v>
      </c>
      <c r="E157" s="28" t="s">
        <v>143</v>
      </c>
      <c r="F157" s="24" t="s">
        <v>247</v>
      </c>
      <c r="G157" s="39">
        <v>9600</v>
      </c>
      <c r="H157" s="24" t="s">
        <v>261</v>
      </c>
      <c r="I157" s="40" t="s">
        <v>241</v>
      </c>
      <c r="J157" s="40" t="s">
        <v>250</v>
      </c>
      <c r="K157" s="24" t="s">
        <v>248</v>
      </c>
      <c r="L157" s="41" t="s">
        <v>160</v>
      </c>
      <c r="M157" s="137" t="s">
        <v>180</v>
      </c>
      <c r="N157" s="42">
        <v>26752.5</v>
      </c>
      <c r="O157" s="17">
        <f t="shared" ref="O157:O188" si="12">A157*N157</f>
        <v>26752.5</v>
      </c>
      <c r="P157" s="132">
        <v>17700</v>
      </c>
      <c r="Q157" s="45" t="s">
        <v>439</v>
      </c>
      <c r="R157" s="128">
        <f t="shared" si="11"/>
        <v>13526.0334</v>
      </c>
      <c r="S157" s="28">
        <v>0.74725799999999998</v>
      </c>
      <c r="T157" s="5" t="s">
        <v>14</v>
      </c>
      <c r="U157" s="38"/>
      <c r="V157" s="38"/>
      <c r="W157" s="38"/>
      <c r="X157" s="38"/>
    </row>
    <row r="158" spans="1:55" s="28" customFormat="1" ht="15.75" customHeight="1" x14ac:dyDescent="0.2">
      <c r="A158" s="27">
        <v>1</v>
      </c>
      <c r="B158" s="38" t="s">
        <v>78</v>
      </c>
      <c r="C158" s="38" t="s">
        <v>104</v>
      </c>
      <c r="D158" s="40" t="s">
        <v>316</v>
      </c>
      <c r="E158" s="24" t="s">
        <v>17</v>
      </c>
      <c r="F158" s="23" t="s">
        <v>300</v>
      </c>
      <c r="G158" s="39">
        <v>9900</v>
      </c>
      <c r="H158" s="24" t="s">
        <v>344</v>
      </c>
      <c r="I158" s="34" t="s">
        <v>292</v>
      </c>
      <c r="J158" s="40" t="s">
        <v>293</v>
      </c>
      <c r="K158" s="24" t="s">
        <v>333</v>
      </c>
      <c r="L158" s="41" t="s">
        <v>328</v>
      </c>
      <c r="M158" s="137" t="s">
        <v>180</v>
      </c>
      <c r="N158" s="42">
        <v>28962.5</v>
      </c>
      <c r="O158" s="17">
        <f t="shared" si="12"/>
        <v>28962.5</v>
      </c>
      <c r="P158" s="132">
        <v>19850</v>
      </c>
      <c r="Q158" s="45" t="s">
        <v>439</v>
      </c>
      <c r="R158" s="128">
        <f t="shared" si="11"/>
        <v>14129.4287</v>
      </c>
      <c r="S158" s="28">
        <v>0.74725799999999998</v>
      </c>
      <c r="T158" s="5" t="s">
        <v>14</v>
      </c>
      <c r="U158" s="38"/>
      <c r="V158" s="38"/>
      <c r="W158" s="38"/>
      <c r="X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</row>
    <row r="159" spans="1:55" s="28" customFormat="1" ht="15.75" customHeight="1" x14ac:dyDescent="0.2">
      <c r="A159" s="27">
        <v>1</v>
      </c>
      <c r="B159" s="38" t="s">
        <v>78</v>
      </c>
      <c r="C159" s="38" t="s">
        <v>104</v>
      </c>
      <c r="D159" s="130" t="s">
        <v>287</v>
      </c>
      <c r="E159" s="23" t="s">
        <v>179</v>
      </c>
      <c r="F159" s="24" t="s">
        <v>211</v>
      </c>
      <c r="G159" s="39">
        <v>10000</v>
      </c>
      <c r="H159" s="24" t="s">
        <v>225</v>
      </c>
      <c r="I159" s="40" t="s">
        <v>184</v>
      </c>
      <c r="J159" s="40" t="s">
        <v>214</v>
      </c>
      <c r="K159" s="24" t="s">
        <v>212</v>
      </c>
      <c r="L159" s="41" t="s">
        <v>215</v>
      </c>
      <c r="M159" s="137" t="s">
        <v>180</v>
      </c>
      <c r="N159" s="42">
        <v>25497</v>
      </c>
      <c r="O159" s="17">
        <f t="shared" si="12"/>
        <v>25497</v>
      </c>
      <c r="P159" s="132">
        <v>14375</v>
      </c>
      <c r="Q159" s="45" t="s">
        <v>439</v>
      </c>
      <c r="R159" s="128">
        <f t="shared" si="11"/>
        <v>14755.16625</v>
      </c>
      <c r="S159" s="28">
        <v>0.74725799999999998</v>
      </c>
      <c r="T159" s="5" t="s">
        <v>14</v>
      </c>
      <c r="U159" s="38"/>
      <c r="V159" s="38"/>
      <c r="W159" s="38"/>
      <c r="X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</row>
    <row r="160" spans="1:55" s="28" customFormat="1" ht="15.75" customHeight="1" x14ac:dyDescent="0.2">
      <c r="A160" s="27">
        <v>1</v>
      </c>
      <c r="B160" s="38" t="s">
        <v>78</v>
      </c>
      <c r="C160" s="38" t="s">
        <v>104</v>
      </c>
      <c r="D160" s="40" t="s">
        <v>142</v>
      </c>
      <c r="E160" s="28" t="s">
        <v>143</v>
      </c>
      <c r="F160" s="24" t="s">
        <v>163</v>
      </c>
      <c r="G160" s="39">
        <v>8800</v>
      </c>
      <c r="H160" s="24" t="s">
        <v>168</v>
      </c>
      <c r="I160" s="40" t="s">
        <v>146</v>
      </c>
      <c r="J160" s="40" t="s">
        <v>159</v>
      </c>
      <c r="K160" s="24" t="s">
        <v>248</v>
      </c>
      <c r="L160" s="41" t="s">
        <v>160</v>
      </c>
      <c r="M160" s="39" t="s">
        <v>442</v>
      </c>
      <c r="N160" s="42">
        <v>25915</v>
      </c>
      <c r="O160" s="17">
        <f t="shared" si="12"/>
        <v>25915</v>
      </c>
      <c r="P160" s="132">
        <v>14825</v>
      </c>
      <c r="Q160" s="45" t="s">
        <v>439</v>
      </c>
      <c r="R160" s="128">
        <f t="shared" si="11"/>
        <v>14836.900149999999</v>
      </c>
      <c r="S160" s="28">
        <v>0.74725799999999998</v>
      </c>
      <c r="T160" s="5" t="s">
        <v>14</v>
      </c>
      <c r="U160" s="38"/>
      <c r="V160" s="38"/>
      <c r="W160" s="38"/>
      <c r="X160" s="38"/>
    </row>
    <row r="161" spans="1:55" s="28" customFormat="1" ht="15.75" customHeight="1" x14ac:dyDescent="0.2">
      <c r="A161" s="27">
        <v>1</v>
      </c>
      <c r="B161" s="38" t="s">
        <v>79</v>
      </c>
      <c r="C161" s="38" t="s">
        <v>105</v>
      </c>
      <c r="D161" s="40" t="s">
        <v>288</v>
      </c>
      <c r="E161" s="28" t="s">
        <v>143</v>
      </c>
      <c r="F161" s="24" t="s">
        <v>247</v>
      </c>
      <c r="G161" s="39">
        <v>9600</v>
      </c>
      <c r="H161" s="24" t="s">
        <v>261</v>
      </c>
      <c r="I161" s="40" t="s">
        <v>241</v>
      </c>
      <c r="J161" s="40" t="s">
        <v>250</v>
      </c>
      <c r="K161" s="24" t="s">
        <v>248</v>
      </c>
      <c r="L161" s="41" t="s">
        <v>160</v>
      </c>
      <c r="M161" s="137" t="s">
        <v>180</v>
      </c>
      <c r="N161" s="42">
        <v>26438.5</v>
      </c>
      <c r="O161" s="17">
        <f t="shared" si="12"/>
        <v>26438.5</v>
      </c>
      <c r="P161" s="132">
        <v>17700</v>
      </c>
      <c r="Q161" s="45" t="s">
        <v>439</v>
      </c>
      <c r="R161" s="128">
        <f t="shared" si="11"/>
        <v>13212.0334</v>
      </c>
      <c r="S161" s="28">
        <v>0.74725799999999998</v>
      </c>
      <c r="T161" s="5" t="s">
        <v>14</v>
      </c>
      <c r="U161" s="38"/>
      <c r="V161" s="38"/>
      <c r="W161" s="38"/>
      <c r="X161" s="38"/>
    </row>
    <row r="162" spans="1:55" s="28" customFormat="1" ht="15.75" customHeight="1" x14ac:dyDescent="0.2">
      <c r="A162" s="27">
        <v>1</v>
      </c>
      <c r="B162" s="38" t="s">
        <v>79</v>
      </c>
      <c r="C162" s="38" t="s">
        <v>105</v>
      </c>
      <c r="D162" s="40" t="s">
        <v>316</v>
      </c>
      <c r="E162" s="24" t="s">
        <v>17</v>
      </c>
      <c r="F162" s="23" t="s">
        <v>300</v>
      </c>
      <c r="G162" s="39">
        <v>9900</v>
      </c>
      <c r="H162" s="24" t="s">
        <v>344</v>
      </c>
      <c r="I162" s="34" t="s">
        <v>292</v>
      </c>
      <c r="J162" s="40" t="s">
        <v>293</v>
      </c>
      <c r="K162" s="24" t="s">
        <v>333</v>
      </c>
      <c r="L162" s="41" t="s">
        <v>328</v>
      </c>
      <c r="M162" s="137" t="s">
        <v>180</v>
      </c>
      <c r="N162" s="42">
        <v>28368.5</v>
      </c>
      <c r="O162" s="17">
        <f t="shared" si="12"/>
        <v>28368.5</v>
      </c>
      <c r="P162" s="132">
        <v>19850</v>
      </c>
      <c r="Q162" s="45" t="s">
        <v>439</v>
      </c>
      <c r="R162" s="128">
        <f t="shared" si="11"/>
        <v>13535.4287</v>
      </c>
      <c r="S162" s="28">
        <v>0.74725799999999998</v>
      </c>
      <c r="T162" s="5" t="s">
        <v>14</v>
      </c>
      <c r="U162" s="38"/>
      <c r="V162" s="38"/>
      <c r="W162" s="38"/>
      <c r="X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</row>
    <row r="163" spans="1:55" s="38" customFormat="1" ht="15.75" customHeight="1" x14ac:dyDescent="0.2">
      <c r="A163" s="27">
        <v>1</v>
      </c>
      <c r="B163" s="38" t="s">
        <v>79</v>
      </c>
      <c r="C163" s="38" t="s">
        <v>105</v>
      </c>
      <c r="D163" s="40" t="s">
        <v>142</v>
      </c>
      <c r="E163" s="28" t="s">
        <v>143</v>
      </c>
      <c r="F163" s="24" t="s">
        <v>163</v>
      </c>
      <c r="G163" s="39">
        <v>8800</v>
      </c>
      <c r="H163" s="24" t="s">
        <v>168</v>
      </c>
      <c r="I163" s="40" t="s">
        <v>146</v>
      </c>
      <c r="J163" s="40" t="s">
        <v>159</v>
      </c>
      <c r="K163" s="24" t="s">
        <v>248</v>
      </c>
      <c r="L163" s="41" t="s">
        <v>160</v>
      </c>
      <c r="M163" s="39" t="s">
        <v>442</v>
      </c>
      <c r="N163" s="42">
        <v>25855</v>
      </c>
      <c r="O163" s="17">
        <f t="shared" si="12"/>
        <v>25855</v>
      </c>
      <c r="P163" s="132">
        <v>14825</v>
      </c>
      <c r="Q163" s="45" t="s">
        <v>439</v>
      </c>
      <c r="R163" s="128">
        <f t="shared" si="11"/>
        <v>14776.900149999999</v>
      </c>
      <c r="S163" s="28">
        <v>0.74725799999999998</v>
      </c>
      <c r="T163" s="5" t="s">
        <v>14</v>
      </c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</row>
    <row r="164" spans="1:55" s="38" customFormat="1" ht="15.75" customHeight="1" x14ac:dyDescent="0.2">
      <c r="A164" s="27">
        <v>1</v>
      </c>
      <c r="B164" s="38" t="s">
        <v>79</v>
      </c>
      <c r="C164" s="38" t="s">
        <v>105</v>
      </c>
      <c r="D164" s="130" t="s">
        <v>287</v>
      </c>
      <c r="E164" s="23" t="s">
        <v>179</v>
      </c>
      <c r="F164" s="24" t="s">
        <v>211</v>
      </c>
      <c r="G164" s="39">
        <v>10000</v>
      </c>
      <c r="H164" s="24" t="s">
        <v>225</v>
      </c>
      <c r="I164" s="40" t="s">
        <v>191</v>
      </c>
      <c r="J164" s="40" t="s">
        <v>217</v>
      </c>
      <c r="K164" s="24" t="s">
        <v>212</v>
      </c>
      <c r="L164" s="41" t="s">
        <v>215</v>
      </c>
      <c r="M164" s="137" t="s">
        <v>180</v>
      </c>
      <c r="N164" s="42">
        <v>29222</v>
      </c>
      <c r="O164" s="17">
        <f t="shared" si="12"/>
        <v>29222</v>
      </c>
      <c r="P164" s="132">
        <v>17775</v>
      </c>
      <c r="Q164" s="45" t="s">
        <v>439</v>
      </c>
      <c r="R164" s="128">
        <f t="shared" si="11"/>
        <v>15939.48905</v>
      </c>
      <c r="S164" s="28">
        <v>0.74725799999999998</v>
      </c>
      <c r="T164" s="5" t="s">
        <v>14</v>
      </c>
      <c r="Y164" s="28"/>
      <c r="Z164" s="28"/>
      <c r="AA164" s="28"/>
    </row>
    <row r="165" spans="1:55" s="38" customFormat="1" ht="15.75" customHeight="1" x14ac:dyDescent="0.2">
      <c r="A165" s="27">
        <v>3</v>
      </c>
      <c r="B165" s="38" t="s">
        <v>80</v>
      </c>
      <c r="C165" s="38" t="s">
        <v>106</v>
      </c>
      <c r="D165" s="40" t="s">
        <v>288</v>
      </c>
      <c r="E165" s="28" t="s">
        <v>143</v>
      </c>
      <c r="F165" s="24" t="s">
        <v>252</v>
      </c>
      <c r="G165" s="39">
        <v>12300</v>
      </c>
      <c r="H165" s="24" t="s">
        <v>262</v>
      </c>
      <c r="I165" s="40" t="s">
        <v>241</v>
      </c>
      <c r="J165" s="40" t="s">
        <v>255</v>
      </c>
      <c r="K165" s="24" t="s">
        <v>253</v>
      </c>
      <c r="L165" s="41" t="s">
        <v>167</v>
      </c>
      <c r="M165" s="137" t="s">
        <v>180</v>
      </c>
      <c r="N165" s="42">
        <v>33893.5</v>
      </c>
      <c r="O165" s="17">
        <f t="shared" si="12"/>
        <v>101680.5</v>
      </c>
      <c r="P165" s="132">
        <v>20900</v>
      </c>
      <c r="Q165" s="45" t="s">
        <v>439</v>
      </c>
      <c r="R165" s="128">
        <f t="shared" si="11"/>
        <v>18275.807800000002</v>
      </c>
      <c r="S165" s="28">
        <v>0.74725799999999998</v>
      </c>
      <c r="T165" s="5" t="s">
        <v>14</v>
      </c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</row>
    <row r="166" spans="1:55" s="38" customFormat="1" ht="15.75" customHeight="1" x14ac:dyDescent="0.2">
      <c r="A166" s="27">
        <v>3</v>
      </c>
      <c r="B166" s="38" t="s">
        <v>80</v>
      </c>
      <c r="C166" s="38" t="s">
        <v>106</v>
      </c>
      <c r="D166" s="40" t="s">
        <v>316</v>
      </c>
      <c r="E166" s="24" t="s">
        <v>17</v>
      </c>
      <c r="F166" s="23" t="s">
        <v>300</v>
      </c>
      <c r="G166" s="39">
        <v>13000</v>
      </c>
      <c r="H166" s="24" t="s">
        <v>345</v>
      </c>
      <c r="I166" s="34" t="s">
        <v>292</v>
      </c>
      <c r="J166" s="40" t="s">
        <v>293</v>
      </c>
      <c r="K166" s="24" t="s">
        <v>420</v>
      </c>
      <c r="L166" s="41" t="s">
        <v>328</v>
      </c>
      <c r="M166" s="137" t="s">
        <v>180</v>
      </c>
      <c r="N166" s="42">
        <v>35000.5</v>
      </c>
      <c r="O166" s="17">
        <f t="shared" si="12"/>
        <v>105001.5</v>
      </c>
      <c r="P166" s="132">
        <f>15600+4625</f>
        <v>20225</v>
      </c>
      <c r="Q166" s="45" t="s">
        <v>439</v>
      </c>
      <c r="R166" s="128">
        <f t="shared" si="11"/>
        <v>19887.20695</v>
      </c>
      <c r="S166" s="28">
        <v>0.74725799999999998</v>
      </c>
      <c r="T166" s="5" t="s">
        <v>14</v>
      </c>
    </row>
    <row r="167" spans="1:55" s="38" customFormat="1" ht="15.75" customHeight="1" x14ac:dyDescent="0.2">
      <c r="A167" s="27">
        <v>3</v>
      </c>
      <c r="B167" s="38" t="s">
        <v>80</v>
      </c>
      <c r="C167" s="38" t="s">
        <v>106</v>
      </c>
      <c r="D167" s="40" t="s">
        <v>142</v>
      </c>
      <c r="E167" s="28" t="s">
        <v>143</v>
      </c>
      <c r="F167" s="24" t="s">
        <v>169</v>
      </c>
      <c r="G167" s="39">
        <v>11500</v>
      </c>
      <c r="H167" s="24" t="s">
        <v>170</v>
      </c>
      <c r="I167" s="40" t="s">
        <v>146</v>
      </c>
      <c r="J167" s="40" t="s">
        <v>166</v>
      </c>
      <c r="K167" s="24" t="s">
        <v>164</v>
      </c>
      <c r="L167" s="41" t="s">
        <v>167</v>
      </c>
      <c r="M167" s="39" t="s">
        <v>442</v>
      </c>
      <c r="N167" s="42">
        <v>34448</v>
      </c>
      <c r="O167" s="17">
        <f t="shared" si="12"/>
        <v>103344</v>
      </c>
      <c r="P167" s="132">
        <v>18025</v>
      </c>
      <c r="Q167" s="45" t="s">
        <v>439</v>
      </c>
      <c r="R167" s="128">
        <f t="shared" si="11"/>
        <v>20978.67455</v>
      </c>
      <c r="S167" s="28">
        <v>0.74725799999999998</v>
      </c>
      <c r="T167" s="5" t="s">
        <v>14</v>
      </c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</row>
    <row r="168" spans="1:55" s="38" customFormat="1" ht="15.75" customHeight="1" x14ac:dyDescent="0.2">
      <c r="A168" s="27">
        <v>3</v>
      </c>
      <c r="B168" s="38" t="s">
        <v>80</v>
      </c>
      <c r="C168" s="38" t="s">
        <v>106</v>
      </c>
      <c r="D168" s="35" t="s">
        <v>289</v>
      </c>
      <c r="E168" s="23" t="s">
        <v>179</v>
      </c>
      <c r="F168" s="24" t="s">
        <v>218</v>
      </c>
      <c r="G168" s="39">
        <v>13300</v>
      </c>
      <c r="H168" s="24" t="s">
        <v>227</v>
      </c>
      <c r="I168" s="40" t="s">
        <v>184</v>
      </c>
      <c r="J168" s="40" t="s">
        <v>220</v>
      </c>
      <c r="K168" s="24" t="s">
        <v>414</v>
      </c>
      <c r="L168" s="41" t="s">
        <v>210</v>
      </c>
      <c r="M168" s="137" t="s">
        <v>180</v>
      </c>
      <c r="N168" s="42">
        <v>31991</v>
      </c>
      <c r="O168" s="17">
        <f t="shared" si="12"/>
        <v>95973</v>
      </c>
      <c r="P168" s="131" t="s">
        <v>439</v>
      </c>
      <c r="Q168" s="45" t="s">
        <v>439</v>
      </c>
      <c r="R168" s="128" t="e">
        <f t="shared" si="11"/>
        <v>#VALUE!</v>
      </c>
      <c r="S168" s="28">
        <v>0.74725799999999998</v>
      </c>
      <c r="T168" s="5" t="s">
        <v>14</v>
      </c>
      <c r="Y168" s="28"/>
      <c r="Z168" s="28"/>
      <c r="AA168" s="28"/>
    </row>
    <row r="169" spans="1:55" s="38" customFormat="1" ht="15.75" customHeight="1" x14ac:dyDescent="0.2">
      <c r="A169" s="27">
        <v>3</v>
      </c>
      <c r="B169" s="38" t="s">
        <v>80</v>
      </c>
      <c r="C169" s="38" t="s">
        <v>106</v>
      </c>
      <c r="D169" s="130" t="s">
        <v>287</v>
      </c>
      <c r="E169" s="23" t="s">
        <v>179</v>
      </c>
      <c r="F169" s="24" t="s">
        <v>218</v>
      </c>
      <c r="G169" s="39">
        <v>13300</v>
      </c>
      <c r="H169" s="24" t="s">
        <v>227</v>
      </c>
      <c r="I169" s="40" t="s">
        <v>191</v>
      </c>
      <c r="J169" s="40" t="s">
        <v>228</v>
      </c>
      <c r="K169" s="24" t="s">
        <v>212</v>
      </c>
      <c r="L169" s="41" t="s">
        <v>215</v>
      </c>
      <c r="M169" s="137" t="s">
        <v>180</v>
      </c>
      <c r="N169" s="42">
        <v>33773</v>
      </c>
      <c r="O169" s="17">
        <f t="shared" si="12"/>
        <v>101319</v>
      </c>
      <c r="P169" s="131" t="s">
        <v>439</v>
      </c>
      <c r="Q169" s="45" t="s">
        <v>439</v>
      </c>
      <c r="R169" s="128" t="e">
        <f t="shared" si="11"/>
        <v>#VALUE!</v>
      </c>
      <c r="S169" s="28">
        <v>0.74725799999999998</v>
      </c>
      <c r="T169" s="5" t="s">
        <v>14</v>
      </c>
      <c r="Y169" s="28"/>
      <c r="Z169" s="28"/>
      <c r="AA169" s="28"/>
    </row>
    <row r="170" spans="1:55" s="38" customFormat="1" ht="15.75" customHeight="1" x14ac:dyDescent="0.2">
      <c r="A170" s="27">
        <v>2</v>
      </c>
      <c r="B170" s="38" t="s">
        <v>81</v>
      </c>
      <c r="C170" s="38" t="s">
        <v>107</v>
      </c>
      <c r="D170" s="40" t="s">
        <v>288</v>
      </c>
      <c r="E170" s="28" t="s">
        <v>143</v>
      </c>
      <c r="F170" s="24" t="s">
        <v>252</v>
      </c>
      <c r="G170" s="39">
        <v>12300</v>
      </c>
      <c r="H170" s="24" t="s">
        <v>263</v>
      </c>
      <c r="I170" s="40" t="s">
        <v>241</v>
      </c>
      <c r="J170" s="40" t="s">
        <v>255</v>
      </c>
      <c r="K170" s="24" t="s">
        <v>253</v>
      </c>
      <c r="L170" s="41" t="s">
        <v>167</v>
      </c>
      <c r="M170" s="137" t="s">
        <v>180</v>
      </c>
      <c r="N170" s="42">
        <v>35309.5</v>
      </c>
      <c r="O170" s="17">
        <f t="shared" si="12"/>
        <v>70619</v>
      </c>
      <c r="P170" s="132">
        <v>23200</v>
      </c>
      <c r="Q170" s="45" t="s">
        <v>439</v>
      </c>
      <c r="R170" s="128">
        <f t="shared" si="11"/>
        <v>17973.114400000002</v>
      </c>
      <c r="S170" s="28">
        <v>0.74725799999999998</v>
      </c>
      <c r="T170" s="5" t="s">
        <v>14</v>
      </c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</row>
    <row r="171" spans="1:55" s="38" customFormat="1" ht="15.75" customHeight="1" x14ac:dyDescent="0.2">
      <c r="A171" s="27">
        <v>2</v>
      </c>
      <c r="B171" s="38" t="s">
        <v>81</v>
      </c>
      <c r="C171" s="38" t="s">
        <v>107</v>
      </c>
      <c r="D171" s="40" t="s">
        <v>316</v>
      </c>
      <c r="E171" s="24" t="s">
        <v>17</v>
      </c>
      <c r="F171" s="23" t="s">
        <v>300</v>
      </c>
      <c r="G171" s="39">
        <v>13000</v>
      </c>
      <c r="H171" s="24" t="s">
        <v>346</v>
      </c>
      <c r="I171" s="34" t="s">
        <v>292</v>
      </c>
      <c r="J171" s="40" t="s">
        <v>293</v>
      </c>
      <c r="K171" s="24" t="s">
        <v>420</v>
      </c>
      <c r="L171" s="41" t="s">
        <v>328</v>
      </c>
      <c r="M171" s="137" t="s">
        <v>180</v>
      </c>
      <c r="N171" s="42">
        <v>38189.5</v>
      </c>
      <c r="O171" s="17">
        <f t="shared" si="12"/>
        <v>76379</v>
      </c>
      <c r="P171" s="132">
        <f>18100+4625</f>
        <v>22725</v>
      </c>
      <c r="Q171" s="45" t="s">
        <v>439</v>
      </c>
      <c r="R171" s="128">
        <f t="shared" si="11"/>
        <v>21208.061949999999</v>
      </c>
      <c r="S171" s="28">
        <v>0.74725799999999998</v>
      </c>
      <c r="T171" s="5" t="s">
        <v>14</v>
      </c>
    </row>
    <row r="172" spans="1:55" s="38" customFormat="1" ht="15.75" customHeight="1" x14ac:dyDescent="0.2">
      <c r="A172" s="27">
        <v>2</v>
      </c>
      <c r="B172" s="38" t="s">
        <v>81</v>
      </c>
      <c r="C172" s="38" t="s">
        <v>107</v>
      </c>
      <c r="D172" s="40" t="s">
        <v>142</v>
      </c>
      <c r="E172" s="28" t="s">
        <v>143</v>
      </c>
      <c r="F172" s="24" t="s">
        <v>169</v>
      </c>
      <c r="G172" s="39">
        <v>12220</v>
      </c>
      <c r="H172" s="24" t="s">
        <v>171</v>
      </c>
      <c r="I172" s="40" t="s">
        <v>146</v>
      </c>
      <c r="J172" s="40" t="s">
        <v>166</v>
      </c>
      <c r="K172" s="24" t="s">
        <v>164</v>
      </c>
      <c r="L172" s="41" t="s">
        <v>167</v>
      </c>
      <c r="M172" s="39" t="s">
        <v>442</v>
      </c>
      <c r="N172" s="42">
        <v>36694</v>
      </c>
      <c r="O172" s="17">
        <f t="shared" si="12"/>
        <v>73388</v>
      </c>
      <c r="P172" s="132">
        <v>20325</v>
      </c>
      <c r="Q172" s="45" t="s">
        <v>439</v>
      </c>
      <c r="R172" s="128">
        <f t="shared" si="11"/>
        <v>21505.98115</v>
      </c>
      <c r="S172" s="28">
        <v>0.74725799999999998</v>
      </c>
      <c r="T172" s="5" t="s">
        <v>14</v>
      </c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</row>
    <row r="173" spans="1:55" ht="15.75" customHeight="1" x14ac:dyDescent="0.2">
      <c r="A173" s="27">
        <v>2</v>
      </c>
      <c r="B173" s="38" t="s">
        <v>81</v>
      </c>
      <c r="C173" s="38" t="s">
        <v>107</v>
      </c>
      <c r="D173" s="35" t="s">
        <v>289</v>
      </c>
      <c r="E173" s="23" t="s">
        <v>179</v>
      </c>
      <c r="F173" s="24" t="s">
        <v>218</v>
      </c>
      <c r="G173" s="39">
        <v>13300</v>
      </c>
      <c r="H173" s="24" t="s">
        <v>229</v>
      </c>
      <c r="I173" s="40" t="s">
        <v>184</v>
      </c>
      <c r="J173" s="40" t="s">
        <v>220</v>
      </c>
      <c r="K173" s="24" t="s">
        <v>416</v>
      </c>
      <c r="L173" s="41" t="s">
        <v>223</v>
      </c>
      <c r="M173" s="137" t="s">
        <v>180</v>
      </c>
      <c r="N173" s="42">
        <v>34906.5</v>
      </c>
      <c r="O173" s="17">
        <f t="shared" si="12"/>
        <v>69813</v>
      </c>
      <c r="P173" s="131" t="s">
        <v>439</v>
      </c>
      <c r="Q173" s="45" t="s">
        <v>439</v>
      </c>
      <c r="R173" s="128" t="e">
        <f t="shared" si="11"/>
        <v>#VALUE!</v>
      </c>
      <c r="S173" s="28">
        <v>0.74725799999999998</v>
      </c>
      <c r="T173" s="5" t="s">
        <v>14</v>
      </c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</row>
    <row r="174" spans="1:55" ht="15.75" customHeight="1" x14ac:dyDescent="0.2">
      <c r="A174" s="27">
        <v>2</v>
      </c>
      <c r="B174" s="38" t="s">
        <v>81</v>
      </c>
      <c r="C174" s="38" t="s">
        <v>107</v>
      </c>
      <c r="D174" s="130" t="s">
        <v>287</v>
      </c>
      <c r="E174" s="23" t="s">
        <v>179</v>
      </c>
      <c r="F174" s="24" t="s">
        <v>218</v>
      </c>
      <c r="G174" s="39">
        <v>13300</v>
      </c>
      <c r="H174" s="24" t="s">
        <v>229</v>
      </c>
      <c r="I174" s="40" t="s">
        <v>191</v>
      </c>
      <c r="J174" s="40" t="s">
        <v>228</v>
      </c>
      <c r="K174" s="24" t="s">
        <v>416</v>
      </c>
      <c r="L174" s="41" t="s">
        <v>223</v>
      </c>
      <c r="M174" s="137" t="s">
        <v>180</v>
      </c>
      <c r="N174" s="42">
        <v>36864</v>
      </c>
      <c r="O174" s="17">
        <f t="shared" si="12"/>
        <v>73728</v>
      </c>
      <c r="P174" s="131" t="s">
        <v>439</v>
      </c>
      <c r="Q174" s="45" t="s">
        <v>439</v>
      </c>
      <c r="R174" s="128" t="e">
        <f t="shared" si="11"/>
        <v>#VALUE!</v>
      </c>
      <c r="S174" s="28">
        <v>0.74725799999999998</v>
      </c>
      <c r="T174" s="5" t="s">
        <v>14</v>
      </c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</row>
    <row r="175" spans="1:55" s="38" customFormat="1" ht="15.75" customHeight="1" x14ac:dyDescent="0.2">
      <c r="A175" s="27"/>
      <c r="D175" s="35"/>
      <c r="E175" s="23"/>
      <c r="F175" s="24"/>
      <c r="G175" s="39"/>
      <c r="H175" s="24"/>
      <c r="I175" s="40"/>
      <c r="J175" s="40"/>
      <c r="K175" s="24"/>
      <c r="L175" s="41"/>
      <c r="M175" s="137"/>
      <c r="N175" s="42"/>
      <c r="O175" s="17"/>
      <c r="P175" s="132"/>
      <c r="Q175" s="45"/>
      <c r="R175" s="128"/>
      <c r="S175" s="28"/>
      <c r="T175" s="5"/>
      <c r="Y175" s="43"/>
      <c r="Z175" s="43"/>
      <c r="AA175" s="43"/>
    </row>
    <row r="176" spans="1:55" s="38" customFormat="1" ht="15.75" customHeight="1" x14ac:dyDescent="0.2">
      <c r="A176" s="27"/>
      <c r="D176" s="35"/>
      <c r="E176" s="23"/>
      <c r="F176" s="24"/>
      <c r="G176" s="39"/>
      <c r="H176" s="24"/>
      <c r="I176" s="40"/>
      <c r="J176" s="40"/>
      <c r="K176" s="24"/>
      <c r="L176" s="41"/>
      <c r="M176" s="137"/>
      <c r="N176" s="42"/>
      <c r="O176" s="17"/>
      <c r="P176" s="132"/>
      <c r="Q176" s="45"/>
      <c r="R176" s="128"/>
      <c r="S176" s="28"/>
      <c r="T176" s="5"/>
      <c r="Y176" s="43"/>
      <c r="Z176" s="43"/>
      <c r="AA176" s="43"/>
    </row>
    <row r="177" spans="1:55" s="38" customFormat="1" ht="15.75" customHeight="1" x14ac:dyDescent="0.2">
      <c r="A177" s="27">
        <v>1</v>
      </c>
      <c r="B177" s="38" t="s">
        <v>82</v>
      </c>
      <c r="C177" s="38" t="s">
        <v>86</v>
      </c>
      <c r="D177" s="40" t="s">
        <v>288</v>
      </c>
      <c r="E177" s="28" t="s">
        <v>143</v>
      </c>
      <c r="F177" s="24" t="s">
        <v>425</v>
      </c>
      <c r="G177" s="39">
        <v>6050</v>
      </c>
      <c r="H177" s="24" t="s">
        <v>172</v>
      </c>
      <c r="I177" s="40" t="s">
        <v>265</v>
      </c>
      <c r="J177" s="40" t="s">
        <v>174</v>
      </c>
      <c r="K177" s="24" t="s">
        <v>436</v>
      </c>
      <c r="L177" s="41" t="s">
        <v>175</v>
      </c>
      <c r="M177" s="27" t="s">
        <v>180</v>
      </c>
      <c r="N177" s="42">
        <v>20137</v>
      </c>
      <c r="O177" s="17">
        <f t="shared" ref="O177:O188" si="13">A177*N177</f>
        <v>20137</v>
      </c>
      <c r="P177" s="131" t="s">
        <v>439</v>
      </c>
      <c r="Q177" s="45">
        <v>25</v>
      </c>
      <c r="R177" s="128" t="e">
        <f t="shared" ref="R177:R188" si="14">N177+(T177/Q177)-(P177*AO$310)</f>
        <v>#VALUE!</v>
      </c>
      <c r="S177" s="28">
        <v>0.74725799999999998</v>
      </c>
      <c r="T177" s="5">
        <v>190851.31</v>
      </c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</row>
    <row r="178" spans="1:55" s="38" customFormat="1" ht="15.75" customHeight="1" x14ac:dyDescent="0.2">
      <c r="A178" s="27">
        <v>1</v>
      </c>
      <c r="B178" s="38" t="s">
        <v>82</v>
      </c>
      <c r="C178" s="38" t="s">
        <v>86</v>
      </c>
      <c r="D178" s="40" t="s">
        <v>142</v>
      </c>
      <c r="E178" s="28" t="s">
        <v>143</v>
      </c>
      <c r="F178" s="24" t="s">
        <v>425</v>
      </c>
      <c r="G178" s="39">
        <v>6050</v>
      </c>
      <c r="H178" s="24" t="s">
        <v>172</v>
      </c>
      <c r="I178" s="40" t="s">
        <v>173</v>
      </c>
      <c r="J178" s="40" t="s">
        <v>174</v>
      </c>
      <c r="K178" s="24" t="s">
        <v>436</v>
      </c>
      <c r="L178" s="41" t="s">
        <v>175</v>
      </c>
      <c r="M178" s="39" t="s">
        <v>442</v>
      </c>
      <c r="N178" s="42">
        <v>20610</v>
      </c>
      <c r="O178" s="17">
        <f t="shared" si="13"/>
        <v>20610</v>
      </c>
      <c r="P178" s="131" t="s">
        <v>439</v>
      </c>
      <c r="Q178" s="45">
        <v>25</v>
      </c>
      <c r="R178" s="128" t="e">
        <f t="shared" si="14"/>
        <v>#VALUE!</v>
      </c>
      <c r="S178" s="28">
        <v>0.74725799999999998</v>
      </c>
      <c r="T178" s="5">
        <v>190851.31</v>
      </c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</row>
    <row r="179" spans="1:55" s="38" customFormat="1" ht="15.75" customHeight="1" x14ac:dyDescent="0.2">
      <c r="A179" s="27">
        <v>1</v>
      </c>
      <c r="B179" s="38" t="s">
        <v>83</v>
      </c>
      <c r="C179" s="38" t="s">
        <v>86</v>
      </c>
      <c r="D179" s="40" t="s">
        <v>288</v>
      </c>
      <c r="E179" s="28" t="s">
        <v>143</v>
      </c>
      <c r="F179" s="24" t="s">
        <v>425</v>
      </c>
      <c r="G179" s="39">
        <v>6050</v>
      </c>
      <c r="H179" s="24" t="s">
        <v>172</v>
      </c>
      <c r="I179" s="40" t="s">
        <v>265</v>
      </c>
      <c r="J179" s="40" t="s">
        <v>174</v>
      </c>
      <c r="K179" s="24" t="s">
        <v>436</v>
      </c>
      <c r="L179" s="41" t="s">
        <v>175</v>
      </c>
      <c r="M179" s="27" t="s">
        <v>180</v>
      </c>
      <c r="N179" s="42">
        <v>20538</v>
      </c>
      <c r="O179" s="17">
        <f t="shared" si="13"/>
        <v>20538</v>
      </c>
      <c r="P179" s="131" t="s">
        <v>439</v>
      </c>
      <c r="Q179" s="45">
        <v>25</v>
      </c>
      <c r="R179" s="128" t="e">
        <f t="shared" si="14"/>
        <v>#VALUE!</v>
      </c>
      <c r="S179" s="28">
        <v>0.74725799999999998</v>
      </c>
      <c r="T179" s="5">
        <v>190851.31</v>
      </c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</row>
    <row r="180" spans="1:55" ht="15.75" customHeight="1" x14ac:dyDescent="0.2">
      <c r="A180" s="27">
        <v>1</v>
      </c>
      <c r="B180" s="38" t="s">
        <v>83</v>
      </c>
      <c r="C180" s="38" t="s">
        <v>86</v>
      </c>
      <c r="D180" s="40" t="s">
        <v>142</v>
      </c>
      <c r="E180" s="28" t="s">
        <v>143</v>
      </c>
      <c r="F180" s="24" t="s">
        <v>425</v>
      </c>
      <c r="G180" s="39">
        <v>6050</v>
      </c>
      <c r="H180" s="24" t="s">
        <v>172</v>
      </c>
      <c r="I180" s="40" t="s">
        <v>173</v>
      </c>
      <c r="J180" s="40" t="s">
        <v>174</v>
      </c>
      <c r="K180" s="24" t="s">
        <v>436</v>
      </c>
      <c r="L180" s="41" t="s">
        <v>175</v>
      </c>
      <c r="M180" s="39" t="s">
        <v>442</v>
      </c>
      <c r="N180" s="42">
        <v>21105</v>
      </c>
      <c r="O180" s="17">
        <f t="shared" si="13"/>
        <v>21105</v>
      </c>
      <c r="P180" s="131" t="s">
        <v>439</v>
      </c>
      <c r="Q180" s="45">
        <v>25</v>
      </c>
      <c r="R180" s="128" t="e">
        <f t="shared" si="14"/>
        <v>#VALUE!</v>
      </c>
      <c r="S180" s="28">
        <v>0.74725799999999998</v>
      </c>
      <c r="T180" s="5">
        <v>190851.31</v>
      </c>
      <c r="U180" s="38"/>
      <c r="V180" s="38"/>
      <c r="W180" s="38"/>
      <c r="X180" s="3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</row>
    <row r="181" spans="1:55" s="28" customFormat="1" ht="15.75" customHeight="1" x14ac:dyDescent="0.2">
      <c r="A181" s="27">
        <v>2</v>
      </c>
      <c r="B181" s="38" t="s">
        <v>84</v>
      </c>
      <c r="C181" s="38" t="s">
        <v>86</v>
      </c>
      <c r="D181" s="40" t="s">
        <v>288</v>
      </c>
      <c r="E181" s="28" t="s">
        <v>143</v>
      </c>
      <c r="F181" s="24" t="s">
        <v>425</v>
      </c>
      <c r="G181" s="39">
        <v>6050</v>
      </c>
      <c r="H181" s="24" t="s">
        <v>172</v>
      </c>
      <c r="I181" s="40" t="s">
        <v>265</v>
      </c>
      <c r="J181" s="40" t="s">
        <v>174</v>
      </c>
      <c r="K181" s="24" t="s">
        <v>436</v>
      </c>
      <c r="L181" s="41" t="s">
        <v>175</v>
      </c>
      <c r="M181" s="27" t="s">
        <v>180</v>
      </c>
      <c r="N181" s="42">
        <v>21054</v>
      </c>
      <c r="O181" s="17">
        <f t="shared" si="13"/>
        <v>42108</v>
      </c>
      <c r="P181" s="131" t="s">
        <v>439</v>
      </c>
      <c r="Q181" s="45">
        <v>25</v>
      </c>
      <c r="R181" s="128" t="e">
        <f t="shared" si="14"/>
        <v>#VALUE!</v>
      </c>
      <c r="S181" s="28">
        <v>0.74725799999999998</v>
      </c>
      <c r="T181" s="5">
        <v>190851.31</v>
      </c>
      <c r="U181" s="38"/>
      <c r="V181" s="38"/>
      <c r="W181" s="38"/>
      <c r="X181" s="38"/>
    </row>
    <row r="182" spans="1:55" s="28" customFormat="1" ht="15.75" customHeight="1" x14ac:dyDescent="0.2">
      <c r="A182" s="27">
        <v>2</v>
      </c>
      <c r="B182" s="38" t="s">
        <v>84</v>
      </c>
      <c r="C182" s="38" t="s">
        <v>86</v>
      </c>
      <c r="D182" s="40" t="s">
        <v>142</v>
      </c>
      <c r="E182" s="28" t="s">
        <v>143</v>
      </c>
      <c r="F182" s="24" t="s">
        <v>425</v>
      </c>
      <c r="G182" s="39">
        <v>6050</v>
      </c>
      <c r="H182" s="24" t="s">
        <v>172</v>
      </c>
      <c r="I182" s="40" t="s">
        <v>173</v>
      </c>
      <c r="J182" s="40" t="s">
        <v>174</v>
      </c>
      <c r="K182" s="24" t="s">
        <v>436</v>
      </c>
      <c r="L182" s="41" t="s">
        <v>175</v>
      </c>
      <c r="M182" s="39" t="s">
        <v>442</v>
      </c>
      <c r="N182" s="42">
        <v>21310</v>
      </c>
      <c r="O182" s="17">
        <f t="shared" si="13"/>
        <v>42620</v>
      </c>
      <c r="P182" s="131" t="s">
        <v>439</v>
      </c>
      <c r="Q182" s="45">
        <v>25</v>
      </c>
      <c r="R182" s="128" t="e">
        <f t="shared" si="14"/>
        <v>#VALUE!</v>
      </c>
      <c r="S182" s="28">
        <v>0.74725799999999998</v>
      </c>
      <c r="T182" s="5">
        <v>190851.31</v>
      </c>
      <c r="U182" s="38"/>
      <c r="V182" s="38"/>
      <c r="W182" s="38"/>
      <c r="X182" s="38"/>
    </row>
    <row r="183" spans="1:55" s="28" customFormat="1" ht="15.75" customHeight="1" x14ac:dyDescent="0.2">
      <c r="A183" s="27">
        <v>4</v>
      </c>
      <c r="B183" s="38" t="s">
        <v>87</v>
      </c>
      <c r="C183" s="38" t="s">
        <v>108</v>
      </c>
      <c r="D183" s="40" t="s">
        <v>142</v>
      </c>
      <c r="E183" s="28" t="s">
        <v>143</v>
      </c>
      <c r="F183" s="24" t="s">
        <v>426</v>
      </c>
      <c r="G183" s="39">
        <v>6050</v>
      </c>
      <c r="H183" s="24" t="s">
        <v>176</v>
      </c>
      <c r="I183" s="40" t="s">
        <v>177</v>
      </c>
      <c r="J183" s="40" t="s">
        <v>178</v>
      </c>
      <c r="K183" s="24" t="s">
        <v>436</v>
      </c>
      <c r="L183" s="41" t="s">
        <v>175</v>
      </c>
      <c r="M183" s="39" t="s">
        <v>442</v>
      </c>
      <c r="N183" s="42">
        <v>20795</v>
      </c>
      <c r="O183" s="17">
        <f t="shared" si="13"/>
        <v>83180</v>
      </c>
      <c r="P183" s="132">
        <v>8950</v>
      </c>
      <c r="Q183" s="45">
        <v>25</v>
      </c>
      <c r="R183" s="128">
        <f t="shared" si="14"/>
        <v>21741.0933</v>
      </c>
      <c r="S183" s="28">
        <v>0.74725799999999998</v>
      </c>
      <c r="T183" s="5">
        <v>190851.31</v>
      </c>
      <c r="U183" s="38"/>
      <c r="V183" s="38"/>
      <c r="W183" s="38"/>
      <c r="X183" s="38"/>
    </row>
    <row r="184" spans="1:55" s="28" customFormat="1" ht="15.75" customHeight="1" x14ac:dyDescent="0.2">
      <c r="A184" s="27">
        <v>4</v>
      </c>
      <c r="B184" s="38" t="s">
        <v>87</v>
      </c>
      <c r="C184" s="38" t="s">
        <v>108</v>
      </c>
      <c r="D184" s="40" t="s">
        <v>288</v>
      </c>
      <c r="E184" s="28" t="s">
        <v>143</v>
      </c>
      <c r="F184" s="24" t="s">
        <v>426</v>
      </c>
      <c r="G184" s="39">
        <v>6050</v>
      </c>
      <c r="H184" s="24" t="s">
        <v>176</v>
      </c>
      <c r="I184" s="40" t="s">
        <v>177</v>
      </c>
      <c r="J184" s="40" t="s">
        <v>178</v>
      </c>
      <c r="K184" s="24" t="s">
        <v>436</v>
      </c>
      <c r="L184" s="41" t="s">
        <v>175</v>
      </c>
      <c r="M184" s="27" t="s">
        <v>180</v>
      </c>
      <c r="N184" s="42">
        <v>21032.5</v>
      </c>
      <c r="O184" s="17">
        <f t="shared" si="13"/>
        <v>84130</v>
      </c>
      <c r="P184" s="132">
        <v>8950</v>
      </c>
      <c r="Q184" s="45">
        <v>25</v>
      </c>
      <c r="R184" s="128">
        <f t="shared" si="14"/>
        <v>21978.5933</v>
      </c>
      <c r="S184" s="28">
        <v>0.74725799999999998</v>
      </c>
      <c r="T184" s="5">
        <v>190851.31</v>
      </c>
      <c r="U184" s="38"/>
      <c r="V184" s="38"/>
      <c r="W184" s="38"/>
      <c r="X184" s="38"/>
    </row>
    <row r="185" spans="1:55" s="28" customFormat="1" ht="15.75" customHeight="1" x14ac:dyDescent="0.2">
      <c r="A185" s="27">
        <v>12</v>
      </c>
      <c r="B185" s="38" t="s">
        <v>88</v>
      </c>
      <c r="C185" s="38" t="s">
        <v>85</v>
      </c>
      <c r="D185" s="40" t="s">
        <v>142</v>
      </c>
      <c r="E185" s="28" t="s">
        <v>143</v>
      </c>
      <c r="F185" s="24" t="s">
        <v>426</v>
      </c>
      <c r="G185" s="39">
        <v>6050</v>
      </c>
      <c r="H185" s="24" t="s">
        <v>176</v>
      </c>
      <c r="I185" s="40" t="s">
        <v>177</v>
      </c>
      <c r="J185" s="40" t="s">
        <v>178</v>
      </c>
      <c r="K185" s="24" t="s">
        <v>436</v>
      </c>
      <c r="L185" s="41" t="s">
        <v>175</v>
      </c>
      <c r="M185" s="39" t="s">
        <v>442</v>
      </c>
      <c r="N185" s="42">
        <v>20805</v>
      </c>
      <c r="O185" s="17">
        <f t="shared" si="13"/>
        <v>249660</v>
      </c>
      <c r="P185" s="132">
        <v>8950</v>
      </c>
      <c r="Q185" s="45">
        <v>25</v>
      </c>
      <c r="R185" s="128">
        <f t="shared" si="14"/>
        <v>21751.0933</v>
      </c>
      <c r="S185" s="28">
        <v>0.74725799999999998</v>
      </c>
      <c r="T185" s="5">
        <v>190851.31</v>
      </c>
      <c r="U185" s="38"/>
      <c r="V185" s="38"/>
      <c r="W185" s="38"/>
      <c r="X185" s="38"/>
    </row>
    <row r="186" spans="1:55" s="28" customFormat="1" ht="15.75" customHeight="1" x14ac:dyDescent="0.2">
      <c r="A186" s="27">
        <v>12</v>
      </c>
      <c r="B186" s="38" t="s">
        <v>88</v>
      </c>
      <c r="C186" s="38" t="s">
        <v>85</v>
      </c>
      <c r="D186" s="40" t="s">
        <v>288</v>
      </c>
      <c r="E186" s="28" t="s">
        <v>143</v>
      </c>
      <c r="F186" s="24" t="s">
        <v>426</v>
      </c>
      <c r="G186" s="39">
        <v>6050</v>
      </c>
      <c r="H186" s="24" t="s">
        <v>176</v>
      </c>
      <c r="I186" s="40" t="s">
        <v>177</v>
      </c>
      <c r="J186" s="40" t="s">
        <v>178</v>
      </c>
      <c r="K186" s="24" t="s">
        <v>436</v>
      </c>
      <c r="L186" s="41" t="s">
        <v>175</v>
      </c>
      <c r="M186" s="27" t="s">
        <v>180</v>
      </c>
      <c r="N186" s="42">
        <v>21224.5</v>
      </c>
      <c r="O186" s="17">
        <f t="shared" si="13"/>
        <v>254694</v>
      </c>
      <c r="P186" s="132">
        <v>8950</v>
      </c>
      <c r="Q186" s="45">
        <v>25</v>
      </c>
      <c r="R186" s="128">
        <f t="shared" si="14"/>
        <v>22170.5933</v>
      </c>
      <c r="S186" s="28">
        <v>0.74725799999999998</v>
      </c>
      <c r="T186" s="5">
        <v>190851.31</v>
      </c>
      <c r="U186" s="38"/>
      <c r="V186" s="38"/>
      <c r="W186" s="38"/>
      <c r="X186" s="38"/>
    </row>
    <row r="187" spans="1:55" s="28" customFormat="1" ht="15.75" customHeight="1" x14ac:dyDescent="0.2">
      <c r="A187" s="27">
        <v>6</v>
      </c>
      <c r="B187" s="38" t="s">
        <v>89</v>
      </c>
      <c r="C187" s="38" t="s">
        <v>85</v>
      </c>
      <c r="D187" s="40" t="s">
        <v>142</v>
      </c>
      <c r="E187" s="28" t="s">
        <v>143</v>
      </c>
      <c r="F187" s="24" t="s">
        <v>426</v>
      </c>
      <c r="G187" s="39">
        <v>6050</v>
      </c>
      <c r="H187" s="24" t="s">
        <v>176</v>
      </c>
      <c r="I187" s="40" t="s">
        <v>177</v>
      </c>
      <c r="J187" s="40" t="s">
        <v>178</v>
      </c>
      <c r="K187" s="24" t="s">
        <v>436</v>
      </c>
      <c r="L187" s="41" t="s">
        <v>175</v>
      </c>
      <c r="M187" s="39" t="s">
        <v>442</v>
      </c>
      <c r="N187" s="42">
        <v>20760</v>
      </c>
      <c r="O187" s="17">
        <f t="shared" si="13"/>
        <v>124560</v>
      </c>
      <c r="P187" s="132">
        <v>8950</v>
      </c>
      <c r="Q187" s="45">
        <v>25</v>
      </c>
      <c r="R187" s="128">
        <f t="shared" si="14"/>
        <v>21706.0933</v>
      </c>
      <c r="S187" s="28">
        <v>0.74725799999999998</v>
      </c>
      <c r="T187" s="5">
        <v>190851.31</v>
      </c>
      <c r="U187" s="38"/>
      <c r="V187" s="38"/>
      <c r="W187" s="38"/>
      <c r="X187" s="38"/>
    </row>
    <row r="188" spans="1:55" s="28" customFormat="1" ht="15.75" customHeight="1" x14ac:dyDescent="0.2">
      <c r="A188" s="27">
        <v>6</v>
      </c>
      <c r="B188" s="38" t="s">
        <v>89</v>
      </c>
      <c r="C188" s="38" t="s">
        <v>85</v>
      </c>
      <c r="D188" s="40" t="s">
        <v>288</v>
      </c>
      <c r="E188" s="28" t="s">
        <v>143</v>
      </c>
      <c r="F188" s="24" t="s">
        <v>426</v>
      </c>
      <c r="G188" s="39">
        <v>6050</v>
      </c>
      <c r="H188" s="24" t="s">
        <v>176</v>
      </c>
      <c r="I188" s="40" t="s">
        <v>177</v>
      </c>
      <c r="J188" s="40" t="s">
        <v>178</v>
      </c>
      <c r="K188" s="24" t="s">
        <v>436</v>
      </c>
      <c r="L188" s="41" t="s">
        <v>175</v>
      </c>
      <c r="M188" s="27" t="s">
        <v>180</v>
      </c>
      <c r="N188" s="42">
        <v>21347.5</v>
      </c>
      <c r="O188" s="17">
        <f t="shared" si="13"/>
        <v>128085</v>
      </c>
      <c r="P188" s="132">
        <v>8950</v>
      </c>
      <c r="Q188" s="45">
        <v>25</v>
      </c>
      <c r="R188" s="128">
        <f t="shared" si="14"/>
        <v>22293.5933</v>
      </c>
      <c r="S188" s="28">
        <v>0.74725799999999998</v>
      </c>
      <c r="T188" s="5">
        <v>190851.31</v>
      </c>
      <c r="U188" s="38"/>
      <c r="V188" s="38"/>
      <c r="W188" s="38"/>
      <c r="X188" s="38"/>
    </row>
    <row r="189" spans="1:55" s="28" customFormat="1" ht="15.75" customHeight="1" x14ac:dyDescent="0.2">
      <c r="A189" s="27"/>
      <c r="B189" s="38"/>
      <c r="C189" s="38"/>
      <c r="D189" s="40"/>
      <c r="F189" s="24"/>
      <c r="G189" s="39"/>
      <c r="H189" s="24"/>
      <c r="I189" s="40"/>
      <c r="J189" s="40"/>
      <c r="K189" s="24"/>
      <c r="L189" s="41"/>
      <c r="M189" s="27"/>
      <c r="N189" s="42"/>
      <c r="O189" s="17"/>
      <c r="P189" s="132"/>
      <c r="Q189" s="45"/>
      <c r="R189" s="128"/>
      <c r="T189" s="5"/>
      <c r="U189" s="38"/>
      <c r="V189" s="38"/>
      <c r="W189" s="38"/>
      <c r="X189" s="38"/>
    </row>
    <row r="190" spans="1:55" s="28" customFormat="1" ht="15.75" customHeight="1" x14ac:dyDescent="0.2">
      <c r="A190" s="27"/>
      <c r="B190" s="38"/>
      <c r="C190" s="38"/>
      <c r="D190" s="40"/>
      <c r="F190" s="24"/>
      <c r="G190" s="39"/>
      <c r="H190" s="24"/>
      <c r="I190" s="40"/>
      <c r="J190" s="40"/>
      <c r="K190" s="24"/>
      <c r="L190" s="41"/>
      <c r="M190" s="27"/>
      <c r="N190" s="42"/>
      <c r="O190" s="17"/>
      <c r="P190" s="132"/>
      <c r="Q190" s="45"/>
      <c r="R190" s="128"/>
      <c r="T190" s="5"/>
      <c r="U190" s="38"/>
      <c r="V190" s="38"/>
      <c r="W190" s="38"/>
      <c r="X190" s="38"/>
    </row>
    <row r="191" spans="1:55" s="28" customFormat="1" ht="15.75" customHeight="1" x14ac:dyDescent="0.2">
      <c r="A191" s="27">
        <v>28</v>
      </c>
      <c r="B191" s="28" t="s">
        <v>31</v>
      </c>
      <c r="C191" s="29" t="s">
        <v>124</v>
      </c>
      <c r="D191" s="40" t="s">
        <v>288</v>
      </c>
      <c r="E191" s="28" t="s">
        <v>143</v>
      </c>
      <c r="F191" s="23" t="s">
        <v>239</v>
      </c>
      <c r="G191" s="31">
        <v>6600</v>
      </c>
      <c r="H191" s="20" t="s">
        <v>240</v>
      </c>
      <c r="I191" s="34" t="s">
        <v>241</v>
      </c>
      <c r="J191" s="34" t="s">
        <v>242</v>
      </c>
      <c r="K191" s="20" t="s">
        <v>434</v>
      </c>
      <c r="L191" s="29" t="s">
        <v>148</v>
      </c>
      <c r="M191" s="27" t="s">
        <v>180</v>
      </c>
      <c r="N191" s="33">
        <v>17904.5</v>
      </c>
      <c r="O191" s="17">
        <f t="shared" ref="O191:O222" si="15">A191*N191</f>
        <v>501326</v>
      </c>
      <c r="P191" s="131">
        <v>11450</v>
      </c>
      <c r="Q191" s="27">
        <v>20</v>
      </c>
      <c r="R191" s="128">
        <f t="shared" ref="R191:R222" si="16">N191+(T191/Q191)-(P191*AO$310)</f>
        <v>18890.9614</v>
      </c>
      <c r="S191" s="28">
        <v>0.74725799999999998</v>
      </c>
      <c r="T191" s="5">
        <v>190851.31</v>
      </c>
    </row>
    <row r="192" spans="1:55" s="28" customFormat="1" ht="15.75" customHeight="1" x14ac:dyDescent="0.2">
      <c r="A192" s="27">
        <v>28</v>
      </c>
      <c r="B192" s="28" t="s">
        <v>31</v>
      </c>
      <c r="C192" s="29" t="s">
        <v>124</v>
      </c>
      <c r="D192" s="35" t="s">
        <v>291</v>
      </c>
      <c r="E192" s="24" t="s">
        <v>17</v>
      </c>
      <c r="F192" s="23" t="s">
        <v>300</v>
      </c>
      <c r="G192" s="31">
        <v>6400</v>
      </c>
      <c r="H192" s="20" t="s">
        <v>301</v>
      </c>
      <c r="I192" s="34" t="s">
        <v>292</v>
      </c>
      <c r="J192" s="34" t="s">
        <v>293</v>
      </c>
      <c r="K192" s="20" t="s">
        <v>318</v>
      </c>
      <c r="L192" s="29" t="s">
        <v>294</v>
      </c>
      <c r="M192" s="27" t="s">
        <v>180</v>
      </c>
      <c r="N192" s="33">
        <v>18361.28</v>
      </c>
      <c r="O192" s="17">
        <f t="shared" si="15"/>
        <v>514115.83999999997</v>
      </c>
      <c r="P192" s="131">
        <v>10975</v>
      </c>
      <c r="Q192" s="27">
        <v>19</v>
      </c>
      <c r="R192" s="128">
        <f t="shared" si="16"/>
        <v>20204.929239473684</v>
      </c>
      <c r="S192" s="28">
        <v>0.74725799999999998</v>
      </c>
      <c r="T192" s="5">
        <v>190851.31</v>
      </c>
    </row>
    <row r="193" spans="1:55" s="28" customFormat="1" ht="15.75" customHeight="1" x14ac:dyDescent="0.2">
      <c r="A193" s="27">
        <v>28</v>
      </c>
      <c r="B193" s="28" t="s">
        <v>31</v>
      </c>
      <c r="C193" s="29" t="s">
        <v>124</v>
      </c>
      <c r="D193" s="35" t="s">
        <v>316</v>
      </c>
      <c r="E193" s="24" t="s">
        <v>17</v>
      </c>
      <c r="F193" s="23" t="s">
        <v>300</v>
      </c>
      <c r="G193" s="31">
        <v>6400</v>
      </c>
      <c r="H193" s="20" t="s">
        <v>301</v>
      </c>
      <c r="I193" s="34" t="s">
        <v>292</v>
      </c>
      <c r="J193" s="34" t="s">
        <v>293</v>
      </c>
      <c r="K193" s="20" t="s">
        <v>318</v>
      </c>
      <c r="L193" s="41" t="s">
        <v>307</v>
      </c>
      <c r="M193" s="27" t="s">
        <v>180</v>
      </c>
      <c r="N193" s="33">
        <v>18404.5</v>
      </c>
      <c r="O193" s="17">
        <f t="shared" si="15"/>
        <v>515326</v>
      </c>
      <c r="P193" s="131">
        <v>10975</v>
      </c>
      <c r="Q193" s="27">
        <v>19</v>
      </c>
      <c r="R193" s="128">
        <f t="shared" si="16"/>
        <v>20248.149239473685</v>
      </c>
      <c r="S193" s="28">
        <v>0.74725799999999998</v>
      </c>
      <c r="T193" s="5">
        <v>190851.31</v>
      </c>
    </row>
    <row r="194" spans="1:55" s="28" customFormat="1" ht="15.75" customHeight="1" x14ac:dyDescent="0.2">
      <c r="A194" s="27">
        <v>28</v>
      </c>
      <c r="B194" s="28" t="s">
        <v>31</v>
      </c>
      <c r="C194" s="29" t="s">
        <v>124</v>
      </c>
      <c r="D194" s="35" t="s">
        <v>291</v>
      </c>
      <c r="E194" s="24" t="s">
        <v>17</v>
      </c>
      <c r="F194" s="23" t="s">
        <v>300</v>
      </c>
      <c r="G194" s="31">
        <v>6400</v>
      </c>
      <c r="H194" s="20" t="s">
        <v>301</v>
      </c>
      <c r="I194" s="34" t="s">
        <v>18</v>
      </c>
      <c r="J194" s="34" t="s">
        <v>19</v>
      </c>
      <c r="K194" s="20" t="s">
        <v>421</v>
      </c>
      <c r="L194" s="29" t="s">
        <v>294</v>
      </c>
      <c r="M194" s="27" t="s">
        <v>180</v>
      </c>
      <c r="N194" s="33">
        <v>19483.02</v>
      </c>
      <c r="O194" s="17">
        <f t="shared" si="15"/>
        <v>545524.56000000006</v>
      </c>
      <c r="P194" s="131">
        <f>9100+475-250</f>
        <v>9325</v>
      </c>
      <c r="Q194" s="27">
        <v>20</v>
      </c>
      <c r="R194" s="128">
        <f t="shared" si="16"/>
        <v>22057.40465</v>
      </c>
      <c r="S194" s="28">
        <v>0.74725799999999998</v>
      </c>
      <c r="T194" s="5">
        <v>190851.31</v>
      </c>
    </row>
    <row r="195" spans="1:55" s="28" customFormat="1" ht="15.75" customHeight="1" x14ac:dyDescent="0.2">
      <c r="A195" s="27">
        <v>28</v>
      </c>
      <c r="B195" s="28" t="s">
        <v>31</v>
      </c>
      <c r="C195" s="29" t="s">
        <v>124</v>
      </c>
      <c r="D195" s="40" t="s">
        <v>142</v>
      </c>
      <c r="E195" s="28" t="s">
        <v>143</v>
      </c>
      <c r="F195" s="23" t="s">
        <v>144</v>
      </c>
      <c r="G195" s="31">
        <v>6600</v>
      </c>
      <c r="H195" s="20" t="s">
        <v>145</v>
      </c>
      <c r="I195" s="34" t="s">
        <v>146</v>
      </c>
      <c r="J195" s="34" t="s">
        <v>147</v>
      </c>
      <c r="K195" s="20" t="s">
        <v>434</v>
      </c>
      <c r="L195" s="29" t="s">
        <v>148</v>
      </c>
      <c r="M195" s="39" t="s">
        <v>442</v>
      </c>
      <c r="N195" s="33">
        <v>20509</v>
      </c>
      <c r="O195" s="17">
        <f t="shared" si="15"/>
        <v>574252</v>
      </c>
      <c r="P195" s="131">
        <v>8925</v>
      </c>
      <c r="Q195" s="27">
        <v>20</v>
      </c>
      <c r="R195" s="128">
        <f t="shared" si="16"/>
        <v>23382.287850000001</v>
      </c>
      <c r="S195" s="28">
        <v>0.74725799999999998</v>
      </c>
      <c r="T195" s="5">
        <v>190851.31</v>
      </c>
    </row>
    <row r="196" spans="1:55" s="28" customFormat="1" ht="15.75" customHeight="1" x14ac:dyDescent="0.2">
      <c r="A196" s="27">
        <v>28</v>
      </c>
      <c r="B196" s="28" t="s">
        <v>31</v>
      </c>
      <c r="C196" s="29" t="s">
        <v>124</v>
      </c>
      <c r="D196" s="130" t="s">
        <v>287</v>
      </c>
      <c r="E196" s="23" t="s">
        <v>179</v>
      </c>
      <c r="F196" s="23" t="s">
        <v>181</v>
      </c>
      <c r="G196" s="31">
        <v>6750</v>
      </c>
      <c r="H196" s="20" t="s">
        <v>183</v>
      </c>
      <c r="I196" s="34" t="s">
        <v>184</v>
      </c>
      <c r="J196" s="34" t="s">
        <v>185</v>
      </c>
      <c r="K196" s="20" t="s">
        <v>182</v>
      </c>
      <c r="L196" s="29">
        <v>446</v>
      </c>
      <c r="M196" s="27" t="s">
        <v>180</v>
      </c>
      <c r="N196" s="33">
        <v>16476</v>
      </c>
      <c r="O196" s="17">
        <f t="shared" si="15"/>
        <v>461328</v>
      </c>
      <c r="P196" s="131" t="s">
        <v>439</v>
      </c>
      <c r="Q196" s="45" t="s">
        <v>439</v>
      </c>
      <c r="R196" s="128" t="e">
        <f t="shared" si="16"/>
        <v>#VALUE!</v>
      </c>
      <c r="S196" s="28">
        <v>0.74725799999999998</v>
      </c>
      <c r="T196" s="5">
        <v>190851.31</v>
      </c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</row>
    <row r="197" spans="1:55" s="28" customFormat="1" ht="15.75" customHeight="1" x14ac:dyDescent="0.2">
      <c r="A197" s="27">
        <v>28</v>
      </c>
      <c r="B197" s="28" t="s">
        <v>31</v>
      </c>
      <c r="C197" s="29" t="s">
        <v>124</v>
      </c>
      <c r="D197" s="35" t="s">
        <v>289</v>
      </c>
      <c r="E197" s="23" t="s">
        <v>179</v>
      </c>
      <c r="F197" s="23" t="s">
        <v>181</v>
      </c>
      <c r="G197" s="31">
        <v>6750</v>
      </c>
      <c r="H197" s="20" t="s">
        <v>183</v>
      </c>
      <c r="I197" s="34" t="s">
        <v>191</v>
      </c>
      <c r="J197" s="34" t="s">
        <v>192</v>
      </c>
      <c r="K197" s="20" t="s">
        <v>182</v>
      </c>
      <c r="L197" s="29">
        <v>446</v>
      </c>
      <c r="M197" s="27" t="s">
        <v>180</v>
      </c>
      <c r="N197" s="33">
        <v>19125</v>
      </c>
      <c r="O197" s="17">
        <f t="shared" si="15"/>
        <v>535500</v>
      </c>
      <c r="P197" s="131" t="s">
        <v>439</v>
      </c>
      <c r="Q197" s="45" t="s">
        <v>439</v>
      </c>
      <c r="R197" s="128" t="e">
        <f t="shared" si="16"/>
        <v>#VALUE!</v>
      </c>
      <c r="S197" s="28">
        <v>0.74725799999999998</v>
      </c>
      <c r="T197" s="5">
        <v>190851.31</v>
      </c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</row>
    <row r="198" spans="1:55" s="28" customFormat="1" ht="15.75" customHeight="1" x14ac:dyDescent="0.2">
      <c r="A198" s="27">
        <v>3</v>
      </c>
      <c r="B198" s="28" t="s">
        <v>32</v>
      </c>
      <c r="C198" s="29" t="s">
        <v>124</v>
      </c>
      <c r="D198" s="40" t="s">
        <v>288</v>
      </c>
      <c r="E198" s="28" t="s">
        <v>143</v>
      </c>
      <c r="F198" s="23" t="s">
        <v>239</v>
      </c>
      <c r="G198" s="31">
        <v>6600</v>
      </c>
      <c r="H198" s="20" t="s">
        <v>240</v>
      </c>
      <c r="I198" s="34" t="s">
        <v>241</v>
      </c>
      <c r="J198" s="34" t="s">
        <v>242</v>
      </c>
      <c r="K198" s="20" t="s">
        <v>434</v>
      </c>
      <c r="L198" s="29" t="s">
        <v>148</v>
      </c>
      <c r="M198" s="27" t="s">
        <v>180</v>
      </c>
      <c r="N198" s="33">
        <v>18813</v>
      </c>
      <c r="O198" s="17">
        <f t="shared" si="15"/>
        <v>56439</v>
      </c>
      <c r="P198" s="131">
        <v>11450</v>
      </c>
      <c r="Q198" s="27">
        <v>20</v>
      </c>
      <c r="R198" s="128">
        <f t="shared" si="16"/>
        <v>19799.4614</v>
      </c>
      <c r="S198" s="28">
        <v>0.74725799999999998</v>
      </c>
      <c r="T198" s="5">
        <v>190851.31</v>
      </c>
    </row>
    <row r="199" spans="1:55" s="28" customFormat="1" ht="15.75" customHeight="1" x14ac:dyDescent="0.2">
      <c r="A199" s="27">
        <v>3</v>
      </c>
      <c r="B199" s="28" t="s">
        <v>32</v>
      </c>
      <c r="C199" s="29" t="s">
        <v>124</v>
      </c>
      <c r="D199" s="35" t="s">
        <v>316</v>
      </c>
      <c r="E199" s="24" t="s">
        <v>17</v>
      </c>
      <c r="F199" s="23" t="s">
        <v>300</v>
      </c>
      <c r="G199" s="31">
        <v>6400</v>
      </c>
      <c r="H199" s="20" t="s">
        <v>301</v>
      </c>
      <c r="I199" s="34" t="s">
        <v>292</v>
      </c>
      <c r="J199" s="34" t="s">
        <v>293</v>
      </c>
      <c r="K199" s="20" t="s">
        <v>318</v>
      </c>
      <c r="L199" s="41" t="s">
        <v>307</v>
      </c>
      <c r="M199" s="27" t="s">
        <v>180</v>
      </c>
      <c r="N199" s="33">
        <v>19021</v>
      </c>
      <c r="O199" s="17">
        <f t="shared" si="15"/>
        <v>57063</v>
      </c>
      <c r="P199" s="131">
        <v>10975</v>
      </c>
      <c r="Q199" s="27">
        <v>19</v>
      </c>
      <c r="R199" s="128">
        <f t="shared" si="16"/>
        <v>20864.649239473685</v>
      </c>
      <c r="S199" s="28">
        <v>0.74725799999999998</v>
      </c>
      <c r="T199" s="5">
        <v>190851.31</v>
      </c>
    </row>
    <row r="200" spans="1:55" s="28" customFormat="1" ht="15.75" customHeight="1" x14ac:dyDescent="0.2">
      <c r="A200" s="27">
        <v>3</v>
      </c>
      <c r="B200" s="28" t="s">
        <v>32</v>
      </c>
      <c r="C200" s="29" t="s">
        <v>124</v>
      </c>
      <c r="D200" s="35" t="s">
        <v>291</v>
      </c>
      <c r="E200" s="24" t="s">
        <v>17</v>
      </c>
      <c r="F200" s="23" t="s">
        <v>300</v>
      </c>
      <c r="G200" s="31">
        <v>6400</v>
      </c>
      <c r="H200" s="20" t="s">
        <v>301</v>
      </c>
      <c r="I200" s="34" t="s">
        <v>292</v>
      </c>
      <c r="J200" s="34" t="s">
        <v>293</v>
      </c>
      <c r="K200" s="20" t="s">
        <v>318</v>
      </c>
      <c r="L200" s="29" t="s">
        <v>294</v>
      </c>
      <c r="M200" s="27" t="s">
        <v>180</v>
      </c>
      <c r="N200" s="33">
        <v>19174.86</v>
      </c>
      <c r="O200" s="17">
        <f t="shared" si="15"/>
        <v>57524.58</v>
      </c>
      <c r="P200" s="131">
        <v>10975</v>
      </c>
      <c r="Q200" s="27">
        <v>19</v>
      </c>
      <c r="R200" s="128">
        <f t="shared" si="16"/>
        <v>21018.509239473686</v>
      </c>
      <c r="S200" s="28">
        <v>0.74725799999999998</v>
      </c>
      <c r="T200" s="5">
        <v>190851.31</v>
      </c>
    </row>
    <row r="201" spans="1:55" s="38" customFormat="1" ht="15.75" customHeight="1" x14ac:dyDescent="0.2">
      <c r="A201" s="27">
        <v>3</v>
      </c>
      <c r="B201" s="28" t="s">
        <v>32</v>
      </c>
      <c r="C201" s="29" t="s">
        <v>124</v>
      </c>
      <c r="D201" s="35" t="s">
        <v>291</v>
      </c>
      <c r="E201" s="24" t="s">
        <v>17</v>
      </c>
      <c r="F201" s="23" t="s">
        <v>300</v>
      </c>
      <c r="G201" s="31">
        <v>6400</v>
      </c>
      <c r="H201" s="20" t="s">
        <v>301</v>
      </c>
      <c r="I201" s="34" t="s">
        <v>18</v>
      </c>
      <c r="J201" s="34" t="s">
        <v>19</v>
      </c>
      <c r="K201" s="20" t="s">
        <v>421</v>
      </c>
      <c r="L201" s="29" t="s">
        <v>294</v>
      </c>
      <c r="M201" s="27" t="s">
        <v>180</v>
      </c>
      <c r="N201" s="33">
        <v>20480.849999999999</v>
      </c>
      <c r="O201" s="17">
        <f t="shared" si="15"/>
        <v>61442.549999999996</v>
      </c>
      <c r="P201" s="131">
        <f>9100+475-250</f>
        <v>9325</v>
      </c>
      <c r="Q201" s="27">
        <v>20</v>
      </c>
      <c r="R201" s="128">
        <f t="shared" si="16"/>
        <v>23055.234649999999</v>
      </c>
      <c r="S201" s="28">
        <v>0.74725799999999998</v>
      </c>
      <c r="T201" s="5">
        <v>190851.31</v>
      </c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</row>
    <row r="202" spans="1:55" s="28" customFormat="1" ht="15.75" customHeight="1" x14ac:dyDescent="0.2">
      <c r="A202" s="27">
        <v>3</v>
      </c>
      <c r="B202" s="28" t="s">
        <v>32</v>
      </c>
      <c r="C202" s="29" t="s">
        <v>124</v>
      </c>
      <c r="D202" s="40" t="s">
        <v>142</v>
      </c>
      <c r="E202" s="28" t="s">
        <v>143</v>
      </c>
      <c r="F202" s="23" t="s">
        <v>144</v>
      </c>
      <c r="G202" s="31">
        <v>6600</v>
      </c>
      <c r="H202" s="20" t="s">
        <v>145</v>
      </c>
      <c r="I202" s="34" t="s">
        <v>146</v>
      </c>
      <c r="J202" s="34" t="s">
        <v>147</v>
      </c>
      <c r="K202" s="20" t="s">
        <v>434</v>
      </c>
      <c r="L202" s="29" t="s">
        <v>148</v>
      </c>
      <c r="M202" s="27" t="s">
        <v>149</v>
      </c>
      <c r="N202" s="33">
        <v>21112</v>
      </c>
      <c r="O202" s="17">
        <f t="shared" si="15"/>
        <v>63336</v>
      </c>
      <c r="P202" s="131">
        <v>8925</v>
      </c>
      <c r="Q202" s="27">
        <v>20</v>
      </c>
      <c r="R202" s="128">
        <f t="shared" si="16"/>
        <v>23985.287850000001</v>
      </c>
      <c r="S202" s="28">
        <v>0.74725799999999998</v>
      </c>
      <c r="T202" s="5">
        <v>190851.31</v>
      </c>
    </row>
    <row r="203" spans="1:55" s="28" customFormat="1" ht="15.75" customHeight="1" x14ac:dyDescent="0.2">
      <c r="A203" s="27">
        <v>3</v>
      </c>
      <c r="B203" s="28" t="s">
        <v>32</v>
      </c>
      <c r="C203" s="29" t="s">
        <v>124</v>
      </c>
      <c r="D203" s="130" t="s">
        <v>287</v>
      </c>
      <c r="E203" s="23" t="s">
        <v>179</v>
      </c>
      <c r="F203" s="23" t="s">
        <v>181</v>
      </c>
      <c r="G203" s="31">
        <v>6750</v>
      </c>
      <c r="H203" s="20" t="s">
        <v>183</v>
      </c>
      <c r="I203" s="34" t="s">
        <v>184</v>
      </c>
      <c r="J203" s="34" t="s">
        <v>185</v>
      </c>
      <c r="K203" s="20" t="s">
        <v>182</v>
      </c>
      <c r="L203" s="29">
        <v>446</v>
      </c>
      <c r="M203" s="27" t="s">
        <v>180</v>
      </c>
      <c r="N203" s="33">
        <v>16862</v>
      </c>
      <c r="O203" s="17">
        <f t="shared" si="15"/>
        <v>50586</v>
      </c>
      <c r="P203" s="131" t="s">
        <v>439</v>
      </c>
      <c r="Q203" s="45" t="s">
        <v>439</v>
      </c>
      <c r="R203" s="128" t="e">
        <f t="shared" si="16"/>
        <v>#VALUE!</v>
      </c>
      <c r="S203" s="28">
        <v>0.74725799999999998</v>
      </c>
      <c r="T203" s="5">
        <v>190851.31</v>
      </c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</row>
    <row r="204" spans="1:55" s="28" customFormat="1" ht="15.75" customHeight="1" x14ac:dyDescent="0.2">
      <c r="A204" s="27">
        <v>3</v>
      </c>
      <c r="B204" s="28" t="s">
        <v>32</v>
      </c>
      <c r="C204" s="29" t="s">
        <v>124</v>
      </c>
      <c r="D204" s="35" t="s">
        <v>289</v>
      </c>
      <c r="E204" s="23" t="s">
        <v>179</v>
      </c>
      <c r="F204" s="23" t="s">
        <v>181</v>
      </c>
      <c r="G204" s="31">
        <v>6750</v>
      </c>
      <c r="H204" s="20" t="s">
        <v>183</v>
      </c>
      <c r="I204" s="34" t="s">
        <v>191</v>
      </c>
      <c r="J204" s="34" t="s">
        <v>192</v>
      </c>
      <c r="K204" s="20" t="s">
        <v>182</v>
      </c>
      <c r="L204" s="29">
        <v>446</v>
      </c>
      <c r="M204" s="27" t="s">
        <v>180</v>
      </c>
      <c r="N204" s="33">
        <v>19229</v>
      </c>
      <c r="O204" s="17">
        <f t="shared" si="15"/>
        <v>57687</v>
      </c>
      <c r="P204" s="131" t="s">
        <v>439</v>
      </c>
      <c r="Q204" s="45" t="s">
        <v>439</v>
      </c>
      <c r="R204" s="128" t="e">
        <f t="shared" si="16"/>
        <v>#VALUE!</v>
      </c>
      <c r="S204" s="28">
        <v>0.74725799999999998</v>
      </c>
      <c r="T204" s="5">
        <v>190851.31</v>
      </c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</row>
    <row r="205" spans="1:55" s="28" customFormat="1" ht="15.75" customHeight="1" x14ac:dyDescent="0.2">
      <c r="A205" s="27">
        <v>1</v>
      </c>
      <c r="B205" s="28" t="s">
        <v>33</v>
      </c>
      <c r="C205" s="29" t="s">
        <v>124</v>
      </c>
      <c r="D205" s="40" t="s">
        <v>288</v>
      </c>
      <c r="E205" s="28" t="s">
        <v>143</v>
      </c>
      <c r="F205" s="23" t="s">
        <v>239</v>
      </c>
      <c r="G205" s="31">
        <v>6600</v>
      </c>
      <c r="H205" s="20" t="s">
        <v>240</v>
      </c>
      <c r="I205" s="34" t="s">
        <v>241</v>
      </c>
      <c r="J205" s="34" t="s">
        <v>242</v>
      </c>
      <c r="K205" s="20" t="s">
        <v>434</v>
      </c>
      <c r="L205" s="29" t="s">
        <v>148</v>
      </c>
      <c r="M205" s="27" t="s">
        <v>180</v>
      </c>
      <c r="N205" s="33">
        <v>18907.5</v>
      </c>
      <c r="O205" s="17">
        <f t="shared" si="15"/>
        <v>18907.5</v>
      </c>
      <c r="P205" s="131">
        <v>11450</v>
      </c>
      <c r="Q205" s="27">
        <v>20</v>
      </c>
      <c r="R205" s="128">
        <f t="shared" si="16"/>
        <v>19893.9614</v>
      </c>
      <c r="S205" s="28">
        <v>0.74725799999999998</v>
      </c>
      <c r="T205" s="5">
        <v>190851.31</v>
      </c>
    </row>
    <row r="206" spans="1:55" s="28" customFormat="1" ht="15.75" customHeight="1" x14ac:dyDescent="0.2">
      <c r="A206" s="27">
        <v>1</v>
      </c>
      <c r="B206" s="28" t="s">
        <v>33</v>
      </c>
      <c r="C206" s="29" t="s">
        <v>124</v>
      </c>
      <c r="D206" s="35" t="s">
        <v>316</v>
      </c>
      <c r="E206" s="24" t="s">
        <v>17</v>
      </c>
      <c r="F206" s="23" t="s">
        <v>300</v>
      </c>
      <c r="G206" s="31">
        <v>6400</v>
      </c>
      <c r="H206" s="20" t="s">
        <v>301</v>
      </c>
      <c r="I206" s="34" t="s">
        <v>292</v>
      </c>
      <c r="J206" s="34" t="s">
        <v>293</v>
      </c>
      <c r="K206" s="20" t="s">
        <v>318</v>
      </c>
      <c r="L206" s="41" t="s">
        <v>307</v>
      </c>
      <c r="M206" s="27" t="s">
        <v>180</v>
      </c>
      <c r="N206" s="33">
        <v>19446</v>
      </c>
      <c r="O206" s="17">
        <f t="shared" si="15"/>
        <v>19446</v>
      </c>
      <c r="P206" s="131">
        <v>10975</v>
      </c>
      <c r="Q206" s="27">
        <v>19</v>
      </c>
      <c r="R206" s="128">
        <f t="shared" si="16"/>
        <v>21289.649239473685</v>
      </c>
      <c r="S206" s="28">
        <v>0.74725799999999998</v>
      </c>
      <c r="T206" s="5">
        <v>190851.31</v>
      </c>
    </row>
    <row r="207" spans="1:55" s="28" customFormat="1" ht="15.75" customHeight="1" x14ac:dyDescent="0.2">
      <c r="A207" s="27">
        <v>1</v>
      </c>
      <c r="B207" s="28" t="s">
        <v>33</v>
      </c>
      <c r="C207" s="29" t="s">
        <v>124</v>
      </c>
      <c r="D207" s="35" t="s">
        <v>291</v>
      </c>
      <c r="E207" s="24" t="s">
        <v>17</v>
      </c>
      <c r="F207" s="23" t="s">
        <v>300</v>
      </c>
      <c r="G207" s="31">
        <v>6400</v>
      </c>
      <c r="H207" s="20" t="s">
        <v>301</v>
      </c>
      <c r="I207" s="34" t="s">
        <v>292</v>
      </c>
      <c r="J207" s="34" t="s">
        <v>293</v>
      </c>
      <c r="K207" s="20" t="s">
        <v>318</v>
      </c>
      <c r="L207" s="29" t="s">
        <v>294</v>
      </c>
      <c r="M207" s="27" t="s">
        <v>180</v>
      </c>
      <c r="N207" s="33">
        <v>19543.86</v>
      </c>
      <c r="O207" s="17">
        <f t="shared" si="15"/>
        <v>19543.86</v>
      </c>
      <c r="P207" s="131">
        <v>10975</v>
      </c>
      <c r="Q207" s="27">
        <v>19</v>
      </c>
      <c r="R207" s="128">
        <f t="shared" si="16"/>
        <v>21387.509239473686</v>
      </c>
      <c r="S207" s="28">
        <v>0.74725799999999998</v>
      </c>
      <c r="T207" s="5">
        <v>190851.31</v>
      </c>
    </row>
    <row r="208" spans="1:55" s="28" customFormat="1" ht="15.75" customHeight="1" x14ac:dyDescent="0.2">
      <c r="A208" s="27">
        <v>1</v>
      </c>
      <c r="B208" s="28" t="s">
        <v>33</v>
      </c>
      <c r="C208" s="29" t="s">
        <v>124</v>
      </c>
      <c r="D208" s="35" t="s">
        <v>291</v>
      </c>
      <c r="E208" s="24" t="s">
        <v>17</v>
      </c>
      <c r="F208" s="23" t="s">
        <v>300</v>
      </c>
      <c r="G208" s="31">
        <v>6400</v>
      </c>
      <c r="H208" s="20" t="s">
        <v>301</v>
      </c>
      <c r="I208" s="34" t="s">
        <v>18</v>
      </c>
      <c r="J208" s="34" t="s">
        <v>19</v>
      </c>
      <c r="K208" s="20" t="s">
        <v>421</v>
      </c>
      <c r="L208" s="29" t="s">
        <v>294</v>
      </c>
      <c r="M208" s="27" t="s">
        <v>180</v>
      </c>
      <c r="N208" s="33">
        <v>20701.400000000001</v>
      </c>
      <c r="O208" s="17">
        <f t="shared" si="15"/>
        <v>20701.400000000001</v>
      </c>
      <c r="P208" s="131">
        <f>9100+475-250</f>
        <v>9325</v>
      </c>
      <c r="Q208" s="27">
        <v>20</v>
      </c>
      <c r="R208" s="128">
        <f t="shared" si="16"/>
        <v>23275.784650000001</v>
      </c>
      <c r="S208" s="28">
        <v>0.74725799999999998</v>
      </c>
      <c r="T208" s="5">
        <v>190851.31</v>
      </c>
    </row>
    <row r="209" spans="1:55" s="28" customFormat="1" ht="15.75" customHeight="1" x14ac:dyDescent="0.2">
      <c r="A209" s="27">
        <v>1</v>
      </c>
      <c r="B209" s="28" t="s">
        <v>33</v>
      </c>
      <c r="C209" s="29" t="s">
        <v>124</v>
      </c>
      <c r="D209" s="40" t="s">
        <v>142</v>
      </c>
      <c r="E209" s="28" t="s">
        <v>143</v>
      </c>
      <c r="F209" s="23" t="s">
        <v>144</v>
      </c>
      <c r="G209" s="31">
        <v>6600</v>
      </c>
      <c r="H209" s="20" t="s">
        <v>145</v>
      </c>
      <c r="I209" s="34" t="s">
        <v>146</v>
      </c>
      <c r="J209" s="34" t="s">
        <v>147</v>
      </c>
      <c r="K209" s="20" t="s">
        <v>434</v>
      </c>
      <c r="L209" s="29" t="s">
        <v>148</v>
      </c>
      <c r="M209" s="39" t="s">
        <v>442</v>
      </c>
      <c r="N209" s="33">
        <v>20794</v>
      </c>
      <c r="O209" s="17">
        <f t="shared" si="15"/>
        <v>20794</v>
      </c>
      <c r="P209" s="131">
        <v>8925</v>
      </c>
      <c r="Q209" s="27">
        <v>20</v>
      </c>
      <c r="R209" s="128">
        <f t="shared" si="16"/>
        <v>23667.287850000001</v>
      </c>
      <c r="S209" s="28">
        <v>0.74725799999999998</v>
      </c>
      <c r="T209" s="5">
        <v>190851.31</v>
      </c>
    </row>
    <row r="210" spans="1:55" s="28" customFormat="1" ht="15.75" customHeight="1" x14ac:dyDescent="0.2">
      <c r="A210" s="27">
        <v>1</v>
      </c>
      <c r="B210" s="28" t="s">
        <v>33</v>
      </c>
      <c r="C210" s="29" t="s">
        <v>124</v>
      </c>
      <c r="D210" s="130" t="s">
        <v>287</v>
      </c>
      <c r="E210" s="23" t="s">
        <v>179</v>
      </c>
      <c r="F210" s="23" t="s">
        <v>181</v>
      </c>
      <c r="G210" s="31">
        <v>6750</v>
      </c>
      <c r="H210" s="20" t="s">
        <v>183</v>
      </c>
      <c r="I210" s="34" t="s">
        <v>184</v>
      </c>
      <c r="J210" s="34" t="s">
        <v>185</v>
      </c>
      <c r="K210" s="20" t="s">
        <v>182</v>
      </c>
      <c r="L210" s="29">
        <v>446</v>
      </c>
      <c r="M210" s="27" t="s">
        <v>180</v>
      </c>
      <c r="N210" s="33">
        <v>16929</v>
      </c>
      <c r="O210" s="17">
        <f t="shared" si="15"/>
        <v>16929</v>
      </c>
      <c r="P210" s="131" t="s">
        <v>439</v>
      </c>
      <c r="Q210" s="45" t="s">
        <v>439</v>
      </c>
      <c r="R210" s="128" t="e">
        <f t="shared" si="16"/>
        <v>#VALUE!</v>
      </c>
      <c r="S210" s="28">
        <v>0.74725799999999998</v>
      </c>
      <c r="T210" s="5">
        <v>190851.31</v>
      </c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</row>
    <row r="211" spans="1:55" s="28" customFormat="1" ht="15.75" customHeight="1" x14ac:dyDescent="0.2">
      <c r="A211" s="27">
        <v>1</v>
      </c>
      <c r="B211" s="28" t="s">
        <v>33</v>
      </c>
      <c r="C211" s="29" t="s">
        <v>124</v>
      </c>
      <c r="D211" s="35" t="s">
        <v>289</v>
      </c>
      <c r="E211" s="23" t="s">
        <v>179</v>
      </c>
      <c r="F211" s="23" t="s">
        <v>181</v>
      </c>
      <c r="G211" s="31">
        <v>6750</v>
      </c>
      <c r="H211" s="20" t="s">
        <v>183</v>
      </c>
      <c r="I211" s="34" t="s">
        <v>191</v>
      </c>
      <c r="J211" s="34" t="s">
        <v>192</v>
      </c>
      <c r="K211" s="20" t="s">
        <v>182</v>
      </c>
      <c r="L211" s="29">
        <v>446</v>
      </c>
      <c r="M211" s="27" t="s">
        <v>180</v>
      </c>
      <c r="N211" s="33">
        <v>19604</v>
      </c>
      <c r="O211" s="17">
        <f t="shared" si="15"/>
        <v>19604</v>
      </c>
      <c r="P211" s="131" t="s">
        <v>439</v>
      </c>
      <c r="Q211" s="45" t="s">
        <v>439</v>
      </c>
      <c r="R211" s="128" t="e">
        <f t="shared" si="16"/>
        <v>#VALUE!</v>
      </c>
      <c r="S211" s="28">
        <v>0.74725799999999998</v>
      </c>
      <c r="T211" s="5">
        <v>190851.31</v>
      </c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</row>
    <row r="212" spans="1:55" s="28" customFormat="1" ht="15.75" customHeight="1" x14ac:dyDescent="0.2">
      <c r="A212" s="27">
        <v>3</v>
      </c>
      <c r="B212" s="28" t="s">
        <v>34</v>
      </c>
      <c r="C212" s="29" t="s">
        <v>124</v>
      </c>
      <c r="D212" s="40" t="s">
        <v>288</v>
      </c>
      <c r="E212" s="28" t="s">
        <v>143</v>
      </c>
      <c r="F212" s="23" t="s">
        <v>239</v>
      </c>
      <c r="G212" s="31">
        <v>6600</v>
      </c>
      <c r="H212" s="20" t="s">
        <v>240</v>
      </c>
      <c r="I212" s="34" t="s">
        <v>241</v>
      </c>
      <c r="J212" s="34" t="s">
        <v>242</v>
      </c>
      <c r="K212" s="20" t="s">
        <v>434</v>
      </c>
      <c r="L212" s="29" t="s">
        <v>148</v>
      </c>
      <c r="M212" s="27" t="s">
        <v>180</v>
      </c>
      <c r="N212" s="33">
        <v>17981.5</v>
      </c>
      <c r="O212" s="17">
        <f t="shared" si="15"/>
        <v>53944.5</v>
      </c>
      <c r="P212" s="131">
        <v>11450</v>
      </c>
      <c r="Q212" s="27">
        <v>20</v>
      </c>
      <c r="R212" s="128">
        <f t="shared" si="16"/>
        <v>18967.9614</v>
      </c>
      <c r="S212" s="28">
        <v>0.74725799999999998</v>
      </c>
      <c r="T212" s="5">
        <v>190851.31</v>
      </c>
    </row>
    <row r="213" spans="1:55" s="28" customFormat="1" ht="15.75" customHeight="1" x14ac:dyDescent="0.2">
      <c r="A213" s="27">
        <v>3</v>
      </c>
      <c r="B213" s="28" t="s">
        <v>34</v>
      </c>
      <c r="C213" s="29" t="s">
        <v>124</v>
      </c>
      <c r="D213" s="35" t="s">
        <v>291</v>
      </c>
      <c r="E213" s="24" t="s">
        <v>17</v>
      </c>
      <c r="F213" s="23" t="s">
        <v>300</v>
      </c>
      <c r="G213" s="31">
        <v>6400</v>
      </c>
      <c r="H213" s="20" t="s">
        <v>301</v>
      </c>
      <c r="I213" s="34" t="s">
        <v>292</v>
      </c>
      <c r="J213" s="34" t="s">
        <v>293</v>
      </c>
      <c r="K213" s="20" t="s">
        <v>318</v>
      </c>
      <c r="L213" s="29" t="s">
        <v>294</v>
      </c>
      <c r="M213" s="27" t="s">
        <v>180</v>
      </c>
      <c r="N213" s="33">
        <v>18425.03</v>
      </c>
      <c r="O213" s="17">
        <f t="shared" si="15"/>
        <v>55275.09</v>
      </c>
      <c r="P213" s="131">
        <v>10975</v>
      </c>
      <c r="Q213" s="27">
        <v>19</v>
      </c>
      <c r="R213" s="128">
        <f t="shared" si="16"/>
        <v>20268.679239473684</v>
      </c>
      <c r="S213" s="28">
        <v>0.74725799999999998</v>
      </c>
      <c r="T213" s="5">
        <v>190851.31</v>
      </c>
    </row>
    <row r="214" spans="1:55" s="28" customFormat="1" ht="15.75" customHeight="1" x14ac:dyDescent="0.2">
      <c r="A214" s="27">
        <v>3</v>
      </c>
      <c r="B214" s="28" t="s">
        <v>34</v>
      </c>
      <c r="C214" s="29" t="s">
        <v>124</v>
      </c>
      <c r="D214" s="35" t="s">
        <v>316</v>
      </c>
      <c r="E214" s="24" t="s">
        <v>17</v>
      </c>
      <c r="F214" s="23" t="s">
        <v>300</v>
      </c>
      <c r="G214" s="31">
        <v>6400</v>
      </c>
      <c r="H214" s="20" t="s">
        <v>301</v>
      </c>
      <c r="I214" s="34" t="s">
        <v>292</v>
      </c>
      <c r="J214" s="34" t="s">
        <v>293</v>
      </c>
      <c r="K214" s="20" t="s">
        <v>318</v>
      </c>
      <c r="L214" s="41" t="s">
        <v>307</v>
      </c>
      <c r="M214" s="27" t="s">
        <v>180</v>
      </c>
      <c r="N214" s="33">
        <v>18469.5</v>
      </c>
      <c r="O214" s="17">
        <f t="shared" si="15"/>
        <v>55408.5</v>
      </c>
      <c r="P214" s="131">
        <v>10975</v>
      </c>
      <c r="Q214" s="27">
        <v>19</v>
      </c>
      <c r="R214" s="128">
        <f t="shared" si="16"/>
        <v>20313.149239473685</v>
      </c>
      <c r="S214" s="28">
        <v>0.74725799999999998</v>
      </c>
      <c r="T214" s="5">
        <v>190851.31</v>
      </c>
    </row>
    <row r="215" spans="1:55" s="28" customFormat="1" ht="15.75" customHeight="1" x14ac:dyDescent="0.2">
      <c r="A215" s="27">
        <v>3</v>
      </c>
      <c r="B215" s="28" t="s">
        <v>34</v>
      </c>
      <c r="C215" s="29" t="s">
        <v>124</v>
      </c>
      <c r="D215" s="35" t="s">
        <v>291</v>
      </c>
      <c r="E215" s="24" t="s">
        <v>17</v>
      </c>
      <c r="F215" s="23" t="s">
        <v>300</v>
      </c>
      <c r="G215" s="31">
        <v>6400</v>
      </c>
      <c r="H215" s="20" t="s">
        <v>301</v>
      </c>
      <c r="I215" s="34" t="s">
        <v>18</v>
      </c>
      <c r="J215" s="34" t="s">
        <v>19</v>
      </c>
      <c r="K215" s="20" t="s">
        <v>421</v>
      </c>
      <c r="L215" s="29" t="s">
        <v>294</v>
      </c>
      <c r="M215" s="27" t="s">
        <v>180</v>
      </c>
      <c r="N215" s="33">
        <v>19546.27</v>
      </c>
      <c r="O215" s="17">
        <f t="shared" si="15"/>
        <v>58638.81</v>
      </c>
      <c r="P215" s="131">
        <f>9100+475-250</f>
        <v>9325</v>
      </c>
      <c r="Q215" s="27">
        <v>20</v>
      </c>
      <c r="R215" s="128">
        <f t="shared" si="16"/>
        <v>22120.65465</v>
      </c>
      <c r="S215" s="28">
        <v>0.74725799999999998</v>
      </c>
      <c r="T215" s="5">
        <v>190851.31</v>
      </c>
    </row>
    <row r="216" spans="1:55" s="28" customFormat="1" ht="15.75" customHeight="1" x14ac:dyDescent="0.2">
      <c r="A216" s="27">
        <v>3</v>
      </c>
      <c r="B216" s="28" t="s">
        <v>34</v>
      </c>
      <c r="C216" s="29" t="s">
        <v>124</v>
      </c>
      <c r="D216" s="40" t="s">
        <v>142</v>
      </c>
      <c r="E216" s="28" t="s">
        <v>143</v>
      </c>
      <c r="F216" s="23" t="s">
        <v>144</v>
      </c>
      <c r="G216" s="31">
        <v>6600</v>
      </c>
      <c r="H216" s="20" t="s">
        <v>145</v>
      </c>
      <c r="I216" s="34" t="s">
        <v>146</v>
      </c>
      <c r="J216" s="34" t="s">
        <v>147</v>
      </c>
      <c r="K216" s="20" t="s">
        <v>434</v>
      </c>
      <c r="L216" s="29" t="s">
        <v>148</v>
      </c>
      <c r="M216" s="39" t="s">
        <v>442</v>
      </c>
      <c r="N216" s="33">
        <v>20149</v>
      </c>
      <c r="O216" s="17">
        <f t="shared" si="15"/>
        <v>60447</v>
      </c>
      <c r="P216" s="131">
        <v>8925</v>
      </c>
      <c r="Q216" s="27">
        <v>20</v>
      </c>
      <c r="R216" s="128">
        <f t="shared" si="16"/>
        <v>23022.287850000001</v>
      </c>
      <c r="S216" s="28">
        <v>0.74725799999999998</v>
      </c>
      <c r="T216" s="5">
        <v>190851.31</v>
      </c>
    </row>
    <row r="217" spans="1:55" s="28" customFormat="1" ht="15.75" customHeight="1" x14ac:dyDescent="0.2">
      <c r="A217" s="27">
        <v>3</v>
      </c>
      <c r="B217" s="28" t="s">
        <v>34</v>
      </c>
      <c r="C217" s="29" t="s">
        <v>124</v>
      </c>
      <c r="D217" s="130" t="s">
        <v>287</v>
      </c>
      <c r="E217" s="23" t="s">
        <v>179</v>
      </c>
      <c r="F217" s="23" t="s">
        <v>181</v>
      </c>
      <c r="G217" s="31">
        <v>6750</v>
      </c>
      <c r="H217" s="20" t="s">
        <v>183</v>
      </c>
      <c r="I217" s="34" t="s">
        <v>184</v>
      </c>
      <c r="J217" s="34" t="s">
        <v>185</v>
      </c>
      <c r="K217" s="20" t="s">
        <v>182</v>
      </c>
      <c r="L217" s="29">
        <v>446</v>
      </c>
      <c r="M217" s="27" t="s">
        <v>180</v>
      </c>
      <c r="N217" s="33">
        <v>16211</v>
      </c>
      <c r="O217" s="17">
        <f t="shared" si="15"/>
        <v>48633</v>
      </c>
      <c r="P217" s="131" t="s">
        <v>439</v>
      </c>
      <c r="Q217" s="45" t="s">
        <v>439</v>
      </c>
      <c r="R217" s="128" t="e">
        <f t="shared" si="16"/>
        <v>#VALUE!</v>
      </c>
      <c r="S217" s="28">
        <v>0.74725799999999998</v>
      </c>
      <c r="T217" s="5">
        <v>190851.31</v>
      </c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</row>
    <row r="218" spans="1:55" s="28" customFormat="1" ht="15.75" customHeight="1" x14ac:dyDescent="0.2">
      <c r="A218" s="27">
        <v>3</v>
      </c>
      <c r="B218" s="28" t="s">
        <v>34</v>
      </c>
      <c r="C218" s="29" t="s">
        <v>124</v>
      </c>
      <c r="D218" s="35" t="s">
        <v>289</v>
      </c>
      <c r="E218" s="23" t="s">
        <v>179</v>
      </c>
      <c r="F218" s="23" t="s">
        <v>181</v>
      </c>
      <c r="G218" s="31">
        <v>6750</v>
      </c>
      <c r="H218" s="20" t="s">
        <v>183</v>
      </c>
      <c r="I218" s="34" t="s">
        <v>191</v>
      </c>
      <c r="J218" s="34" t="s">
        <v>192</v>
      </c>
      <c r="K218" s="20" t="s">
        <v>182</v>
      </c>
      <c r="L218" s="29">
        <v>446</v>
      </c>
      <c r="M218" s="27" t="s">
        <v>180</v>
      </c>
      <c r="N218" s="33">
        <v>19063</v>
      </c>
      <c r="O218" s="17">
        <f t="shared" si="15"/>
        <v>57189</v>
      </c>
      <c r="P218" s="131" t="s">
        <v>439</v>
      </c>
      <c r="Q218" s="45" t="s">
        <v>439</v>
      </c>
      <c r="R218" s="128" t="e">
        <f t="shared" si="16"/>
        <v>#VALUE!</v>
      </c>
      <c r="S218" s="28">
        <v>0.74725799999999998</v>
      </c>
      <c r="T218" s="5">
        <v>190851.31</v>
      </c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</row>
    <row r="219" spans="1:55" s="28" customFormat="1" ht="15.75" customHeight="1" x14ac:dyDescent="0.2">
      <c r="A219" s="27">
        <v>1</v>
      </c>
      <c r="B219" s="28" t="s">
        <v>35</v>
      </c>
      <c r="C219" s="29" t="s">
        <v>124</v>
      </c>
      <c r="D219" s="40" t="s">
        <v>288</v>
      </c>
      <c r="E219" s="28" t="s">
        <v>143</v>
      </c>
      <c r="F219" s="23" t="s">
        <v>239</v>
      </c>
      <c r="G219" s="31">
        <v>6600</v>
      </c>
      <c r="H219" s="20" t="s">
        <v>240</v>
      </c>
      <c r="I219" s="34" t="s">
        <v>241</v>
      </c>
      <c r="J219" s="34" t="s">
        <v>242</v>
      </c>
      <c r="K219" s="20" t="s">
        <v>434</v>
      </c>
      <c r="L219" s="29" t="s">
        <v>148</v>
      </c>
      <c r="M219" s="27" t="s">
        <v>180</v>
      </c>
      <c r="N219" s="33">
        <v>18189.5</v>
      </c>
      <c r="O219" s="17">
        <f t="shared" si="15"/>
        <v>18189.5</v>
      </c>
      <c r="P219" s="131">
        <v>11450</v>
      </c>
      <c r="Q219" s="27">
        <v>20</v>
      </c>
      <c r="R219" s="128">
        <f t="shared" si="16"/>
        <v>19175.9614</v>
      </c>
      <c r="S219" s="28">
        <v>0.74725799999999998</v>
      </c>
      <c r="T219" s="5">
        <v>190851.31</v>
      </c>
    </row>
    <row r="220" spans="1:55" s="28" customFormat="1" ht="15.75" customHeight="1" x14ac:dyDescent="0.2">
      <c r="A220" s="27">
        <v>1</v>
      </c>
      <c r="B220" s="28" t="s">
        <v>35</v>
      </c>
      <c r="C220" s="29" t="s">
        <v>124</v>
      </c>
      <c r="D220" s="35" t="s">
        <v>316</v>
      </c>
      <c r="E220" s="24" t="s">
        <v>17</v>
      </c>
      <c r="F220" s="23" t="s">
        <v>300</v>
      </c>
      <c r="G220" s="31">
        <v>6400</v>
      </c>
      <c r="H220" s="20" t="s">
        <v>301</v>
      </c>
      <c r="I220" s="34" t="s">
        <v>292</v>
      </c>
      <c r="J220" s="34" t="s">
        <v>293</v>
      </c>
      <c r="K220" s="20" t="s">
        <v>318</v>
      </c>
      <c r="L220" s="41" t="s">
        <v>307</v>
      </c>
      <c r="M220" s="27" t="s">
        <v>180</v>
      </c>
      <c r="N220" s="33">
        <v>18704.5</v>
      </c>
      <c r="O220" s="17">
        <f t="shared" si="15"/>
        <v>18704.5</v>
      </c>
      <c r="P220" s="131">
        <v>10975</v>
      </c>
      <c r="Q220" s="27">
        <v>19</v>
      </c>
      <c r="R220" s="128">
        <f t="shared" si="16"/>
        <v>20548.149239473685</v>
      </c>
      <c r="S220" s="28">
        <v>0.74725799999999998</v>
      </c>
      <c r="T220" s="5">
        <v>190851.31</v>
      </c>
    </row>
    <row r="221" spans="1:55" s="28" customFormat="1" ht="15.75" customHeight="1" x14ac:dyDescent="0.2">
      <c r="A221" s="27">
        <v>1</v>
      </c>
      <c r="B221" s="28" t="s">
        <v>35</v>
      </c>
      <c r="C221" s="29" t="s">
        <v>124</v>
      </c>
      <c r="D221" s="35" t="s">
        <v>291</v>
      </c>
      <c r="E221" s="24" t="s">
        <v>17</v>
      </c>
      <c r="F221" s="23" t="s">
        <v>300</v>
      </c>
      <c r="G221" s="31">
        <v>6400</v>
      </c>
      <c r="H221" s="20" t="s">
        <v>301</v>
      </c>
      <c r="I221" s="34" t="s">
        <v>18</v>
      </c>
      <c r="J221" s="34" t="s">
        <v>19</v>
      </c>
      <c r="K221" s="20" t="s">
        <v>421</v>
      </c>
      <c r="L221" s="29" t="s">
        <v>294</v>
      </c>
      <c r="M221" s="27" t="s">
        <v>180</v>
      </c>
      <c r="N221" s="33">
        <v>18165.52</v>
      </c>
      <c r="O221" s="17">
        <f t="shared" si="15"/>
        <v>18165.52</v>
      </c>
      <c r="P221" s="131">
        <f>9100+475-250</f>
        <v>9325</v>
      </c>
      <c r="Q221" s="27">
        <v>20</v>
      </c>
      <c r="R221" s="128">
        <f t="shared" si="16"/>
        <v>20739.90465</v>
      </c>
      <c r="S221" s="28">
        <v>0.74725799999999998</v>
      </c>
      <c r="T221" s="5">
        <v>190851.31</v>
      </c>
    </row>
    <row r="222" spans="1:55" s="28" customFormat="1" ht="15.75" customHeight="1" x14ac:dyDescent="0.2">
      <c r="A222" s="27">
        <v>1</v>
      </c>
      <c r="B222" s="28" t="s">
        <v>35</v>
      </c>
      <c r="C222" s="29" t="s">
        <v>124</v>
      </c>
      <c r="D222" s="35" t="s">
        <v>291</v>
      </c>
      <c r="E222" s="24" t="s">
        <v>17</v>
      </c>
      <c r="F222" s="23" t="s">
        <v>300</v>
      </c>
      <c r="G222" s="31">
        <v>6400</v>
      </c>
      <c r="H222" s="20" t="s">
        <v>301</v>
      </c>
      <c r="I222" s="34" t="s">
        <v>292</v>
      </c>
      <c r="J222" s="34" t="s">
        <v>293</v>
      </c>
      <c r="K222" s="20" t="s">
        <v>318</v>
      </c>
      <c r="L222" s="29" t="s">
        <v>294</v>
      </c>
      <c r="M222" s="27" t="s">
        <v>180</v>
      </c>
      <c r="N222" s="33">
        <v>18935.03</v>
      </c>
      <c r="O222" s="17">
        <f t="shared" si="15"/>
        <v>18935.03</v>
      </c>
      <c r="P222" s="131">
        <v>10975</v>
      </c>
      <c r="Q222" s="27">
        <v>19</v>
      </c>
      <c r="R222" s="128">
        <f t="shared" si="16"/>
        <v>20778.679239473684</v>
      </c>
      <c r="S222" s="28">
        <v>0.74725799999999998</v>
      </c>
      <c r="T222" s="5">
        <v>190851.31</v>
      </c>
    </row>
    <row r="223" spans="1:55" s="28" customFormat="1" ht="15.75" customHeight="1" x14ac:dyDescent="0.2">
      <c r="A223" s="27">
        <v>1</v>
      </c>
      <c r="B223" s="28" t="s">
        <v>35</v>
      </c>
      <c r="C223" s="29" t="s">
        <v>124</v>
      </c>
      <c r="D223" s="40" t="s">
        <v>142</v>
      </c>
      <c r="E223" s="28" t="s">
        <v>143</v>
      </c>
      <c r="F223" s="23" t="s">
        <v>144</v>
      </c>
      <c r="G223" s="31">
        <v>6600</v>
      </c>
      <c r="H223" s="20" t="s">
        <v>145</v>
      </c>
      <c r="I223" s="34" t="s">
        <v>146</v>
      </c>
      <c r="J223" s="34" t="s">
        <v>147</v>
      </c>
      <c r="K223" s="20" t="s">
        <v>434</v>
      </c>
      <c r="L223" s="29" t="s">
        <v>148</v>
      </c>
      <c r="M223" s="39" t="s">
        <v>442</v>
      </c>
      <c r="N223" s="33">
        <v>19659</v>
      </c>
      <c r="O223" s="17">
        <f t="shared" ref="O223:O254" si="17">A223*N223</f>
        <v>19659</v>
      </c>
      <c r="P223" s="131">
        <v>8925</v>
      </c>
      <c r="Q223" s="27">
        <v>20</v>
      </c>
      <c r="R223" s="128">
        <f t="shared" ref="R223:R254" si="18">N223+(T223/Q223)-(P223*AO$310)</f>
        <v>22532.287850000001</v>
      </c>
      <c r="S223" s="28">
        <v>0.74725799999999998</v>
      </c>
      <c r="T223" s="5">
        <v>190851.31</v>
      </c>
    </row>
    <row r="224" spans="1:55" s="28" customFormat="1" ht="15.75" customHeight="1" x14ac:dyDescent="0.2">
      <c r="A224" s="27">
        <v>1</v>
      </c>
      <c r="B224" s="28" t="s">
        <v>35</v>
      </c>
      <c r="C224" s="29" t="s">
        <v>124</v>
      </c>
      <c r="D224" s="130" t="s">
        <v>287</v>
      </c>
      <c r="E224" s="23" t="s">
        <v>179</v>
      </c>
      <c r="F224" s="23" t="s">
        <v>181</v>
      </c>
      <c r="G224" s="31">
        <v>6750</v>
      </c>
      <c r="H224" s="20" t="s">
        <v>183</v>
      </c>
      <c r="I224" s="34" t="s">
        <v>184</v>
      </c>
      <c r="J224" s="34" t="s">
        <v>185</v>
      </c>
      <c r="K224" s="20" t="s">
        <v>182</v>
      </c>
      <c r="L224" s="29">
        <v>446</v>
      </c>
      <c r="M224" s="27" t="s">
        <v>180</v>
      </c>
      <c r="N224" s="33">
        <v>15679</v>
      </c>
      <c r="O224" s="17">
        <f t="shared" si="17"/>
        <v>15679</v>
      </c>
      <c r="P224" s="131" t="s">
        <v>439</v>
      </c>
      <c r="Q224" s="45" t="s">
        <v>439</v>
      </c>
      <c r="R224" s="128" t="e">
        <f t="shared" si="18"/>
        <v>#VALUE!</v>
      </c>
      <c r="S224" s="28">
        <v>0.74725799999999998</v>
      </c>
      <c r="T224" s="5">
        <v>190851.31</v>
      </c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</row>
    <row r="225" spans="1:55" s="28" customFormat="1" ht="15.75" customHeight="1" x14ac:dyDescent="0.2">
      <c r="A225" s="27">
        <v>1</v>
      </c>
      <c r="B225" s="28" t="s">
        <v>35</v>
      </c>
      <c r="C225" s="29" t="s">
        <v>124</v>
      </c>
      <c r="D225" s="35" t="s">
        <v>289</v>
      </c>
      <c r="E225" s="23" t="s">
        <v>179</v>
      </c>
      <c r="F225" s="23" t="s">
        <v>181</v>
      </c>
      <c r="G225" s="31">
        <v>6750</v>
      </c>
      <c r="H225" s="20" t="s">
        <v>183</v>
      </c>
      <c r="I225" s="34" t="s">
        <v>191</v>
      </c>
      <c r="J225" s="34" t="s">
        <v>192</v>
      </c>
      <c r="K225" s="20" t="s">
        <v>182</v>
      </c>
      <c r="L225" s="29">
        <v>446</v>
      </c>
      <c r="M225" s="27" t="s">
        <v>180</v>
      </c>
      <c r="N225" s="33">
        <v>18899</v>
      </c>
      <c r="O225" s="17">
        <f t="shared" si="17"/>
        <v>18899</v>
      </c>
      <c r="P225" s="131" t="s">
        <v>439</v>
      </c>
      <c r="Q225" s="45" t="s">
        <v>439</v>
      </c>
      <c r="R225" s="128" t="e">
        <f t="shared" si="18"/>
        <v>#VALUE!</v>
      </c>
      <c r="S225" s="28">
        <v>0.74725799999999998</v>
      </c>
      <c r="T225" s="5">
        <v>190851.31</v>
      </c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</row>
    <row r="226" spans="1:55" s="28" customFormat="1" ht="15.75" customHeight="1" x14ac:dyDescent="0.2">
      <c r="A226" s="27">
        <v>2</v>
      </c>
      <c r="B226" s="28" t="s">
        <v>36</v>
      </c>
      <c r="C226" s="3" t="s">
        <v>136</v>
      </c>
      <c r="D226" s="40" t="s">
        <v>288</v>
      </c>
      <c r="E226" s="28" t="s">
        <v>143</v>
      </c>
      <c r="F226" s="23" t="s">
        <v>239</v>
      </c>
      <c r="G226" s="32">
        <v>6600</v>
      </c>
      <c r="H226" s="20" t="s">
        <v>243</v>
      </c>
      <c r="I226" s="34" t="s">
        <v>241</v>
      </c>
      <c r="J226" s="34" t="s">
        <v>242</v>
      </c>
      <c r="K226" s="20" t="s">
        <v>434</v>
      </c>
      <c r="L226" s="29" t="s">
        <v>148</v>
      </c>
      <c r="M226" s="27" t="s">
        <v>180</v>
      </c>
      <c r="N226" s="33">
        <v>21235.5</v>
      </c>
      <c r="O226" s="17">
        <f t="shared" si="17"/>
        <v>42471</v>
      </c>
      <c r="P226" s="131">
        <v>13750</v>
      </c>
      <c r="Q226" s="27">
        <v>19</v>
      </c>
      <c r="R226" s="128">
        <f t="shared" si="18"/>
        <v>21005.508289473684</v>
      </c>
      <c r="S226" s="28">
        <v>0.74725799999999998</v>
      </c>
      <c r="T226" s="5">
        <v>190851.31</v>
      </c>
    </row>
    <row r="227" spans="1:55" s="28" customFormat="1" ht="15.75" customHeight="1" x14ac:dyDescent="0.2">
      <c r="A227" s="27">
        <v>2</v>
      </c>
      <c r="B227" s="28" t="s">
        <v>36</v>
      </c>
      <c r="C227" s="3" t="s">
        <v>136</v>
      </c>
      <c r="D227" s="35" t="s">
        <v>316</v>
      </c>
      <c r="E227" s="24" t="s">
        <v>17</v>
      </c>
      <c r="F227" s="23" t="s">
        <v>300</v>
      </c>
      <c r="G227" s="32">
        <v>6800</v>
      </c>
      <c r="H227" s="20" t="s">
        <v>319</v>
      </c>
      <c r="I227" s="34" t="s">
        <v>292</v>
      </c>
      <c r="J227" s="34" t="s">
        <v>293</v>
      </c>
      <c r="K227" s="20" t="s">
        <v>318</v>
      </c>
      <c r="L227" s="29" t="s">
        <v>294</v>
      </c>
      <c r="M227" s="27" t="s">
        <v>180</v>
      </c>
      <c r="N227" s="33">
        <v>22119</v>
      </c>
      <c r="O227" s="17">
        <f t="shared" si="17"/>
        <v>44238</v>
      </c>
      <c r="P227" s="131">
        <v>13600</v>
      </c>
      <c r="Q227" s="27">
        <v>18</v>
      </c>
      <c r="R227" s="128">
        <f t="shared" si="18"/>
        <v>22559.141755555553</v>
      </c>
      <c r="S227" s="28">
        <v>0.74725799999999998</v>
      </c>
      <c r="T227" s="5">
        <v>190851.31</v>
      </c>
    </row>
    <row r="228" spans="1:55" s="28" customFormat="1" ht="15.75" customHeight="1" x14ac:dyDescent="0.2">
      <c r="A228" s="27">
        <v>2</v>
      </c>
      <c r="B228" s="28" t="s">
        <v>36</v>
      </c>
      <c r="C228" s="3" t="s">
        <v>136</v>
      </c>
      <c r="D228" s="40" t="s">
        <v>142</v>
      </c>
      <c r="E228" s="28" t="s">
        <v>143</v>
      </c>
      <c r="F228" s="23" t="s">
        <v>150</v>
      </c>
      <c r="G228" s="32">
        <v>6600</v>
      </c>
      <c r="H228" s="20" t="s">
        <v>151</v>
      </c>
      <c r="I228" s="34" t="s">
        <v>146</v>
      </c>
      <c r="J228" s="34" t="s">
        <v>147</v>
      </c>
      <c r="K228" s="20" t="s">
        <v>434</v>
      </c>
      <c r="L228" s="29" t="s">
        <v>148</v>
      </c>
      <c r="M228" s="27" t="s">
        <v>149</v>
      </c>
      <c r="N228" s="33">
        <v>21518</v>
      </c>
      <c r="O228" s="17">
        <f t="shared" si="17"/>
        <v>43036</v>
      </c>
      <c r="P228" s="131">
        <v>11225</v>
      </c>
      <c r="Q228" s="27">
        <v>19</v>
      </c>
      <c r="R228" s="128">
        <f t="shared" si="18"/>
        <v>23174.834739473685</v>
      </c>
      <c r="S228" s="28">
        <v>0.74725799999999998</v>
      </c>
      <c r="T228" s="5">
        <v>190851.31</v>
      </c>
    </row>
    <row r="229" spans="1:55" s="28" customFormat="1" ht="15.75" customHeight="1" x14ac:dyDescent="0.2">
      <c r="A229" s="27">
        <v>2</v>
      </c>
      <c r="B229" s="28" t="s">
        <v>36</v>
      </c>
      <c r="C229" s="3" t="s">
        <v>136</v>
      </c>
      <c r="D229" s="130" t="s">
        <v>287</v>
      </c>
      <c r="E229" s="23" t="s">
        <v>179</v>
      </c>
      <c r="F229" s="23" t="s">
        <v>181</v>
      </c>
      <c r="G229" s="32">
        <v>6950</v>
      </c>
      <c r="H229" s="20" t="s">
        <v>186</v>
      </c>
      <c r="I229" s="34" t="s">
        <v>184</v>
      </c>
      <c r="J229" s="34" t="s">
        <v>185</v>
      </c>
      <c r="K229" s="20" t="s">
        <v>182</v>
      </c>
      <c r="L229" s="29">
        <v>446</v>
      </c>
      <c r="M229" s="27" t="s">
        <v>180</v>
      </c>
      <c r="N229" s="33">
        <v>20230</v>
      </c>
      <c r="O229" s="17">
        <f t="shared" si="17"/>
        <v>40460</v>
      </c>
      <c r="P229" s="131" t="s">
        <v>439</v>
      </c>
      <c r="Q229" s="45" t="s">
        <v>439</v>
      </c>
      <c r="R229" s="128" t="e">
        <f t="shared" si="18"/>
        <v>#VALUE!</v>
      </c>
      <c r="S229" s="28">
        <v>0.74725799999999998</v>
      </c>
      <c r="T229" s="5">
        <v>190851.31</v>
      </c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</row>
    <row r="230" spans="1:55" s="28" customFormat="1" ht="15.75" customHeight="1" x14ac:dyDescent="0.2">
      <c r="A230" s="27">
        <v>2</v>
      </c>
      <c r="B230" s="28" t="s">
        <v>36</v>
      </c>
      <c r="C230" s="3" t="s">
        <v>136</v>
      </c>
      <c r="D230" s="35" t="s">
        <v>289</v>
      </c>
      <c r="E230" s="23" t="s">
        <v>179</v>
      </c>
      <c r="F230" s="23" t="s">
        <v>181</v>
      </c>
      <c r="G230" s="32">
        <v>6950</v>
      </c>
      <c r="H230" s="20" t="s">
        <v>186</v>
      </c>
      <c r="I230" s="34" t="s">
        <v>191</v>
      </c>
      <c r="J230" s="34" t="s">
        <v>192</v>
      </c>
      <c r="K230" s="20" t="s">
        <v>182</v>
      </c>
      <c r="L230" s="29">
        <v>446</v>
      </c>
      <c r="M230" s="27" t="s">
        <v>180</v>
      </c>
      <c r="N230" s="33">
        <v>21541.5</v>
      </c>
      <c r="O230" s="17">
        <f t="shared" si="17"/>
        <v>43083</v>
      </c>
      <c r="P230" s="131" t="s">
        <v>439</v>
      </c>
      <c r="Q230" s="45" t="s">
        <v>439</v>
      </c>
      <c r="R230" s="128" t="e">
        <f t="shared" si="18"/>
        <v>#VALUE!</v>
      </c>
      <c r="S230" s="28">
        <v>0.74725799999999998</v>
      </c>
      <c r="T230" s="5">
        <v>190851.31</v>
      </c>
      <c r="Y230" s="43"/>
      <c r="Z230" s="43"/>
      <c r="AA230" s="43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</row>
    <row r="231" spans="1:55" s="28" customFormat="1" ht="15.75" customHeight="1" x14ac:dyDescent="0.2">
      <c r="A231" s="27">
        <v>16</v>
      </c>
      <c r="B231" s="28" t="s">
        <v>21</v>
      </c>
      <c r="C231" s="28" t="s">
        <v>129</v>
      </c>
      <c r="D231" s="40" t="s">
        <v>288</v>
      </c>
      <c r="E231" s="28" t="s">
        <v>143</v>
      </c>
      <c r="F231" s="23" t="s">
        <v>239</v>
      </c>
      <c r="G231" s="31">
        <v>6700</v>
      </c>
      <c r="H231" s="20" t="s">
        <v>244</v>
      </c>
      <c r="I231" s="34" t="s">
        <v>241</v>
      </c>
      <c r="J231" s="34" t="s">
        <v>242</v>
      </c>
      <c r="K231" s="20" t="s">
        <v>434</v>
      </c>
      <c r="L231" s="29" t="s">
        <v>148</v>
      </c>
      <c r="M231" s="27" t="s">
        <v>180</v>
      </c>
      <c r="N231" s="33">
        <v>20111.5</v>
      </c>
      <c r="O231" s="17">
        <f t="shared" si="17"/>
        <v>321784</v>
      </c>
      <c r="P231" s="131">
        <v>13700</v>
      </c>
      <c r="Q231" s="27">
        <v>20</v>
      </c>
      <c r="R231" s="128">
        <f t="shared" si="18"/>
        <v>19416.6309</v>
      </c>
      <c r="S231" s="28">
        <v>0.74725799999999998</v>
      </c>
      <c r="T231" s="5">
        <v>190851.31</v>
      </c>
    </row>
    <row r="232" spans="1:55" s="28" customFormat="1" ht="15.75" customHeight="1" x14ac:dyDescent="0.2">
      <c r="A232" s="27">
        <v>16</v>
      </c>
      <c r="B232" s="28" t="s">
        <v>21</v>
      </c>
      <c r="C232" s="28" t="s">
        <v>129</v>
      </c>
      <c r="D232" s="35" t="s">
        <v>291</v>
      </c>
      <c r="E232" s="24" t="s">
        <v>17</v>
      </c>
      <c r="F232" s="23" t="s">
        <v>300</v>
      </c>
      <c r="G232" s="31">
        <v>6800</v>
      </c>
      <c r="H232" s="20" t="s">
        <v>302</v>
      </c>
      <c r="I232" s="34" t="s">
        <v>292</v>
      </c>
      <c r="J232" s="34" t="s">
        <v>293</v>
      </c>
      <c r="K232" s="20" t="s">
        <v>318</v>
      </c>
      <c r="L232" s="29" t="s">
        <v>294</v>
      </c>
      <c r="M232" s="27" t="s">
        <v>180</v>
      </c>
      <c r="N232" s="33">
        <v>20626.060000000001</v>
      </c>
      <c r="O232" s="17">
        <f t="shared" si="17"/>
        <v>330016.96000000002</v>
      </c>
      <c r="P232" s="131">
        <v>12900</v>
      </c>
      <c r="Q232" s="27">
        <v>19</v>
      </c>
      <c r="R232" s="128">
        <f t="shared" si="18"/>
        <v>21031.237589473687</v>
      </c>
      <c r="S232" s="28">
        <v>0.74725799999999998</v>
      </c>
      <c r="T232" s="5">
        <v>190851.31</v>
      </c>
    </row>
    <row r="233" spans="1:55" s="28" customFormat="1" ht="15.75" customHeight="1" x14ac:dyDescent="0.2">
      <c r="A233" s="27">
        <v>16</v>
      </c>
      <c r="B233" s="28" t="s">
        <v>21</v>
      </c>
      <c r="C233" s="28" t="s">
        <v>129</v>
      </c>
      <c r="D233" s="35" t="s">
        <v>316</v>
      </c>
      <c r="E233" s="24" t="s">
        <v>17</v>
      </c>
      <c r="F233" s="23" t="s">
        <v>300</v>
      </c>
      <c r="G233" s="31">
        <v>7000</v>
      </c>
      <c r="H233" s="20" t="s">
        <v>302</v>
      </c>
      <c r="I233" s="34" t="s">
        <v>292</v>
      </c>
      <c r="J233" s="34" t="s">
        <v>293</v>
      </c>
      <c r="K233" s="20" t="s">
        <v>438</v>
      </c>
      <c r="L233" s="41" t="s">
        <v>315</v>
      </c>
      <c r="M233" s="27" t="s">
        <v>180</v>
      </c>
      <c r="N233" s="33">
        <v>21905.5</v>
      </c>
      <c r="O233" s="17">
        <f t="shared" si="17"/>
        <v>350488</v>
      </c>
      <c r="P233" s="131">
        <v>12900</v>
      </c>
      <c r="Q233" s="27">
        <v>21</v>
      </c>
      <c r="R233" s="128">
        <f t="shared" si="18"/>
        <v>21354.02941904762</v>
      </c>
      <c r="S233" s="28">
        <v>0.74725799999999998</v>
      </c>
      <c r="T233" s="5">
        <v>190851.31</v>
      </c>
    </row>
    <row r="234" spans="1:55" s="28" customFormat="1" ht="15.75" customHeight="1" x14ac:dyDescent="0.2">
      <c r="A234" s="27">
        <v>16</v>
      </c>
      <c r="B234" s="28" t="s">
        <v>21</v>
      </c>
      <c r="C234" s="28" t="s">
        <v>129</v>
      </c>
      <c r="D234" s="35" t="s">
        <v>316</v>
      </c>
      <c r="E234" s="24" t="s">
        <v>17</v>
      </c>
      <c r="F234" s="23" t="s">
        <v>300</v>
      </c>
      <c r="G234" s="31">
        <v>6800</v>
      </c>
      <c r="H234" s="20" t="s">
        <v>302</v>
      </c>
      <c r="I234" s="34" t="s">
        <v>292</v>
      </c>
      <c r="J234" s="34" t="s">
        <v>293</v>
      </c>
      <c r="K234" s="20" t="s">
        <v>318</v>
      </c>
      <c r="L234" s="29" t="s">
        <v>294</v>
      </c>
      <c r="M234" s="27" t="s">
        <v>180</v>
      </c>
      <c r="N234" s="33">
        <v>21087.5</v>
      </c>
      <c r="O234" s="17">
        <f t="shared" si="17"/>
        <v>337400</v>
      </c>
      <c r="P234" s="131">
        <v>12900</v>
      </c>
      <c r="Q234" s="27">
        <v>19</v>
      </c>
      <c r="R234" s="128">
        <f t="shared" si="18"/>
        <v>21492.677589473686</v>
      </c>
      <c r="S234" s="28">
        <v>0.74725799999999998</v>
      </c>
      <c r="T234" s="5">
        <v>190851.31</v>
      </c>
    </row>
    <row r="235" spans="1:55" ht="15.75" customHeight="1" x14ac:dyDescent="0.2">
      <c r="A235" s="27">
        <v>16</v>
      </c>
      <c r="B235" s="28" t="s">
        <v>21</v>
      </c>
      <c r="C235" s="28" t="s">
        <v>129</v>
      </c>
      <c r="D235" s="40" t="s">
        <v>142</v>
      </c>
      <c r="E235" s="28" t="s">
        <v>143</v>
      </c>
      <c r="F235" s="23" t="s">
        <v>152</v>
      </c>
      <c r="G235" s="31">
        <v>6700</v>
      </c>
      <c r="H235" s="20" t="s">
        <v>153</v>
      </c>
      <c r="I235" s="34" t="s">
        <v>146</v>
      </c>
      <c r="J235" s="34" t="s">
        <v>147</v>
      </c>
      <c r="K235" s="20" t="s">
        <v>434</v>
      </c>
      <c r="L235" s="29" t="s">
        <v>148</v>
      </c>
      <c r="M235" s="27" t="s">
        <v>180</v>
      </c>
      <c r="N235" s="33">
        <v>20522</v>
      </c>
      <c r="O235" s="17">
        <f t="shared" si="17"/>
        <v>328352</v>
      </c>
      <c r="P235" s="131">
        <v>10700</v>
      </c>
      <c r="Q235" s="27">
        <v>20</v>
      </c>
      <c r="R235" s="128">
        <f t="shared" si="18"/>
        <v>22068.904900000001</v>
      </c>
      <c r="S235" s="28">
        <v>0.74725799999999998</v>
      </c>
      <c r="T235" s="5">
        <v>190851.31</v>
      </c>
      <c r="U235" s="28"/>
      <c r="V235" s="28"/>
      <c r="W235" s="28"/>
      <c r="X235" s="28"/>
      <c r="Y235" s="28"/>
      <c r="Z235" s="28"/>
      <c r="AA235" s="2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</row>
    <row r="236" spans="1:55" s="28" customFormat="1" ht="15.75" customHeight="1" x14ac:dyDescent="0.2">
      <c r="A236" s="27">
        <v>16</v>
      </c>
      <c r="B236" s="28" t="s">
        <v>21</v>
      </c>
      <c r="C236" s="28" t="s">
        <v>129</v>
      </c>
      <c r="D236" s="130" t="s">
        <v>287</v>
      </c>
      <c r="E236" s="23" t="s">
        <v>179</v>
      </c>
      <c r="F236" s="23" t="s">
        <v>181</v>
      </c>
      <c r="G236" s="31">
        <v>6700</v>
      </c>
      <c r="H236" s="20" t="s">
        <v>187</v>
      </c>
      <c r="I236" s="34" t="s">
        <v>184</v>
      </c>
      <c r="J236" s="34" t="s">
        <v>185</v>
      </c>
      <c r="K236" s="20" t="s">
        <v>182</v>
      </c>
      <c r="L236" s="29">
        <v>446</v>
      </c>
      <c r="M236" s="27" t="s">
        <v>180</v>
      </c>
      <c r="N236" s="33">
        <v>18990</v>
      </c>
      <c r="O236" s="17">
        <f t="shared" si="17"/>
        <v>303840</v>
      </c>
      <c r="P236" s="131" t="s">
        <v>439</v>
      </c>
      <c r="Q236" s="45" t="s">
        <v>439</v>
      </c>
      <c r="R236" s="128" t="e">
        <f t="shared" si="18"/>
        <v>#VALUE!</v>
      </c>
      <c r="S236" s="28">
        <v>0.74725799999999998</v>
      </c>
      <c r="T236" s="5">
        <v>190851.31</v>
      </c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</row>
    <row r="237" spans="1:55" s="28" customFormat="1" ht="15.75" customHeight="1" x14ac:dyDescent="0.2">
      <c r="A237" s="27">
        <v>16</v>
      </c>
      <c r="B237" s="28" t="s">
        <v>21</v>
      </c>
      <c r="C237" s="28" t="s">
        <v>129</v>
      </c>
      <c r="D237" s="35" t="s">
        <v>289</v>
      </c>
      <c r="E237" s="23" t="s">
        <v>179</v>
      </c>
      <c r="F237" s="23" t="s">
        <v>181</v>
      </c>
      <c r="G237" s="31">
        <v>6700</v>
      </c>
      <c r="H237" s="20" t="s">
        <v>187</v>
      </c>
      <c r="I237" s="34" t="s">
        <v>191</v>
      </c>
      <c r="J237" s="34" t="s">
        <v>192</v>
      </c>
      <c r="K237" s="20" t="s">
        <v>182</v>
      </c>
      <c r="L237" s="29">
        <v>446</v>
      </c>
      <c r="M237" s="27" t="s">
        <v>180</v>
      </c>
      <c r="N237" s="33">
        <v>20575</v>
      </c>
      <c r="O237" s="17">
        <f t="shared" si="17"/>
        <v>329200</v>
      </c>
      <c r="P237" s="131" t="s">
        <v>439</v>
      </c>
      <c r="Q237" s="45" t="s">
        <v>439</v>
      </c>
      <c r="R237" s="128" t="e">
        <f t="shared" si="18"/>
        <v>#VALUE!</v>
      </c>
      <c r="S237" s="28">
        <v>0.74725799999999998</v>
      </c>
      <c r="T237" s="5">
        <v>190851.31</v>
      </c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</row>
    <row r="238" spans="1:55" s="28" customFormat="1" ht="15.75" customHeight="1" x14ac:dyDescent="0.2">
      <c r="A238" s="27">
        <v>3</v>
      </c>
      <c r="B238" s="28" t="s">
        <v>22</v>
      </c>
      <c r="C238" s="28" t="s">
        <v>129</v>
      </c>
      <c r="D238" s="40" t="s">
        <v>288</v>
      </c>
      <c r="E238" s="28" t="s">
        <v>143</v>
      </c>
      <c r="F238" s="23" t="s">
        <v>239</v>
      </c>
      <c r="G238" s="32">
        <v>6700</v>
      </c>
      <c r="H238" s="21" t="s">
        <v>244</v>
      </c>
      <c r="I238" s="35" t="s">
        <v>241</v>
      </c>
      <c r="J238" s="35" t="s">
        <v>242</v>
      </c>
      <c r="K238" s="20" t="s">
        <v>434</v>
      </c>
      <c r="L238" s="29" t="s">
        <v>148</v>
      </c>
      <c r="M238" s="27" t="s">
        <v>180</v>
      </c>
      <c r="N238" s="33">
        <v>20901</v>
      </c>
      <c r="O238" s="17">
        <f t="shared" si="17"/>
        <v>62703</v>
      </c>
      <c r="P238" s="131">
        <v>13700</v>
      </c>
      <c r="Q238" s="27">
        <v>20</v>
      </c>
      <c r="R238" s="128">
        <f t="shared" si="18"/>
        <v>20206.1309</v>
      </c>
      <c r="S238" s="28">
        <v>0.74725799999999998</v>
      </c>
      <c r="T238" s="5">
        <v>190851.31</v>
      </c>
    </row>
    <row r="239" spans="1:55" s="28" customFormat="1" ht="15.75" customHeight="1" x14ac:dyDescent="0.2">
      <c r="A239" s="27">
        <v>3</v>
      </c>
      <c r="B239" s="28" t="s">
        <v>22</v>
      </c>
      <c r="C239" s="28" t="s">
        <v>129</v>
      </c>
      <c r="D239" s="35" t="s">
        <v>316</v>
      </c>
      <c r="E239" s="24" t="s">
        <v>17</v>
      </c>
      <c r="F239" s="23" t="s">
        <v>300</v>
      </c>
      <c r="G239" s="31">
        <v>7000</v>
      </c>
      <c r="H239" s="20" t="s">
        <v>302</v>
      </c>
      <c r="I239" s="34" t="s">
        <v>292</v>
      </c>
      <c r="J239" s="34" t="s">
        <v>293</v>
      </c>
      <c r="K239" s="20" t="s">
        <v>438</v>
      </c>
      <c r="L239" s="41" t="s">
        <v>315</v>
      </c>
      <c r="M239" s="27" t="s">
        <v>180</v>
      </c>
      <c r="N239" s="33">
        <v>22437</v>
      </c>
      <c r="O239" s="17">
        <f t="shared" si="17"/>
        <v>67311</v>
      </c>
      <c r="P239" s="131">
        <v>12900</v>
      </c>
      <c r="Q239" s="27">
        <v>21</v>
      </c>
      <c r="R239" s="128">
        <f t="shared" si="18"/>
        <v>21885.52941904762</v>
      </c>
      <c r="S239" s="28">
        <v>0.74725799999999998</v>
      </c>
      <c r="T239" s="5">
        <v>190851.31</v>
      </c>
    </row>
    <row r="240" spans="1:55" s="28" customFormat="1" ht="15.75" customHeight="1" x14ac:dyDescent="0.2">
      <c r="A240" s="27">
        <v>3</v>
      </c>
      <c r="B240" s="28" t="s">
        <v>22</v>
      </c>
      <c r="C240" s="28" t="s">
        <v>129</v>
      </c>
      <c r="D240" s="35" t="s">
        <v>291</v>
      </c>
      <c r="E240" s="24" t="s">
        <v>17</v>
      </c>
      <c r="F240" s="23" t="s">
        <v>300</v>
      </c>
      <c r="G240" s="32">
        <v>6800</v>
      </c>
      <c r="H240" s="21" t="s">
        <v>302</v>
      </c>
      <c r="I240" s="34" t="s">
        <v>292</v>
      </c>
      <c r="J240" s="35" t="s">
        <v>293</v>
      </c>
      <c r="K240" s="20" t="s">
        <v>318</v>
      </c>
      <c r="L240" s="29" t="s">
        <v>294</v>
      </c>
      <c r="M240" s="27" t="s">
        <v>180</v>
      </c>
      <c r="N240" s="33">
        <v>21656.14</v>
      </c>
      <c r="O240" s="17">
        <f t="shared" si="17"/>
        <v>64968.42</v>
      </c>
      <c r="P240" s="131">
        <v>12900</v>
      </c>
      <c r="Q240" s="27">
        <v>19</v>
      </c>
      <c r="R240" s="128">
        <f t="shared" si="18"/>
        <v>22061.317589473685</v>
      </c>
      <c r="S240" s="28">
        <v>0.74725799999999998</v>
      </c>
      <c r="T240" s="5">
        <v>190851.31</v>
      </c>
    </row>
    <row r="241" spans="1:55" s="28" customFormat="1" ht="15.75" customHeight="1" x14ac:dyDescent="0.2">
      <c r="A241" s="27">
        <v>3</v>
      </c>
      <c r="B241" s="28" t="s">
        <v>22</v>
      </c>
      <c r="C241" s="28" t="s">
        <v>129</v>
      </c>
      <c r="D241" s="35" t="s">
        <v>316</v>
      </c>
      <c r="E241" s="24" t="s">
        <v>17</v>
      </c>
      <c r="F241" s="23" t="s">
        <v>300</v>
      </c>
      <c r="G241" s="31">
        <v>6800</v>
      </c>
      <c r="H241" s="20" t="s">
        <v>302</v>
      </c>
      <c r="I241" s="34" t="s">
        <v>292</v>
      </c>
      <c r="J241" s="34" t="s">
        <v>293</v>
      </c>
      <c r="K241" s="20" t="s">
        <v>318</v>
      </c>
      <c r="L241" s="29" t="s">
        <v>294</v>
      </c>
      <c r="M241" s="27" t="s">
        <v>180</v>
      </c>
      <c r="N241" s="33">
        <v>21919</v>
      </c>
      <c r="O241" s="17">
        <f t="shared" si="17"/>
        <v>65757</v>
      </c>
      <c r="P241" s="131">
        <v>12900</v>
      </c>
      <c r="Q241" s="27">
        <v>19</v>
      </c>
      <c r="R241" s="128">
        <f t="shared" si="18"/>
        <v>22324.177589473686</v>
      </c>
      <c r="S241" s="28">
        <v>0.74725799999999998</v>
      </c>
      <c r="T241" s="5">
        <v>190851.31</v>
      </c>
    </row>
    <row r="242" spans="1:55" s="28" customFormat="1" ht="15.75" customHeight="1" x14ac:dyDescent="0.2">
      <c r="A242" s="27">
        <v>3</v>
      </c>
      <c r="B242" s="28" t="s">
        <v>22</v>
      </c>
      <c r="C242" s="28" t="s">
        <v>129</v>
      </c>
      <c r="D242" s="40" t="s">
        <v>142</v>
      </c>
      <c r="E242" s="28" t="s">
        <v>143</v>
      </c>
      <c r="F242" s="23" t="s">
        <v>152</v>
      </c>
      <c r="G242" s="32">
        <v>6700</v>
      </c>
      <c r="H242" s="21" t="s">
        <v>153</v>
      </c>
      <c r="I242" s="35" t="s">
        <v>146</v>
      </c>
      <c r="J242" s="35" t="s">
        <v>147</v>
      </c>
      <c r="K242" s="20" t="s">
        <v>434</v>
      </c>
      <c r="L242" s="28" t="s">
        <v>148</v>
      </c>
      <c r="M242" s="27" t="s">
        <v>180</v>
      </c>
      <c r="N242" s="33">
        <v>20935</v>
      </c>
      <c r="O242" s="17">
        <f t="shared" si="17"/>
        <v>62805</v>
      </c>
      <c r="P242" s="131">
        <v>10700</v>
      </c>
      <c r="Q242" s="27">
        <v>20</v>
      </c>
      <c r="R242" s="128">
        <f t="shared" si="18"/>
        <v>22481.904900000001</v>
      </c>
      <c r="S242" s="28">
        <v>0.74725799999999998</v>
      </c>
      <c r="T242" s="5">
        <v>190851.31</v>
      </c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</row>
    <row r="243" spans="1:55" s="28" customFormat="1" ht="15.75" customHeight="1" x14ac:dyDescent="0.2">
      <c r="A243" s="27">
        <v>3</v>
      </c>
      <c r="B243" s="28" t="s">
        <v>22</v>
      </c>
      <c r="C243" s="28" t="s">
        <v>129</v>
      </c>
      <c r="D243" s="130" t="s">
        <v>287</v>
      </c>
      <c r="E243" s="23" t="s">
        <v>179</v>
      </c>
      <c r="F243" s="23" t="s">
        <v>181</v>
      </c>
      <c r="G243" s="31">
        <v>6700</v>
      </c>
      <c r="H243" s="20" t="s">
        <v>187</v>
      </c>
      <c r="I243" s="34" t="s">
        <v>184</v>
      </c>
      <c r="J243" s="34" t="s">
        <v>185</v>
      </c>
      <c r="K243" s="20" t="s">
        <v>182</v>
      </c>
      <c r="L243" s="29">
        <v>446</v>
      </c>
      <c r="M243" s="27" t="s">
        <v>180</v>
      </c>
      <c r="N243" s="33">
        <v>19206</v>
      </c>
      <c r="O243" s="17">
        <f t="shared" si="17"/>
        <v>57618</v>
      </c>
      <c r="P243" s="131" t="s">
        <v>439</v>
      </c>
      <c r="Q243" s="45" t="s">
        <v>439</v>
      </c>
      <c r="R243" s="128" t="e">
        <f t="shared" si="18"/>
        <v>#VALUE!</v>
      </c>
      <c r="S243" s="28">
        <v>0.74725799999999998</v>
      </c>
      <c r="T243" s="5">
        <v>190851.31</v>
      </c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</row>
    <row r="244" spans="1:55" s="28" customFormat="1" ht="15.75" customHeight="1" x14ac:dyDescent="0.2">
      <c r="A244" s="27">
        <v>3</v>
      </c>
      <c r="B244" s="28" t="s">
        <v>22</v>
      </c>
      <c r="C244" s="28" t="s">
        <v>129</v>
      </c>
      <c r="D244" s="35" t="s">
        <v>289</v>
      </c>
      <c r="E244" s="23" t="s">
        <v>179</v>
      </c>
      <c r="F244" s="23" t="s">
        <v>181</v>
      </c>
      <c r="G244" s="32">
        <v>6700</v>
      </c>
      <c r="H244" s="21" t="s">
        <v>187</v>
      </c>
      <c r="I244" s="35" t="s">
        <v>191</v>
      </c>
      <c r="J244" s="35" t="s">
        <v>192</v>
      </c>
      <c r="K244" s="20" t="s">
        <v>182</v>
      </c>
      <c r="L244" s="28">
        <v>446</v>
      </c>
      <c r="M244" s="27" t="s">
        <v>180</v>
      </c>
      <c r="N244" s="33">
        <v>20618</v>
      </c>
      <c r="O244" s="17">
        <f t="shared" si="17"/>
        <v>61854</v>
      </c>
      <c r="P244" s="131" t="s">
        <v>439</v>
      </c>
      <c r="Q244" s="45" t="s">
        <v>439</v>
      </c>
      <c r="R244" s="128" t="e">
        <f t="shared" si="18"/>
        <v>#VALUE!</v>
      </c>
      <c r="S244" s="28">
        <v>0.74725799999999998</v>
      </c>
      <c r="T244" s="5">
        <v>190851.31</v>
      </c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</row>
    <row r="245" spans="1:55" s="28" customFormat="1" ht="15.75" customHeight="1" x14ac:dyDescent="0.2">
      <c r="A245" s="27">
        <v>1</v>
      </c>
      <c r="B245" s="28" t="s">
        <v>23</v>
      </c>
      <c r="C245" s="28" t="s">
        <v>129</v>
      </c>
      <c r="D245" s="40" t="s">
        <v>288</v>
      </c>
      <c r="E245" s="28" t="s">
        <v>143</v>
      </c>
      <c r="F245" s="23" t="s">
        <v>239</v>
      </c>
      <c r="G245" s="31">
        <v>6700</v>
      </c>
      <c r="H245" s="20" t="s">
        <v>244</v>
      </c>
      <c r="I245" s="34" t="s">
        <v>241</v>
      </c>
      <c r="J245" s="34" t="s">
        <v>242</v>
      </c>
      <c r="K245" s="20" t="s">
        <v>434</v>
      </c>
      <c r="L245" s="29" t="s">
        <v>148</v>
      </c>
      <c r="M245" s="27" t="s">
        <v>180</v>
      </c>
      <c r="N245" s="33">
        <v>21114.5</v>
      </c>
      <c r="O245" s="17">
        <f t="shared" si="17"/>
        <v>21114.5</v>
      </c>
      <c r="P245" s="131">
        <v>13700</v>
      </c>
      <c r="Q245" s="27">
        <v>20</v>
      </c>
      <c r="R245" s="128">
        <f t="shared" si="18"/>
        <v>20419.6309</v>
      </c>
      <c r="S245" s="28">
        <v>0.74725799999999998</v>
      </c>
      <c r="T245" s="5">
        <v>190851.31</v>
      </c>
    </row>
    <row r="246" spans="1:55" s="28" customFormat="1" ht="15.75" customHeight="1" x14ac:dyDescent="0.2">
      <c r="A246" s="27">
        <v>1</v>
      </c>
      <c r="B246" s="28" t="s">
        <v>23</v>
      </c>
      <c r="C246" s="28" t="s">
        <v>129</v>
      </c>
      <c r="D246" s="35" t="s">
        <v>316</v>
      </c>
      <c r="E246" s="24" t="s">
        <v>17</v>
      </c>
      <c r="F246" s="23" t="s">
        <v>300</v>
      </c>
      <c r="G246" s="31">
        <v>7000</v>
      </c>
      <c r="H246" s="20" t="s">
        <v>302</v>
      </c>
      <c r="I246" s="34" t="s">
        <v>292</v>
      </c>
      <c r="J246" s="34" t="s">
        <v>293</v>
      </c>
      <c r="K246" s="20" t="s">
        <v>438</v>
      </c>
      <c r="L246" s="41" t="s">
        <v>315</v>
      </c>
      <c r="M246" s="27" t="s">
        <v>180</v>
      </c>
      <c r="N246" s="33">
        <v>22647</v>
      </c>
      <c r="O246" s="17">
        <f t="shared" si="17"/>
        <v>22647</v>
      </c>
      <c r="P246" s="131">
        <v>12900</v>
      </c>
      <c r="Q246" s="27">
        <v>21</v>
      </c>
      <c r="R246" s="128">
        <f t="shared" si="18"/>
        <v>22095.52941904762</v>
      </c>
      <c r="S246" s="28">
        <v>0.74725799999999998</v>
      </c>
      <c r="T246" s="5">
        <v>190851.31</v>
      </c>
    </row>
    <row r="247" spans="1:55" s="28" customFormat="1" ht="15.75" customHeight="1" x14ac:dyDescent="0.2">
      <c r="A247" s="27">
        <v>1</v>
      </c>
      <c r="B247" s="28" t="s">
        <v>23</v>
      </c>
      <c r="C247" s="28" t="s">
        <v>129</v>
      </c>
      <c r="D247" s="35" t="s">
        <v>291</v>
      </c>
      <c r="E247" s="24" t="s">
        <v>17</v>
      </c>
      <c r="F247" s="23" t="s">
        <v>300</v>
      </c>
      <c r="G247" s="31">
        <v>6800</v>
      </c>
      <c r="H247" s="20" t="s">
        <v>302</v>
      </c>
      <c r="I247" s="34" t="s">
        <v>292</v>
      </c>
      <c r="J247" s="34" t="s">
        <v>293</v>
      </c>
      <c r="K247" s="20" t="s">
        <v>318</v>
      </c>
      <c r="L247" s="29" t="s">
        <v>294</v>
      </c>
      <c r="M247" s="27" t="s">
        <v>180</v>
      </c>
      <c r="N247" s="33">
        <v>21812.639999999999</v>
      </c>
      <c r="O247" s="17">
        <f t="shared" si="17"/>
        <v>21812.639999999999</v>
      </c>
      <c r="P247" s="131">
        <v>12900</v>
      </c>
      <c r="Q247" s="27">
        <v>19</v>
      </c>
      <c r="R247" s="128">
        <f t="shared" si="18"/>
        <v>22217.817589473685</v>
      </c>
      <c r="S247" s="28">
        <v>0.74725799999999998</v>
      </c>
      <c r="T247" s="5">
        <v>190851.31</v>
      </c>
    </row>
    <row r="248" spans="1:55" s="28" customFormat="1" ht="15.75" customHeight="1" x14ac:dyDescent="0.2">
      <c r="A248" s="27">
        <v>1</v>
      </c>
      <c r="B248" s="28" t="s">
        <v>23</v>
      </c>
      <c r="C248" s="28" t="s">
        <v>129</v>
      </c>
      <c r="D248" s="40" t="s">
        <v>142</v>
      </c>
      <c r="E248" s="28" t="s">
        <v>143</v>
      </c>
      <c r="F248" s="23" t="s">
        <v>152</v>
      </c>
      <c r="G248" s="31">
        <v>6700</v>
      </c>
      <c r="H248" s="20" t="s">
        <v>153</v>
      </c>
      <c r="I248" s="34" t="s">
        <v>146</v>
      </c>
      <c r="J248" s="34" t="s">
        <v>147</v>
      </c>
      <c r="K248" s="20" t="s">
        <v>434</v>
      </c>
      <c r="L248" s="28" t="s">
        <v>148</v>
      </c>
      <c r="M248" s="27" t="s">
        <v>180</v>
      </c>
      <c r="N248" s="33">
        <v>20877</v>
      </c>
      <c r="O248" s="17">
        <f t="shared" si="17"/>
        <v>20877</v>
      </c>
      <c r="P248" s="131">
        <v>10700</v>
      </c>
      <c r="Q248" s="27">
        <v>20</v>
      </c>
      <c r="R248" s="128">
        <f t="shared" si="18"/>
        <v>22423.904900000001</v>
      </c>
      <c r="S248" s="28">
        <v>0.74725799999999998</v>
      </c>
      <c r="T248" s="5">
        <v>190851.31</v>
      </c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</row>
    <row r="249" spans="1:55" s="28" customFormat="1" ht="15.75" customHeight="1" x14ac:dyDescent="0.2">
      <c r="A249" s="27">
        <v>1</v>
      </c>
      <c r="B249" s="28" t="s">
        <v>23</v>
      </c>
      <c r="C249" s="28" t="s">
        <v>129</v>
      </c>
      <c r="D249" s="35" t="s">
        <v>316</v>
      </c>
      <c r="E249" s="24" t="s">
        <v>17</v>
      </c>
      <c r="F249" s="23" t="s">
        <v>300</v>
      </c>
      <c r="G249" s="31">
        <v>6800</v>
      </c>
      <c r="H249" s="20" t="s">
        <v>302</v>
      </c>
      <c r="I249" s="34" t="s">
        <v>292</v>
      </c>
      <c r="J249" s="34" t="s">
        <v>293</v>
      </c>
      <c r="K249" s="20" t="s">
        <v>318</v>
      </c>
      <c r="L249" s="29" t="s">
        <v>294</v>
      </c>
      <c r="M249" s="27" t="s">
        <v>180</v>
      </c>
      <c r="N249" s="33">
        <v>22129</v>
      </c>
      <c r="O249" s="17">
        <f t="shared" si="17"/>
        <v>22129</v>
      </c>
      <c r="P249" s="131">
        <v>12900</v>
      </c>
      <c r="Q249" s="27">
        <v>19</v>
      </c>
      <c r="R249" s="128">
        <f t="shared" si="18"/>
        <v>22534.177589473686</v>
      </c>
      <c r="S249" s="28">
        <v>0.74725799999999998</v>
      </c>
      <c r="T249" s="5">
        <v>190851.31</v>
      </c>
    </row>
    <row r="250" spans="1:55" s="28" customFormat="1" ht="15.75" customHeight="1" x14ac:dyDescent="0.2">
      <c r="A250" s="27">
        <v>1</v>
      </c>
      <c r="B250" s="28" t="s">
        <v>23</v>
      </c>
      <c r="C250" s="28" t="s">
        <v>129</v>
      </c>
      <c r="D250" s="130" t="s">
        <v>287</v>
      </c>
      <c r="E250" s="23" t="s">
        <v>179</v>
      </c>
      <c r="F250" s="23" t="s">
        <v>181</v>
      </c>
      <c r="G250" s="31">
        <v>6700</v>
      </c>
      <c r="H250" s="20" t="s">
        <v>187</v>
      </c>
      <c r="I250" s="34" t="s">
        <v>184</v>
      </c>
      <c r="J250" s="34" t="s">
        <v>185</v>
      </c>
      <c r="K250" s="20" t="s">
        <v>182</v>
      </c>
      <c r="L250" s="29">
        <v>446</v>
      </c>
      <c r="M250" s="27" t="s">
        <v>180</v>
      </c>
      <c r="N250" s="33">
        <v>19273</v>
      </c>
      <c r="O250" s="17">
        <f t="shared" si="17"/>
        <v>19273</v>
      </c>
      <c r="P250" s="131" t="s">
        <v>439</v>
      </c>
      <c r="Q250" s="45" t="s">
        <v>439</v>
      </c>
      <c r="R250" s="128" t="e">
        <f t="shared" si="18"/>
        <v>#VALUE!</v>
      </c>
      <c r="S250" s="28">
        <v>0.74725799999999998</v>
      </c>
      <c r="T250" s="5">
        <v>190851.31</v>
      </c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</row>
    <row r="251" spans="1:55" s="28" customFormat="1" ht="15.75" customHeight="1" x14ac:dyDescent="0.2">
      <c r="A251" s="27">
        <v>1</v>
      </c>
      <c r="B251" s="28" t="s">
        <v>23</v>
      </c>
      <c r="C251" s="28" t="s">
        <v>129</v>
      </c>
      <c r="D251" s="35" t="s">
        <v>289</v>
      </c>
      <c r="E251" s="23" t="s">
        <v>179</v>
      </c>
      <c r="F251" s="23" t="s">
        <v>181</v>
      </c>
      <c r="G251" s="31">
        <v>6700</v>
      </c>
      <c r="H251" s="20" t="s">
        <v>187</v>
      </c>
      <c r="I251" s="34" t="s">
        <v>191</v>
      </c>
      <c r="J251" s="34" t="s">
        <v>192</v>
      </c>
      <c r="K251" s="20" t="s">
        <v>182</v>
      </c>
      <c r="L251" s="28">
        <v>446</v>
      </c>
      <c r="M251" s="27" t="s">
        <v>180</v>
      </c>
      <c r="N251" s="33">
        <v>20493</v>
      </c>
      <c r="O251" s="17">
        <f t="shared" si="17"/>
        <v>20493</v>
      </c>
      <c r="P251" s="131" t="s">
        <v>439</v>
      </c>
      <c r="Q251" s="45" t="s">
        <v>439</v>
      </c>
      <c r="R251" s="128" t="e">
        <f t="shared" si="18"/>
        <v>#VALUE!</v>
      </c>
      <c r="S251" s="28">
        <v>0.74725799999999998</v>
      </c>
      <c r="T251" s="5">
        <v>190851.31</v>
      </c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</row>
    <row r="252" spans="1:55" s="28" customFormat="1" ht="15.75" customHeight="1" x14ac:dyDescent="0.2">
      <c r="A252" s="27">
        <v>1</v>
      </c>
      <c r="B252" s="28" t="s">
        <v>37</v>
      </c>
      <c r="C252" s="29" t="s">
        <v>134</v>
      </c>
      <c r="D252" s="40" t="s">
        <v>288</v>
      </c>
      <c r="E252" s="28" t="s">
        <v>143</v>
      </c>
      <c r="F252" s="23" t="s">
        <v>239</v>
      </c>
      <c r="G252" s="31">
        <v>6700</v>
      </c>
      <c r="H252" s="20" t="s">
        <v>245</v>
      </c>
      <c r="I252" s="34" t="s">
        <v>241</v>
      </c>
      <c r="J252" s="34" t="s">
        <v>242</v>
      </c>
      <c r="K252" s="20" t="s">
        <v>434</v>
      </c>
      <c r="L252" s="29" t="s">
        <v>148</v>
      </c>
      <c r="M252" s="27" t="s">
        <v>180</v>
      </c>
      <c r="N252" s="33">
        <v>22848.5</v>
      </c>
      <c r="O252" s="17">
        <f t="shared" si="17"/>
        <v>22848.5</v>
      </c>
      <c r="P252" s="131">
        <v>16000</v>
      </c>
      <c r="Q252" s="27">
        <v>19</v>
      </c>
      <c r="R252" s="128">
        <f t="shared" si="18"/>
        <v>20937.177789473688</v>
      </c>
      <c r="S252" s="28">
        <v>0.74725799999999998</v>
      </c>
      <c r="T252" s="5">
        <v>190851.31</v>
      </c>
    </row>
    <row r="253" spans="1:55" s="28" customFormat="1" ht="15.75" customHeight="1" x14ac:dyDescent="0.2">
      <c r="A253" s="27">
        <v>1</v>
      </c>
      <c r="B253" s="28" t="s">
        <v>37</v>
      </c>
      <c r="C253" s="29" t="s">
        <v>134</v>
      </c>
      <c r="D253" s="35" t="s">
        <v>316</v>
      </c>
      <c r="E253" s="24" t="s">
        <v>17</v>
      </c>
      <c r="F253" s="23" t="s">
        <v>300</v>
      </c>
      <c r="G253" s="31">
        <v>7000</v>
      </c>
      <c r="H253" s="20" t="s">
        <v>320</v>
      </c>
      <c r="I253" s="34" t="s">
        <v>292</v>
      </c>
      <c r="J253" s="34" t="s">
        <v>293</v>
      </c>
      <c r="K253" s="20" t="s">
        <v>438</v>
      </c>
      <c r="L253" s="41" t="s">
        <v>315</v>
      </c>
      <c r="M253" s="27" t="s">
        <v>180</v>
      </c>
      <c r="N253" s="33">
        <v>24867</v>
      </c>
      <c r="O253" s="17">
        <f t="shared" si="17"/>
        <v>24867</v>
      </c>
      <c r="P253" s="131">
        <v>15575</v>
      </c>
      <c r="Q253" s="27">
        <v>21</v>
      </c>
      <c r="R253" s="128">
        <f t="shared" si="18"/>
        <v>22316.614269047619</v>
      </c>
      <c r="S253" s="28">
        <v>0.74725799999999998</v>
      </c>
      <c r="T253" s="5">
        <v>190851.31</v>
      </c>
    </row>
    <row r="254" spans="1:55" s="28" customFormat="1" ht="15.75" customHeight="1" x14ac:dyDescent="0.2">
      <c r="A254" s="27">
        <v>1</v>
      </c>
      <c r="B254" s="28" t="s">
        <v>37</v>
      </c>
      <c r="C254" s="29" t="s">
        <v>134</v>
      </c>
      <c r="D254" s="2" t="s">
        <v>316</v>
      </c>
      <c r="E254" s="24" t="s">
        <v>17</v>
      </c>
      <c r="F254" s="23" t="s">
        <v>300</v>
      </c>
      <c r="G254" s="27">
        <v>6800</v>
      </c>
      <c r="H254" s="28" t="s">
        <v>320</v>
      </c>
      <c r="I254" s="34" t="s">
        <v>292</v>
      </c>
      <c r="J254" s="2" t="s">
        <v>293</v>
      </c>
      <c r="K254" s="20" t="s">
        <v>318</v>
      </c>
      <c r="L254" s="29" t="s">
        <v>294</v>
      </c>
      <c r="M254" s="27" t="s">
        <v>180</v>
      </c>
      <c r="N254" s="18">
        <v>23873</v>
      </c>
      <c r="O254" s="17">
        <f t="shared" si="17"/>
        <v>23873</v>
      </c>
      <c r="P254" s="131">
        <v>15575</v>
      </c>
      <c r="Q254" s="27">
        <v>18</v>
      </c>
      <c r="R254" s="128">
        <f t="shared" si="18"/>
        <v>22837.307205555553</v>
      </c>
      <c r="S254" s="28">
        <v>0.74725799999999998</v>
      </c>
      <c r="T254" s="5">
        <v>190851.31</v>
      </c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</row>
    <row r="255" spans="1:55" s="28" customFormat="1" ht="15.75" customHeight="1" x14ac:dyDescent="0.2">
      <c r="A255" s="27">
        <v>1</v>
      </c>
      <c r="B255" s="28" t="s">
        <v>37</v>
      </c>
      <c r="C255" s="29" t="s">
        <v>134</v>
      </c>
      <c r="D255" s="40" t="s">
        <v>142</v>
      </c>
      <c r="E255" s="28" t="s">
        <v>143</v>
      </c>
      <c r="F255" s="23" t="s">
        <v>152</v>
      </c>
      <c r="G255" s="31">
        <v>6700</v>
      </c>
      <c r="H255" s="20" t="s">
        <v>154</v>
      </c>
      <c r="I255" s="34" t="s">
        <v>146</v>
      </c>
      <c r="J255" s="34" t="s">
        <v>147</v>
      </c>
      <c r="K255" s="20" t="s">
        <v>434</v>
      </c>
      <c r="L255" s="28" t="s">
        <v>148</v>
      </c>
      <c r="M255" s="27" t="s">
        <v>180</v>
      </c>
      <c r="N255" s="33">
        <v>23234</v>
      </c>
      <c r="O255" s="17">
        <f t="shared" ref="O255:O286" si="19">A255*N255</f>
        <v>23234</v>
      </c>
      <c r="P255" s="131">
        <v>13000</v>
      </c>
      <c r="Q255" s="27">
        <v>19</v>
      </c>
      <c r="R255" s="128">
        <f t="shared" ref="R255:R286" si="20">N255+(T255/Q255)-(P255*AO$310)</f>
        <v>23564.451789473685</v>
      </c>
      <c r="S255" s="28">
        <v>0.74725799999999998</v>
      </c>
      <c r="T255" s="5">
        <v>190851.31</v>
      </c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</row>
    <row r="256" spans="1:55" s="28" customFormat="1" ht="15.75" customHeight="1" x14ac:dyDescent="0.2">
      <c r="A256" s="27">
        <v>1</v>
      </c>
      <c r="B256" s="28" t="s">
        <v>37</v>
      </c>
      <c r="C256" s="29" t="s">
        <v>134</v>
      </c>
      <c r="D256" s="130" t="s">
        <v>287</v>
      </c>
      <c r="E256" s="23" t="s">
        <v>179</v>
      </c>
      <c r="F256" s="23" t="s">
        <v>181</v>
      </c>
      <c r="G256" s="31">
        <v>6900</v>
      </c>
      <c r="H256" s="20" t="s">
        <v>188</v>
      </c>
      <c r="I256" s="34" t="s">
        <v>184</v>
      </c>
      <c r="J256" s="34" t="s">
        <v>185</v>
      </c>
      <c r="K256" s="20" t="s">
        <v>182</v>
      </c>
      <c r="L256" s="29">
        <v>446</v>
      </c>
      <c r="M256" s="27" t="s">
        <v>180</v>
      </c>
      <c r="N256" s="33">
        <v>22603</v>
      </c>
      <c r="O256" s="17">
        <f t="shared" si="19"/>
        <v>22603</v>
      </c>
      <c r="P256" s="131" t="s">
        <v>439</v>
      </c>
      <c r="Q256" s="45" t="s">
        <v>439</v>
      </c>
      <c r="R256" s="128" t="e">
        <f t="shared" si="20"/>
        <v>#VALUE!</v>
      </c>
      <c r="S256" s="28">
        <v>0.74725799999999998</v>
      </c>
      <c r="T256" s="5">
        <v>190851.31</v>
      </c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</row>
    <row r="257" spans="1:55" s="28" customFormat="1" ht="15.75" customHeight="1" x14ac:dyDescent="0.2">
      <c r="A257" s="27">
        <v>1</v>
      </c>
      <c r="B257" s="28" t="s">
        <v>37</v>
      </c>
      <c r="C257" s="29" t="s">
        <v>134</v>
      </c>
      <c r="D257" s="35" t="s">
        <v>289</v>
      </c>
      <c r="E257" s="23" t="s">
        <v>179</v>
      </c>
      <c r="F257" s="23" t="s">
        <v>181</v>
      </c>
      <c r="G257" s="31">
        <v>6900</v>
      </c>
      <c r="H257" s="20" t="s">
        <v>188</v>
      </c>
      <c r="I257" s="34" t="s">
        <v>191</v>
      </c>
      <c r="J257" s="34" t="s">
        <v>192</v>
      </c>
      <c r="K257" s="20" t="s">
        <v>182</v>
      </c>
      <c r="L257" s="28">
        <v>446</v>
      </c>
      <c r="M257" s="27" t="s">
        <v>180</v>
      </c>
      <c r="N257" s="33">
        <v>23940.5</v>
      </c>
      <c r="O257" s="17">
        <f t="shared" si="19"/>
        <v>23940.5</v>
      </c>
      <c r="P257" s="131" t="s">
        <v>439</v>
      </c>
      <c r="Q257" s="45" t="s">
        <v>439</v>
      </c>
      <c r="R257" s="128" t="e">
        <f t="shared" si="20"/>
        <v>#VALUE!</v>
      </c>
      <c r="S257" s="28">
        <v>0.74725799999999998</v>
      </c>
      <c r="T257" s="5">
        <v>190851.31</v>
      </c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</row>
    <row r="258" spans="1:55" s="28" customFormat="1" ht="15.75" customHeight="1" x14ac:dyDescent="0.2">
      <c r="A258" s="27">
        <v>1</v>
      </c>
      <c r="B258" s="28" t="s">
        <v>38</v>
      </c>
      <c r="C258" s="29" t="s">
        <v>131</v>
      </c>
      <c r="D258" s="40" t="s">
        <v>316</v>
      </c>
      <c r="E258" s="24" t="s">
        <v>17</v>
      </c>
      <c r="F258" s="23" t="s">
        <v>300</v>
      </c>
      <c r="G258" s="31">
        <v>6900</v>
      </c>
      <c r="H258" s="20" t="s">
        <v>322</v>
      </c>
      <c r="I258" s="34" t="s">
        <v>292</v>
      </c>
      <c r="J258" s="34" t="s">
        <v>293</v>
      </c>
      <c r="K258" s="20" t="s">
        <v>438</v>
      </c>
      <c r="L258" s="41" t="s">
        <v>315</v>
      </c>
      <c r="M258" s="27" t="s">
        <v>180</v>
      </c>
      <c r="N258" s="33">
        <v>23515</v>
      </c>
      <c r="O258" s="17">
        <f t="shared" si="19"/>
        <v>23515</v>
      </c>
      <c r="P258" s="131">
        <v>12950</v>
      </c>
      <c r="Q258" s="27">
        <v>21</v>
      </c>
      <c r="R258" s="128">
        <f t="shared" si="20"/>
        <v>22926.16651904762</v>
      </c>
      <c r="S258" s="28">
        <v>0.74725799999999998</v>
      </c>
      <c r="T258" s="5">
        <v>190851.31</v>
      </c>
    </row>
    <row r="259" spans="1:55" s="28" customFormat="1" ht="15.75" customHeight="1" x14ac:dyDescent="0.2">
      <c r="A259" s="27">
        <v>1</v>
      </c>
      <c r="B259" s="28" t="s">
        <v>38</v>
      </c>
      <c r="C259" s="29" t="s">
        <v>131</v>
      </c>
      <c r="D259" s="130" t="s">
        <v>287</v>
      </c>
      <c r="E259" s="23" t="s">
        <v>179</v>
      </c>
      <c r="F259" s="23" t="s">
        <v>181</v>
      </c>
      <c r="G259" s="31">
        <v>7300</v>
      </c>
      <c r="H259" s="20" t="s">
        <v>187</v>
      </c>
      <c r="I259" s="34" t="s">
        <v>184</v>
      </c>
      <c r="J259" s="34" t="s">
        <v>185</v>
      </c>
      <c r="K259" s="20" t="s">
        <v>189</v>
      </c>
      <c r="L259" s="29">
        <v>446</v>
      </c>
      <c r="M259" s="27" t="s">
        <v>180</v>
      </c>
      <c r="N259" s="33">
        <v>19592</v>
      </c>
      <c r="O259" s="17">
        <f t="shared" si="19"/>
        <v>19592</v>
      </c>
      <c r="P259" s="131" t="s">
        <v>439</v>
      </c>
      <c r="Q259" s="45" t="s">
        <v>439</v>
      </c>
      <c r="R259" s="128" t="e">
        <f t="shared" si="20"/>
        <v>#VALUE!</v>
      </c>
      <c r="S259" s="28">
        <v>0.74725799999999998</v>
      </c>
      <c r="T259" s="5">
        <v>190851.31</v>
      </c>
    </row>
    <row r="260" spans="1:55" s="28" customFormat="1" ht="15.75" customHeight="1" x14ac:dyDescent="0.2">
      <c r="A260" s="27">
        <v>1</v>
      </c>
      <c r="B260" s="28" t="s">
        <v>38</v>
      </c>
      <c r="C260" s="29" t="s">
        <v>131</v>
      </c>
      <c r="D260" s="35" t="s">
        <v>289</v>
      </c>
      <c r="E260" s="23" t="s">
        <v>179</v>
      </c>
      <c r="F260" s="23" t="s">
        <v>181</v>
      </c>
      <c r="G260" s="31">
        <v>7300</v>
      </c>
      <c r="H260" s="20" t="s">
        <v>188</v>
      </c>
      <c r="I260" s="34" t="s">
        <v>191</v>
      </c>
      <c r="J260" s="34" t="s">
        <v>192</v>
      </c>
      <c r="K260" s="20" t="s">
        <v>189</v>
      </c>
      <c r="L260" s="29">
        <v>446</v>
      </c>
      <c r="M260" s="27" t="s">
        <v>180</v>
      </c>
      <c r="N260" s="33">
        <v>21183</v>
      </c>
      <c r="O260" s="17">
        <f t="shared" si="19"/>
        <v>21183</v>
      </c>
      <c r="P260" s="131" t="s">
        <v>439</v>
      </c>
      <c r="Q260" s="45" t="s">
        <v>439</v>
      </c>
      <c r="R260" s="128" t="e">
        <f t="shared" si="20"/>
        <v>#VALUE!</v>
      </c>
      <c r="S260" s="28">
        <v>0.74725799999999998</v>
      </c>
      <c r="T260" s="5">
        <v>190851.31</v>
      </c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</row>
    <row r="261" spans="1:55" s="28" customFormat="1" ht="15.75" customHeight="1" x14ac:dyDescent="0.2">
      <c r="A261" s="27">
        <v>2</v>
      </c>
      <c r="B261" s="28" t="s">
        <v>39</v>
      </c>
      <c r="C261" s="29" t="s">
        <v>131</v>
      </c>
      <c r="D261" s="40" t="s">
        <v>316</v>
      </c>
      <c r="E261" s="24" t="s">
        <v>17</v>
      </c>
      <c r="F261" s="23" t="s">
        <v>300</v>
      </c>
      <c r="G261" s="31">
        <v>6900</v>
      </c>
      <c r="H261" s="20" t="s">
        <v>322</v>
      </c>
      <c r="I261" s="34" t="s">
        <v>292</v>
      </c>
      <c r="J261" s="34" t="s">
        <v>293</v>
      </c>
      <c r="K261" s="20" t="s">
        <v>438</v>
      </c>
      <c r="L261" s="41" t="s">
        <v>315</v>
      </c>
      <c r="M261" s="27" t="s">
        <v>180</v>
      </c>
      <c r="N261" s="33">
        <v>22838.5</v>
      </c>
      <c r="O261" s="17">
        <f t="shared" si="19"/>
        <v>45677</v>
      </c>
      <c r="P261" s="131">
        <v>12950</v>
      </c>
      <c r="Q261" s="27">
        <v>21</v>
      </c>
      <c r="R261" s="128">
        <f t="shared" si="20"/>
        <v>22249.66651904762</v>
      </c>
      <c r="S261" s="28">
        <v>0.74725799999999998</v>
      </c>
      <c r="T261" s="5">
        <v>190851.31</v>
      </c>
    </row>
    <row r="262" spans="1:55" s="28" customFormat="1" ht="15.75" customHeight="1" x14ac:dyDescent="0.2">
      <c r="A262" s="27">
        <v>2</v>
      </c>
      <c r="B262" s="28" t="s">
        <v>39</v>
      </c>
      <c r="C262" s="29" t="s">
        <v>131</v>
      </c>
      <c r="D262" s="130" t="s">
        <v>287</v>
      </c>
      <c r="E262" s="23" t="s">
        <v>179</v>
      </c>
      <c r="F262" s="23" t="s">
        <v>181</v>
      </c>
      <c r="G262" s="31">
        <v>7300</v>
      </c>
      <c r="H262" s="20" t="s">
        <v>187</v>
      </c>
      <c r="I262" s="34" t="s">
        <v>184</v>
      </c>
      <c r="J262" s="34" t="s">
        <v>185</v>
      </c>
      <c r="K262" s="20" t="s">
        <v>189</v>
      </c>
      <c r="L262" s="29">
        <v>446</v>
      </c>
      <c r="M262" s="27" t="s">
        <v>180</v>
      </c>
      <c r="N262" s="33">
        <v>18874</v>
      </c>
      <c r="O262" s="17">
        <f t="shared" si="19"/>
        <v>37748</v>
      </c>
      <c r="P262" s="131" t="s">
        <v>439</v>
      </c>
      <c r="Q262" s="45" t="s">
        <v>439</v>
      </c>
      <c r="R262" s="128" t="e">
        <f t="shared" si="20"/>
        <v>#VALUE!</v>
      </c>
      <c r="S262" s="28">
        <v>0.74725799999999998</v>
      </c>
      <c r="T262" s="5">
        <v>190851.31</v>
      </c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</row>
    <row r="263" spans="1:55" s="28" customFormat="1" ht="15.75" customHeight="1" x14ac:dyDescent="0.2">
      <c r="A263" s="27">
        <v>2</v>
      </c>
      <c r="B263" s="28" t="s">
        <v>39</v>
      </c>
      <c r="C263" s="29" t="s">
        <v>131</v>
      </c>
      <c r="D263" s="35" t="s">
        <v>289</v>
      </c>
      <c r="E263" s="23" t="s">
        <v>179</v>
      </c>
      <c r="F263" s="23" t="s">
        <v>181</v>
      </c>
      <c r="G263" s="31">
        <v>7300</v>
      </c>
      <c r="H263" s="20" t="s">
        <v>188</v>
      </c>
      <c r="I263" s="34" t="s">
        <v>191</v>
      </c>
      <c r="J263" s="34" t="s">
        <v>192</v>
      </c>
      <c r="K263" s="20" t="s">
        <v>189</v>
      </c>
      <c r="L263" s="29">
        <v>446</v>
      </c>
      <c r="M263" s="27" t="s">
        <v>180</v>
      </c>
      <c r="N263" s="33">
        <v>20578</v>
      </c>
      <c r="O263" s="17">
        <f t="shared" si="19"/>
        <v>41156</v>
      </c>
      <c r="P263" s="131" t="s">
        <v>439</v>
      </c>
      <c r="Q263" s="45" t="s">
        <v>439</v>
      </c>
      <c r="R263" s="128" t="e">
        <f t="shared" si="20"/>
        <v>#VALUE!</v>
      </c>
      <c r="S263" s="28">
        <v>0.74725799999999998</v>
      </c>
      <c r="T263" s="5">
        <v>190851.31</v>
      </c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</row>
    <row r="264" spans="1:55" s="28" customFormat="1" ht="15.75" customHeight="1" x14ac:dyDescent="0.2">
      <c r="A264" s="27">
        <v>1</v>
      </c>
      <c r="B264" s="28" t="s">
        <v>40</v>
      </c>
      <c r="C264" s="28" t="s">
        <v>135</v>
      </c>
      <c r="D264" s="40" t="s">
        <v>316</v>
      </c>
      <c r="E264" s="24" t="s">
        <v>17</v>
      </c>
      <c r="F264" s="23" t="s">
        <v>300</v>
      </c>
      <c r="G264" s="31">
        <v>7000</v>
      </c>
      <c r="H264" s="20" t="s">
        <v>323</v>
      </c>
      <c r="I264" s="34" t="s">
        <v>292</v>
      </c>
      <c r="J264" s="34" t="s">
        <v>293</v>
      </c>
      <c r="K264" s="20" t="s">
        <v>321</v>
      </c>
      <c r="L264" s="41" t="s">
        <v>315</v>
      </c>
      <c r="M264" s="27" t="s">
        <v>180</v>
      </c>
      <c r="N264" s="33">
        <v>25130</v>
      </c>
      <c r="O264" s="17">
        <f t="shared" si="19"/>
        <v>25130</v>
      </c>
      <c r="P264" s="131">
        <v>12950</v>
      </c>
      <c r="Q264" s="27">
        <v>21</v>
      </c>
      <c r="R264" s="128">
        <f t="shared" si="20"/>
        <v>24541.16651904762</v>
      </c>
      <c r="S264" s="28">
        <v>0.74725799999999998</v>
      </c>
      <c r="T264" s="5">
        <v>190851.31</v>
      </c>
      <c r="Y264" s="38"/>
      <c r="Z264" s="38"/>
      <c r="AA264" s="38"/>
    </row>
    <row r="265" spans="1:55" s="28" customFormat="1" ht="15.75" customHeight="1" x14ac:dyDescent="0.2">
      <c r="A265" s="27">
        <v>1</v>
      </c>
      <c r="B265" s="28" t="s">
        <v>40</v>
      </c>
      <c r="C265" s="28" t="s">
        <v>135</v>
      </c>
      <c r="D265" s="130" t="s">
        <v>287</v>
      </c>
      <c r="E265" s="23" t="s">
        <v>179</v>
      </c>
      <c r="F265" s="23" t="s">
        <v>181</v>
      </c>
      <c r="G265" s="31">
        <v>7450</v>
      </c>
      <c r="H265" s="20" t="s">
        <v>188</v>
      </c>
      <c r="I265" s="34" t="s">
        <v>184</v>
      </c>
      <c r="J265" s="34" t="s">
        <v>185</v>
      </c>
      <c r="K265" s="20" t="s">
        <v>189</v>
      </c>
      <c r="L265" s="29">
        <v>446</v>
      </c>
      <c r="M265" s="27" t="s">
        <v>180</v>
      </c>
      <c r="N265" s="33">
        <v>22921</v>
      </c>
      <c r="O265" s="17">
        <f t="shared" si="19"/>
        <v>22921</v>
      </c>
      <c r="P265" s="131" t="s">
        <v>439</v>
      </c>
      <c r="Q265" s="45" t="s">
        <v>439</v>
      </c>
      <c r="R265" s="128" t="e">
        <f t="shared" si="20"/>
        <v>#VALUE!</v>
      </c>
      <c r="S265" s="28">
        <v>0.74725799999999998</v>
      </c>
      <c r="T265" s="5">
        <v>190851.31</v>
      </c>
      <c r="Y265" s="38"/>
      <c r="Z265" s="38"/>
      <c r="AA265" s="38"/>
    </row>
    <row r="266" spans="1:55" s="28" customFormat="1" ht="15.75" customHeight="1" x14ac:dyDescent="0.2">
      <c r="A266" s="27">
        <v>1</v>
      </c>
      <c r="B266" s="28" t="s">
        <v>40</v>
      </c>
      <c r="C266" s="28" t="s">
        <v>135</v>
      </c>
      <c r="D266" s="35" t="s">
        <v>289</v>
      </c>
      <c r="E266" s="23" t="s">
        <v>179</v>
      </c>
      <c r="F266" s="23" t="s">
        <v>181</v>
      </c>
      <c r="G266" s="31">
        <v>7450</v>
      </c>
      <c r="H266" s="20" t="s">
        <v>188</v>
      </c>
      <c r="I266" s="34" t="s">
        <v>191</v>
      </c>
      <c r="J266" s="34" t="s">
        <v>192</v>
      </c>
      <c r="K266" s="20" t="s">
        <v>189</v>
      </c>
      <c r="L266" s="29">
        <v>446</v>
      </c>
      <c r="M266" s="27" t="s">
        <v>180</v>
      </c>
      <c r="N266" s="33">
        <v>24994.5</v>
      </c>
      <c r="O266" s="17">
        <f t="shared" si="19"/>
        <v>24994.5</v>
      </c>
      <c r="P266" s="131" t="s">
        <v>439</v>
      </c>
      <c r="Q266" s="45" t="s">
        <v>439</v>
      </c>
      <c r="R266" s="128" t="e">
        <f t="shared" si="20"/>
        <v>#VALUE!</v>
      </c>
      <c r="S266" s="28">
        <v>0.74725799999999998</v>
      </c>
      <c r="T266" s="5">
        <v>190851.31</v>
      </c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</row>
    <row r="267" spans="1:55" s="28" customFormat="1" ht="15.75" customHeight="1" x14ac:dyDescent="0.2">
      <c r="A267" s="27">
        <v>1</v>
      </c>
      <c r="B267" s="28" t="s">
        <v>41</v>
      </c>
      <c r="C267" s="28" t="s">
        <v>100</v>
      </c>
      <c r="D267" s="40" t="s">
        <v>288</v>
      </c>
      <c r="E267" s="28" t="s">
        <v>143</v>
      </c>
      <c r="F267" s="23" t="s">
        <v>239</v>
      </c>
      <c r="G267" s="31">
        <v>6800</v>
      </c>
      <c r="H267" s="20" t="s">
        <v>246</v>
      </c>
      <c r="I267" s="34" t="s">
        <v>241</v>
      </c>
      <c r="J267" s="34" t="s">
        <v>242</v>
      </c>
      <c r="K267" s="20" t="s">
        <v>434</v>
      </c>
      <c r="L267" s="29" t="s">
        <v>148</v>
      </c>
      <c r="M267" s="27" t="s">
        <v>180</v>
      </c>
      <c r="N267" s="33">
        <v>23887.5</v>
      </c>
      <c r="O267" s="17">
        <f t="shared" si="19"/>
        <v>23887.5</v>
      </c>
      <c r="P267" s="131">
        <v>17000</v>
      </c>
      <c r="Q267" s="27">
        <v>19</v>
      </c>
      <c r="R267" s="128">
        <f t="shared" si="20"/>
        <v>21228.919789473686</v>
      </c>
      <c r="S267" s="28">
        <v>0.74725799999999998</v>
      </c>
      <c r="T267" s="5">
        <v>190851.31</v>
      </c>
      <c r="Y267" s="38"/>
      <c r="Z267" s="38"/>
      <c r="AA267" s="38"/>
    </row>
    <row r="268" spans="1:55" s="28" customFormat="1" ht="15.75" customHeight="1" x14ac:dyDescent="0.2">
      <c r="A268" s="27">
        <v>1</v>
      </c>
      <c r="B268" s="28" t="s">
        <v>41</v>
      </c>
      <c r="C268" s="28" t="s">
        <v>100</v>
      </c>
      <c r="D268" s="40" t="s">
        <v>316</v>
      </c>
      <c r="E268" s="24" t="s">
        <v>17</v>
      </c>
      <c r="F268" s="23" t="s">
        <v>300</v>
      </c>
      <c r="G268" s="31">
        <v>7000</v>
      </c>
      <c r="H268" s="20" t="s">
        <v>324</v>
      </c>
      <c r="I268" s="34" t="s">
        <v>292</v>
      </c>
      <c r="J268" s="34" t="s">
        <v>293</v>
      </c>
      <c r="K268" s="28" t="s">
        <v>438</v>
      </c>
      <c r="L268" s="41" t="s">
        <v>315</v>
      </c>
      <c r="M268" s="27" t="s">
        <v>180</v>
      </c>
      <c r="N268" s="33">
        <v>26603</v>
      </c>
      <c r="O268" s="17">
        <f t="shared" si="19"/>
        <v>26603</v>
      </c>
      <c r="P268" s="131">
        <v>17700</v>
      </c>
      <c r="Q268" s="27">
        <v>21</v>
      </c>
      <c r="R268" s="128">
        <f t="shared" si="20"/>
        <v>22464.691019047619</v>
      </c>
      <c r="S268" s="28">
        <v>0.74725799999999998</v>
      </c>
      <c r="T268" s="5">
        <v>190851.31</v>
      </c>
      <c r="Y268" s="38"/>
      <c r="Z268" s="38"/>
      <c r="AA268" s="38"/>
    </row>
    <row r="269" spans="1:55" s="28" customFormat="1" ht="15.75" customHeight="1" x14ac:dyDescent="0.2">
      <c r="A269" s="27">
        <v>1</v>
      </c>
      <c r="B269" s="28" t="s">
        <v>41</v>
      </c>
      <c r="C269" s="28" t="s">
        <v>100</v>
      </c>
      <c r="D269" s="40" t="s">
        <v>316</v>
      </c>
      <c r="E269" s="24" t="s">
        <v>17</v>
      </c>
      <c r="F269" s="23" t="s">
        <v>300</v>
      </c>
      <c r="G269" s="31">
        <v>7000</v>
      </c>
      <c r="H269" s="20" t="s">
        <v>324</v>
      </c>
      <c r="I269" s="34" t="s">
        <v>292</v>
      </c>
      <c r="J269" s="34" t="s">
        <v>293</v>
      </c>
      <c r="K269" s="20" t="s">
        <v>318</v>
      </c>
      <c r="L269" s="29" t="s">
        <v>294</v>
      </c>
      <c r="M269" s="27" t="s">
        <v>180</v>
      </c>
      <c r="N269" s="33">
        <v>25825</v>
      </c>
      <c r="O269" s="17">
        <f t="shared" si="19"/>
        <v>25825</v>
      </c>
      <c r="P269" s="131">
        <v>17700</v>
      </c>
      <c r="Q269" s="27">
        <v>18</v>
      </c>
      <c r="R269" s="128">
        <f t="shared" si="20"/>
        <v>23201.383955555553</v>
      </c>
      <c r="S269" s="28">
        <v>0.74725799999999998</v>
      </c>
      <c r="T269" s="5">
        <v>190851.31</v>
      </c>
      <c r="Y269" s="38"/>
      <c r="Z269" s="38"/>
      <c r="AA269" s="38"/>
    </row>
    <row r="270" spans="1:55" s="38" customFormat="1" ht="15.75" customHeight="1" x14ac:dyDescent="0.2">
      <c r="A270" s="27">
        <v>1</v>
      </c>
      <c r="B270" s="28" t="s">
        <v>41</v>
      </c>
      <c r="C270" s="28" t="s">
        <v>100</v>
      </c>
      <c r="D270" s="40" t="s">
        <v>142</v>
      </c>
      <c r="E270" s="28" t="s">
        <v>143</v>
      </c>
      <c r="F270" s="23" t="s">
        <v>155</v>
      </c>
      <c r="G270" s="31">
        <v>6800</v>
      </c>
      <c r="H270" s="20" t="s">
        <v>156</v>
      </c>
      <c r="I270" s="34" t="s">
        <v>146</v>
      </c>
      <c r="J270" s="34" t="s">
        <v>147</v>
      </c>
      <c r="K270" s="20" t="s">
        <v>434</v>
      </c>
      <c r="L270" s="29" t="s">
        <v>148</v>
      </c>
      <c r="M270" s="27" t="s">
        <v>180</v>
      </c>
      <c r="N270" s="33">
        <v>23981</v>
      </c>
      <c r="O270" s="17">
        <f t="shared" si="19"/>
        <v>23981</v>
      </c>
      <c r="P270" s="131">
        <v>14125</v>
      </c>
      <c r="Q270" s="27">
        <v>19</v>
      </c>
      <c r="R270" s="128">
        <f t="shared" si="20"/>
        <v>23470.786539473687</v>
      </c>
      <c r="S270" s="28">
        <v>0.74725799999999998</v>
      </c>
      <c r="T270" s="5">
        <v>190851.31</v>
      </c>
      <c r="U270" s="28"/>
      <c r="V270" s="28"/>
      <c r="W270" s="28"/>
      <c r="X270" s="28"/>
    </row>
    <row r="271" spans="1:55" s="38" customFormat="1" ht="15.75" customHeight="1" x14ac:dyDescent="0.2">
      <c r="A271" s="27">
        <v>1</v>
      </c>
      <c r="B271" s="28" t="s">
        <v>41</v>
      </c>
      <c r="C271" s="28" t="s">
        <v>100</v>
      </c>
      <c r="D271" s="35" t="s">
        <v>289</v>
      </c>
      <c r="E271" s="23" t="s">
        <v>179</v>
      </c>
      <c r="F271" s="23" t="s">
        <v>181</v>
      </c>
      <c r="G271" s="31">
        <v>7350</v>
      </c>
      <c r="H271" s="20" t="s">
        <v>190</v>
      </c>
      <c r="I271" s="34" t="s">
        <v>191</v>
      </c>
      <c r="J271" s="34" t="s">
        <v>192</v>
      </c>
      <c r="K271" s="20" t="s">
        <v>189</v>
      </c>
      <c r="L271" s="29">
        <v>446</v>
      </c>
      <c r="M271" s="27" t="s">
        <v>180</v>
      </c>
      <c r="N271" s="33">
        <v>26607</v>
      </c>
      <c r="O271" s="17">
        <f t="shared" si="19"/>
        <v>26607</v>
      </c>
      <c r="P271" s="131" t="s">
        <v>439</v>
      </c>
      <c r="Q271" s="45" t="s">
        <v>439</v>
      </c>
      <c r="R271" s="128" t="e">
        <f t="shared" si="20"/>
        <v>#VALUE!</v>
      </c>
      <c r="S271" s="28">
        <v>0.74725799999999998</v>
      </c>
      <c r="T271" s="5">
        <v>190851.31</v>
      </c>
      <c r="U271" s="28"/>
      <c r="V271" s="28"/>
      <c r="W271" s="28"/>
      <c r="X271" s="28"/>
    </row>
    <row r="272" spans="1:55" s="38" customFormat="1" ht="15.75" customHeight="1" x14ac:dyDescent="0.2">
      <c r="A272" s="27">
        <v>1</v>
      </c>
      <c r="B272" s="28" t="s">
        <v>41</v>
      </c>
      <c r="C272" s="28" t="s">
        <v>100</v>
      </c>
      <c r="D272" s="130" t="s">
        <v>287</v>
      </c>
      <c r="E272" s="23" t="s">
        <v>179</v>
      </c>
      <c r="F272" s="23" t="s">
        <v>181</v>
      </c>
      <c r="G272" s="31">
        <v>7350</v>
      </c>
      <c r="H272" s="20" t="s">
        <v>190</v>
      </c>
      <c r="I272" s="34" t="s">
        <v>191</v>
      </c>
      <c r="J272" s="34" t="s">
        <v>192</v>
      </c>
      <c r="K272" s="20" t="s">
        <v>189</v>
      </c>
      <c r="L272" s="29">
        <v>446</v>
      </c>
      <c r="M272" s="27" t="s">
        <v>180</v>
      </c>
      <c r="N272" s="33">
        <v>26521</v>
      </c>
      <c r="O272" s="17">
        <f t="shared" si="19"/>
        <v>26521</v>
      </c>
      <c r="P272" s="131" t="s">
        <v>439</v>
      </c>
      <c r="Q272" s="45" t="s">
        <v>439</v>
      </c>
      <c r="R272" s="128" t="e">
        <f t="shared" si="20"/>
        <v>#VALUE!</v>
      </c>
      <c r="S272" s="28">
        <v>0.74725799999999998</v>
      </c>
      <c r="T272" s="5">
        <v>190851.31</v>
      </c>
      <c r="U272" s="28"/>
      <c r="V272" s="28"/>
      <c r="W272" s="28"/>
      <c r="X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</row>
    <row r="273" spans="1:55" s="38" customFormat="1" ht="15.75" customHeight="1" x14ac:dyDescent="0.2">
      <c r="A273" s="27"/>
      <c r="B273" s="28"/>
      <c r="C273" s="28"/>
      <c r="D273" s="130"/>
      <c r="E273" s="23"/>
      <c r="F273" s="23"/>
      <c r="G273" s="31"/>
      <c r="H273" s="20"/>
      <c r="I273" s="34"/>
      <c r="J273" s="34"/>
      <c r="K273" s="20"/>
      <c r="L273" s="29"/>
      <c r="M273" s="27"/>
      <c r="N273" s="33"/>
      <c r="O273" s="17"/>
      <c r="P273" s="131"/>
      <c r="Q273" s="45"/>
      <c r="R273" s="128"/>
      <c r="S273" s="28"/>
      <c r="T273" s="5"/>
      <c r="U273" s="28"/>
      <c r="V273" s="28"/>
      <c r="W273" s="28"/>
      <c r="X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</row>
    <row r="274" spans="1:55" s="38" customFormat="1" ht="15.75" customHeight="1" x14ac:dyDescent="0.2">
      <c r="A274" s="27"/>
      <c r="B274" s="28"/>
      <c r="C274" s="28"/>
      <c r="D274" s="130"/>
      <c r="E274" s="23"/>
      <c r="F274" s="23"/>
      <c r="G274" s="31"/>
      <c r="H274" s="20"/>
      <c r="I274" s="34"/>
      <c r="J274" s="34"/>
      <c r="K274" s="20"/>
      <c r="L274" s="29"/>
      <c r="M274" s="27"/>
      <c r="N274" s="33"/>
      <c r="O274" s="17"/>
      <c r="P274" s="131"/>
      <c r="Q274" s="45"/>
      <c r="R274" s="128"/>
      <c r="S274" s="28"/>
      <c r="T274" s="5"/>
      <c r="U274" s="28"/>
      <c r="V274" s="28"/>
      <c r="W274" s="28"/>
      <c r="X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</row>
    <row r="275" spans="1:55" s="38" customFormat="1" ht="15.75" customHeight="1" x14ac:dyDescent="0.2">
      <c r="A275" s="27">
        <v>2</v>
      </c>
      <c r="B275" s="38" t="s">
        <v>91</v>
      </c>
      <c r="C275" s="38" t="s">
        <v>90</v>
      </c>
      <c r="D275" s="40" t="s">
        <v>288</v>
      </c>
      <c r="E275" s="24" t="s">
        <v>286</v>
      </c>
      <c r="F275" s="24" t="s">
        <v>266</v>
      </c>
      <c r="G275" s="39">
        <v>4575</v>
      </c>
      <c r="H275" s="24" t="s">
        <v>268</v>
      </c>
      <c r="I275" s="40" t="s">
        <v>269</v>
      </c>
      <c r="J275" s="40" t="s">
        <v>270</v>
      </c>
      <c r="K275" s="24" t="s">
        <v>267</v>
      </c>
      <c r="L275" s="41" t="s">
        <v>271</v>
      </c>
      <c r="M275" s="27" t="s">
        <v>180</v>
      </c>
      <c r="N275" s="42">
        <v>17235.5</v>
      </c>
      <c r="O275" s="17">
        <f t="shared" ref="O275:O305" si="21">A275*N275</f>
        <v>34471</v>
      </c>
      <c r="P275" s="132">
        <v>8275</v>
      </c>
      <c r="Q275" s="45">
        <v>27</v>
      </c>
      <c r="R275" s="128">
        <f t="shared" ref="R275:R305" si="22">N275+(T275/Q275)-(P275*AO$310)</f>
        <v>18120.507087037036</v>
      </c>
      <c r="S275" s="28">
        <v>0.74725799999999998</v>
      </c>
      <c r="T275" s="5">
        <v>190851.31</v>
      </c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</row>
    <row r="276" spans="1:55" s="38" customFormat="1" ht="15.75" customHeight="1" x14ac:dyDescent="0.2">
      <c r="A276" s="27">
        <v>2</v>
      </c>
      <c r="B276" s="38" t="s">
        <v>91</v>
      </c>
      <c r="C276" s="38" t="s">
        <v>90</v>
      </c>
      <c r="D276" s="130" t="s">
        <v>287</v>
      </c>
      <c r="E276" s="23" t="s">
        <v>179</v>
      </c>
      <c r="F276" s="24" t="s">
        <v>428</v>
      </c>
      <c r="G276" s="39">
        <v>4400</v>
      </c>
      <c r="H276" s="24" t="s">
        <v>230</v>
      </c>
      <c r="I276" s="40" t="s">
        <v>191</v>
      </c>
      <c r="J276" s="40" t="s">
        <v>231</v>
      </c>
      <c r="K276" s="24" t="s">
        <v>435</v>
      </c>
      <c r="L276" s="41">
        <v>446</v>
      </c>
      <c r="M276" s="27" t="s">
        <v>180</v>
      </c>
      <c r="N276" s="42">
        <v>20687</v>
      </c>
      <c r="O276" s="17">
        <f t="shared" si="21"/>
        <v>41374</v>
      </c>
      <c r="P276" s="132">
        <v>10150</v>
      </c>
      <c r="Q276" s="45">
        <v>25</v>
      </c>
      <c r="R276" s="128">
        <f t="shared" si="22"/>
        <v>20736.383699999998</v>
      </c>
      <c r="S276" s="28">
        <v>0.74725799999999998</v>
      </c>
      <c r="T276" s="5">
        <v>190851.31</v>
      </c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</row>
    <row r="277" spans="1:55" s="38" customFormat="1" ht="15.75" customHeight="1" x14ac:dyDescent="0.2">
      <c r="A277" s="27">
        <v>2</v>
      </c>
      <c r="B277" s="38" t="s">
        <v>91</v>
      </c>
      <c r="C277" s="38" t="s">
        <v>90</v>
      </c>
      <c r="D277" s="40" t="s">
        <v>291</v>
      </c>
      <c r="E277" s="24" t="s">
        <v>17</v>
      </c>
      <c r="F277" s="24" t="s">
        <v>303</v>
      </c>
      <c r="G277" s="39">
        <v>4825</v>
      </c>
      <c r="H277" s="24" t="s">
        <v>304</v>
      </c>
      <c r="I277" s="40" t="s">
        <v>305</v>
      </c>
      <c r="J277" s="40" t="s">
        <v>308</v>
      </c>
      <c r="K277" s="24" t="s">
        <v>418</v>
      </c>
      <c r="L277" s="41" t="s">
        <v>307</v>
      </c>
      <c r="M277" s="27" t="s">
        <v>180</v>
      </c>
      <c r="N277" s="42">
        <v>18031.830000000002</v>
      </c>
      <c r="O277" s="17">
        <f t="shared" si="21"/>
        <v>36063.660000000003</v>
      </c>
      <c r="P277" s="131" t="s">
        <v>439</v>
      </c>
      <c r="Q277" s="45">
        <v>28</v>
      </c>
      <c r="R277" s="128" t="e">
        <f t="shared" si="22"/>
        <v>#VALUE!</v>
      </c>
      <c r="S277" s="28">
        <v>0.74725799999999998</v>
      </c>
      <c r="T277" s="5">
        <v>190851.31</v>
      </c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</row>
    <row r="278" spans="1:55" s="38" customFormat="1" ht="15.75" customHeight="1" x14ac:dyDescent="0.2">
      <c r="A278" s="27">
        <v>2</v>
      </c>
      <c r="B278" s="38" t="s">
        <v>91</v>
      </c>
      <c r="C278" s="38" t="s">
        <v>90</v>
      </c>
      <c r="D278" s="40" t="s">
        <v>291</v>
      </c>
      <c r="E278" s="24" t="s">
        <v>17</v>
      </c>
      <c r="F278" s="24" t="s">
        <v>303</v>
      </c>
      <c r="G278" s="39">
        <v>4825</v>
      </c>
      <c r="H278" s="24" t="s">
        <v>304</v>
      </c>
      <c r="I278" s="40" t="s">
        <v>305</v>
      </c>
      <c r="J278" s="40" t="s">
        <v>306</v>
      </c>
      <c r="K278" s="24" t="s">
        <v>418</v>
      </c>
      <c r="L278" s="41" t="s">
        <v>307</v>
      </c>
      <c r="M278" s="27" t="s">
        <v>180</v>
      </c>
      <c r="N278" s="42">
        <v>19016.23</v>
      </c>
      <c r="O278" s="17">
        <f t="shared" si="21"/>
        <v>38032.46</v>
      </c>
      <c r="P278" s="131" t="s">
        <v>439</v>
      </c>
      <c r="Q278" s="45">
        <v>28</v>
      </c>
      <c r="R278" s="128" t="e">
        <f t="shared" si="22"/>
        <v>#VALUE!</v>
      </c>
      <c r="S278" s="28">
        <v>0.74725799999999998</v>
      </c>
      <c r="T278" s="5">
        <v>190851.31</v>
      </c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</row>
    <row r="279" spans="1:55" s="38" customFormat="1" ht="15.75" customHeight="1" x14ac:dyDescent="0.2">
      <c r="A279" s="27">
        <v>2</v>
      </c>
      <c r="B279" s="38" t="s">
        <v>91</v>
      </c>
      <c r="C279" s="38" t="s">
        <v>90</v>
      </c>
      <c r="D279" s="40" t="s">
        <v>316</v>
      </c>
      <c r="E279" s="24" t="s">
        <v>17</v>
      </c>
      <c r="F279" s="24" t="s">
        <v>303</v>
      </c>
      <c r="G279" s="39">
        <v>4825</v>
      </c>
      <c r="H279" s="24" t="s">
        <v>304</v>
      </c>
      <c r="I279" s="40" t="s">
        <v>305</v>
      </c>
      <c r="J279" s="40" t="s">
        <v>306</v>
      </c>
      <c r="K279" s="24" t="s">
        <v>418</v>
      </c>
      <c r="L279" s="41" t="s">
        <v>307</v>
      </c>
      <c r="M279" s="39" t="s">
        <v>141</v>
      </c>
      <c r="N279" s="42">
        <v>19229.5</v>
      </c>
      <c r="O279" s="17">
        <f t="shared" si="21"/>
        <v>38459</v>
      </c>
      <c r="P279" s="131" t="s">
        <v>439</v>
      </c>
      <c r="Q279" s="45" t="s">
        <v>439</v>
      </c>
      <c r="R279" s="128" t="e">
        <f t="shared" si="22"/>
        <v>#VALUE!</v>
      </c>
      <c r="S279" s="28">
        <v>0.74725799999999998</v>
      </c>
      <c r="T279" s="5">
        <v>190851.31</v>
      </c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</row>
    <row r="280" spans="1:55" s="38" customFormat="1" ht="15.75" customHeight="1" x14ac:dyDescent="0.2">
      <c r="A280" s="27">
        <v>2</v>
      </c>
      <c r="B280" s="38" t="s">
        <v>91</v>
      </c>
      <c r="C280" s="38" t="s">
        <v>90</v>
      </c>
      <c r="D280" s="40" t="s">
        <v>316</v>
      </c>
      <c r="E280" s="24" t="s">
        <v>17</v>
      </c>
      <c r="F280" s="24" t="s">
        <v>309</v>
      </c>
      <c r="G280" s="39">
        <v>5070</v>
      </c>
      <c r="H280" s="24" t="s">
        <v>348</v>
      </c>
      <c r="I280" s="34" t="s">
        <v>292</v>
      </c>
      <c r="J280" s="40" t="s">
        <v>293</v>
      </c>
      <c r="K280" s="24" t="s">
        <v>347</v>
      </c>
      <c r="L280" s="41" t="s">
        <v>307</v>
      </c>
      <c r="M280" s="39" t="s">
        <v>141</v>
      </c>
      <c r="N280" s="42">
        <v>21725.5</v>
      </c>
      <c r="O280" s="17">
        <f t="shared" si="21"/>
        <v>43451</v>
      </c>
      <c r="P280" s="132">
        <v>10400</v>
      </c>
      <c r="Q280" s="45" t="s">
        <v>439</v>
      </c>
      <c r="R280" s="128" t="e">
        <f t="shared" si="22"/>
        <v>#VALUE!</v>
      </c>
      <c r="S280" s="28">
        <v>0.74725799999999998</v>
      </c>
      <c r="T280" s="5">
        <v>190851.31</v>
      </c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</row>
    <row r="281" spans="1:55" s="38" customFormat="1" ht="15.75" customHeight="1" x14ac:dyDescent="0.2">
      <c r="A281" s="27">
        <v>1</v>
      </c>
      <c r="B281" s="38" t="s">
        <v>93</v>
      </c>
      <c r="C281" s="38" t="s">
        <v>92</v>
      </c>
      <c r="D281" s="40" t="s">
        <v>288</v>
      </c>
      <c r="E281" s="24" t="s">
        <v>286</v>
      </c>
      <c r="F281" s="24" t="s">
        <v>432</v>
      </c>
      <c r="G281" s="39">
        <v>4575</v>
      </c>
      <c r="H281" s="24" t="s">
        <v>273</v>
      </c>
      <c r="I281" s="40" t="s">
        <v>269</v>
      </c>
      <c r="J281" s="40" t="s">
        <v>274</v>
      </c>
      <c r="K281" s="24" t="s">
        <v>272</v>
      </c>
      <c r="L281" s="41" t="s">
        <v>271</v>
      </c>
      <c r="M281" s="27" t="s">
        <v>180</v>
      </c>
      <c r="N281" s="42">
        <v>19690.5</v>
      </c>
      <c r="O281" s="17">
        <f t="shared" si="21"/>
        <v>19690.5</v>
      </c>
      <c r="P281" s="132">
        <v>9750</v>
      </c>
      <c r="Q281" s="45">
        <v>27</v>
      </c>
      <c r="R281" s="128">
        <f t="shared" si="22"/>
        <v>19473.301537037034</v>
      </c>
      <c r="S281" s="28">
        <v>0.74725799999999998</v>
      </c>
      <c r="T281" s="5">
        <v>190851.31</v>
      </c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</row>
    <row r="282" spans="1:55" s="38" customFormat="1" ht="15.75" customHeight="1" x14ac:dyDescent="0.2">
      <c r="A282" s="27">
        <v>1</v>
      </c>
      <c r="B282" s="38" t="s">
        <v>93</v>
      </c>
      <c r="C282" s="38" t="s">
        <v>92</v>
      </c>
      <c r="D282" s="40" t="s">
        <v>291</v>
      </c>
      <c r="E282" s="24" t="s">
        <v>17</v>
      </c>
      <c r="F282" s="24" t="s">
        <v>309</v>
      </c>
      <c r="G282" s="39">
        <v>5070</v>
      </c>
      <c r="H282" s="24" t="s">
        <v>310</v>
      </c>
      <c r="I282" s="40" t="s">
        <v>305</v>
      </c>
      <c r="J282" s="40" t="s">
        <v>308</v>
      </c>
      <c r="K282" s="24" t="s">
        <v>437</v>
      </c>
      <c r="L282" s="41" t="s">
        <v>307</v>
      </c>
      <c r="M282" s="27" t="s">
        <v>180</v>
      </c>
      <c r="N282" s="42">
        <v>21508.87</v>
      </c>
      <c r="O282" s="17">
        <f t="shared" si="21"/>
        <v>21508.87</v>
      </c>
      <c r="P282" s="132">
        <v>10650</v>
      </c>
      <c r="Q282" s="45">
        <v>29</v>
      </c>
      <c r="R282" s="128">
        <f t="shared" si="22"/>
        <v>20131.651955172412</v>
      </c>
      <c r="S282" s="28">
        <v>0.74725799999999998</v>
      </c>
      <c r="T282" s="5">
        <v>190851.31</v>
      </c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</row>
    <row r="283" spans="1:55" s="38" customFormat="1" ht="15.75" customHeight="1" x14ac:dyDescent="0.2">
      <c r="A283" s="27">
        <v>1</v>
      </c>
      <c r="B283" s="38" t="s">
        <v>93</v>
      </c>
      <c r="C283" s="38" t="s">
        <v>92</v>
      </c>
      <c r="D283" s="40" t="s">
        <v>316</v>
      </c>
      <c r="E283" s="24" t="s">
        <v>17</v>
      </c>
      <c r="F283" s="24" t="s">
        <v>309</v>
      </c>
      <c r="G283" s="39">
        <v>5070</v>
      </c>
      <c r="H283" s="24" t="s">
        <v>351</v>
      </c>
      <c r="I283" s="34" t="s">
        <v>292</v>
      </c>
      <c r="J283" s="40" t="s">
        <v>293</v>
      </c>
      <c r="K283" s="24" t="s">
        <v>437</v>
      </c>
      <c r="L283" s="41" t="s">
        <v>307</v>
      </c>
      <c r="M283" s="27" t="s">
        <v>180</v>
      </c>
      <c r="N283" s="42">
        <v>22919</v>
      </c>
      <c r="O283" s="17">
        <f t="shared" si="21"/>
        <v>22919</v>
      </c>
      <c r="P283" s="132">
        <v>11400</v>
      </c>
      <c r="Q283" s="45">
        <v>29</v>
      </c>
      <c r="R283" s="128">
        <f t="shared" si="22"/>
        <v>20981.338455172412</v>
      </c>
      <c r="S283" s="28">
        <v>0.74725799999999998</v>
      </c>
      <c r="T283" s="5">
        <v>190851.31</v>
      </c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</row>
    <row r="284" spans="1:55" s="38" customFormat="1" ht="15.75" customHeight="1" x14ac:dyDescent="0.2">
      <c r="A284" s="27">
        <v>1</v>
      </c>
      <c r="B284" s="38" t="s">
        <v>93</v>
      </c>
      <c r="C284" s="38" t="s">
        <v>92</v>
      </c>
      <c r="D284" s="130" t="s">
        <v>287</v>
      </c>
      <c r="E284" s="23" t="s">
        <v>179</v>
      </c>
      <c r="F284" s="24" t="s">
        <v>428</v>
      </c>
      <c r="G284" s="39">
        <v>4600</v>
      </c>
      <c r="H284" s="24" t="s">
        <v>232</v>
      </c>
      <c r="I284" s="40" t="s">
        <v>191</v>
      </c>
      <c r="J284" s="40" t="s">
        <v>231</v>
      </c>
      <c r="K284" s="24" t="s">
        <v>435</v>
      </c>
      <c r="L284" s="41">
        <v>446</v>
      </c>
      <c r="M284" s="27" t="s">
        <v>180</v>
      </c>
      <c r="N284" s="42">
        <v>22457</v>
      </c>
      <c r="O284" s="17">
        <f t="shared" si="21"/>
        <v>22457</v>
      </c>
      <c r="P284" s="132">
        <v>11125</v>
      </c>
      <c r="Q284" s="45">
        <v>25</v>
      </c>
      <c r="R284" s="128">
        <f t="shared" si="22"/>
        <v>21777.807150000001</v>
      </c>
      <c r="S284" s="28">
        <v>0.74725799999999998</v>
      </c>
      <c r="T284" s="5">
        <v>190851.31</v>
      </c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</row>
    <row r="285" spans="1:55" s="38" customFormat="1" ht="15.75" customHeight="1" x14ac:dyDescent="0.2">
      <c r="A285" s="27">
        <v>1</v>
      </c>
      <c r="B285" s="38" t="s">
        <v>93</v>
      </c>
      <c r="C285" s="38" t="s">
        <v>92</v>
      </c>
      <c r="D285" s="40" t="s">
        <v>316</v>
      </c>
      <c r="E285" s="24" t="s">
        <v>17</v>
      </c>
      <c r="F285" s="24" t="s">
        <v>303</v>
      </c>
      <c r="G285" s="39">
        <v>4825</v>
      </c>
      <c r="H285" s="24" t="s">
        <v>349</v>
      </c>
      <c r="I285" s="40" t="s">
        <v>350</v>
      </c>
      <c r="J285" s="40" t="s">
        <v>350</v>
      </c>
      <c r="K285" s="24" t="s">
        <v>433</v>
      </c>
      <c r="L285" s="41" t="s">
        <v>307</v>
      </c>
      <c r="M285" s="39" t="s">
        <v>141</v>
      </c>
      <c r="N285" s="42">
        <v>26962</v>
      </c>
      <c r="O285" s="17">
        <f t="shared" si="21"/>
        <v>26962</v>
      </c>
      <c r="P285" s="131" t="s">
        <v>439</v>
      </c>
      <c r="Q285" s="45" t="s">
        <v>439</v>
      </c>
      <c r="R285" s="128" t="e">
        <f t="shared" si="22"/>
        <v>#VALUE!</v>
      </c>
      <c r="S285" s="28">
        <v>0.74725799999999998</v>
      </c>
      <c r="T285" s="5">
        <v>190851.31</v>
      </c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</row>
    <row r="286" spans="1:55" s="38" customFormat="1" ht="15.75" customHeight="1" x14ac:dyDescent="0.2">
      <c r="A286" s="27">
        <v>7</v>
      </c>
      <c r="B286" s="38" t="s">
        <v>94</v>
      </c>
      <c r="C286" s="38" t="s">
        <v>110</v>
      </c>
      <c r="D286" s="130" t="s">
        <v>287</v>
      </c>
      <c r="E286" s="23" t="s">
        <v>179</v>
      </c>
      <c r="F286" s="24" t="s">
        <v>430</v>
      </c>
      <c r="G286" s="39">
        <v>6160</v>
      </c>
      <c r="H286" s="24" t="s">
        <v>234</v>
      </c>
      <c r="I286" s="40" t="s">
        <v>235</v>
      </c>
      <c r="J286" s="40" t="s">
        <v>236</v>
      </c>
      <c r="K286" s="24" t="s">
        <v>233</v>
      </c>
      <c r="L286" s="41" t="s">
        <v>237</v>
      </c>
      <c r="M286" s="27" t="s">
        <v>180</v>
      </c>
      <c r="N286" s="42">
        <v>24938</v>
      </c>
      <c r="O286" s="17">
        <f t="shared" si="21"/>
        <v>174566</v>
      </c>
      <c r="P286" s="132">
        <v>12475</v>
      </c>
      <c r="Q286" s="45">
        <v>23</v>
      </c>
      <c r="R286" s="128">
        <f t="shared" si="22"/>
        <v>23913.839493478255</v>
      </c>
      <c r="S286" s="28">
        <v>0.74725799999999998</v>
      </c>
      <c r="T286" s="5">
        <v>190851.31</v>
      </c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</row>
    <row r="287" spans="1:55" s="38" customFormat="1" ht="15.75" customHeight="1" x14ac:dyDescent="0.2">
      <c r="A287" s="27">
        <v>7</v>
      </c>
      <c r="B287" s="38" t="s">
        <v>94</v>
      </c>
      <c r="C287" s="38" t="s">
        <v>110</v>
      </c>
      <c r="D287" s="40" t="s">
        <v>288</v>
      </c>
      <c r="E287" s="24" t="s">
        <v>286</v>
      </c>
      <c r="F287" s="24" t="s">
        <v>431</v>
      </c>
      <c r="G287" s="39">
        <v>5000</v>
      </c>
      <c r="H287" s="24" t="s">
        <v>275</v>
      </c>
      <c r="I287" s="40" t="s">
        <v>276</v>
      </c>
      <c r="J287" s="40" t="s">
        <v>277</v>
      </c>
      <c r="K287" s="24" t="s">
        <v>264</v>
      </c>
      <c r="L287" s="41" t="s">
        <v>278</v>
      </c>
      <c r="M287" s="27" t="s">
        <v>180</v>
      </c>
      <c r="N287" s="42">
        <v>26173</v>
      </c>
      <c r="O287" s="17">
        <f t="shared" si="21"/>
        <v>183211</v>
      </c>
      <c r="P287" s="132">
        <v>12675</v>
      </c>
      <c r="Q287" s="45">
        <v>23</v>
      </c>
      <c r="R287" s="128">
        <f t="shared" si="22"/>
        <v>24999.387893478259</v>
      </c>
      <c r="S287" s="28">
        <v>0.74725799999999998</v>
      </c>
      <c r="T287" s="5">
        <v>190851.31</v>
      </c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</row>
    <row r="288" spans="1:55" s="38" customFormat="1" ht="15.75" customHeight="1" x14ac:dyDescent="0.2">
      <c r="A288" s="27">
        <v>7</v>
      </c>
      <c r="B288" s="38" t="s">
        <v>94</v>
      </c>
      <c r="C288" s="38" t="s">
        <v>110</v>
      </c>
      <c r="D288" s="35" t="s">
        <v>289</v>
      </c>
      <c r="E288" s="23" t="s">
        <v>179</v>
      </c>
      <c r="F288" s="24" t="s">
        <v>430</v>
      </c>
      <c r="G288" s="39">
        <v>6160</v>
      </c>
      <c r="H288" s="24" t="s">
        <v>284</v>
      </c>
      <c r="I288" s="40" t="s">
        <v>191</v>
      </c>
      <c r="J288" s="40" t="s">
        <v>231</v>
      </c>
      <c r="K288" s="24" t="s">
        <v>233</v>
      </c>
      <c r="L288" s="41" t="s">
        <v>285</v>
      </c>
      <c r="M288" s="39" t="s">
        <v>141</v>
      </c>
      <c r="N288" s="42">
        <v>25888</v>
      </c>
      <c r="O288" s="17">
        <f t="shared" si="21"/>
        <v>181216</v>
      </c>
      <c r="P288" s="132">
        <v>13025</v>
      </c>
      <c r="Q288" s="45" t="s">
        <v>439</v>
      </c>
      <c r="R288" s="128" t="e">
        <f t="shared" si="22"/>
        <v>#VALUE!</v>
      </c>
      <c r="S288" s="28">
        <v>0.74725799999999998</v>
      </c>
      <c r="T288" s="5">
        <v>190851.31</v>
      </c>
    </row>
    <row r="289" spans="1:55" s="38" customFormat="1" ht="15.75" customHeight="1" x14ac:dyDescent="0.2">
      <c r="A289" s="27">
        <v>2</v>
      </c>
      <c r="B289" s="38" t="s">
        <v>95</v>
      </c>
      <c r="C289" s="38" t="s">
        <v>111</v>
      </c>
      <c r="D289" s="40" t="s">
        <v>288</v>
      </c>
      <c r="E289" s="28" t="s">
        <v>143</v>
      </c>
      <c r="F289" s="24" t="s">
        <v>427</v>
      </c>
      <c r="G289" s="39">
        <v>5000</v>
      </c>
      <c r="H289" s="24" t="s">
        <v>279</v>
      </c>
      <c r="I289" s="40" t="s">
        <v>280</v>
      </c>
      <c r="J289" s="40" t="s">
        <v>277</v>
      </c>
      <c r="K289" s="24" t="s">
        <v>436</v>
      </c>
      <c r="L289" s="41" t="s">
        <v>278</v>
      </c>
      <c r="M289" s="27" t="s">
        <v>180</v>
      </c>
      <c r="N289" s="42">
        <v>29316</v>
      </c>
      <c r="O289" s="17">
        <f t="shared" si="21"/>
        <v>58632</v>
      </c>
      <c r="P289" s="132">
        <v>14725</v>
      </c>
      <c r="Q289" s="45">
        <v>23</v>
      </c>
      <c r="R289" s="128">
        <f t="shared" si="22"/>
        <v>26610.508993478259</v>
      </c>
      <c r="S289" s="28">
        <v>0.74725799999999998</v>
      </c>
      <c r="T289" s="5">
        <v>190851.31</v>
      </c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</row>
    <row r="290" spans="1:55" s="38" customFormat="1" ht="15.75" customHeight="1" x14ac:dyDescent="0.2">
      <c r="A290" s="27">
        <v>2</v>
      </c>
      <c r="B290" s="38" t="s">
        <v>95</v>
      </c>
      <c r="C290" s="38" t="s">
        <v>111</v>
      </c>
      <c r="D290" s="130" t="s">
        <v>287</v>
      </c>
      <c r="E290" s="23" t="s">
        <v>179</v>
      </c>
      <c r="F290" s="24" t="s">
        <v>429</v>
      </c>
      <c r="G290" s="39">
        <v>7500</v>
      </c>
      <c r="H290" s="24" t="s">
        <v>238</v>
      </c>
      <c r="I290" s="40" t="s">
        <v>184</v>
      </c>
      <c r="J290" s="40" t="s">
        <v>236</v>
      </c>
      <c r="K290" s="24" t="s">
        <v>414</v>
      </c>
      <c r="L290" s="41">
        <v>446</v>
      </c>
      <c r="M290" s="27" t="s">
        <v>180</v>
      </c>
      <c r="N290" s="42">
        <v>29298</v>
      </c>
      <c r="O290" s="17">
        <f t="shared" si="21"/>
        <v>58596</v>
      </c>
      <c r="P290" s="132">
        <v>14075</v>
      </c>
      <c r="Q290" s="45">
        <v>20</v>
      </c>
      <c r="R290" s="128">
        <f t="shared" si="22"/>
        <v>28322.909149999999</v>
      </c>
      <c r="S290" s="28">
        <v>0.74725799999999998</v>
      </c>
      <c r="T290" s="5">
        <v>190851.31</v>
      </c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</row>
    <row r="291" spans="1:55" s="38" customFormat="1" ht="15.75" customHeight="1" x14ac:dyDescent="0.2">
      <c r="A291" s="27">
        <v>2</v>
      </c>
      <c r="B291" s="38" t="s">
        <v>95</v>
      </c>
      <c r="C291" s="38" t="s">
        <v>111</v>
      </c>
      <c r="D291" s="35" t="s">
        <v>289</v>
      </c>
      <c r="E291" s="23" t="s">
        <v>179</v>
      </c>
      <c r="F291" s="24" t="s">
        <v>429</v>
      </c>
      <c r="G291" s="39">
        <v>7500</v>
      </c>
      <c r="H291" s="24" t="s">
        <v>238</v>
      </c>
      <c r="I291" s="40" t="s">
        <v>184</v>
      </c>
      <c r="J291" s="40" t="s">
        <v>236</v>
      </c>
      <c r="K291" s="24" t="s">
        <v>414</v>
      </c>
      <c r="L291" s="41">
        <v>446</v>
      </c>
      <c r="M291" s="27" t="s">
        <v>180</v>
      </c>
      <c r="N291" s="42">
        <v>29935.5</v>
      </c>
      <c r="O291" s="17">
        <f t="shared" si="21"/>
        <v>59871</v>
      </c>
      <c r="P291" s="132">
        <v>14075</v>
      </c>
      <c r="Q291" s="45">
        <v>20</v>
      </c>
      <c r="R291" s="128">
        <f t="shared" si="22"/>
        <v>28960.409149999999</v>
      </c>
      <c r="S291" s="28">
        <v>0.74725799999999998</v>
      </c>
      <c r="T291" s="5">
        <v>190851.31</v>
      </c>
    </row>
    <row r="292" spans="1:55" s="38" customFormat="1" ht="15.75" customHeight="1" x14ac:dyDescent="0.2">
      <c r="A292" s="27">
        <v>2</v>
      </c>
      <c r="B292" s="38" t="s">
        <v>95</v>
      </c>
      <c r="C292" s="38" t="s">
        <v>111</v>
      </c>
      <c r="D292" s="40" t="s">
        <v>316</v>
      </c>
      <c r="E292" s="24" t="s">
        <v>17</v>
      </c>
      <c r="F292" s="24" t="s">
        <v>352</v>
      </c>
      <c r="G292" s="39">
        <v>7300</v>
      </c>
      <c r="H292" s="24" t="s">
        <v>353</v>
      </c>
      <c r="I292" s="40" t="s">
        <v>422</v>
      </c>
      <c r="J292" s="40" t="s">
        <v>314</v>
      </c>
      <c r="K292" s="24" t="s">
        <v>438</v>
      </c>
      <c r="L292" s="41" t="s">
        <v>315</v>
      </c>
      <c r="M292" s="27" t="s">
        <v>180</v>
      </c>
      <c r="N292" s="42">
        <v>34362</v>
      </c>
      <c r="O292" s="17">
        <f t="shared" si="21"/>
        <v>68724</v>
      </c>
      <c r="P292" s="131" t="s">
        <v>439</v>
      </c>
      <c r="Q292" s="45">
        <v>21</v>
      </c>
      <c r="R292" s="128" t="e">
        <f t="shared" si="22"/>
        <v>#VALUE!</v>
      </c>
      <c r="S292" s="28">
        <v>0.74725799999999998</v>
      </c>
      <c r="T292" s="5">
        <v>190851.31</v>
      </c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</row>
    <row r="293" spans="1:55" s="38" customFormat="1" ht="15.75" customHeight="1" x14ac:dyDescent="0.2">
      <c r="A293" s="27">
        <v>2</v>
      </c>
      <c r="B293" s="38" t="s">
        <v>95</v>
      </c>
      <c r="C293" s="38" t="s">
        <v>111</v>
      </c>
      <c r="D293" s="40" t="s">
        <v>316</v>
      </c>
      <c r="E293" s="24" t="s">
        <v>17</v>
      </c>
      <c r="F293" s="24" t="s">
        <v>352</v>
      </c>
      <c r="G293" s="39">
        <v>7300</v>
      </c>
      <c r="H293" s="24" t="s">
        <v>353</v>
      </c>
      <c r="I293" s="40" t="s">
        <v>423</v>
      </c>
      <c r="J293" s="40" t="s">
        <v>354</v>
      </c>
      <c r="K293" s="24" t="s">
        <v>438</v>
      </c>
      <c r="L293" s="41" t="s">
        <v>315</v>
      </c>
      <c r="M293" s="27" t="s">
        <v>180</v>
      </c>
      <c r="N293" s="42">
        <v>30407</v>
      </c>
      <c r="O293" s="17">
        <f t="shared" si="21"/>
        <v>60814</v>
      </c>
      <c r="P293" s="131" t="s">
        <v>439</v>
      </c>
      <c r="Q293" s="45">
        <v>21</v>
      </c>
      <c r="R293" s="128" t="e">
        <f t="shared" si="22"/>
        <v>#VALUE!</v>
      </c>
      <c r="S293" s="28">
        <v>0.74725799999999998</v>
      </c>
      <c r="T293" s="5">
        <v>190851.31</v>
      </c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</row>
    <row r="294" spans="1:55" s="38" customFormat="1" ht="15.75" customHeight="1" x14ac:dyDescent="0.2">
      <c r="A294" s="27">
        <v>1</v>
      </c>
      <c r="B294" s="38" t="s">
        <v>96</v>
      </c>
      <c r="C294" s="38" t="s">
        <v>111</v>
      </c>
      <c r="D294" s="40" t="s">
        <v>288</v>
      </c>
      <c r="E294" s="28" t="s">
        <v>143</v>
      </c>
      <c r="F294" s="24" t="s">
        <v>427</v>
      </c>
      <c r="G294" s="39">
        <v>5000</v>
      </c>
      <c r="H294" s="24" t="s">
        <v>279</v>
      </c>
      <c r="I294" s="40" t="s">
        <v>280</v>
      </c>
      <c r="J294" s="40" t="s">
        <v>277</v>
      </c>
      <c r="K294" s="24" t="s">
        <v>436</v>
      </c>
      <c r="L294" s="41" t="s">
        <v>278</v>
      </c>
      <c r="M294" s="27" t="s">
        <v>180</v>
      </c>
      <c r="N294" s="42">
        <v>29558.5</v>
      </c>
      <c r="O294" s="17">
        <f t="shared" si="21"/>
        <v>29558.5</v>
      </c>
      <c r="P294" s="132">
        <v>14725</v>
      </c>
      <c r="Q294" s="45">
        <v>23</v>
      </c>
      <c r="R294" s="128">
        <f t="shared" si="22"/>
        <v>26853.008993478259</v>
      </c>
      <c r="S294" s="28">
        <v>0.74725799999999998</v>
      </c>
      <c r="T294" s="5">
        <v>190851.31</v>
      </c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</row>
    <row r="295" spans="1:55" s="38" customFormat="1" ht="15.75" customHeight="1" x14ac:dyDescent="0.2">
      <c r="A295" s="27">
        <v>1</v>
      </c>
      <c r="B295" s="38" t="s">
        <v>96</v>
      </c>
      <c r="C295" s="38" t="s">
        <v>111</v>
      </c>
      <c r="D295" s="130" t="s">
        <v>287</v>
      </c>
      <c r="E295" s="23" t="s">
        <v>179</v>
      </c>
      <c r="F295" s="24" t="s">
        <v>429</v>
      </c>
      <c r="G295" s="39">
        <v>7500</v>
      </c>
      <c r="H295" s="24" t="s">
        <v>238</v>
      </c>
      <c r="I295" s="40" t="s">
        <v>184</v>
      </c>
      <c r="J295" s="40" t="s">
        <v>236</v>
      </c>
      <c r="K295" s="24" t="s">
        <v>414</v>
      </c>
      <c r="L295" s="41">
        <v>446</v>
      </c>
      <c r="M295" s="27" t="s">
        <v>180</v>
      </c>
      <c r="N295" s="42">
        <v>29557</v>
      </c>
      <c r="O295" s="17">
        <f t="shared" si="21"/>
        <v>29557</v>
      </c>
      <c r="P295" s="132">
        <v>14075</v>
      </c>
      <c r="Q295" s="45">
        <v>20</v>
      </c>
      <c r="R295" s="128">
        <f t="shared" si="22"/>
        <v>28581.909149999999</v>
      </c>
      <c r="S295" s="28">
        <v>0.74725799999999998</v>
      </c>
      <c r="T295" s="5">
        <v>190851.31</v>
      </c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</row>
    <row r="296" spans="1:55" s="38" customFormat="1" ht="15.75" customHeight="1" x14ac:dyDescent="0.2">
      <c r="A296" s="27">
        <v>1</v>
      </c>
      <c r="B296" s="38" t="s">
        <v>96</v>
      </c>
      <c r="C296" s="38" t="s">
        <v>111</v>
      </c>
      <c r="D296" s="35" t="s">
        <v>289</v>
      </c>
      <c r="E296" s="23" t="s">
        <v>179</v>
      </c>
      <c r="F296" s="24" t="s">
        <v>429</v>
      </c>
      <c r="G296" s="39">
        <v>7500</v>
      </c>
      <c r="H296" s="24" t="s">
        <v>238</v>
      </c>
      <c r="I296" s="40" t="s">
        <v>184</v>
      </c>
      <c r="J296" s="40" t="s">
        <v>236</v>
      </c>
      <c r="K296" s="24" t="s">
        <v>414</v>
      </c>
      <c r="L296" s="41">
        <v>446</v>
      </c>
      <c r="M296" s="27" t="s">
        <v>180</v>
      </c>
      <c r="N296" s="42">
        <v>29979</v>
      </c>
      <c r="O296" s="17">
        <f t="shared" si="21"/>
        <v>29979</v>
      </c>
      <c r="P296" s="132">
        <v>14075</v>
      </c>
      <c r="Q296" s="45">
        <v>20</v>
      </c>
      <c r="R296" s="128">
        <f t="shared" si="22"/>
        <v>29003.909149999999</v>
      </c>
      <c r="S296" s="28">
        <v>0.74725799999999998</v>
      </c>
      <c r="T296" s="5">
        <v>190851.31</v>
      </c>
    </row>
    <row r="297" spans="1:55" s="38" customFormat="1" ht="15.75" customHeight="1" x14ac:dyDescent="0.2">
      <c r="A297" s="27">
        <v>1</v>
      </c>
      <c r="B297" s="38" t="s">
        <v>443</v>
      </c>
      <c r="C297" s="38" t="s">
        <v>111</v>
      </c>
      <c r="D297" s="40" t="s">
        <v>316</v>
      </c>
      <c r="E297" s="24" t="s">
        <v>17</v>
      </c>
      <c r="F297" s="24" t="s">
        <v>352</v>
      </c>
      <c r="G297" s="39">
        <v>7300</v>
      </c>
      <c r="H297" s="24" t="s">
        <v>353</v>
      </c>
      <c r="I297" s="40" t="s">
        <v>422</v>
      </c>
      <c r="J297" s="40" t="s">
        <v>314</v>
      </c>
      <c r="K297" s="24" t="s">
        <v>438</v>
      </c>
      <c r="L297" s="41" t="s">
        <v>315</v>
      </c>
      <c r="M297" s="27" t="s">
        <v>180</v>
      </c>
      <c r="N297" s="42">
        <v>34521</v>
      </c>
      <c r="O297" s="17">
        <f t="shared" si="21"/>
        <v>34521</v>
      </c>
      <c r="P297" s="131" t="s">
        <v>439</v>
      </c>
      <c r="Q297" s="45">
        <v>21</v>
      </c>
      <c r="R297" s="128" t="e">
        <f t="shared" si="22"/>
        <v>#VALUE!</v>
      </c>
      <c r="S297" s="28">
        <v>0.74725799999999998</v>
      </c>
      <c r="T297" s="5">
        <v>190851.31</v>
      </c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</row>
    <row r="298" spans="1:55" s="38" customFormat="1" ht="15.75" customHeight="1" x14ac:dyDescent="0.2">
      <c r="A298" s="27">
        <v>1</v>
      </c>
      <c r="B298" s="38" t="s">
        <v>443</v>
      </c>
      <c r="C298" s="38" t="s">
        <v>111</v>
      </c>
      <c r="D298" s="40" t="s">
        <v>316</v>
      </c>
      <c r="E298" s="24" t="s">
        <v>17</v>
      </c>
      <c r="F298" s="24" t="s">
        <v>352</v>
      </c>
      <c r="G298" s="39">
        <v>7300</v>
      </c>
      <c r="H298" s="24" t="s">
        <v>353</v>
      </c>
      <c r="I298" s="40" t="s">
        <v>423</v>
      </c>
      <c r="J298" s="40" t="s">
        <v>354</v>
      </c>
      <c r="K298" s="24" t="s">
        <v>438</v>
      </c>
      <c r="L298" s="41" t="s">
        <v>315</v>
      </c>
      <c r="M298" s="27" t="s">
        <v>180</v>
      </c>
      <c r="N298" s="42">
        <v>30356</v>
      </c>
      <c r="O298" s="17">
        <f t="shared" si="21"/>
        <v>30356</v>
      </c>
      <c r="P298" s="131" t="s">
        <v>439</v>
      </c>
      <c r="Q298" s="45">
        <v>21</v>
      </c>
      <c r="R298" s="128" t="e">
        <f t="shared" si="22"/>
        <v>#VALUE!</v>
      </c>
      <c r="S298" s="28">
        <v>0.74725799999999998</v>
      </c>
      <c r="T298" s="5">
        <v>190851.31</v>
      </c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</row>
    <row r="299" spans="1:55" s="38" customFormat="1" ht="15.75" customHeight="1" x14ac:dyDescent="0.2">
      <c r="A299" s="27">
        <v>2</v>
      </c>
      <c r="B299" s="38" t="s">
        <v>97</v>
      </c>
      <c r="C299" s="38" t="s">
        <v>112</v>
      </c>
      <c r="D299" s="40" t="s">
        <v>288</v>
      </c>
      <c r="E299" s="28" t="s">
        <v>143</v>
      </c>
      <c r="F299" s="24" t="s">
        <v>427</v>
      </c>
      <c r="G299" s="39">
        <v>7200</v>
      </c>
      <c r="H299" s="24" t="s">
        <v>279</v>
      </c>
      <c r="I299" s="40" t="s">
        <v>280</v>
      </c>
      <c r="J299" s="40" t="s">
        <v>282</v>
      </c>
      <c r="K299" s="24" t="s">
        <v>281</v>
      </c>
      <c r="L299" s="29" t="s">
        <v>148</v>
      </c>
      <c r="M299" s="27" t="s">
        <v>180</v>
      </c>
      <c r="N299" s="42">
        <v>31376.5</v>
      </c>
      <c r="O299" s="17">
        <f t="shared" si="21"/>
        <v>62753</v>
      </c>
      <c r="P299" s="132">
        <v>14725</v>
      </c>
      <c r="Q299" s="45">
        <v>20</v>
      </c>
      <c r="R299" s="128">
        <f t="shared" si="22"/>
        <v>29915.691449999998</v>
      </c>
      <c r="S299" s="28">
        <v>0.74725799999999998</v>
      </c>
      <c r="T299" s="5">
        <v>190851.31</v>
      </c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</row>
    <row r="300" spans="1:55" s="38" customFormat="1" ht="15.75" customHeight="1" x14ac:dyDescent="0.2">
      <c r="A300" s="27">
        <v>1</v>
      </c>
      <c r="B300" s="38" t="s">
        <v>97</v>
      </c>
      <c r="C300" s="38" t="s">
        <v>112</v>
      </c>
      <c r="D300" s="40" t="s">
        <v>291</v>
      </c>
      <c r="E300" s="24" t="s">
        <v>17</v>
      </c>
      <c r="F300" s="24" t="s">
        <v>311</v>
      </c>
      <c r="G300" s="39">
        <v>7400</v>
      </c>
      <c r="H300" s="24" t="s">
        <v>313</v>
      </c>
      <c r="I300" s="40" t="s">
        <v>422</v>
      </c>
      <c r="J300" s="40" t="s">
        <v>314</v>
      </c>
      <c r="K300" s="24" t="s">
        <v>312</v>
      </c>
      <c r="L300" s="41" t="s">
        <v>315</v>
      </c>
      <c r="M300" s="27" t="s">
        <v>180</v>
      </c>
      <c r="N300" s="42">
        <v>33910.78</v>
      </c>
      <c r="O300" s="17">
        <f t="shared" si="21"/>
        <v>33910.78</v>
      </c>
      <c r="P300" s="131">
        <v>13600</v>
      </c>
      <c r="Q300" s="27">
        <v>21</v>
      </c>
      <c r="R300" s="128">
        <f t="shared" si="22"/>
        <v>32836.228819047617</v>
      </c>
      <c r="S300" s="28">
        <v>0.74725799999999998</v>
      </c>
      <c r="T300" s="5">
        <v>190851.31</v>
      </c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</row>
    <row r="301" spans="1:55" s="38" customFormat="1" ht="15.75" customHeight="1" x14ac:dyDescent="0.2">
      <c r="A301" s="27">
        <v>2</v>
      </c>
      <c r="B301" s="38" t="s">
        <v>97</v>
      </c>
      <c r="C301" s="38" t="s">
        <v>112</v>
      </c>
      <c r="D301" s="40" t="s">
        <v>316</v>
      </c>
      <c r="E301" s="24" t="s">
        <v>17</v>
      </c>
      <c r="F301" s="24" t="s">
        <v>311</v>
      </c>
      <c r="G301" s="39">
        <v>7400</v>
      </c>
      <c r="H301" s="24" t="s">
        <v>313</v>
      </c>
      <c r="I301" s="40" t="s">
        <v>422</v>
      </c>
      <c r="J301" s="40" t="s">
        <v>314</v>
      </c>
      <c r="K301" s="24" t="s">
        <v>312</v>
      </c>
      <c r="L301" s="41" t="s">
        <v>315</v>
      </c>
      <c r="M301" s="27" t="s">
        <v>180</v>
      </c>
      <c r="N301" s="42">
        <v>34509</v>
      </c>
      <c r="O301" s="17">
        <f t="shared" si="21"/>
        <v>69018</v>
      </c>
      <c r="P301" s="131">
        <v>13600</v>
      </c>
      <c r="Q301" s="27">
        <v>21</v>
      </c>
      <c r="R301" s="128">
        <f t="shared" si="22"/>
        <v>33434.448819047619</v>
      </c>
      <c r="S301" s="28">
        <v>0.74725799999999998</v>
      </c>
      <c r="T301" s="5">
        <v>190851.31</v>
      </c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</row>
    <row r="302" spans="1:55" s="38" customFormat="1" ht="15.75" customHeight="1" x14ac:dyDescent="0.2">
      <c r="A302" s="27">
        <v>2</v>
      </c>
      <c r="B302" s="38" t="s">
        <v>98</v>
      </c>
      <c r="C302" s="38" t="s">
        <v>112</v>
      </c>
      <c r="D302" s="40" t="s">
        <v>288</v>
      </c>
      <c r="E302" s="28" t="s">
        <v>143</v>
      </c>
      <c r="F302" s="24" t="s">
        <v>427</v>
      </c>
      <c r="G302" s="39">
        <v>7200</v>
      </c>
      <c r="H302" s="24" t="s">
        <v>279</v>
      </c>
      <c r="I302" s="40" t="s">
        <v>280</v>
      </c>
      <c r="J302" s="40" t="s">
        <v>282</v>
      </c>
      <c r="K302" s="24" t="s">
        <v>281</v>
      </c>
      <c r="L302" s="29" t="s">
        <v>148</v>
      </c>
      <c r="M302" s="27" t="s">
        <v>180</v>
      </c>
      <c r="N302" s="42">
        <v>31376.5</v>
      </c>
      <c r="O302" s="17">
        <f t="shared" si="21"/>
        <v>62753</v>
      </c>
      <c r="P302" s="132">
        <v>14725</v>
      </c>
      <c r="Q302" s="45">
        <v>20</v>
      </c>
      <c r="R302" s="128">
        <f t="shared" si="22"/>
        <v>29915.691449999998</v>
      </c>
      <c r="S302" s="28">
        <v>0.74725799999999998</v>
      </c>
      <c r="T302" s="5">
        <v>190851.31</v>
      </c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</row>
    <row r="303" spans="1:55" s="38" customFormat="1" ht="15.75" customHeight="1" x14ac:dyDescent="0.2">
      <c r="A303" s="27">
        <v>2</v>
      </c>
      <c r="B303" s="38" t="s">
        <v>98</v>
      </c>
      <c r="C303" s="38" t="s">
        <v>112</v>
      </c>
      <c r="D303" s="40" t="s">
        <v>291</v>
      </c>
      <c r="E303" s="24" t="s">
        <v>17</v>
      </c>
      <c r="F303" s="24" t="s">
        <v>311</v>
      </c>
      <c r="G303" s="39">
        <v>7400</v>
      </c>
      <c r="H303" s="24" t="s">
        <v>313</v>
      </c>
      <c r="I303" s="40" t="s">
        <v>422</v>
      </c>
      <c r="J303" s="40" t="s">
        <v>314</v>
      </c>
      <c r="K303" s="24" t="s">
        <v>312</v>
      </c>
      <c r="L303" s="41" t="s">
        <v>315</v>
      </c>
      <c r="M303" s="27" t="s">
        <v>180</v>
      </c>
      <c r="N303" s="42">
        <v>35402.53</v>
      </c>
      <c r="O303" s="17">
        <f t="shared" si="21"/>
        <v>70805.06</v>
      </c>
      <c r="P303" s="131">
        <v>13600</v>
      </c>
      <c r="Q303" s="27">
        <v>21</v>
      </c>
      <c r="R303" s="128">
        <f t="shared" si="22"/>
        <v>34327.978819047617</v>
      </c>
      <c r="S303" s="28">
        <v>0.74725799999999998</v>
      </c>
      <c r="T303" s="5">
        <v>190851.31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</row>
    <row r="304" spans="1:55" s="38" customFormat="1" ht="15.75" customHeight="1" x14ac:dyDescent="0.2">
      <c r="A304" s="27">
        <v>2</v>
      </c>
      <c r="B304" s="38" t="s">
        <v>98</v>
      </c>
      <c r="C304" s="38" t="s">
        <v>112</v>
      </c>
      <c r="D304" s="40" t="s">
        <v>316</v>
      </c>
      <c r="E304" s="24" t="s">
        <v>17</v>
      </c>
      <c r="F304" s="24" t="s">
        <v>311</v>
      </c>
      <c r="G304" s="39">
        <v>7400</v>
      </c>
      <c r="H304" s="24" t="s">
        <v>313</v>
      </c>
      <c r="I304" s="40" t="s">
        <v>422</v>
      </c>
      <c r="J304" s="40" t="s">
        <v>314</v>
      </c>
      <c r="K304" s="24" t="s">
        <v>312</v>
      </c>
      <c r="L304" s="41" t="s">
        <v>315</v>
      </c>
      <c r="M304" s="27" t="s">
        <v>180</v>
      </c>
      <c r="N304" s="42">
        <v>35869</v>
      </c>
      <c r="O304" s="17">
        <f t="shared" si="21"/>
        <v>71738</v>
      </c>
      <c r="P304" s="131">
        <v>13600</v>
      </c>
      <c r="Q304" s="27">
        <v>21</v>
      </c>
      <c r="R304" s="128">
        <f t="shared" si="22"/>
        <v>34794.448819047619</v>
      </c>
      <c r="S304" s="28">
        <v>0.74725799999999998</v>
      </c>
      <c r="T304" s="5">
        <v>190851.31</v>
      </c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</row>
    <row r="305" spans="1:55" s="38" customFormat="1" ht="15.75" customHeight="1" x14ac:dyDescent="0.2">
      <c r="A305" s="27">
        <v>10</v>
      </c>
      <c r="B305" s="38" t="s">
        <v>441</v>
      </c>
      <c r="C305" s="38" t="s">
        <v>113</v>
      </c>
      <c r="D305" s="40" t="s">
        <v>316</v>
      </c>
      <c r="E305" s="24" t="s">
        <v>17</v>
      </c>
      <c r="F305" s="23" t="s">
        <v>311</v>
      </c>
      <c r="G305" s="39">
        <v>8600</v>
      </c>
      <c r="H305" s="24" t="s">
        <v>355</v>
      </c>
      <c r="I305" s="40" t="s">
        <v>422</v>
      </c>
      <c r="J305" s="40" t="s">
        <v>314</v>
      </c>
      <c r="K305" s="24" t="s">
        <v>333</v>
      </c>
      <c r="L305" s="41" t="s">
        <v>328</v>
      </c>
      <c r="M305" s="27" t="s">
        <v>180</v>
      </c>
      <c r="N305" s="42">
        <v>35487.5</v>
      </c>
      <c r="O305" s="17">
        <f t="shared" si="21"/>
        <v>354875</v>
      </c>
      <c r="P305" s="132" t="s">
        <v>440</v>
      </c>
      <c r="Q305" s="45" t="s">
        <v>439</v>
      </c>
      <c r="R305" s="128" t="e">
        <f t="shared" si="22"/>
        <v>#VALUE!</v>
      </c>
      <c r="S305" s="28">
        <v>0.74725799999999998</v>
      </c>
      <c r="T305" s="5">
        <v>190851.31</v>
      </c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</row>
    <row r="306" spans="1:55" s="38" customFormat="1" ht="15.75" customHeight="1" x14ac:dyDescent="0.2">
      <c r="A306" s="27"/>
      <c r="D306" s="40"/>
      <c r="E306" s="28"/>
      <c r="F306" s="24"/>
      <c r="G306" s="39"/>
      <c r="H306" s="24"/>
      <c r="I306" s="40"/>
      <c r="J306" s="40"/>
      <c r="K306" s="24"/>
      <c r="L306" s="41"/>
      <c r="M306" s="39"/>
      <c r="N306" s="42"/>
      <c r="O306" s="17"/>
      <c r="P306" s="132"/>
      <c r="Q306" s="45"/>
      <c r="R306" s="128"/>
      <c r="S306" s="28"/>
      <c r="T306" s="5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</row>
    <row r="307" spans="1:55" s="38" customFormat="1" ht="15.75" customHeight="1" x14ac:dyDescent="0.2">
      <c r="A307" s="27"/>
      <c r="D307" s="40"/>
      <c r="E307" s="28"/>
      <c r="F307" s="24"/>
      <c r="G307" s="39"/>
      <c r="H307" s="24"/>
      <c r="I307" s="40"/>
      <c r="J307" s="40"/>
      <c r="K307" s="24"/>
      <c r="L307" s="41"/>
      <c r="M307" s="39"/>
      <c r="N307" s="42"/>
      <c r="O307" s="17"/>
      <c r="P307" s="132"/>
      <c r="Q307" s="45"/>
      <c r="R307" s="128"/>
      <c r="S307" s="28"/>
      <c r="T307" s="5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</row>
    <row r="308" spans="1:55" s="38" customFormat="1" ht="15.75" customHeight="1" x14ac:dyDescent="0.2">
      <c r="A308" s="6"/>
      <c r="B308" s="7"/>
      <c r="C308" s="6"/>
      <c r="D308" s="13"/>
      <c r="E308" s="22"/>
      <c r="F308" s="22"/>
      <c r="G308" s="6"/>
      <c r="H308" s="14"/>
      <c r="I308" s="13"/>
      <c r="J308" s="37"/>
      <c r="K308" s="14"/>
      <c r="L308" s="14"/>
      <c r="M308" s="6"/>
      <c r="N308" s="16"/>
      <c r="O308" s="16"/>
      <c r="P308" s="141"/>
      <c r="Q308" s="6"/>
      <c r="R308" s="133"/>
      <c r="U308" s="28"/>
      <c r="V308" s="14"/>
      <c r="W308" s="14"/>
      <c r="X308" s="14"/>
    </row>
    <row r="309" spans="1:55" s="14" customFormat="1" ht="15.75" customHeight="1" x14ac:dyDescent="0.2">
      <c r="D309" s="13"/>
      <c r="I309" s="13"/>
      <c r="J309" s="13"/>
      <c r="N309" s="36"/>
      <c r="P309" s="138"/>
      <c r="Q309" s="6"/>
      <c r="R309" s="15"/>
      <c r="U309" s="27" t="s">
        <v>0</v>
      </c>
      <c r="V309" s="7" t="s">
        <v>1</v>
      </c>
      <c r="W309" s="6" t="s">
        <v>109</v>
      </c>
      <c r="X309" s="19" t="s">
        <v>20</v>
      </c>
      <c r="Y309" s="25" t="s">
        <v>2</v>
      </c>
      <c r="Z309" s="8" t="s">
        <v>3</v>
      </c>
      <c r="AA309" s="6" t="s">
        <v>4</v>
      </c>
      <c r="AB309" s="6" t="s">
        <v>358</v>
      </c>
      <c r="AC309" s="6" t="s">
        <v>6</v>
      </c>
      <c r="AD309" s="9" t="s">
        <v>7</v>
      </c>
      <c r="AE309" s="6" t="s">
        <v>5</v>
      </c>
      <c r="AF309" s="6" t="s">
        <v>8</v>
      </c>
      <c r="AG309" s="6" t="s">
        <v>140</v>
      </c>
      <c r="AH309" s="16" t="s">
        <v>11</v>
      </c>
      <c r="AI309" s="15" t="s">
        <v>357</v>
      </c>
      <c r="AJ309" s="10" t="s">
        <v>10</v>
      </c>
      <c r="AK309" s="6" t="s">
        <v>9</v>
      </c>
      <c r="AL309" s="11" t="s">
        <v>14</v>
      </c>
      <c r="AM309" s="9" t="s">
        <v>12</v>
      </c>
      <c r="AN309" s="9" t="s">
        <v>13</v>
      </c>
      <c r="AO309" s="9" t="s">
        <v>15</v>
      </c>
      <c r="AP309" s="9" t="s">
        <v>16</v>
      </c>
      <c r="AQ309" s="9" t="s">
        <v>14</v>
      </c>
      <c r="AR309" s="9" t="s">
        <v>14</v>
      </c>
      <c r="AU309" s="9" t="s">
        <v>14</v>
      </c>
      <c r="AV309" s="12" t="s">
        <v>14</v>
      </c>
      <c r="AW309" s="9" t="s">
        <v>14</v>
      </c>
      <c r="AY309" s="13"/>
      <c r="AZ309" s="6"/>
    </row>
    <row r="310" spans="1:55" s="38" customFormat="1" ht="15.75" customHeight="1" x14ac:dyDescent="0.2">
      <c r="D310" s="4"/>
      <c r="H310" s="41"/>
      <c r="I310" s="4"/>
      <c r="J310" s="4"/>
      <c r="K310" s="41"/>
      <c r="L310" s="41"/>
      <c r="N310" s="46"/>
      <c r="P310" s="132"/>
      <c r="Q310" s="45"/>
      <c r="R310" s="135"/>
      <c r="U310" s="47"/>
      <c r="V310" s="43"/>
      <c r="W310" s="43"/>
      <c r="X310" s="48"/>
      <c r="Y310" s="48"/>
      <c r="Z310" s="48"/>
      <c r="AA310" s="49"/>
      <c r="AB310" s="49"/>
      <c r="AC310" s="48"/>
      <c r="AD310" s="49"/>
      <c r="AE310" s="48"/>
      <c r="AF310" s="48"/>
      <c r="AG310" s="49"/>
      <c r="AH310" s="50">
        <v>20000</v>
      </c>
      <c r="AI310" s="50"/>
      <c r="AJ310" s="43">
        <v>10000</v>
      </c>
      <c r="AK310" s="43">
        <v>21</v>
      </c>
      <c r="AL310" s="43"/>
      <c r="AM310" s="51">
        <f>AH310+(AP310/AK310)-(AJ310*AO$310)</f>
        <v>21615.577619047617</v>
      </c>
      <c r="AN310" s="43"/>
      <c r="AO310" s="28">
        <v>0.74725799999999998</v>
      </c>
      <c r="AP310" s="5">
        <v>190851.31</v>
      </c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</row>
    <row r="311" spans="1:55" s="38" customFormat="1" ht="15.75" customHeight="1" x14ac:dyDescent="0.2">
      <c r="D311" s="4"/>
      <c r="H311" s="41"/>
      <c r="I311" s="4"/>
      <c r="J311" s="4"/>
      <c r="K311" s="41"/>
      <c r="L311" s="41"/>
      <c r="N311" s="46"/>
      <c r="P311" s="132"/>
      <c r="Q311" s="45"/>
      <c r="R311" s="135"/>
      <c r="U311" s="47"/>
      <c r="V311" s="43"/>
      <c r="W311" s="43"/>
      <c r="X311" s="48"/>
      <c r="Y311" s="48"/>
      <c r="Z311" s="48"/>
      <c r="AA311" s="49"/>
      <c r="AB311" s="49"/>
      <c r="AC311" s="48"/>
      <c r="AD311" s="49"/>
      <c r="AE311" s="48"/>
      <c r="AF311" s="48"/>
      <c r="AG311" s="49"/>
      <c r="AH311" s="50"/>
      <c r="AI311" s="50"/>
      <c r="AJ311" s="43"/>
      <c r="AK311" s="43"/>
      <c r="AL311" s="43"/>
      <c r="AM311" s="43"/>
      <c r="AN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</row>
    <row r="312" spans="1:55" ht="15.75" customHeight="1" thickBot="1" x14ac:dyDescent="0.25">
      <c r="U312" s="47"/>
      <c r="X312" s="48"/>
      <c r="Y312" s="48"/>
      <c r="Z312" s="48"/>
      <c r="AA312" s="49"/>
      <c r="AB312" s="49"/>
      <c r="AC312" s="48"/>
      <c r="AD312" s="49"/>
      <c r="AE312" s="48"/>
      <c r="AF312" s="48"/>
      <c r="AG312" s="49"/>
      <c r="AH312" s="50"/>
      <c r="AI312" s="50"/>
      <c r="AO312" s="38"/>
      <c r="AP312" s="38"/>
    </row>
    <row r="313" spans="1:55" s="53" customFormat="1" ht="15.75" customHeight="1" thickBot="1" x14ac:dyDescent="0.25">
      <c r="H313" s="54"/>
      <c r="K313" s="54"/>
      <c r="L313" s="54"/>
      <c r="N313" s="55"/>
      <c r="P313" s="143"/>
      <c r="Q313" s="118"/>
      <c r="R313" s="119"/>
      <c r="U313" s="56" t="s">
        <v>359</v>
      </c>
      <c r="V313" s="57" t="s">
        <v>360</v>
      </c>
      <c r="W313" s="58" t="s">
        <v>361</v>
      </c>
      <c r="X313" s="59" t="s">
        <v>362</v>
      </c>
      <c r="Y313" s="59" t="s">
        <v>363</v>
      </c>
      <c r="Z313" s="58" t="s">
        <v>0</v>
      </c>
      <c r="AA313" s="58" t="s">
        <v>2</v>
      </c>
      <c r="AB313" s="58" t="s">
        <v>364</v>
      </c>
      <c r="AC313" s="58" t="s">
        <v>365</v>
      </c>
      <c r="AD313" s="58" t="s">
        <v>7</v>
      </c>
      <c r="AE313" s="58" t="s">
        <v>3</v>
      </c>
      <c r="AF313" s="58" t="s">
        <v>5</v>
      </c>
      <c r="AG313" s="58" t="s">
        <v>8</v>
      </c>
      <c r="AH313" s="60" t="s">
        <v>9</v>
      </c>
      <c r="AI313" s="61" t="s">
        <v>10</v>
      </c>
      <c r="AJ313" s="58" t="s">
        <v>356</v>
      </c>
      <c r="AK313" s="62" t="s">
        <v>367</v>
      </c>
      <c r="AL313" s="63" t="s">
        <v>12</v>
      </c>
      <c r="AM313" s="64" t="s">
        <v>366</v>
      </c>
      <c r="AN313" s="65"/>
      <c r="AO313" s="66" t="s">
        <v>368</v>
      </c>
      <c r="AP313" s="67" t="s">
        <v>369</v>
      </c>
      <c r="AQ313" s="68" t="s">
        <v>370</v>
      </c>
      <c r="AR313" s="69"/>
    </row>
    <row r="314" spans="1:55" s="70" customFormat="1" ht="15.75" customHeight="1" thickBot="1" x14ac:dyDescent="0.25">
      <c r="H314" s="71"/>
      <c r="K314" s="71"/>
      <c r="L314" s="71"/>
      <c r="N314" s="72"/>
      <c r="P314" s="144"/>
      <c r="Q314" s="75"/>
      <c r="R314" s="136"/>
      <c r="V314" s="73"/>
      <c r="W314" s="74"/>
      <c r="X314" s="74"/>
      <c r="Y314" s="74"/>
      <c r="Z314" s="75"/>
      <c r="AA314" s="2"/>
      <c r="AB314" s="27"/>
      <c r="AC314" s="2"/>
      <c r="AD314" s="2"/>
      <c r="AE314" s="2"/>
      <c r="AF314" s="2"/>
      <c r="AG314" s="2"/>
      <c r="AH314" s="76"/>
      <c r="AI314" s="77"/>
      <c r="AJ314" s="78"/>
      <c r="AK314" s="62">
        <v>5</v>
      </c>
      <c r="AL314" s="79"/>
      <c r="AM314" s="62">
        <v>75000</v>
      </c>
      <c r="AN314" s="65"/>
      <c r="AO314" s="66" t="s">
        <v>371</v>
      </c>
      <c r="AP314" s="62">
        <v>0.06</v>
      </c>
      <c r="AQ314" s="67"/>
      <c r="AR314" s="69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</row>
    <row r="315" spans="1:55" s="70" customFormat="1" ht="15.75" customHeight="1" x14ac:dyDescent="0.2">
      <c r="H315" s="71"/>
      <c r="K315" s="71"/>
      <c r="L315" s="71"/>
      <c r="N315" s="72"/>
      <c r="P315" s="144"/>
      <c r="Q315" s="75"/>
      <c r="R315" s="136"/>
      <c r="U315" s="70" t="s">
        <v>372</v>
      </c>
      <c r="V315" s="73" t="s">
        <v>373</v>
      </c>
      <c r="W315" s="26"/>
      <c r="X315" s="26"/>
      <c r="Y315" s="26"/>
      <c r="Z315" s="75"/>
      <c r="AA315" s="2"/>
      <c r="AB315" s="27"/>
      <c r="AC315" s="2"/>
      <c r="AD315" s="2"/>
      <c r="AE315" s="2"/>
      <c r="AF315" s="2"/>
      <c r="AG315" s="2"/>
      <c r="AH315" s="76"/>
      <c r="AI315" s="77"/>
      <c r="AJ315" s="80"/>
      <c r="AL315" s="79"/>
      <c r="AR315" s="69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</row>
    <row r="316" spans="1:55" s="53" customFormat="1" ht="15.75" customHeight="1" x14ac:dyDescent="0.2">
      <c r="H316" s="54"/>
      <c r="K316" s="54"/>
      <c r="L316" s="54"/>
      <c r="N316" s="55"/>
      <c r="P316" s="143"/>
      <c r="Q316" s="118"/>
      <c r="R316" s="119"/>
      <c r="U316" s="70" t="s">
        <v>374</v>
      </c>
      <c r="V316" s="81"/>
      <c r="W316" s="82"/>
      <c r="X316" s="83">
        <v>13565</v>
      </c>
      <c r="Y316" s="84">
        <v>2</v>
      </c>
      <c r="Z316" s="85">
        <v>40</v>
      </c>
      <c r="AA316" s="86" t="s">
        <v>179</v>
      </c>
      <c r="AB316" s="87" t="s">
        <v>376</v>
      </c>
      <c r="AC316" s="86" t="s">
        <v>191</v>
      </c>
      <c r="AD316" s="86" t="s">
        <v>377</v>
      </c>
      <c r="AE316" s="86" t="s">
        <v>375</v>
      </c>
      <c r="AF316" s="86" t="s">
        <v>378</v>
      </c>
      <c r="AG316" s="86" t="s">
        <v>379</v>
      </c>
      <c r="AH316" s="88">
        <v>21</v>
      </c>
      <c r="AI316" s="89">
        <v>10000</v>
      </c>
      <c r="AJ316" s="90">
        <v>20000</v>
      </c>
      <c r="AK316" s="91">
        <v>1</v>
      </c>
      <c r="AL316" s="51" t="e">
        <f>AJ316+(#REF!/AH316)-(AI316*T$12)</f>
        <v>#REF!</v>
      </c>
      <c r="AM316" s="92">
        <f>R$6/Q$6</f>
        <v>695.19647399999997</v>
      </c>
      <c r="AN316" s="93">
        <v>2012</v>
      </c>
      <c r="AO316" s="94">
        <v>2.8180000000000001</v>
      </c>
      <c r="AP316" s="94">
        <f>(1+T$6)^(-AK316)</f>
        <v>5.2396536358401953E-6</v>
      </c>
      <c r="AQ316" s="95">
        <f>AM316*AO316*AP316</f>
        <v>1.0264815048515787E-2</v>
      </c>
      <c r="AR316" s="69"/>
    </row>
    <row r="317" spans="1:55" s="53" customFormat="1" ht="15.75" customHeight="1" x14ac:dyDescent="0.2">
      <c r="H317" s="54"/>
      <c r="K317" s="54"/>
      <c r="L317" s="54"/>
      <c r="N317" s="55"/>
      <c r="P317" s="143"/>
      <c r="Q317" s="118"/>
      <c r="R317" s="119"/>
      <c r="U317" s="2" t="s">
        <v>374</v>
      </c>
      <c r="V317" s="96"/>
      <c r="W317" s="86"/>
      <c r="X317" s="83">
        <v>13703</v>
      </c>
      <c r="Y317" s="84">
        <v>0.75</v>
      </c>
      <c r="Z317" s="85">
        <v>40</v>
      </c>
      <c r="AA317" s="86" t="s">
        <v>380</v>
      </c>
      <c r="AB317" s="87" t="s">
        <v>295</v>
      </c>
      <c r="AC317" s="86" t="s">
        <v>292</v>
      </c>
      <c r="AD317" s="86" t="s">
        <v>293</v>
      </c>
      <c r="AE317" s="86" t="s">
        <v>114</v>
      </c>
      <c r="AF317" s="86" t="s">
        <v>381</v>
      </c>
      <c r="AG317" s="86" t="s">
        <v>379</v>
      </c>
      <c r="AH317" s="88">
        <v>24</v>
      </c>
      <c r="AI317" s="89">
        <f>8425-600</f>
        <v>7825</v>
      </c>
      <c r="AJ317" s="83">
        <v>20000</v>
      </c>
      <c r="AK317" s="91">
        <v>2</v>
      </c>
      <c r="AL317" s="97" t="e">
        <f>AJ317+(#REF!/AH317)-(AI317*T$12)</f>
        <v>#REF!</v>
      </c>
      <c r="AM317" s="92">
        <f>R$6/Q$6</f>
        <v>695.19647399999997</v>
      </c>
      <c r="AN317" s="93">
        <v>2013</v>
      </c>
      <c r="AO317" s="94">
        <v>2.9710000000000001</v>
      </c>
      <c r="AP317" s="94">
        <f>(1+T$6)^(-AK317)</f>
        <v>2.7453970223573375E-11</v>
      </c>
      <c r="AQ317" s="95">
        <f>AM317*AO317*AP317</f>
        <v>5.6704218694582455E-8</v>
      </c>
      <c r="AR317" s="69"/>
    </row>
    <row r="318" spans="1:55" s="53" customFormat="1" ht="15.75" customHeight="1" x14ac:dyDescent="0.2">
      <c r="H318" s="54"/>
      <c r="K318" s="54"/>
      <c r="L318" s="54"/>
      <c r="N318" s="55"/>
      <c r="P318" s="143"/>
      <c r="Q318" s="118"/>
      <c r="R318" s="119"/>
      <c r="U318" s="2" t="s">
        <v>374</v>
      </c>
      <c r="V318" s="96"/>
      <c r="W318" s="86"/>
      <c r="X318" s="83">
        <v>13958.05</v>
      </c>
      <c r="Y318" s="84">
        <v>2</v>
      </c>
      <c r="Z318" s="85">
        <v>40</v>
      </c>
      <c r="AA318" s="86" t="s">
        <v>380</v>
      </c>
      <c r="AB318" s="87" t="s">
        <v>295</v>
      </c>
      <c r="AC318" s="86" t="s">
        <v>292</v>
      </c>
      <c r="AD318" s="86" t="s">
        <v>293</v>
      </c>
      <c r="AE318" s="86" t="s">
        <v>114</v>
      </c>
      <c r="AF318" s="86" t="s">
        <v>381</v>
      </c>
      <c r="AG318" s="86" t="s">
        <v>379</v>
      </c>
      <c r="AH318" s="88">
        <v>24</v>
      </c>
      <c r="AI318" s="89">
        <f>8425-600</f>
        <v>7825</v>
      </c>
      <c r="AJ318" s="83">
        <v>20000</v>
      </c>
      <c r="AK318" s="91">
        <v>3</v>
      </c>
      <c r="AL318" s="97" t="e">
        <f>AJ318+(#REF!/AH318)-(AI318*T$12)</f>
        <v>#REF!</v>
      </c>
      <c r="AM318" s="92">
        <f>R$6/Q$6</f>
        <v>695.19647399999997</v>
      </c>
      <c r="AN318" s="93">
        <v>2014</v>
      </c>
      <c r="AO318" s="94">
        <v>3.0550000000000002</v>
      </c>
      <c r="AP318" s="94">
        <f>(1+T$6)^(-AK318)</f>
        <v>1.4384929490019469E-16</v>
      </c>
      <c r="AQ318" s="95">
        <f>AM318*AO318*AP318</f>
        <v>3.0551076154911465E-13</v>
      </c>
      <c r="AR318" s="69"/>
    </row>
    <row r="319" spans="1:55" s="70" customFormat="1" ht="15.75" customHeight="1" thickBot="1" x14ac:dyDescent="0.25">
      <c r="H319" s="71"/>
      <c r="K319" s="71"/>
      <c r="L319" s="71"/>
      <c r="N319" s="72"/>
      <c r="P319" s="144"/>
      <c r="Q319" s="75"/>
      <c r="R319" s="136"/>
      <c r="U319" s="2" t="s">
        <v>374</v>
      </c>
      <c r="V319" s="96"/>
      <c r="W319" s="86"/>
      <c r="X319" s="83">
        <v>16483</v>
      </c>
      <c r="Y319" s="84">
        <v>1.55</v>
      </c>
      <c r="Z319" s="85">
        <v>40</v>
      </c>
      <c r="AA319" s="86" t="s">
        <v>143</v>
      </c>
      <c r="AB319" s="87" t="s">
        <v>383</v>
      </c>
      <c r="AC319" s="86" t="s">
        <v>241</v>
      </c>
      <c r="AD319" s="86" t="s">
        <v>384</v>
      </c>
      <c r="AE319" s="86" t="s">
        <v>382</v>
      </c>
      <c r="AF319" s="86" t="s">
        <v>385</v>
      </c>
      <c r="AG319" s="86" t="s">
        <v>379</v>
      </c>
      <c r="AH319" s="88">
        <v>20</v>
      </c>
      <c r="AI319" s="89">
        <f>7475+350</f>
        <v>7825</v>
      </c>
      <c r="AJ319" s="83">
        <v>20000</v>
      </c>
      <c r="AK319" s="91">
        <v>4</v>
      </c>
      <c r="AL319" s="97" t="e">
        <f>AJ319+(#REF!/AH319)-(AI319*T$12)</f>
        <v>#REF!</v>
      </c>
      <c r="AM319" s="92">
        <f>R$6/Q$6</f>
        <v>695.19647399999997</v>
      </c>
      <c r="AN319" s="93">
        <v>2015</v>
      </c>
      <c r="AO319" s="94">
        <v>3.1339999999999999</v>
      </c>
      <c r="AP319" s="94">
        <f>(1+T$6)^(-AK319)</f>
        <v>7.5372048103685362E-22</v>
      </c>
      <c r="AQ319" s="95">
        <f>AM319*AO319*AP319</f>
        <v>1.6421652943821995E-18</v>
      </c>
      <c r="AR319" s="69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</row>
    <row r="320" spans="1:55" s="70" customFormat="1" ht="15.75" customHeight="1" thickBot="1" x14ac:dyDescent="0.25">
      <c r="H320" s="71"/>
      <c r="K320" s="71"/>
      <c r="L320" s="71"/>
      <c r="N320" s="72"/>
      <c r="P320" s="144"/>
      <c r="Q320" s="75"/>
      <c r="R320" s="136"/>
      <c r="V320" s="2"/>
      <c r="W320" s="2"/>
      <c r="X320" s="80"/>
      <c r="Y320" s="98"/>
      <c r="Z320" s="75"/>
      <c r="AA320" s="2"/>
      <c r="AB320" s="27"/>
      <c r="AC320" s="2"/>
      <c r="AD320" s="2"/>
      <c r="AE320" s="2"/>
      <c r="AF320" s="2"/>
      <c r="AG320" s="2"/>
      <c r="AH320" s="76"/>
      <c r="AI320" s="99"/>
      <c r="AJ320" s="80"/>
      <c r="AK320" s="91">
        <v>5</v>
      </c>
      <c r="AL320" s="79"/>
      <c r="AM320" s="92">
        <f>R$6/Q$6</f>
        <v>695.19647399999997</v>
      </c>
      <c r="AN320" s="93">
        <v>2016</v>
      </c>
      <c r="AO320" s="94">
        <v>3.1760000000000002</v>
      </c>
      <c r="AP320" s="100">
        <f>(1+T$6)^(-AK320)</f>
        <v>3.9492342588719707E-27</v>
      </c>
      <c r="AQ320" s="101">
        <f>AM320*AO320*AP320</f>
        <v>8.7196880920945235E-24</v>
      </c>
      <c r="AR320" s="69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</row>
    <row r="321" spans="8:55" s="70" customFormat="1" ht="15.75" customHeight="1" thickBot="1" x14ac:dyDescent="0.25">
      <c r="H321" s="71"/>
      <c r="K321" s="71"/>
      <c r="L321" s="71"/>
      <c r="N321" s="72"/>
      <c r="P321" s="144"/>
      <c r="Q321" s="75"/>
      <c r="R321" s="136"/>
      <c r="U321" s="2" t="s">
        <v>386</v>
      </c>
      <c r="V321" s="73" t="s">
        <v>387</v>
      </c>
      <c r="W321" s="74"/>
      <c r="X321" s="74"/>
      <c r="Y321" s="74"/>
      <c r="Z321" s="75"/>
      <c r="AA321" s="76"/>
      <c r="AB321" s="76"/>
      <c r="AC321" s="76"/>
      <c r="AD321" s="76"/>
      <c r="AE321" s="76"/>
      <c r="AF321" s="76"/>
      <c r="AG321" s="2"/>
      <c r="AH321" s="76"/>
      <c r="AI321" s="99"/>
      <c r="AJ321" s="80"/>
      <c r="AK321" s="102"/>
      <c r="AL321" s="103"/>
      <c r="AM321" s="92"/>
      <c r="AN321" s="104"/>
      <c r="AO321" s="105"/>
      <c r="AP321" s="91"/>
      <c r="AQ321" s="106">
        <f>SUM(AQ316:AQ320)</f>
        <v>1.0264871753039993E-2</v>
      </c>
      <c r="AR321" s="69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</row>
    <row r="322" spans="8:55" s="53" customFormat="1" ht="15.75" customHeight="1" x14ac:dyDescent="0.2">
      <c r="H322" s="54"/>
      <c r="K322" s="54"/>
      <c r="L322" s="54"/>
      <c r="N322" s="55"/>
      <c r="P322" s="143"/>
      <c r="Q322" s="118"/>
      <c r="R322" s="119"/>
      <c r="U322" s="2" t="s">
        <v>388</v>
      </c>
      <c r="V322" s="81"/>
      <c r="W322" s="86"/>
      <c r="X322" s="83">
        <v>17584</v>
      </c>
      <c r="Y322" s="84">
        <v>2</v>
      </c>
      <c r="Z322" s="87">
        <v>1</v>
      </c>
      <c r="AA322" s="86" t="s">
        <v>179</v>
      </c>
      <c r="AB322" s="87" t="s">
        <v>389</v>
      </c>
      <c r="AC322" s="86" t="s">
        <v>191</v>
      </c>
      <c r="AD322" s="86" t="s">
        <v>390</v>
      </c>
      <c r="AE322" s="86" t="s">
        <v>218</v>
      </c>
      <c r="AF322" s="86" t="s">
        <v>391</v>
      </c>
      <c r="AG322" s="86" t="s">
        <v>379</v>
      </c>
      <c r="AH322" s="88"/>
      <c r="AI322" s="89">
        <f>10150-300</f>
        <v>9850</v>
      </c>
      <c r="AJ322" s="107">
        <v>18984</v>
      </c>
      <c r="AK322" s="108" t="s">
        <v>392</v>
      </c>
      <c r="AL322" s="51">
        <f t="shared" ref="AL322:AL327" si="23">AJ322-(AI322*T$12)</f>
        <v>-1879866419.5</v>
      </c>
      <c r="AM322" s="109"/>
      <c r="AN322" s="2"/>
      <c r="AO322" s="110" t="s">
        <v>393</v>
      </c>
      <c r="AP322" s="111" t="s">
        <v>394</v>
      </c>
      <c r="AQ322" s="109"/>
      <c r="AR322" s="69"/>
    </row>
    <row r="323" spans="8:55" s="70" customFormat="1" ht="15.75" customHeight="1" x14ac:dyDescent="0.2">
      <c r="H323" s="71"/>
      <c r="K323" s="71"/>
      <c r="L323" s="71"/>
      <c r="N323" s="72"/>
      <c r="P323" s="144"/>
      <c r="Q323" s="75"/>
      <c r="R323" s="136"/>
      <c r="U323" s="2" t="s">
        <v>388</v>
      </c>
      <c r="V323" s="96"/>
      <c r="W323" s="86"/>
      <c r="X323" s="83">
        <v>17669.150000000001</v>
      </c>
      <c r="Y323" s="84">
        <v>3.5</v>
      </c>
      <c r="Z323" s="85">
        <v>1</v>
      </c>
      <c r="AA323" s="86" t="s">
        <v>179</v>
      </c>
      <c r="AB323" s="87" t="s">
        <v>395</v>
      </c>
      <c r="AC323" s="86" t="s">
        <v>191</v>
      </c>
      <c r="AD323" s="86" t="s">
        <v>396</v>
      </c>
      <c r="AE323" s="86" t="s">
        <v>211</v>
      </c>
      <c r="AF323" s="86" t="s">
        <v>391</v>
      </c>
      <c r="AG323" s="86" t="s">
        <v>379</v>
      </c>
      <c r="AH323" s="88"/>
      <c r="AI323" s="89">
        <f>10150-300</f>
        <v>9850</v>
      </c>
      <c r="AJ323" s="107">
        <v>19155.02</v>
      </c>
      <c r="AK323" s="105" t="s">
        <v>397</v>
      </c>
      <c r="AL323" s="97">
        <f t="shared" si="23"/>
        <v>-1879866248.48</v>
      </c>
      <c r="AM323" s="109"/>
      <c r="AN323" s="109"/>
      <c r="AO323" s="92" t="s">
        <v>393</v>
      </c>
      <c r="AP323" s="112" t="s">
        <v>398</v>
      </c>
      <c r="AQ323" s="113">
        <v>20000</v>
      </c>
      <c r="AR323" s="69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</row>
    <row r="324" spans="8:55" s="53" customFormat="1" ht="15.75" customHeight="1" x14ac:dyDescent="0.2">
      <c r="H324" s="54"/>
      <c r="K324" s="54"/>
      <c r="L324" s="54"/>
      <c r="N324" s="55"/>
      <c r="P324" s="143"/>
      <c r="Q324" s="118"/>
      <c r="R324" s="119"/>
      <c r="U324" s="2" t="s">
        <v>388</v>
      </c>
      <c r="V324" s="96"/>
      <c r="W324" s="86"/>
      <c r="X324" s="83">
        <v>16814</v>
      </c>
      <c r="Y324" s="84">
        <v>1</v>
      </c>
      <c r="Z324" s="87">
        <v>1</v>
      </c>
      <c r="AA324" s="86" t="s">
        <v>179</v>
      </c>
      <c r="AB324" s="87" t="s">
        <v>395</v>
      </c>
      <c r="AC324" s="86" t="s">
        <v>184</v>
      </c>
      <c r="AD324" s="86" t="s">
        <v>214</v>
      </c>
      <c r="AE324" s="86" t="s">
        <v>211</v>
      </c>
      <c r="AF324" s="86" t="s">
        <v>399</v>
      </c>
      <c r="AG324" s="86" t="s">
        <v>379</v>
      </c>
      <c r="AH324" s="88"/>
      <c r="AI324" s="89">
        <f>6950-300</f>
        <v>6650</v>
      </c>
      <c r="AJ324" s="83">
        <v>17408</v>
      </c>
      <c r="AK324" s="105" t="s">
        <v>400</v>
      </c>
      <c r="AL324" s="97">
        <f t="shared" si="23"/>
        <v>-1269143803.5</v>
      </c>
      <c r="AM324" s="109"/>
      <c r="AN324" s="2"/>
      <c r="AO324" s="92" t="s">
        <v>393</v>
      </c>
      <c r="AP324" s="112" t="s">
        <v>401</v>
      </c>
      <c r="AQ324" s="114">
        <f>AQ321</f>
        <v>1.0264871753039993E-2</v>
      </c>
      <c r="AR324" s="69"/>
    </row>
    <row r="325" spans="8:55" s="70" customFormat="1" ht="15.75" customHeight="1" x14ac:dyDescent="0.2">
      <c r="H325" s="71"/>
      <c r="K325" s="71"/>
      <c r="L325" s="71"/>
      <c r="N325" s="72"/>
      <c r="P325" s="144"/>
      <c r="Q325" s="75"/>
      <c r="R325" s="136"/>
      <c r="U325" s="2" t="s">
        <v>388</v>
      </c>
      <c r="V325" s="96"/>
      <c r="W325" s="86"/>
      <c r="X325" s="83">
        <v>20151</v>
      </c>
      <c r="Y325" s="84">
        <v>1.25</v>
      </c>
      <c r="Z325" s="87">
        <v>1</v>
      </c>
      <c r="AA325" s="86" t="s">
        <v>380</v>
      </c>
      <c r="AB325" s="87" t="s">
        <v>334</v>
      </c>
      <c r="AC325" s="86" t="s">
        <v>292</v>
      </c>
      <c r="AD325" s="86" t="s">
        <v>293</v>
      </c>
      <c r="AE325" s="86" t="s">
        <v>300</v>
      </c>
      <c r="AF325" s="86" t="s">
        <v>402</v>
      </c>
      <c r="AG325" s="86" t="s">
        <v>379</v>
      </c>
      <c r="AH325" s="88"/>
      <c r="AI325" s="89">
        <v>9925</v>
      </c>
      <c r="AJ325" s="83">
        <v>20654.5</v>
      </c>
      <c r="AK325" s="105" t="s">
        <v>9</v>
      </c>
      <c r="AL325" s="97">
        <f t="shared" si="23"/>
        <v>-1894178597.25</v>
      </c>
      <c r="AM325" s="109" t="s">
        <v>14</v>
      </c>
      <c r="AN325" s="109"/>
      <c r="AO325" s="92" t="s">
        <v>393</v>
      </c>
      <c r="AP325" s="112" t="s">
        <v>403</v>
      </c>
      <c r="AQ325" s="105">
        <v>21</v>
      </c>
      <c r="AR325" s="69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</row>
    <row r="326" spans="8:55" s="53" customFormat="1" ht="15.75" customHeight="1" x14ac:dyDescent="0.2">
      <c r="H326" s="54"/>
      <c r="K326" s="54"/>
      <c r="L326" s="54"/>
      <c r="N326" s="55"/>
      <c r="P326" s="143"/>
      <c r="Q326" s="118"/>
      <c r="R326" s="119"/>
      <c r="U326" s="2" t="s">
        <v>388</v>
      </c>
      <c r="V326" s="96"/>
      <c r="W326" s="82" t="s">
        <v>404</v>
      </c>
      <c r="X326" s="83">
        <v>16511</v>
      </c>
      <c r="Y326" s="84">
        <v>1.55</v>
      </c>
      <c r="Z326" s="87">
        <v>1</v>
      </c>
      <c r="AA326" s="86" t="s">
        <v>143</v>
      </c>
      <c r="AB326" s="87" t="s">
        <v>406</v>
      </c>
      <c r="AC326" s="86" t="s">
        <v>241</v>
      </c>
      <c r="AD326" s="86" t="s">
        <v>250</v>
      </c>
      <c r="AE326" s="86" t="s">
        <v>405</v>
      </c>
      <c r="AF326" s="86" t="s">
        <v>407</v>
      </c>
      <c r="AG326" s="86" t="s">
        <v>379</v>
      </c>
      <c r="AH326" s="88"/>
      <c r="AI326" s="89">
        <v>9425</v>
      </c>
      <c r="AJ326" s="83">
        <v>17188.349999999999</v>
      </c>
      <c r="AK326" s="105" t="s">
        <v>408</v>
      </c>
      <c r="AL326" s="97">
        <f t="shared" si="23"/>
        <v>-1798756408.4000001</v>
      </c>
      <c r="AM326" s="109"/>
      <c r="AN326" s="2"/>
      <c r="AO326" s="92" t="s">
        <v>393</v>
      </c>
      <c r="AP326" s="112" t="s">
        <v>409</v>
      </c>
      <c r="AQ326" s="113">
        <v>10000</v>
      </c>
      <c r="AR326" s="69"/>
    </row>
    <row r="327" spans="8:55" s="53" customFormat="1" ht="15.75" customHeight="1" x14ac:dyDescent="0.2">
      <c r="H327" s="54"/>
      <c r="K327" s="54"/>
      <c r="L327" s="54"/>
      <c r="N327" s="55"/>
      <c r="P327" s="143"/>
      <c r="Q327" s="118"/>
      <c r="R327" s="119"/>
      <c r="U327" s="2" t="s">
        <v>388</v>
      </c>
      <c r="V327" s="96"/>
      <c r="W327" s="82" t="s">
        <v>404</v>
      </c>
      <c r="X327" s="83">
        <v>16851</v>
      </c>
      <c r="Y327" s="84">
        <v>1.75</v>
      </c>
      <c r="Z327" s="87">
        <v>1</v>
      </c>
      <c r="AA327" s="86" t="s">
        <v>143</v>
      </c>
      <c r="AB327" s="87" t="s">
        <v>406</v>
      </c>
      <c r="AC327" s="86" t="s">
        <v>241</v>
      </c>
      <c r="AD327" s="86" t="s">
        <v>250</v>
      </c>
      <c r="AE327" s="86" t="s">
        <v>405</v>
      </c>
      <c r="AF327" s="86" t="s">
        <v>407</v>
      </c>
      <c r="AG327" s="86" t="s">
        <v>379</v>
      </c>
      <c r="AH327" s="88"/>
      <c r="AI327" s="89">
        <v>9425</v>
      </c>
      <c r="AJ327" s="83">
        <v>17233.3</v>
      </c>
      <c r="AK327" s="105" t="s">
        <v>392</v>
      </c>
      <c r="AL327" s="97">
        <f t="shared" si="23"/>
        <v>-1798756363.45</v>
      </c>
      <c r="AM327" s="109"/>
      <c r="AN327" s="109"/>
      <c r="AO327" s="92" t="s">
        <v>393</v>
      </c>
      <c r="AP327" s="109" t="s">
        <v>410</v>
      </c>
      <c r="AQ327" s="115" t="e">
        <f>AL316</f>
        <v>#REF!</v>
      </c>
      <c r="AR327" s="69"/>
    </row>
    <row r="328" spans="8:55" s="70" customFormat="1" ht="15.75" customHeight="1" x14ac:dyDescent="0.2">
      <c r="H328" s="71"/>
      <c r="K328" s="71"/>
      <c r="L328" s="71"/>
      <c r="N328" s="72"/>
      <c r="P328" s="144"/>
      <c r="Q328" s="75"/>
      <c r="R328" s="136"/>
      <c r="U328" s="2"/>
      <c r="V328" s="2"/>
      <c r="W328" s="2"/>
      <c r="X328" s="80"/>
      <c r="Y328" s="98"/>
      <c r="Z328" s="27"/>
      <c r="AA328" s="2"/>
      <c r="AB328" s="27"/>
      <c r="AC328" s="2"/>
      <c r="AD328" s="2"/>
      <c r="AE328" s="2"/>
      <c r="AF328" s="2"/>
      <c r="AG328" s="2"/>
      <c r="AH328" s="76"/>
      <c r="AI328" s="99"/>
      <c r="AJ328" s="80"/>
      <c r="AK328" s="109"/>
      <c r="AL328" s="1"/>
      <c r="AM328" s="109"/>
      <c r="AN328" s="104"/>
      <c r="AO328" s="109"/>
      <c r="AP328" s="109"/>
      <c r="AQ328" s="109"/>
      <c r="AR328" s="69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</row>
    <row r="329" spans="8:55" s="70" customFormat="1" ht="15.75" customHeight="1" x14ac:dyDescent="0.2">
      <c r="H329" s="71"/>
      <c r="K329" s="71"/>
      <c r="L329" s="71"/>
      <c r="N329" s="72"/>
      <c r="P329" s="144"/>
      <c r="Q329" s="75"/>
      <c r="R329" s="136"/>
      <c r="U329" s="2"/>
      <c r="V329" s="2"/>
      <c r="W329" s="2"/>
      <c r="X329" s="80"/>
      <c r="Y329" s="98"/>
      <c r="Z329" s="27"/>
      <c r="AA329" s="2"/>
      <c r="AB329" s="27"/>
      <c r="AC329" s="2"/>
      <c r="AD329" s="2"/>
      <c r="AE329" s="2"/>
      <c r="AF329" s="2"/>
      <c r="AG329" s="2"/>
      <c r="AH329" s="76"/>
      <c r="AI329" s="99"/>
      <c r="AJ329" s="80"/>
      <c r="AK329" s="109"/>
      <c r="AL329" s="1"/>
      <c r="AM329" s="109"/>
      <c r="AN329" s="104"/>
      <c r="AO329" s="109"/>
      <c r="AP329" s="109"/>
      <c r="AQ329" s="109"/>
      <c r="AR329" s="69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</row>
    <row r="330" spans="8:55" s="70" customFormat="1" ht="15.75" customHeight="1" x14ac:dyDescent="0.2">
      <c r="H330" s="71"/>
      <c r="K330" s="71"/>
      <c r="L330" s="71"/>
      <c r="N330" s="72"/>
      <c r="P330" s="144"/>
      <c r="Q330" s="75"/>
      <c r="R330" s="136"/>
      <c r="U330" s="2"/>
      <c r="V330" s="2"/>
      <c r="W330" s="2"/>
      <c r="X330" s="80"/>
      <c r="Y330" s="98"/>
      <c r="Z330" s="27"/>
      <c r="AA330" s="2"/>
      <c r="AB330" s="27"/>
      <c r="AC330" s="2"/>
      <c r="AD330" s="2"/>
      <c r="AE330" s="2"/>
      <c r="AF330" s="2"/>
      <c r="AG330" s="2"/>
      <c r="AH330" s="76"/>
      <c r="AI330" s="99"/>
      <c r="AJ330" s="80"/>
      <c r="AK330" s="109"/>
      <c r="AL330" s="1"/>
      <c r="AM330" s="109"/>
      <c r="AN330" s="104"/>
      <c r="AO330" s="109"/>
      <c r="AP330" s="109"/>
      <c r="AQ330" s="109"/>
      <c r="AR330" s="69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</row>
    <row r="331" spans="8:55" s="70" customFormat="1" ht="15.75" customHeight="1" x14ac:dyDescent="0.2">
      <c r="H331" s="71"/>
      <c r="K331" s="71"/>
      <c r="L331" s="71"/>
      <c r="N331" s="72"/>
      <c r="P331" s="144"/>
      <c r="Q331" s="75"/>
      <c r="R331" s="136"/>
      <c r="U331" s="2"/>
      <c r="V331" s="2"/>
      <c r="W331" s="2"/>
      <c r="X331" s="80"/>
      <c r="Y331" s="98"/>
      <c r="Z331" s="27"/>
      <c r="AA331" s="2"/>
      <c r="AB331" s="27"/>
      <c r="AC331" s="2"/>
      <c r="AD331" s="2"/>
      <c r="AE331" s="2"/>
      <c r="AF331" s="2"/>
      <c r="AG331" s="2"/>
      <c r="AH331" s="76"/>
      <c r="AI331" s="99"/>
      <c r="AJ331" s="80"/>
      <c r="AK331" s="109"/>
      <c r="AL331" s="1"/>
      <c r="AM331" s="109"/>
      <c r="AN331" s="104"/>
      <c r="AO331" s="109"/>
      <c r="AP331" s="109"/>
      <c r="AQ331" s="109"/>
      <c r="AR331" s="69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</row>
    <row r="332" spans="8:55" s="70" customFormat="1" ht="15.75" customHeight="1" x14ac:dyDescent="0.2">
      <c r="H332" s="71"/>
      <c r="K332" s="71"/>
      <c r="L332" s="71"/>
      <c r="N332" s="72"/>
      <c r="P332" s="144"/>
      <c r="Q332" s="75"/>
      <c r="R332" s="136"/>
      <c r="U332" s="2"/>
      <c r="V332" s="2"/>
      <c r="W332" s="2"/>
      <c r="X332" s="80"/>
      <c r="Y332" s="98"/>
      <c r="Z332" s="27"/>
      <c r="AA332" s="2"/>
      <c r="AB332" s="27"/>
      <c r="AC332" s="2"/>
      <c r="AD332" s="2"/>
      <c r="AE332" s="2"/>
      <c r="AF332" s="2"/>
      <c r="AG332" s="2"/>
      <c r="AH332" s="76"/>
      <c r="AI332" s="99"/>
      <c r="AJ332" s="80"/>
      <c r="AK332" s="109"/>
      <c r="AL332" s="1"/>
      <c r="AM332" s="109"/>
      <c r="AN332" s="104"/>
      <c r="AO332" s="109"/>
      <c r="AP332" s="109"/>
      <c r="AQ332" s="109"/>
      <c r="AR332" s="69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</row>
    <row r="333" spans="8:55" s="53" customFormat="1" ht="15.75" customHeight="1" x14ac:dyDescent="0.2">
      <c r="H333" s="54"/>
      <c r="K333" s="54"/>
      <c r="L333" s="54"/>
      <c r="N333" s="55"/>
      <c r="P333" s="143"/>
      <c r="Q333" s="118"/>
      <c r="R333" s="119"/>
      <c r="U333" s="70"/>
      <c r="X333" s="116"/>
      <c r="Y333" s="117"/>
      <c r="Z333" s="118"/>
      <c r="AB333" s="118"/>
      <c r="AH333" s="92"/>
      <c r="AI333" s="69"/>
      <c r="AJ333" s="119"/>
      <c r="AK333" s="109"/>
      <c r="AL333" s="109"/>
      <c r="AM333" s="109"/>
      <c r="AN333" s="109"/>
      <c r="AO333" s="109"/>
      <c r="AP333" s="109"/>
      <c r="AQ333" s="109"/>
      <c r="AR333" s="69"/>
    </row>
    <row r="334" spans="8:55" s="53" customFormat="1" ht="15.75" customHeight="1" thickBot="1" x14ac:dyDescent="0.25">
      <c r="H334" s="54"/>
      <c r="K334" s="54"/>
      <c r="L334" s="54"/>
      <c r="N334" s="55"/>
      <c r="P334" s="143"/>
      <c r="Q334" s="118"/>
      <c r="R334" s="119"/>
      <c r="U334" s="70"/>
      <c r="X334" s="116"/>
      <c r="Y334" s="117"/>
      <c r="Z334" s="118"/>
      <c r="AB334" s="118"/>
      <c r="AH334" s="92"/>
      <c r="AI334" s="69"/>
      <c r="AJ334" s="119"/>
      <c r="AK334" s="109"/>
      <c r="AL334" s="109"/>
      <c r="AM334" s="109"/>
      <c r="AN334" s="109"/>
      <c r="AO334" s="109"/>
      <c r="AP334" s="109"/>
      <c r="AQ334" s="109"/>
      <c r="AR334" s="69"/>
    </row>
    <row r="335" spans="8:55" s="53" customFormat="1" ht="15.75" customHeight="1" thickBot="1" x14ac:dyDescent="0.25">
      <c r="H335" s="54"/>
      <c r="K335" s="54"/>
      <c r="L335" s="54"/>
      <c r="N335" s="55"/>
      <c r="P335" s="143"/>
      <c r="Q335" s="118"/>
      <c r="R335" s="119"/>
      <c r="U335" s="70" t="s">
        <v>374</v>
      </c>
      <c r="V335" s="81"/>
      <c r="W335" s="82"/>
      <c r="X335" s="83">
        <v>13565</v>
      </c>
      <c r="Y335" s="84">
        <v>2</v>
      </c>
      <c r="Z335" s="85">
        <v>40</v>
      </c>
      <c r="AA335" s="86" t="s">
        <v>179</v>
      </c>
      <c r="AB335" s="87" t="s">
        <v>376</v>
      </c>
      <c r="AC335" s="86" t="s">
        <v>191</v>
      </c>
      <c r="AD335" s="86" t="s">
        <v>377</v>
      </c>
      <c r="AE335" s="86" t="s">
        <v>375</v>
      </c>
      <c r="AF335" s="86" t="s">
        <v>378</v>
      </c>
      <c r="AG335" s="86" t="s">
        <v>379</v>
      </c>
      <c r="AH335" s="88">
        <v>21</v>
      </c>
      <c r="AI335" s="89">
        <v>10000</v>
      </c>
      <c r="AJ335" s="90">
        <v>20000</v>
      </c>
      <c r="AK335" s="91"/>
      <c r="AL335" s="51" t="e">
        <f>AJ335+(T$27/AH335)-(AI335*#REF!)</f>
        <v>#REF!</v>
      </c>
      <c r="AM335" s="92"/>
      <c r="AN335" s="100">
        <v>0.74729999999999996</v>
      </c>
      <c r="AO335" s="94"/>
      <c r="AP335" s="120">
        <v>190851.31</v>
      </c>
      <c r="AQ335" s="95"/>
      <c r="AR335" s="69"/>
    </row>
    <row r="336" spans="8:55" s="53" customFormat="1" ht="15.75" customHeight="1" x14ac:dyDescent="0.2">
      <c r="H336" s="54"/>
      <c r="K336" s="54"/>
      <c r="L336" s="54"/>
      <c r="N336" s="55"/>
      <c r="P336" s="143"/>
      <c r="Q336" s="118"/>
      <c r="R336" s="119"/>
      <c r="U336" s="2" t="s">
        <v>374</v>
      </c>
      <c r="V336" s="96"/>
      <c r="W336" s="86"/>
      <c r="X336" s="83">
        <v>13703</v>
      </c>
      <c r="Y336" s="84">
        <v>0.75</v>
      </c>
      <c r="Z336" s="85">
        <v>40</v>
      </c>
      <c r="AA336" s="86" t="s">
        <v>380</v>
      </c>
      <c r="AB336" s="87" t="s">
        <v>295</v>
      </c>
      <c r="AC336" s="86" t="s">
        <v>292</v>
      </c>
      <c r="AD336" s="86" t="s">
        <v>293</v>
      </c>
      <c r="AE336" s="86" t="s">
        <v>114</v>
      </c>
      <c r="AF336" s="86" t="s">
        <v>381</v>
      </c>
      <c r="AG336" s="86" t="s">
        <v>379</v>
      </c>
      <c r="AH336" s="88">
        <v>24</v>
      </c>
      <c r="AI336" s="89">
        <f>8425-600</f>
        <v>7825</v>
      </c>
      <c r="AJ336" s="83">
        <v>20000</v>
      </c>
      <c r="AK336" s="121"/>
      <c r="AL336" s="97" t="e">
        <f>AJ336+(T$28/AH336)-(AI336*#REF!)</f>
        <v>#REF!</v>
      </c>
      <c r="AM336" s="92"/>
      <c r="AN336" s="122">
        <v>0.74729999999999996</v>
      </c>
      <c r="AO336" s="122"/>
      <c r="AP336" s="123">
        <v>190851.31</v>
      </c>
      <c r="AQ336" s="95"/>
      <c r="AR336" s="69"/>
    </row>
    <row r="337" spans="8:55" s="53" customFormat="1" ht="15.75" customHeight="1" x14ac:dyDescent="0.2">
      <c r="H337" s="54"/>
      <c r="K337" s="54"/>
      <c r="L337" s="54"/>
      <c r="N337" s="55"/>
      <c r="P337" s="143"/>
      <c r="Q337" s="118"/>
      <c r="R337" s="119"/>
      <c r="U337" s="2" t="s">
        <v>374</v>
      </c>
      <c r="V337" s="96"/>
      <c r="W337" s="86"/>
      <c r="X337" s="83">
        <v>13958.05</v>
      </c>
      <c r="Y337" s="84">
        <v>2</v>
      </c>
      <c r="Z337" s="85">
        <v>40</v>
      </c>
      <c r="AA337" s="86" t="s">
        <v>380</v>
      </c>
      <c r="AB337" s="87" t="s">
        <v>295</v>
      </c>
      <c r="AC337" s="86" t="s">
        <v>292</v>
      </c>
      <c r="AD337" s="86" t="s">
        <v>293</v>
      </c>
      <c r="AE337" s="86" t="s">
        <v>114</v>
      </c>
      <c r="AF337" s="86" t="s">
        <v>381</v>
      </c>
      <c r="AG337" s="86" t="s">
        <v>379</v>
      </c>
      <c r="AH337" s="88">
        <v>24</v>
      </c>
      <c r="AI337" s="89">
        <f>8425-600</f>
        <v>7825</v>
      </c>
      <c r="AJ337" s="83">
        <v>20000</v>
      </c>
      <c r="AK337" s="121"/>
      <c r="AL337" s="97" t="e">
        <f>AJ337+(T$28/AH337)-(AI337*#REF!)</f>
        <v>#REF!</v>
      </c>
      <c r="AM337" s="92"/>
      <c r="AN337" s="122">
        <v>0.74729999999999996</v>
      </c>
      <c r="AO337" s="122"/>
      <c r="AP337" s="123">
        <v>190851.31</v>
      </c>
      <c r="AQ337" s="95"/>
      <c r="AR337" s="69"/>
    </row>
    <row r="338" spans="8:55" s="70" customFormat="1" ht="15.75" customHeight="1" x14ac:dyDescent="0.2">
      <c r="H338" s="71"/>
      <c r="K338" s="71"/>
      <c r="L338" s="71"/>
      <c r="N338" s="72"/>
      <c r="P338" s="144"/>
      <c r="Q338" s="75"/>
      <c r="R338" s="136"/>
      <c r="U338" s="2" t="s">
        <v>374</v>
      </c>
      <c r="V338" s="96"/>
      <c r="W338" s="86"/>
      <c r="X338" s="83">
        <v>16483</v>
      </c>
      <c r="Y338" s="84">
        <v>1.55</v>
      </c>
      <c r="Z338" s="85">
        <v>40</v>
      </c>
      <c r="AA338" s="86" t="s">
        <v>143</v>
      </c>
      <c r="AB338" s="87" t="s">
        <v>383</v>
      </c>
      <c r="AC338" s="86" t="s">
        <v>241</v>
      </c>
      <c r="AD338" s="86" t="s">
        <v>384</v>
      </c>
      <c r="AE338" s="86" t="s">
        <v>382</v>
      </c>
      <c r="AF338" s="86" t="s">
        <v>385</v>
      </c>
      <c r="AG338" s="86" t="s">
        <v>379</v>
      </c>
      <c r="AH338" s="88">
        <v>20</v>
      </c>
      <c r="AI338" s="89">
        <f>7475+350</f>
        <v>7825</v>
      </c>
      <c r="AJ338" s="83">
        <v>20000</v>
      </c>
      <c r="AK338" s="121"/>
      <c r="AL338" s="97" t="e">
        <f>AJ338+(T$28/AH338)-(AI338*#REF!)</f>
        <v>#REF!</v>
      </c>
      <c r="AM338" s="92"/>
      <c r="AN338" s="122">
        <v>0.74729999999999996</v>
      </c>
      <c r="AO338" s="122"/>
      <c r="AP338" s="123">
        <v>190851.31</v>
      </c>
      <c r="AQ338" s="124"/>
      <c r="AR338" s="77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</row>
    <row r="339" spans="8:55" s="70" customFormat="1" ht="15.75" customHeight="1" x14ac:dyDescent="0.2">
      <c r="H339" s="71"/>
      <c r="K339" s="71"/>
      <c r="L339" s="71"/>
      <c r="N339" s="72"/>
      <c r="P339" s="144"/>
      <c r="Q339" s="75"/>
      <c r="R339" s="136"/>
      <c r="V339" s="2"/>
      <c r="W339" s="2"/>
      <c r="X339" s="80"/>
      <c r="Y339" s="98"/>
      <c r="Z339" s="75"/>
      <c r="AA339" s="2"/>
      <c r="AB339" s="27"/>
      <c r="AC339" s="2"/>
      <c r="AD339" s="2"/>
      <c r="AE339" s="2"/>
      <c r="AF339" s="2"/>
      <c r="AG339" s="2"/>
      <c r="AH339" s="76"/>
      <c r="AI339" s="99"/>
      <c r="AJ339" s="80"/>
      <c r="AK339" s="121"/>
      <c r="AL339" s="79"/>
      <c r="AM339" s="92"/>
      <c r="AN339" s="122" t="s">
        <v>14</v>
      </c>
      <c r="AO339" s="122"/>
      <c r="AP339" s="123" t="s">
        <v>14</v>
      </c>
      <c r="AQ339" s="125"/>
      <c r="AR339" s="77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</row>
    <row r="340" spans="8:55" s="70" customFormat="1" ht="15.75" customHeight="1" x14ac:dyDescent="0.2">
      <c r="H340" s="71"/>
      <c r="K340" s="71"/>
      <c r="L340" s="71"/>
      <c r="N340" s="72"/>
      <c r="P340" s="144"/>
      <c r="Q340" s="75"/>
      <c r="R340" s="136"/>
      <c r="U340" s="2" t="s">
        <v>386</v>
      </c>
      <c r="V340" s="73" t="s">
        <v>387</v>
      </c>
      <c r="W340" s="74"/>
      <c r="X340" s="74"/>
      <c r="Y340" s="74"/>
      <c r="Z340" s="75"/>
      <c r="AA340" s="76"/>
      <c r="AB340" s="76"/>
      <c r="AC340" s="76"/>
      <c r="AD340" s="76"/>
      <c r="AE340" s="76"/>
      <c r="AF340" s="76"/>
      <c r="AG340" s="2"/>
      <c r="AH340" s="76"/>
      <c r="AI340" s="99"/>
      <c r="AJ340" s="80"/>
      <c r="AK340" s="121"/>
      <c r="AL340" s="103"/>
      <c r="AM340" s="92"/>
      <c r="AN340" s="122" t="s">
        <v>14</v>
      </c>
      <c r="AO340" s="122"/>
      <c r="AP340" s="123" t="s">
        <v>14</v>
      </c>
      <c r="AQ340" s="126"/>
      <c r="AR340" s="77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</row>
    <row r="341" spans="8:55" s="53" customFormat="1" ht="15.75" customHeight="1" x14ac:dyDescent="0.2">
      <c r="H341" s="54"/>
      <c r="K341" s="54"/>
      <c r="L341" s="54"/>
      <c r="N341" s="55"/>
      <c r="P341" s="143"/>
      <c r="Q341" s="118"/>
      <c r="R341" s="119"/>
      <c r="U341" s="2" t="s">
        <v>388</v>
      </c>
      <c r="V341" s="81"/>
      <c r="W341" s="86"/>
      <c r="X341" s="83">
        <v>17584</v>
      </c>
      <c r="Y341" s="84">
        <v>2</v>
      </c>
      <c r="Z341" s="87">
        <v>1</v>
      </c>
      <c r="AA341" s="86" t="s">
        <v>179</v>
      </c>
      <c r="AB341" s="87" t="s">
        <v>389</v>
      </c>
      <c r="AC341" s="86" t="s">
        <v>191</v>
      </c>
      <c r="AD341" s="86" t="s">
        <v>390</v>
      </c>
      <c r="AE341" s="86" t="s">
        <v>218</v>
      </c>
      <c r="AF341" s="86" t="s">
        <v>391</v>
      </c>
      <c r="AG341" s="86" t="s">
        <v>379</v>
      </c>
      <c r="AH341" s="88"/>
      <c r="AI341" s="89">
        <f>10150-300</f>
        <v>9850</v>
      </c>
      <c r="AJ341" s="107">
        <v>18984</v>
      </c>
      <c r="AK341" s="121"/>
      <c r="AL341" s="51" t="e">
        <f>AJ341-(AI341*#REF!)</f>
        <v>#REF!</v>
      </c>
      <c r="AM341" s="109"/>
      <c r="AN341" s="122">
        <v>0.74729999999999996</v>
      </c>
      <c r="AO341" s="122"/>
      <c r="AP341" s="123">
        <v>190851.31</v>
      </c>
      <c r="AQ341" s="2"/>
      <c r="AR341" s="77"/>
    </row>
    <row r="342" spans="8:55" s="70" customFormat="1" ht="15.75" customHeight="1" x14ac:dyDescent="0.2">
      <c r="H342" s="71"/>
      <c r="K342" s="71"/>
      <c r="L342" s="71"/>
      <c r="N342" s="72"/>
      <c r="P342" s="144"/>
      <c r="Q342" s="75"/>
      <c r="R342" s="136"/>
      <c r="U342" s="2" t="s">
        <v>388</v>
      </c>
      <c r="V342" s="96"/>
      <c r="W342" s="86"/>
      <c r="X342" s="83">
        <v>17669.150000000001</v>
      </c>
      <c r="Y342" s="84">
        <v>3.5</v>
      </c>
      <c r="Z342" s="85">
        <v>1</v>
      </c>
      <c r="AA342" s="86" t="s">
        <v>179</v>
      </c>
      <c r="AB342" s="87" t="s">
        <v>395</v>
      </c>
      <c r="AC342" s="86" t="s">
        <v>191</v>
      </c>
      <c r="AD342" s="86" t="s">
        <v>396</v>
      </c>
      <c r="AE342" s="86" t="s">
        <v>211</v>
      </c>
      <c r="AF342" s="86" t="s">
        <v>391</v>
      </c>
      <c r="AG342" s="86" t="s">
        <v>379</v>
      </c>
      <c r="AH342" s="88"/>
      <c r="AI342" s="89">
        <f>10150-300</f>
        <v>9850</v>
      </c>
      <c r="AJ342" s="107">
        <v>19155.02</v>
      </c>
      <c r="AK342" s="121"/>
      <c r="AL342" s="97" t="e">
        <f>AJ342-(AI342*#REF!)</f>
        <v>#REF!</v>
      </c>
      <c r="AM342" s="109"/>
      <c r="AN342" s="122">
        <v>0.74729999999999996</v>
      </c>
      <c r="AO342" s="122"/>
      <c r="AP342" s="123">
        <v>190851.31</v>
      </c>
      <c r="AQ342" s="113"/>
      <c r="AR342" s="69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</row>
    <row r="343" spans="8:55" s="53" customFormat="1" ht="15.75" customHeight="1" x14ac:dyDescent="0.2">
      <c r="H343" s="54"/>
      <c r="K343" s="54"/>
      <c r="L343" s="54"/>
      <c r="N343" s="55"/>
      <c r="P343" s="143"/>
      <c r="Q343" s="118"/>
      <c r="R343" s="119"/>
      <c r="U343" s="2" t="s">
        <v>388</v>
      </c>
      <c r="V343" s="96"/>
      <c r="W343" s="86"/>
      <c r="X343" s="83">
        <v>16814</v>
      </c>
      <c r="Y343" s="84">
        <v>1</v>
      </c>
      <c r="Z343" s="87">
        <v>1</v>
      </c>
      <c r="AA343" s="86" t="s">
        <v>179</v>
      </c>
      <c r="AB343" s="87" t="s">
        <v>395</v>
      </c>
      <c r="AC343" s="86" t="s">
        <v>184</v>
      </c>
      <c r="AD343" s="86" t="s">
        <v>214</v>
      </c>
      <c r="AE343" s="86" t="s">
        <v>211</v>
      </c>
      <c r="AF343" s="86" t="s">
        <v>399</v>
      </c>
      <c r="AG343" s="86" t="s">
        <v>379</v>
      </c>
      <c r="AH343" s="88"/>
      <c r="AI343" s="89">
        <f>6950-300</f>
        <v>6650</v>
      </c>
      <c r="AJ343" s="83">
        <v>17408</v>
      </c>
      <c r="AK343" s="121"/>
      <c r="AL343" s="97" t="e">
        <f>AJ343-(AI343*#REF!)</f>
        <v>#REF!</v>
      </c>
      <c r="AM343" s="109"/>
      <c r="AN343" s="122">
        <v>0.74729999999999996</v>
      </c>
      <c r="AO343" s="122"/>
      <c r="AP343" s="123">
        <v>190851.31</v>
      </c>
      <c r="AQ343" s="114"/>
      <c r="AR343" s="69"/>
    </row>
    <row r="344" spans="8:55" s="70" customFormat="1" ht="15.75" customHeight="1" x14ac:dyDescent="0.2">
      <c r="H344" s="71"/>
      <c r="K344" s="71"/>
      <c r="L344" s="71"/>
      <c r="N344" s="72"/>
      <c r="P344" s="144"/>
      <c r="Q344" s="75"/>
      <c r="R344" s="136"/>
      <c r="U344" s="2" t="s">
        <v>388</v>
      </c>
      <c r="V344" s="96"/>
      <c r="W344" s="86"/>
      <c r="X344" s="83">
        <v>20151</v>
      </c>
      <c r="Y344" s="84">
        <v>1.25</v>
      </c>
      <c r="Z344" s="87">
        <v>1</v>
      </c>
      <c r="AA344" s="86" t="s">
        <v>380</v>
      </c>
      <c r="AB344" s="87" t="s">
        <v>334</v>
      </c>
      <c r="AC344" s="86" t="s">
        <v>292</v>
      </c>
      <c r="AD344" s="86" t="s">
        <v>293</v>
      </c>
      <c r="AE344" s="86" t="s">
        <v>300</v>
      </c>
      <c r="AF344" s="86" t="s">
        <v>402</v>
      </c>
      <c r="AG344" s="86" t="s">
        <v>379</v>
      </c>
      <c r="AH344" s="88"/>
      <c r="AI344" s="89">
        <v>9925</v>
      </c>
      <c r="AJ344" s="83">
        <v>20654.5</v>
      </c>
      <c r="AK344" s="121"/>
      <c r="AL344" s="97" t="e">
        <f>AJ344-(AI344*#REF!)</f>
        <v>#REF!</v>
      </c>
      <c r="AM344" s="109"/>
      <c r="AN344" s="122">
        <v>0.74729999999999996</v>
      </c>
      <c r="AO344" s="122"/>
      <c r="AP344" s="123">
        <v>190851.31</v>
      </c>
      <c r="AQ344" s="105"/>
      <c r="AR344" s="69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</row>
    <row r="345" spans="8:55" s="53" customFormat="1" ht="15.75" customHeight="1" x14ac:dyDescent="0.2">
      <c r="H345" s="54"/>
      <c r="K345" s="54"/>
      <c r="L345" s="54"/>
      <c r="N345" s="55"/>
      <c r="P345" s="143"/>
      <c r="Q345" s="118"/>
      <c r="R345" s="119"/>
      <c r="U345" s="2" t="s">
        <v>388</v>
      </c>
      <c r="V345" s="96"/>
      <c r="W345" s="82" t="s">
        <v>404</v>
      </c>
      <c r="X345" s="83">
        <v>16511</v>
      </c>
      <c r="Y345" s="84">
        <v>1.55</v>
      </c>
      <c r="Z345" s="87">
        <v>1</v>
      </c>
      <c r="AA345" s="86" t="s">
        <v>143</v>
      </c>
      <c r="AB345" s="87" t="s">
        <v>406</v>
      </c>
      <c r="AC345" s="86" t="s">
        <v>241</v>
      </c>
      <c r="AD345" s="86" t="s">
        <v>250</v>
      </c>
      <c r="AE345" s="86" t="s">
        <v>405</v>
      </c>
      <c r="AF345" s="86" t="s">
        <v>407</v>
      </c>
      <c r="AG345" s="86" t="s">
        <v>379</v>
      </c>
      <c r="AH345" s="88"/>
      <c r="AI345" s="89">
        <v>9425</v>
      </c>
      <c r="AJ345" s="83">
        <v>17188.349999999999</v>
      </c>
      <c r="AK345" s="121"/>
      <c r="AL345" s="97" t="e">
        <f>AJ345-(AI345*#REF!)</f>
        <v>#REF!</v>
      </c>
      <c r="AM345" s="109"/>
      <c r="AN345" s="122">
        <v>0.74729999999999996</v>
      </c>
      <c r="AO345" s="122"/>
      <c r="AP345" s="123">
        <v>190851.31</v>
      </c>
      <c r="AQ345" s="113"/>
      <c r="AR345" s="69"/>
    </row>
    <row r="346" spans="8:55" s="53" customFormat="1" ht="15.75" customHeight="1" x14ac:dyDescent="0.2">
      <c r="H346" s="54"/>
      <c r="K346" s="54"/>
      <c r="L346" s="54"/>
      <c r="N346" s="55"/>
      <c r="P346" s="143"/>
      <c r="Q346" s="118"/>
      <c r="R346" s="119"/>
      <c r="U346" s="2" t="s">
        <v>388</v>
      </c>
      <c r="V346" s="96"/>
      <c r="W346" s="82" t="s">
        <v>404</v>
      </c>
      <c r="X346" s="83">
        <v>16851</v>
      </c>
      <c r="Y346" s="84">
        <v>1.75</v>
      </c>
      <c r="Z346" s="87">
        <v>1</v>
      </c>
      <c r="AA346" s="86" t="s">
        <v>143</v>
      </c>
      <c r="AB346" s="87" t="s">
        <v>406</v>
      </c>
      <c r="AC346" s="86" t="s">
        <v>241</v>
      </c>
      <c r="AD346" s="86" t="s">
        <v>250</v>
      </c>
      <c r="AE346" s="86" t="s">
        <v>405</v>
      </c>
      <c r="AF346" s="86" t="s">
        <v>407</v>
      </c>
      <c r="AG346" s="86" t="s">
        <v>379</v>
      </c>
      <c r="AH346" s="88"/>
      <c r="AI346" s="89">
        <v>9425</v>
      </c>
      <c r="AJ346" s="83">
        <v>17233.3</v>
      </c>
      <c r="AK346" s="121"/>
      <c r="AL346" s="97" t="e">
        <f>AJ346-(AI346*#REF!)</f>
        <v>#REF!</v>
      </c>
      <c r="AM346" s="109"/>
      <c r="AN346" s="122">
        <v>0.74729999999999996</v>
      </c>
      <c r="AO346" s="122"/>
      <c r="AP346" s="123">
        <v>190851.31</v>
      </c>
      <c r="AQ346" s="115"/>
      <c r="AR346" s="69"/>
    </row>
    <row r="347" spans="8:55" s="53" customFormat="1" ht="15.75" customHeight="1" x14ac:dyDescent="0.2">
      <c r="H347" s="54"/>
      <c r="K347" s="54"/>
      <c r="L347" s="54"/>
      <c r="N347" s="55"/>
      <c r="P347" s="143"/>
      <c r="Q347" s="118"/>
      <c r="R347" s="119"/>
      <c r="U347" s="70"/>
      <c r="X347" s="116"/>
      <c r="Y347" s="117"/>
      <c r="Z347" s="118"/>
      <c r="AB347" s="118"/>
      <c r="AH347" s="92"/>
      <c r="AI347" s="69"/>
      <c r="AJ347" s="119"/>
      <c r="AL347" s="109"/>
    </row>
    <row r="348" spans="8:55" ht="15.75" customHeight="1" x14ac:dyDescent="0.2">
      <c r="U348" s="47"/>
      <c r="X348" s="48"/>
      <c r="Y348" s="48"/>
      <c r="Z348" s="48"/>
      <c r="AA348" s="49"/>
      <c r="AB348" s="49"/>
      <c r="AC348" s="48"/>
      <c r="AD348" s="49"/>
      <c r="AE348" s="48"/>
      <c r="AF348" s="48"/>
      <c r="AG348" s="49"/>
      <c r="AH348" s="50"/>
      <c r="AI348" s="50"/>
      <c r="AO348" s="38"/>
      <c r="AP348" s="38"/>
    </row>
    <row r="349" spans="8:55" ht="15.75" customHeight="1" x14ac:dyDescent="0.2">
      <c r="U349" s="47"/>
      <c r="X349" s="48"/>
      <c r="Y349" s="48"/>
      <c r="Z349" s="48"/>
      <c r="AA349" s="49"/>
      <c r="AB349" s="49"/>
      <c r="AC349" s="48"/>
      <c r="AD349" s="49"/>
      <c r="AE349" s="48"/>
      <c r="AF349" s="48"/>
      <c r="AG349" s="49"/>
      <c r="AH349" s="50"/>
      <c r="AI349" s="50"/>
      <c r="AO349" s="38"/>
      <c r="AP349" s="38"/>
    </row>
    <row r="350" spans="8:55" ht="15.75" customHeight="1" x14ac:dyDescent="0.2">
      <c r="U350" s="47"/>
      <c r="X350" s="48"/>
      <c r="Y350" s="48"/>
      <c r="Z350" s="48"/>
      <c r="AA350" s="49"/>
      <c r="AB350" s="49"/>
      <c r="AC350" s="48"/>
      <c r="AD350" s="49"/>
      <c r="AE350" s="48"/>
      <c r="AF350" s="48"/>
      <c r="AG350" s="49"/>
      <c r="AH350" s="50"/>
      <c r="AI350" s="50"/>
      <c r="AO350" s="38"/>
      <c r="AP350" s="38"/>
    </row>
    <row r="351" spans="8:55" ht="15.75" customHeight="1" x14ac:dyDescent="0.2">
      <c r="U351" s="47"/>
      <c r="X351" s="48"/>
      <c r="Y351" s="48"/>
      <c r="Z351" s="48"/>
      <c r="AA351" s="49"/>
      <c r="AB351" s="49"/>
      <c r="AC351" s="48"/>
      <c r="AD351" s="49"/>
      <c r="AE351" s="48"/>
      <c r="AF351" s="48"/>
      <c r="AG351" s="49"/>
      <c r="AH351" s="50"/>
      <c r="AI351" s="50"/>
      <c r="AO351" s="38"/>
      <c r="AP351" s="38"/>
    </row>
    <row r="352" spans="8:55" ht="15.75" customHeight="1" x14ac:dyDescent="0.2">
      <c r="U352" s="47"/>
      <c r="X352" s="48"/>
      <c r="Y352" s="48"/>
      <c r="Z352" s="48"/>
      <c r="AA352" s="49"/>
      <c r="AB352" s="49"/>
      <c r="AC352" s="48"/>
      <c r="AD352" s="49"/>
      <c r="AE352" s="48"/>
      <c r="AF352" s="48"/>
      <c r="AG352" s="49"/>
      <c r="AH352" s="50"/>
      <c r="AI352" s="50"/>
      <c r="AO352" s="38"/>
      <c r="AP352" s="38"/>
    </row>
    <row r="353" spans="21:42" ht="15.75" customHeight="1" x14ac:dyDescent="0.2">
      <c r="U353" s="47"/>
      <c r="X353" s="48"/>
      <c r="Y353" s="48"/>
      <c r="Z353" s="48"/>
      <c r="AA353" s="49"/>
      <c r="AB353" s="49"/>
      <c r="AC353" s="48"/>
      <c r="AD353" s="49"/>
      <c r="AE353" s="48"/>
      <c r="AF353" s="48"/>
      <c r="AG353" s="49"/>
      <c r="AH353" s="50"/>
      <c r="AI353" s="50"/>
      <c r="AO353" s="38"/>
      <c r="AP353" s="38"/>
    </row>
    <row r="354" spans="21:42" ht="15.75" customHeight="1" x14ac:dyDescent="0.2">
      <c r="U354" s="47"/>
      <c r="X354" s="48"/>
      <c r="Y354" s="48"/>
      <c r="Z354" s="48"/>
      <c r="AA354" s="49"/>
      <c r="AB354" s="49"/>
      <c r="AC354" s="48"/>
      <c r="AD354" s="49"/>
      <c r="AE354" s="48"/>
      <c r="AF354" s="48"/>
      <c r="AG354" s="49"/>
      <c r="AH354" s="50"/>
      <c r="AI354" s="50"/>
      <c r="AO354" s="38"/>
      <c r="AP354" s="38"/>
    </row>
    <row r="355" spans="21:42" ht="15.75" customHeight="1" x14ac:dyDescent="0.2">
      <c r="U355" s="47"/>
      <c r="X355" s="48"/>
      <c r="Y355" s="48"/>
      <c r="Z355" s="48"/>
      <c r="AA355" s="49"/>
      <c r="AB355" s="49"/>
      <c r="AC355" s="48"/>
      <c r="AD355" s="49"/>
      <c r="AE355" s="48"/>
      <c r="AF355" s="48"/>
      <c r="AG355" s="49"/>
      <c r="AH355" s="50"/>
      <c r="AI355" s="50"/>
      <c r="AO355" s="38"/>
      <c r="AP355" s="38"/>
    </row>
    <row r="356" spans="21:42" ht="15.75" customHeight="1" x14ac:dyDescent="0.2">
      <c r="U356" s="47"/>
      <c r="X356" s="48"/>
      <c r="Y356" s="48"/>
      <c r="Z356" s="48"/>
      <c r="AA356" s="49"/>
      <c r="AB356" s="49"/>
      <c r="AC356" s="48"/>
      <c r="AD356" s="49"/>
      <c r="AE356" s="48"/>
      <c r="AF356" s="48"/>
      <c r="AG356" s="49"/>
      <c r="AH356" s="50"/>
      <c r="AI356" s="50"/>
      <c r="AO356" s="38"/>
      <c r="AP356" s="38"/>
    </row>
    <row r="357" spans="21:42" ht="15.75" customHeight="1" x14ac:dyDescent="0.2">
      <c r="U357" s="47"/>
      <c r="X357" s="48"/>
      <c r="Y357" s="48"/>
      <c r="Z357" s="48"/>
      <c r="AA357" s="49"/>
      <c r="AB357" s="49"/>
      <c r="AC357" s="48"/>
      <c r="AD357" s="49"/>
      <c r="AE357" s="48"/>
      <c r="AF357" s="48"/>
      <c r="AG357" s="49"/>
      <c r="AH357" s="50"/>
      <c r="AI357" s="50"/>
      <c r="AO357" s="38"/>
      <c r="AP357" s="38"/>
    </row>
    <row r="358" spans="21:42" ht="15.75" customHeight="1" x14ac:dyDescent="0.2">
      <c r="U358" s="47"/>
      <c r="X358" s="48"/>
      <c r="Y358" s="48"/>
      <c r="Z358" s="48"/>
      <c r="AA358" s="49"/>
      <c r="AB358" s="49"/>
      <c r="AC358" s="48"/>
      <c r="AD358" s="49"/>
      <c r="AE358" s="48"/>
      <c r="AF358" s="48"/>
      <c r="AG358" s="49"/>
      <c r="AH358" s="50"/>
      <c r="AI358" s="50"/>
      <c r="AO358" s="38"/>
      <c r="AP358" s="38"/>
    </row>
    <row r="359" spans="21:42" ht="15.75" customHeight="1" x14ac:dyDescent="0.2">
      <c r="U359" s="47"/>
      <c r="X359" s="48"/>
      <c r="Y359" s="48"/>
      <c r="Z359" s="48"/>
      <c r="AA359" s="49"/>
      <c r="AB359" s="49"/>
      <c r="AC359" s="48"/>
      <c r="AD359" s="49"/>
      <c r="AE359" s="48"/>
      <c r="AF359" s="48"/>
      <c r="AG359" s="49"/>
      <c r="AH359" s="50"/>
      <c r="AI359" s="50"/>
      <c r="AO359" s="38"/>
      <c r="AP359" s="38"/>
    </row>
    <row r="360" spans="21:42" ht="15.75" customHeight="1" x14ac:dyDescent="0.2">
      <c r="U360" s="47"/>
      <c r="X360" s="48"/>
      <c r="Y360" s="48"/>
      <c r="Z360" s="48"/>
      <c r="AA360" s="49"/>
      <c r="AB360" s="49"/>
      <c r="AC360" s="48"/>
      <c r="AD360" s="49"/>
      <c r="AE360" s="48"/>
      <c r="AF360" s="48"/>
      <c r="AG360" s="49"/>
      <c r="AH360" s="50"/>
      <c r="AI360" s="50"/>
      <c r="AO360" s="38"/>
      <c r="AP360" s="38"/>
    </row>
    <row r="361" spans="21:42" ht="15.75" customHeight="1" x14ac:dyDescent="0.2">
      <c r="U361" s="47"/>
      <c r="X361" s="48"/>
      <c r="Y361" s="48"/>
      <c r="Z361" s="48"/>
      <c r="AA361" s="49"/>
      <c r="AB361" s="49"/>
      <c r="AC361" s="48"/>
      <c r="AD361" s="49"/>
      <c r="AE361" s="48"/>
      <c r="AF361" s="48"/>
      <c r="AG361" s="49"/>
      <c r="AH361" s="50"/>
      <c r="AI361" s="50"/>
      <c r="AO361" s="38"/>
      <c r="AP361" s="38"/>
    </row>
    <row r="362" spans="21:42" ht="15.75" customHeight="1" x14ac:dyDescent="0.2">
      <c r="U362" s="47"/>
      <c r="X362" s="48"/>
      <c r="Y362" s="48"/>
      <c r="Z362" s="48"/>
      <c r="AA362" s="49"/>
      <c r="AB362" s="49"/>
      <c r="AC362" s="48"/>
      <c r="AD362" s="49"/>
      <c r="AE362" s="48"/>
      <c r="AF362" s="48"/>
      <c r="AG362" s="49"/>
      <c r="AH362" s="50"/>
      <c r="AI362" s="50"/>
      <c r="AO362" s="38"/>
      <c r="AP362" s="38"/>
    </row>
    <row r="363" spans="21:42" ht="15.75" customHeight="1" x14ac:dyDescent="0.2">
      <c r="U363" s="47"/>
      <c r="X363" s="48"/>
      <c r="Y363" s="48"/>
      <c r="Z363" s="48"/>
      <c r="AA363" s="49"/>
      <c r="AB363" s="49"/>
      <c r="AC363" s="48"/>
      <c r="AD363" s="49"/>
      <c r="AE363" s="48"/>
      <c r="AF363" s="48"/>
      <c r="AG363" s="49"/>
      <c r="AH363" s="50"/>
      <c r="AI363" s="50"/>
      <c r="AO363" s="38"/>
      <c r="AP363" s="38"/>
    </row>
    <row r="364" spans="21:42" ht="15.75" customHeight="1" x14ac:dyDescent="0.2">
      <c r="U364" s="47"/>
      <c r="X364" s="48"/>
      <c r="Y364" s="48"/>
      <c r="Z364" s="48"/>
      <c r="AA364" s="49"/>
      <c r="AB364" s="49"/>
      <c r="AC364" s="48"/>
      <c r="AD364" s="49"/>
      <c r="AE364" s="48"/>
      <c r="AF364" s="48"/>
      <c r="AG364" s="49"/>
      <c r="AH364" s="50"/>
      <c r="AI364" s="50"/>
      <c r="AO364" s="38"/>
      <c r="AP364" s="38"/>
    </row>
    <row r="365" spans="21:42" ht="15.75" customHeight="1" x14ac:dyDescent="0.2">
      <c r="U365" s="47"/>
      <c r="X365" s="48"/>
      <c r="Y365" s="48"/>
      <c r="Z365" s="48"/>
      <c r="AA365" s="49"/>
      <c r="AB365" s="49"/>
      <c r="AC365" s="48"/>
      <c r="AD365" s="49"/>
      <c r="AE365" s="48"/>
      <c r="AF365" s="48"/>
      <c r="AG365" s="49"/>
      <c r="AH365" s="50"/>
      <c r="AI365" s="50"/>
      <c r="AO365" s="38"/>
      <c r="AP365" s="38"/>
    </row>
    <row r="366" spans="21:42" ht="15.75" customHeight="1" x14ac:dyDescent="0.2">
      <c r="U366" s="47"/>
      <c r="X366" s="48"/>
      <c r="Y366" s="48"/>
      <c r="Z366" s="48"/>
      <c r="AA366" s="49"/>
      <c r="AB366" s="49"/>
      <c r="AC366" s="48"/>
      <c r="AD366" s="49"/>
      <c r="AE366" s="48"/>
      <c r="AF366" s="48"/>
      <c r="AG366" s="49"/>
      <c r="AH366" s="50"/>
      <c r="AI366" s="50"/>
      <c r="AO366" s="38"/>
      <c r="AP366" s="38"/>
    </row>
    <row r="367" spans="21:42" ht="15.75" customHeight="1" x14ac:dyDescent="0.2">
      <c r="U367" s="47"/>
      <c r="X367" s="48"/>
      <c r="Y367" s="48"/>
      <c r="Z367" s="48"/>
      <c r="AA367" s="49"/>
      <c r="AB367" s="49"/>
      <c r="AC367" s="48"/>
      <c r="AD367" s="49"/>
      <c r="AE367" s="48"/>
      <c r="AF367" s="48"/>
      <c r="AG367" s="49"/>
      <c r="AH367" s="50"/>
      <c r="AI367" s="50"/>
      <c r="AO367" s="38"/>
      <c r="AP367" s="38"/>
    </row>
    <row r="368" spans="21:42" ht="15.75" customHeight="1" x14ac:dyDescent="0.2">
      <c r="U368" s="47"/>
      <c r="X368" s="48"/>
      <c r="Y368" s="48"/>
      <c r="Z368" s="48"/>
      <c r="AA368" s="49"/>
      <c r="AB368" s="49"/>
      <c r="AC368" s="48"/>
      <c r="AD368" s="49"/>
      <c r="AE368" s="48"/>
      <c r="AF368" s="48"/>
      <c r="AG368" s="49"/>
      <c r="AH368" s="50"/>
      <c r="AI368" s="50"/>
      <c r="AO368" s="38"/>
      <c r="AP368" s="38"/>
    </row>
    <row r="369" spans="21:42" ht="15.75" customHeight="1" x14ac:dyDescent="0.2">
      <c r="U369" s="47"/>
      <c r="X369" s="48"/>
      <c r="Y369" s="48"/>
      <c r="Z369" s="48"/>
      <c r="AA369" s="49"/>
      <c r="AB369" s="49"/>
      <c r="AC369" s="48"/>
      <c r="AD369" s="49"/>
      <c r="AE369" s="48"/>
      <c r="AF369" s="48"/>
      <c r="AG369" s="49"/>
      <c r="AH369" s="50"/>
      <c r="AI369" s="50"/>
      <c r="AO369" s="38"/>
      <c r="AP369" s="38"/>
    </row>
    <row r="370" spans="21:42" ht="15.75" customHeight="1" x14ac:dyDescent="0.2">
      <c r="U370" s="47"/>
      <c r="X370" s="48"/>
      <c r="Y370" s="48"/>
      <c r="Z370" s="48"/>
      <c r="AA370" s="49"/>
      <c r="AB370" s="49"/>
      <c r="AC370" s="48"/>
      <c r="AD370" s="49"/>
      <c r="AE370" s="48"/>
      <c r="AF370" s="48"/>
      <c r="AG370" s="49"/>
      <c r="AH370" s="50"/>
      <c r="AI370" s="50"/>
      <c r="AO370" s="38"/>
      <c r="AP370" s="38"/>
    </row>
    <row r="371" spans="21:42" ht="15.75" customHeight="1" x14ac:dyDescent="0.2">
      <c r="U371" s="47"/>
      <c r="X371" s="48"/>
      <c r="Y371" s="48"/>
      <c r="Z371" s="48"/>
      <c r="AA371" s="49"/>
      <c r="AB371" s="49"/>
      <c r="AC371" s="48"/>
      <c r="AD371" s="49"/>
      <c r="AE371" s="48"/>
      <c r="AF371" s="48"/>
      <c r="AG371" s="49"/>
      <c r="AH371" s="50"/>
      <c r="AI371" s="50"/>
      <c r="AO371" s="38"/>
      <c r="AP371" s="38"/>
    </row>
    <row r="372" spans="21:42" ht="15.75" customHeight="1" x14ac:dyDescent="0.2">
      <c r="U372" s="47"/>
      <c r="X372" s="48"/>
      <c r="Y372" s="48"/>
      <c r="Z372" s="48"/>
      <c r="AA372" s="49"/>
      <c r="AB372" s="49"/>
      <c r="AC372" s="48"/>
      <c r="AD372" s="49"/>
      <c r="AE372" s="48"/>
      <c r="AF372" s="48"/>
      <c r="AG372" s="49"/>
      <c r="AH372" s="50"/>
      <c r="AI372" s="50"/>
      <c r="AO372" s="38"/>
      <c r="AP372" s="38"/>
    </row>
    <row r="373" spans="21:42" ht="15.75" customHeight="1" x14ac:dyDescent="0.2">
      <c r="U373" s="47"/>
      <c r="X373" s="48"/>
      <c r="Y373" s="48"/>
      <c r="Z373" s="48"/>
      <c r="AA373" s="49"/>
      <c r="AB373" s="49"/>
      <c r="AC373" s="48"/>
      <c r="AD373" s="49"/>
      <c r="AE373" s="48"/>
      <c r="AF373" s="48"/>
      <c r="AG373" s="49"/>
      <c r="AH373" s="50"/>
      <c r="AI373" s="50"/>
      <c r="AO373" s="38"/>
      <c r="AP373" s="38"/>
    </row>
    <row r="374" spans="21:42" ht="15.75" customHeight="1" x14ac:dyDescent="0.2">
      <c r="U374" s="47"/>
      <c r="X374" s="48"/>
      <c r="Y374" s="48"/>
      <c r="Z374" s="48"/>
      <c r="AA374" s="49"/>
      <c r="AB374" s="49"/>
      <c r="AC374" s="48"/>
      <c r="AD374" s="49"/>
      <c r="AE374" s="48"/>
      <c r="AF374" s="48"/>
      <c r="AG374" s="49"/>
      <c r="AH374" s="50"/>
      <c r="AI374" s="50"/>
      <c r="AO374" s="38"/>
      <c r="AP374" s="38"/>
    </row>
    <row r="375" spans="21:42" ht="15.75" customHeight="1" x14ac:dyDescent="0.2">
      <c r="U375" s="47"/>
      <c r="X375" s="48"/>
      <c r="Y375" s="48"/>
      <c r="Z375" s="48"/>
      <c r="AA375" s="49"/>
      <c r="AB375" s="49"/>
      <c r="AC375" s="48"/>
      <c r="AD375" s="49"/>
      <c r="AE375" s="48"/>
      <c r="AF375" s="48"/>
      <c r="AG375" s="49"/>
      <c r="AH375" s="50"/>
      <c r="AI375" s="50"/>
      <c r="AO375" s="38"/>
      <c r="AP375" s="38"/>
    </row>
    <row r="376" spans="21:42" ht="15.75" customHeight="1" x14ac:dyDescent="0.2">
      <c r="U376" s="47"/>
      <c r="X376" s="48"/>
      <c r="Y376" s="48"/>
      <c r="Z376" s="48"/>
      <c r="AA376" s="49"/>
      <c r="AB376" s="49"/>
      <c r="AC376" s="48"/>
      <c r="AD376" s="49"/>
      <c r="AE376" s="48"/>
      <c r="AF376" s="48"/>
      <c r="AG376" s="49"/>
      <c r="AH376" s="50"/>
      <c r="AI376" s="50"/>
      <c r="AO376" s="38"/>
      <c r="AP376" s="38"/>
    </row>
    <row r="377" spans="21:42" ht="15.75" customHeight="1" x14ac:dyDescent="0.2">
      <c r="U377" s="47"/>
      <c r="X377" s="48"/>
      <c r="Y377" s="48"/>
      <c r="Z377" s="48"/>
      <c r="AA377" s="49"/>
      <c r="AB377" s="49"/>
      <c r="AC377" s="48"/>
      <c r="AD377" s="49"/>
      <c r="AE377" s="48"/>
      <c r="AF377" s="48"/>
      <c r="AG377" s="49"/>
      <c r="AH377" s="50"/>
      <c r="AI377" s="50"/>
      <c r="AO377" s="38"/>
      <c r="AP377" s="38"/>
    </row>
    <row r="378" spans="21:42" ht="15.75" customHeight="1" x14ac:dyDescent="0.2">
      <c r="U378" s="47"/>
      <c r="X378" s="48"/>
      <c r="Y378" s="48"/>
      <c r="Z378" s="48"/>
      <c r="AA378" s="49"/>
      <c r="AB378" s="49"/>
      <c r="AC378" s="48"/>
      <c r="AD378" s="49"/>
      <c r="AE378" s="48"/>
      <c r="AF378" s="48"/>
      <c r="AG378" s="49"/>
      <c r="AH378" s="50"/>
      <c r="AI378" s="50"/>
      <c r="AO378" s="38"/>
      <c r="AP378" s="38"/>
    </row>
    <row r="379" spans="21:42" ht="15.75" customHeight="1" x14ac:dyDescent="0.2">
      <c r="U379" s="47"/>
      <c r="X379" s="48"/>
      <c r="Y379" s="48"/>
      <c r="Z379" s="48"/>
      <c r="AA379" s="49"/>
      <c r="AB379" s="49"/>
      <c r="AC379" s="48"/>
      <c r="AD379" s="49"/>
      <c r="AE379" s="48"/>
      <c r="AF379" s="48"/>
      <c r="AG379" s="49"/>
      <c r="AH379" s="50"/>
      <c r="AI379" s="50"/>
      <c r="AO379" s="38"/>
      <c r="AP379" s="38"/>
    </row>
    <row r="380" spans="21:42" ht="15.75" customHeight="1" x14ac:dyDescent="0.2">
      <c r="U380" s="47"/>
      <c r="X380" s="48"/>
      <c r="Y380" s="48"/>
      <c r="Z380" s="48"/>
      <c r="AA380" s="49"/>
      <c r="AB380" s="49"/>
      <c r="AC380" s="48"/>
      <c r="AD380" s="49"/>
      <c r="AE380" s="48"/>
      <c r="AF380" s="48"/>
      <c r="AG380" s="49"/>
      <c r="AH380" s="50"/>
      <c r="AI380" s="50"/>
      <c r="AO380" s="38"/>
      <c r="AP380" s="38"/>
    </row>
    <row r="381" spans="21:42" x14ac:dyDescent="0.2">
      <c r="U381" s="47"/>
      <c r="X381" s="48"/>
      <c r="Y381" s="48"/>
      <c r="Z381" s="48"/>
      <c r="AA381" s="49"/>
      <c r="AB381" s="49"/>
      <c r="AC381" s="48"/>
      <c r="AD381" s="49"/>
      <c r="AE381" s="48"/>
      <c r="AF381" s="48"/>
      <c r="AG381" s="49"/>
      <c r="AH381" s="50"/>
      <c r="AI381" s="50"/>
      <c r="AO381" s="38"/>
      <c r="AP381" s="38"/>
    </row>
    <row r="382" spans="21:42" x14ac:dyDescent="0.2">
      <c r="U382" s="47"/>
      <c r="X382" s="48"/>
      <c r="Y382" s="48"/>
      <c r="Z382" s="48"/>
      <c r="AA382" s="49"/>
      <c r="AB382" s="49"/>
      <c r="AC382" s="48"/>
      <c r="AD382" s="49"/>
      <c r="AE382" s="48"/>
      <c r="AF382" s="48"/>
      <c r="AG382" s="49"/>
      <c r="AH382" s="50"/>
      <c r="AI382" s="50"/>
      <c r="AO382" s="38"/>
      <c r="AP382" s="38"/>
    </row>
    <row r="383" spans="21:42" x14ac:dyDescent="0.2">
      <c r="U383" s="47"/>
      <c r="X383" s="48"/>
      <c r="Y383" s="48"/>
      <c r="Z383" s="48"/>
      <c r="AA383" s="49"/>
      <c r="AB383" s="49"/>
      <c r="AC383" s="48"/>
      <c r="AD383" s="49"/>
      <c r="AE383" s="48"/>
      <c r="AF383" s="48"/>
      <c r="AG383" s="49"/>
      <c r="AH383" s="50"/>
      <c r="AI383" s="50"/>
      <c r="AO383" s="38"/>
      <c r="AP383" s="38"/>
    </row>
    <row r="384" spans="21:42" x14ac:dyDescent="0.2">
      <c r="U384" s="47"/>
      <c r="X384" s="48"/>
      <c r="Y384" s="48"/>
      <c r="Z384" s="48"/>
      <c r="AA384" s="49"/>
      <c r="AB384" s="49"/>
      <c r="AC384" s="48"/>
      <c r="AD384" s="49"/>
      <c r="AE384" s="48"/>
      <c r="AF384" s="48"/>
      <c r="AG384" s="49"/>
      <c r="AH384" s="50"/>
      <c r="AI384" s="50"/>
      <c r="AO384" s="38"/>
      <c r="AP384" s="38"/>
    </row>
    <row r="385" spans="21:42" x14ac:dyDescent="0.2">
      <c r="U385" s="47"/>
      <c r="X385" s="48"/>
      <c r="Y385" s="48"/>
      <c r="Z385" s="48"/>
      <c r="AA385" s="49"/>
      <c r="AB385" s="49"/>
      <c r="AC385" s="48"/>
      <c r="AD385" s="49"/>
      <c r="AE385" s="48"/>
      <c r="AF385" s="48"/>
      <c r="AG385" s="49"/>
      <c r="AH385" s="50"/>
      <c r="AI385" s="50"/>
      <c r="AO385" s="38"/>
      <c r="AP385" s="38"/>
    </row>
    <row r="386" spans="21:42" x14ac:dyDescent="0.2">
      <c r="U386" s="47"/>
      <c r="X386" s="48"/>
      <c r="Y386" s="48"/>
      <c r="Z386" s="48"/>
      <c r="AA386" s="49"/>
      <c r="AB386" s="49"/>
      <c r="AC386" s="48"/>
      <c r="AD386" s="49"/>
      <c r="AE386" s="48"/>
      <c r="AF386" s="48"/>
      <c r="AG386" s="49"/>
      <c r="AH386" s="50"/>
      <c r="AI386" s="50"/>
      <c r="AO386" s="38"/>
      <c r="AP386" s="38"/>
    </row>
    <row r="387" spans="21:42" x14ac:dyDescent="0.2">
      <c r="U387" s="47"/>
      <c r="X387" s="48"/>
      <c r="Y387" s="48"/>
      <c r="Z387" s="48"/>
      <c r="AA387" s="49"/>
      <c r="AB387" s="49"/>
      <c r="AC387" s="48"/>
      <c r="AD387" s="49"/>
      <c r="AE387" s="48"/>
      <c r="AF387" s="48"/>
      <c r="AG387" s="49"/>
      <c r="AH387" s="50"/>
      <c r="AI387" s="50"/>
      <c r="AO387" s="38"/>
      <c r="AP387" s="38"/>
    </row>
    <row r="388" spans="21:42" x14ac:dyDescent="0.2">
      <c r="U388" s="47"/>
      <c r="X388" s="48"/>
      <c r="Y388" s="48"/>
      <c r="Z388" s="48"/>
      <c r="AA388" s="49"/>
      <c r="AB388" s="49"/>
      <c r="AC388" s="48"/>
      <c r="AD388" s="49"/>
      <c r="AE388" s="48"/>
      <c r="AF388" s="48"/>
      <c r="AG388" s="49"/>
      <c r="AH388" s="50"/>
      <c r="AI388" s="50"/>
      <c r="AO388" s="38"/>
      <c r="AP388" s="38"/>
    </row>
    <row r="389" spans="21:42" x14ac:dyDescent="0.2">
      <c r="U389" s="47"/>
      <c r="X389" s="48"/>
      <c r="Y389" s="48"/>
      <c r="Z389" s="48"/>
      <c r="AA389" s="49"/>
      <c r="AB389" s="49"/>
      <c r="AC389" s="48"/>
      <c r="AD389" s="49"/>
      <c r="AE389" s="48"/>
      <c r="AF389" s="48"/>
      <c r="AG389" s="49"/>
      <c r="AH389" s="50"/>
      <c r="AI389" s="50"/>
      <c r="AO389" s="38"/>
      <c r="AP389" s="38"/>
    </row>
    <row r="390" spans="21:42" x14ac:dyDescent="0.2">
      <c r="U390" s="47"/>
      <c r="X390" s="48"/>
      <c r="Y390" s="48"/>
      <c r="Z390" s="48"/>
      <c r="AA390" s="49"/>
      <c r="AB390" s="49"/>
      <c r="AC390" s="48"/>
      <c r="AD390" s="49"/>
      <c r="AE390" s="48"/>
      <c r="AF390" s="48"/>
      <c r="AG390" s="49"/>
      <c r="AH390" s="50"/>
      <c r="AI390" s="50"/>
      <c r="AO390" s="38"/>
      <c r="AP390" s="38"/>
    </row>
    <row r="391" spans="21:42" x14ac:dyDescent="0.2">
      <c r="U391" s="47"/>
      <c r="X391" s="48"/>
      <c r="Y391" s="48"/>
      <c r="Z391" s="48"/>
      <c r="AA391" s="49"/>
      <c r="AB391" s="49"/>
      <c r="AC391" s="48"/>
      <c r="AD391" s="49"/>
      <c r="AE391" s="48"/>
      <c r="AF391" s="48"/>
      <c r="AG391" s="49"/>
      <c r="AH391" s="50"/>
      <c r="AI391" s="50"/>
      <c r="AO391" s="38"/>
      <c r="AP391" s="38"/>
    </row>
    <row r="392" spans="21:42" x14ac:dyDescent="0.2">
      <c r="U392" s="47"/>
      <c r="X392" s="48"/>
      <c r="Y392" s="48"/>
      <c r="Z392" s="48"/>
      <c r="AA392" s="49"/>
      <c r="AB392" s="49"/>
      <c r="AC392" s="48"/>
      <c r="AD392" s="49"/>
      <c r="AE392" s="48"/>
      <c r="AF392" s="48"/>
      <c r="AG392" s="49"/>
      <c r="AH392" s="50"/>
      <c r="AI392" s="50"/>
      <c r="AO392" s="38"/>
      <c r="AP392" s="38"/>
    </row>
    <row r="393" spans="21:42" x14ac:dyDescent="0.2">
      <c r="U393" s="47"/>
      <c r="X393" s="48"/>
      <c r="Y393" s="48"/>
      <c r="Z393" s="48"/>
      <c r="AA393" s="49"/>
      <c r="AB393" s="49"/>
      <c r="AC393" s="48"/>
      <c r="AD393" s="49"/>
      <c r="AE393" s="48"/>
      <c r="AF393" s="48"/>
      <c r="AG393" s="49"/>
      <c r="AH393" s="50"/>
      <c r="AI393" s="50"/>
      <c r="AO393" s="38"/>
      <c r="AP393" s="38"/>
    </row>
    <row r="394" spans="21:42" x14ac:dyDescent="0.2">
      <c r="U394" s="47"/>
      <c r="X394" s="48"/>
      <c r="Y394" s="48"/>
      <c r="Z394" s="48"/>
      <c r="AA394" s="49"/>
      <c r="AB394" s="49"/>
      <c r="AC394" s="48"/>
      <c r="AD394" s="49"/>
      <c r="AE394" s="48"/>
      <c r="AF394" s="48"/>
      <c r="AG394" s="49"/>
      <c r="AH394" s="50"/>
      <c r="AI394" s="50"/>
      <c r="AO394" s="38"/>
      <c r="AP394" s="38"/>
    </row>
    <row r="395" spans="21:42" x14ac:dyDescent="0.2">
      <c r="U395" s="47"/>
      <c r="X395" s="48"/>
      <c r="Y395" s="48"/>
      <c r="Z395" s="48"/>
      <c r="AA395" s="49"/>
      <c r="AB395" s="49"/>
      <c r="AC395" s="48"/>
      <c r="AD395" s="49"/>
      <c r="AE395" s="48"/>
      <c r="AF395" s="48"/>
      <c r="AG395" s="49"/>
      <c r="AH395" s="50"/>
      <c r="AI395" s="50"/>
      <c r="AO395" s="38"/>
      <c r="AP395" s="38"/>
    </row>
    <row r="396" spans="21:42" x14ac:dyDescent="0.2">
      <c r="U396" s="47"/>
      <c r="X396" s="48"/>
      <c r="Y396" s="48"/>
      <c r="Z396" s="48"/>
      <c r="AA396" s="49"/>
      <c r="AB396" s="49"/>
      <c r="AC396" s="48"/>
      <c r="AD396" s="49"/>
      <c r="AE396" s="48"/>
      <c r="AF396" s="48"/>
      <c r="AG396" s="49"/>
      <c r="AH396" s="50"/>
      <c r="AI396" s="50"/>
      <c r="AO396" s="38"/>
      <c r="AP396" s="38"/>
    </row>
    <row r="397" spans="21:42" x14ac:dyDescent="0.2">
      <c r="U397" s="47"/>
      <c r="X397" s="48"/>
      <c r="Y397" s="48"/>
      <c r="Z397" s="48"/>
      <c r="AA397" s="49"/>
      <c r="AB397" s="49"/>
      <c r="AC397" s="48"/>
      <c r="AD397" s="49"/>
      <c r="AE397" s="48"/>
      <c r="AF397" s="48"/>
      <c r="AG397" s="49"/>
      <c r="AH397" s="50"/>
      <c r="AI397" s="50"/>
      <c r="AO397" s="38"/>
      <c r="AP397" s="38"/>
    </row>
    <row r="398" spans="21:42" x14ac:dyDescent="0.2">
      <c r="U398" s="47"/>
      <c r="X398" s="48"/>
      <c r="Y398" s="48"/>
      <c r="Z398" s="48"/>
      <c r="AA398" s="49"/>
      <c r="AB398" s="49"/>
      <c r="AC398" s="48"/>
      <c r="AD398" s="49"/>
      <c r="AE398" s="48"/>
      <c r="AF398" s="48"/>
      <c r="AG398" s="49"/>
      <c r="AH398" s="50"/>
      <c r="AI398" s="50"/>
      <c r="AO398" s="38"/>
      <c r="AP398" s="38"/>
    </row>
    <row r="399" spans="21:42" x14ac:dyDescent="0.2">
      <c r="U399" s="47"/>
      <c r="X399" s="48"/>
      <c r="Y399" s="48"/>
      <c r="Z399" s="48"/>
      <c r="AA399" s="49"/>
      <c r="AB399" s="49"/>
      <c r="AC399" s="48"/>
      <c r="AD399" s="49"/>
      <c r="AE399" s="48"/>
      <c r="AF399" s="48"/>
      <c r="AG399" s="49"/>
      <c r="AH399" s="50"/>
      <c r="AI399" s="50"/>
      <c r="AO399" s="38"/>
      <c r="AP399" s="38"/>
    </row>
    <row r="400" spans="21:42" x14ac:dyDescent="0.2">
      <c r="U400" s="47"/>
      <c r="X400" s="48"/>
      <c r="Y400" s="48"/>
      <c r="Z400" s="48"/>
      <c r="AA400" s="49"/>
      <c r="AB400" s="49"/>
      <c r="AC400" s="48"/>
      <c r="AD400" s="49"/>
      <c r="AE400" s="48"/>
      <c r="AF400" s="48"/>
      <c r="AG400" s="49"/>
      <c r="AH400" s="50"/>
      <c r="AI400" s="50"/>
      <c r="AO400" s="38"/>
      <c r="AP400" s="38"/>
    </row>
    <row r="401" spans="21:42" x14ac:dyDescent="0.2">
      <c r="U401" s="47"/>
      <c r="X401" s="48"/>
      <c r="Y401" s="48"/>
      <c r="Z401" s="48"/>
      <c r="AA401" s="49"/>
      <c r="AB401" s="49"/>
      <c r="AC401" s="48"/>
      <c r="AD401" s="49"/>
      <c r="AE401" s="48"/>
      <c r="AF401" s="48"/>
      <c r="AG401" s="49"/>
      <c r="AH401" s="50"/>
      <c r="AI401" s="50"/>
      <c r="AO401" s="38"/>
      <c r="AP401" s="38"/>
    </row>
    <row r="402" spans="21:42" x14ac:dyDescent="0.2">
      <c r="U402" s="47"/>
      <c r="X402" s="48"/>
      <c r="Y402" s="48"/>
      <c r="Z402" s="48"/>
      <c r="AA402" s="49"/>
      <c r="AB402" s="49"/>
      <c r="AC402" s="48"/>
      <c r="AD402" s="49"/>
      <c r="AE402" s="48"/>
      <c r="AF402" s="48"/>
      <c r="AG402" s="49"/>
      <c r="AH402" s="50"/>
      <c r="AI402" s="50"/>
      <c r="AO402" s="38"/>
      <c r="AP402" s="38"/>
    </row>
    <row r="403" spans="21:42" x14ac:dyDescent="0.2">
      <c r="U403" s="47"/>
      <c r="X403" s="48"/>
      <c r="Y403" s="48"/>
      <c r="Z403" s="48"/>
      <c r="AA403" s="49"/>
      <c r="AB403" s="49"/>
      <c r="AC403" s="48"/>
      <c r="AD403" s="49"/>
      <c r="AE403" s="48"/>
      <c r="AF403" s="48"/>
      <c r="AG403" s="49"/>
      <c r="AH403" s="50"/>
      <c r="AI403" s="50"/>
      <c r="AO403" s="38"/>
      <c r="AP403" s="38"/>
    </row>
    <row r="404" spans="21:42" x14ac:dyDescent="0.2">
      <c r="U404" s="47"/>
      <c r="X404" s="48"/>
      <c r="Y404" s="48"/>
      <c r="Z404" s="48"/>
      <c r="AA404" s="49"/>
      <c r="AB404" s="49"/>
      <c r="AC404" s="48"/>
      <c r="AD404" s="49"/>
      <c r="AE404" s="48"/>
      <c r="AF404" s="48"/>
      <c r="AG404" s="49"/>
      <c r="AH404" s="50"/>
      <c r="AI404" s="50"/>
      <c r="AO404" s="38"/>
      <c r="AP404" s="38"/>
    </row>
    <row r="405" spans="21:42" x14ac:dyDescent="0.2">
      <c r="U405" s="47"/>
      <c r="X405" s="48"/>
      <c r="Y405" s="48"/>
      <c r="Z405" s="48"/>
      <c r="AA405" s="49"/>
      <c r="AB405" s="49"/>
      <c r="AC405" s="48"/>
      <c r="AD405" s="49"/>
      <c r="AE405" s="48"/>
      <c r="AF405" s="48"/>
      <c r="AG405" s="49"/>
      <c r="AH405" s="50"/>
      <c r="AI405" s="50"/>
      <c r="AO405" s="38"/>
      <c r="AP405" s="38"/>
    </row>
    <row r="406" spans="21:42" x14ac:dyDescent="0.2">
      <c r="U406" s="47"/>
      <c r="X406" s="48"/>
      <c r="Y406" s="48"/>
      <c r="Z406" s="48"/>
      <c r="AA406" s="49"/>
      <c r="AB406" s="49"/>
      <c r="AC406" s="48"/>
      <c r="AD406" s="49"/>
      <c r="AE406" s="48"/>
      <c r="AF406" s="48"/>
      <c r="AG406" s="49"/>
      <c r="AH406" s="50"/>
      <c r="AI406" s="50"/>
      <c r="AO406" s="38"/>
      <c r="AP406" s="38"/>
    </row>
    <row r="407" spans="21:42" x14ac:dyDescent="0.2">
      <c r="U407" s="47"/>
      <c r="X407" s="48"/>
      <c r="Y407" s="48"/>
      <c r="Z407" s="48"/>
      <c r="AA407" s="49"/>
      <c r="AB407" s="49"/>
      <c r="AC407" s="48"/>
      <c r="AD407" s="49"/>
      <c r="AE407" s="48"/>
      <c r="AF407" s="48"/>
      <c r="AG407" s="49"/>
      <c r="AH407" s="50"/>
      <c r="AI407" s="50"/>
      <c r="AO407" s="38"/>
      <c r="AP407" s="38"/>
    </row>
    <row r="408" spans="21:42" x14ac:dyDescent="0.2">
      <c r="U408" s="47"/>
      <c r="X408" s="48"/>
      <c r="Y408" s="48"/>
      <c r="Z408" s="48"/>
      <c r="AA408" s="49"/>
      <c r="AB408" s="49"/>
      <c r="AC408" s="48"/>
      <c r="AD408" s="49"/>
      <c r="AE408" s="48"/>
      <c r="AF408" s="48"/>
      <c r="AG408" s="49"/>
      <c r="AH408" s="50"/>
      <c r="AI408" s="50"/>
      <c r="AO408" s="38"/>
      <c r="AP408" s="38"/>
    </row>
    <row r="409" spans="21:42" x14ac:dyDescent="0.2">
      <c r="U409" s="47"/>
      <c r="X409" s="48"/>
      <c r="Y409" s="48"/>
      <c r="Z409" s="48"/>
      <c r="AA409" s="49"/>
      <c r="AB409" s="49"/>
      <c r="AC409" s="48"/>
      <c r="AD409" s="49"/>
      <c r="AE409" s="48"/>
      <c r="AF409" s="48"/>
      <c r="AG409" s="49"/>
      <c r="AH409" s="50"/>
      <c r="AI409" s="50"/>
      <c r="AO409" s="38"/>
      <c r="AP409" s="38"/>
    </row>
    <row r="410" spans="21:42" x14ac:dyDescent="0.2">
      <c r="U410" s="47"/>
      <c r="X410" s="48"/>
      <c r="Y410" s="48"/>
      <c r="Z410" s="48"/>
      <c r="AA410" s="49"/>
      <c r="AB410" s="49"/>
      <c r="AC410" s="48"/>
      <c r="AD410" s="49"/>
      <c r="AE410" s="48"/>
      <c r="AF410" s="48"/>
      <c r="AG410" s="49"/>
      <c r="AH410" s="50"/>
      <c r="AI410" s="50"/>
      <c r="AO410" s="38"/>
      <c r="AP410" s="38"/>
    </row>
    <row r="411" spans="21:42" x14ac:dyDescent="0.2">
      <c r="U411" s="47"/>
      <c r="X411" s="48"/>
      <c r="Y411" s="48"/>
      <c r="Z411" s="48"/>
      <c r="AA411" s="49"/>
      <c r="AB411" s="49"/>
      <c r="AC411" s="48"/>
      <c r="AD411" s="49"/>
      <c r="AE411" s="48"/>
      <c r="AF411" s="48"/>
      <c r="AG411" s="49"/>
      <c r="AH411" s="50"/>
      <c r="AI411" s="50"/>
      <c r="AO411" s="38"/>
      <c r="AP411" s="38"/>
    </row>
    <row r="412" spans="21:42" x14ac:dyDescent="0.2">
      <c r="U412" s="47"/>
      <c r="X412" s="48"/>
      <c r="Y412" s="48"/>
      <c r="Z412" s="48"/>
      <c r="AA412" s="49"/>
      <c r="AB412" s="49"/>
      <c r="AC412" s="48"/>
      <c r="AD412" s="49"/>
      <c r="AE412" s="48"/>
      <c r="AF412" s="48"/>
      <c r="AG412" s="49"/>
      <c r="AH412" s="50"/>
      <c r="AI412" s="50"/>
      <c r="AO412" s="38"/>
      <c r="AP412" s="38"/>
    </row>
    <row r="413" spans="21:42" x14ac:dyDescent="0.2">
      <c r="U413" s="47"/>
      <c r="X413" s="48"/>
      <c r="Y413" s="48"/>
      <c r="Z413" s="48"/>
      <c r="AA413" s="49"/>
      <c r="AB413" s="49"/>
      <c r="AC413" s="48"/>
      <c r="AD413" s="49"/>
      <c r="AE413" s="48"/>
      <c r="AF413" s="48"/>
      <c r="AG413" s="49"/>
      <c r="AH413" s="50"/>
      <c r="AI413" s="50"/>
      <c r="AO413" s="38"/>
      <c r="AP413" s="38"/>
    </row>
    <row r="414" spans="21:42" x14ac:dyDescent="0.2">
      <c r="U414" s="47"/>
      <c r="X414" s="48"/>
      <c r="Y414" s="48"/>
      <c r="Z414" s="48"/>
      <c r="AA414" s="49"/>
      <c r="AB414" s="49"/>
      <c r="AC414" s="48"/>
      <c r="AD414" s="49"/>
      <c r="AE414" s="48"/>
      <c r="AF414" s="48"/>
      <c r="AG414" s="49"/>
      <c r="AH414" s="50"/>
      <c r="AI414" s="50"/>
      <c r="AO414" s="38"/>
      <c r="AP414" s="38"/>
    </row>
    <row r="415" spans="21:42" x14ac:dyDescent="0.2">
      <c r="U415" s="47"/>
      <c r="X415" s="48"/>
      <c r="Y415" s="48"/>
      <c r="Z415" s="48"/>
      <c r="AA415" s="49"/>
      <c r="AB415" s="49"/>
      <c r="AC415" s="48"/>
      <c r="AD415" s="49"/>
      <c r="AE415" s="48"/>
      <c r="AF415" s="48"/>
      <c r="AG415" s="49"/>
      <c r="AH415" s="50"/>
      <c r="AI415" s="50"/>
      <c r="AO415" s="38"/>
      <c r="AP415" s="38"/>
    </row>
    <row r="416" spans="21:42" x14ac:dyDescent="0.2">
      <c r="U416" s="47"/>
      <c r="X416" s="48"/>
      <c r="Y416" s="48"/>
      <c r="Z416" s="48"/>
      <c r="AA416" s="49"/>
      <c r="AB416" s="49"/>
      <c r="AC416" s="48"/>
      <c r="AD416" s="49"/>
      <c r="AE416" s="48"/>
      <c r="AF416" s="48"/>
      <c r="AG416" s="49"/>
      <c r="AH416" s="50"/>
      <c r="AI416" s="50"/>
      <c r="AO416" s="38"/>
      <c r="AP416" s="38"/>
    </row>
    <row r="417" spans="21:42" x14ac:dyDescent="0.2">
      <c r="U417" s="47"/>
      <c r="X417" s="48"/>
      <c r="Y417" s="48"/>
      <c r="Z417" s="48"/>
      <c r="AA417" s="49"/>
      <c r="AB417" s="49"/>
      <c r="AC417" s="48"/>
      <c r="AD417" s="49"/>
      <c r="AE417" s="48"/>
      <c r="AF417" s="48"/>
      <c r="AG417" s="49"/>
      <c r="AH417" s="50"/>
      <c r="AI417" s="50"/>
      <c r="AO417" s="38"/>
      <c r="AP417" s="38"/>
    </row>
    <row r="418" spans="21:42" x14ac:dyDescent="0.2">
      <c r="U418" s="47"/>
      <c r="X418" s="48"/>
      <c r="Y418" s="48"/>
      <c r="Z418" s="48"/>
      <c r="AA418" s="49"/>
      <c r="AB418" s="49"/>
      <c r="AC418" s="48"/>
      <c r="AD418" s="49"/>
      <c r="AE418" s="48"/>
      <c r="AF418" s="48"/>
      <c r="AG418" s="49"/>
      <c r="AH418" s="50"/>
      <c r="AI418" s="50"/>
      <c r="AO418" s="38"/>
      <c r="AP418" s="38"/>
    </row>
    <row r="419" spans="21:42" x14ac:dyDescent="0.2">
      <c r="U419" s="47"/>
      <c r="X419" s="48"/>
      <c r="Y419" s="48"/>
      <c r="Z419" s="48"/>
      <c r="AA419" s="49"/>
      <c r="AB419" s="49"/>
      <c r="AC419" s="48"/>
      <c r="AD419" s="49"/>
      <c r="AE419" s="48"/>
      <c r="AF419" s="48"/>
      <c r="AG419" s="49"/>
      <c r="AH419" s="50"/>
      <c r="AI419" s="50"/>
      <c r="AO419" s="38"/>
      <c r="AP419" s="38"/>
    </row>
    <row r="420" spans="21:42" x14ac:dyDescent="0.2">
      <c r="U420" s="47"/>
      <c r="X420" s="48"/>
      <c r="Y420" s="48"/>
      <c r="Z420" s="48"/>
      <c r="AA420" s="49"/>
      <c r="AB420" s="49"/>
      <c r="AC420" s="48"/>
      <c r="AD420" s="49"/>
      <c r="AE420" s="48"/>
      <c r="AF420" s="48"/>
      <c r="AG420" s="49"/>
      <c r="AH420" s="50"/>
      <c r="AI420" s="50"/>
      <c r="AO420" s="38"/>
      <c r="AP420" s="38"/>
    </row>
    <row r="421" spans="21:42" x14ac:dyDescent="0.2">
      <c r="U421" s="47"/>
      <c r="X421" s="48"/>
      <c r="Y421" s="48"/>
      <c r="Z421" s="48"/>
      <c r="AA421" s="49"/>
      <c r="AB421" s="49"/>
      <c r="AC421" s="48"/>
      <c r="AD421" s="49"/>
      <c r="AE421" s="48"/>
      <c r="AF421" s="48"/>
      <c r="AG421" s="49"/>
      <c r="AH421" s="50"/>
      <c r="AI421" s="50"/>
      <c r="AO421" s="38"/>
      <c r="AP421" s="38"/>
    </row>
    <row r="422" spans="21:42" x14ac:dyDescent="0.2">
      <c r="U422" s="47"/>
      <c r="X422" s="48"/>
      <c r="Y422" s="48"/>
      <c r="Z422" s="48"/>
      <c r="AA422" s="49"/>
      <c r="AB422" s="49"/>
      <c r="AC422" s="48"/>
      <c r="AD422" s="49"/>
      <c r="AE422" s="48"/>
      <c r="AF422" s="48"/>
      <c r="AG422" s="49"/>
      <c r="AH422" s="50"/>
      <c r="AI422" s="50"/>
      <c r="AO422" s="38"/>
      <c r="AP422" s="38"/>
    </row>
    <row r="423" spans="21:42" x14ac:dyDescent="0.2">
      <c r="U423" s="47"/>
      <c r="X423" s="48"/>
      <c r="Y423" s="48"/>
      <c r="Z423" s="48"/>
      <c r="AA423" s="49"/>
      <c r="AB423" s="49"/>
      <c r="AC423" s="48"/>
      <c r="AD423" s="49"/>
      <c r="AE423" s="48"/>
      <c r="AF423" s="48"/>
      <c r="AG423" s="49"/>
      <c r="AH423" s="50"/>
      <c r="AI423" s="50"/>
      <c r="AO423" s="38"/>
      <c r="AP423" s="38"/>
    </row>
    <row r="424" spans="21:42" x14ac:dyDescent="0.2">
      <c r="U424" s="47"/>
      <c r="X424" s="48"/>
      <c r="Y424" s="48"/>
      <c r="Z424" s="48"/>
      <c r="AA424" s="49"/>
      <c r="AB424" s="49"/>
      <c r="AC424" s="48"/>
      <c r="AD424" s="49"/>
      <c r="AE424" s="48"/>
      <c r="AF424" s="48"/>
      <c r="AG424" s="49"/>
      <c r="AH424" s="50"/>
      <c r="AI424" s="50"/>
      <c r="AO424" s="38"/>
      <c r="AP424" s="38"/>
    </row>
    <row r="425" spans="21:42" x14ac:dyDescent="0.2">
      <c r="U425" s="47"/>
      <c r="X425" s="48"/>
      <c r="Y425" s="48"/>
      <c r="Z425" s="48"/>
      <c r="AA425" s="49"/>
      <c r="AB425" s="49"/>
      <c r="AC425" s="48"/>
      <c r="AD425" s="49"/>
      <c r="AE425" s="48"/>
      <c r="AF425" s="48"/>
      <c r="AG425" s="49"/>
      <c r="AH425" s="50"/>
      <c r="AI425" s="50"/>
      <c r="AO425" s="38"/>
      <c r="AP425" s="38"/>
    </row>
    <row r="426" spans="21:42" x14ac:dyDescent="0.2">
      <c r="U426" s="47"/>
      <c r="X426" s="48"/>
      <c r="Y426" s="48"/>
      <c r="Z426" s="48"/>
      <c r="AA426" s="49"/>
      <c r="AB426" s="49"/>
      <c r="AC426" s="48"/>
      <c r="AD426" s="49"/>
      <c r="AE426" s="48"/>
      <c r="AF426" s="48"/>
      <c r="AG426" s="49"/>
      <c r="AH426" s="50"/>
      <c r="AI426" s="50"/>
      <c r="AO426" s="38"/>
      <c r="AP426" s="38"/>
    </row>
    <row r="427" spans="21:42" x14ac:dyDescent="0.2">
      <c r="U427" s="47"/>
      <c r="X427" s="48"/>
      <c r="Y427" s="48"/>
      <c r="Z427" s="48"/>
      <c r="AA427" s="49"/>
      <c r="AB427" s="49"/>
      <c r="AC427" s="48"/>
      <c r="AD427" s="49"/>
      <c r="AE427" s="48"/>
      <c r="AF427" s="48"/>
      <c r="AG427" s="49"/>
      <c r="AH427" s="50"/>
      <c r="AI427" s="50"/>
      <c r="AO427" s="38"/>
      <c r="AP427" s="38"/>
    </row>
    <row r="428" spans="21:42" x14ac:dyDescent="0.2">
      <c r="U428" s="47"/>
      <c r="X428" s="48"/>
      <c r="Y428" s="48"/>
      <c r="Z428" s="48"/>
      <c r="AA428" s="49"/>
      <c r="AB428" s="49"/>
      <c r="AC428" s="48"/>
      <c r="AD428" s="49"/>
      <c r="AE428" s="48"/>
      <c r="AF428" s="48"/>
      <c r="AG428" s="49"/>
      <c r="AH428" s="50"/>
      <c r="AI428" s="50"/>
      <c r="AO428" s="38"/>
      <c r="AP428" s="38"/>
    </row>
    <row r="429" spans="21:42" x14ac:dyDescent="0.2">
      <c r="U429" s="47"/>
      <c r="X429" s="48"/>
      <c r="Y429" s="48"/>
      <c r="Z429" s="48"/>
      <c r="AA429" s="49"/>
      <c r="AB429" s="49"/>
      <c r="AC429" s="48"/>
      <c r="AD429" s="49"/>
      <c r="AE429" s="48"/>
      <c r="AF429" s="48"/>
      <c r="AG429" s="49"/>
      <c r="AH429" s="50"/>
      <c r="AI429" s="50"/>
      <c r="AO429" s="38"/>
      <c r="AP429" s="38"/>
    </row>
    <row r="430" spans="21:42" x14ac:dyDescent="0.2">
      <c r="U430" s="47"/>
      <c r="X430" s="48"/>
      <c r="Y430" s="48"/>
      <c r="Z430" s="48"/>
      <c r="AA430" s="49"/>
      <c r="AB430" s="49"/>
      <c r="AC430" s="48"/>
      <c r="AD430" s="49"/>
      <c r="AE430" s="48"/>
      <c r="AF430" s="48"/>
      <c r="AG430" s="49"/>
      <c r="AH430" s="50"/>
      <c r="AI430" s="50"/>
      <c r="AO430" s="38"/>
      <c r="AP430" s="38"/>
    </row>
    <row r="431" spans="21:42" x14ac:dyDescent="0.2">
      <c r="U431" s="47"/>
      <c r="X431" s="48"/>
      <c r="Y431" s="48"/>
      <c r="Z431" s="48"/>
      <c r="AA431" s="49"/>
      <c r="AB431" s="49"/>
      <c r="AC431" s="48"/>
      <c r="AD431" s="49"/>
      <c r="AE431" s="48"/>
      <c r="AF431" s="48"/>
      <c r="AG431" s="49"/>
      <c r="AH431" s="50"/>
      <c r="AI431" s="50"/>
      <c r="AO431" s="38"/>
      <c r="AP431" s="38"/>
    </row>
    <row r="432" spans="21:42" x14ac:dyDescent="0.2">
      <c r="U432" s="47"/>
      <c r="X432" s="48"/>
      <c r="Y432" s="48"/>
      <c r="Z432" s="48"/>
      <c r="AA432" s="49"/>
      <c r="AB432" s="49"/>
      <c r="AC432" s="48"/>
      <c r="AD432" s="49"/>
      <c r="AE432" s="48"/>
      <c r="AF432" s="48"/>
      <c r="AG432" s="49"/>
      <c r="AH432" s="50"/>
      <c r="AI432" s="50"/>
      <c r="AO432" s="38"/>
      <c r="AP432" s="38"/>
    </row>
    <row r="433" spans="21:42" x14ac:dyDescent="0.2">
      <c r="U433" s="47"/>
      <c r="X433" s="48"/>
      <c r="Y433" s="48"/>
      <c r="Z433" s="48"/>
      <c r="AA433" s="49"/>
      <c r="AB433" s="49"/>
      <c r="AC433" s="48"/>
      <c r="AD433" s="49"/>
      <c r="AE433" s="48"/>
      <c r="AF433" s="48"/>
      <c r="AG433" s="49"/>
      <c r="AH433" s="50"/>
      <c r="AI433" s="50"/>
      <c r="AO433" s="38"/>
      <c r="AP433" s="38"/>
    </row>
    <row r="434" spans="21:42" x14ac:dyDescent="0.2">
      <c r="U434" s="47"/>
      <c r="X434" s="48"/>
      <c r="Y434" s="48"/>
      <c r="Z434" s="48"/>
      <c r="AA434" s="49"/>
      <c r="AB434" s="49"/>
      <c r="AC434" s="48"/>
      <c r="AD434" s="49"/>
      <c r="AE434" s="48"/>
      <c r="AF434" s="48"/>
      <c r="AG434" s="49"/>
      <c r="AH434" s="50"/>
      <c r="AI434" s="50"/>
      <c r="AO434" s="38"/>
      <c r="AP434" s="38"/>
    </row>
    <row r="435" spans="21:42" x14ac:dyDescent="0.2">
      <c r="U435" s="47"/>
      <c r="X435" s="48"/>
      <c r="Y435" s="48"/>
      <c r="Z435" s="48"/>
      <c r="AA435" s="49"/>
      <c r="AB435" s="49"/>
      <c r="AC435" s="48"/>
      <c r="AD435" s="49"/>
      <c r="AE435" s="48"/>
      <c r="AF435" s="48"/>
      <c r="AG435" s="49"/>
      <c r="AH435" s="50"/>
      <c r="AI435" s="50"/>
      <c r="AO435" s="38"/>
      <c r="AP435" s="38"/>
    </row>
    <row r="436" spans="21:42" x14ac:dyDescent="0.2">
      <c r="U436" s="47"/>
      <c r="X436" s="48"/>
      <c r="Y436" s="48"/>
      <c r="Z436" s="48"/>
      <c r="AA436" s="49"/>
      <c r="AB436" s="49"/>
      <c r="AC436" s="48"/>
      <c r="AD436" s="49"/>
      <c r="AE436" s="48"/>
      <c r="AF436" s="48"/>
      <c r="AG436" s="49"/>
      <c r="AH436" s="50"/>
      <c r="AI436" s="50"/>
      <c r="AO436" s="38"/>
      <c r="AP436" s="38"/>
    </row>
    <row r="437" spans="21:42" x14ac:dyDescent="0.2">
      <c r="U437" s="47"/>
      <c r="X437" s="48"/>
      <c r="Y437" s="48"/>
      <c r="Z437" s="48"/>
      <c r="AA437" s="49"/>
      <c r="AB437" s="49"/>
      <c r="AC437" s="48"/>
      <c r="AD437" s="49"/>
      <c r="AE437" s="48"/>
      <c r="AF437" s="48"/>
      <c r="AG437" s="49"/>
      <c r="AH437" s="50"/>
      <c r="AI437" s="50"/>
      <c r="AO437" s="38"/>
      <c r="AP437" s="38"/>
    </row>
    <row r="438" spans="21:42" x14ac:dyDescent="0.2">
      <c r="U438" s="47"/>
      <c r="X438" s="48"/>
      <c r="Y438" s="48"/>
      <c r="Z438" s="48"/>
      <c r="AA438" s="49"/>
      <c r="AB438" s="49"/>
      <c r="AC438" s="48"/>
      <c r="AD438" s="49"/>
      <c r="AE438" s="48"/>
      <c r="AF438" s="48"/>
      <c r="AG438" s="49"/>
      <c r="AH438" s="50"/>
      <c r="AI438" s="50"/>
      <c r="AO438" s="38"/>
      <c r="AP438" s="38"/>
    </row>
    <row r="439" spans="21:42" x14ac:dyDescent="0.2">
      <c r="U439" s="47"/>
      <c r="X439" s="48"/>
      <c r="Y439" s="48"/>
      <c r="Z439" s="48"/>
      <c r="AA439" s="49"/>
      <c r="AB439" s="49"/>
      <c r="AC439" s="48"/>
      <c r="AD439" s="49"/>
      <c r="AE439" s="48"/>
      <c r="AF439" s="48"/>
      <c r="AG439" s="49"/>
      <c r="AH439" s="50"/>
      <c r="AI439" s="50"/>
      <c r="AO439" s="38"/>
      <c r="AP439" s="38"/>
    </row>
    <row r="440" spans="21:42" x14ac:dyDescent="0.2">
      <c r="U440" s="47"/>
      <c r="X440" s="48"/>
      <c r="Y440" s="48"/>
      <c r="Z440" s="48"/>
      <c r="AA440" s="49"/>
      <c r="AB440" s="49"/>
      <c r="AC440" s="48"/>
      <c r="AD440" s="49"/>
      <c r="AE440" s="48"/>
      <c r="AF440" s="48"/>
      <c r="AG440" s="49"/>
      <c r="AH440" s="50"/>
      <c r="AI440" s="50"/>
      <c r="AO440" s="38"/>
      <c r="AP440" s="38"/>
    </row>
    <row r="441" spans="21:42" x14ac:dyDescent="0.2">
      <c r="U441" s="47"/>
      <c r="X441" s="48"/>
      <c r="Y441" s="48"/>
      <c r="Z441" s="48"/>
      <c r="AA441" s="49"/>
      <c r="AB441" s="49"/>
      <c r="AC441" s="48"/>
      <c r="AD441" s="49"/>
      <c r="AE441" s="48"/>
      <c r="AF441" s="48"/>
      <c r="AG441" s="49"/>
      <c r="AH441" s="50"/>
      <c r="AI441" s="50"/>
      <c r="AO441" s="38"/>
      <c r="AP441" s="38"/>
    </row>
    <row r="442" spans="21:42" x14ac:dyDescent="0.2">
      <c r="U442" s="47"/>
      <c r="X442" s="48"/>
      <c r="Y442" s="48"/>
      <c r="Z442" s="48"/>
      <c r="AA442" s="49"/>
      <c r="AB442" s="49"/>
      <c r="AC442" s="48"/>
      <c r="AD442" s="49"/>
      <c r="AE442" s="48"/>
      <c r="AF442" s="48"/>
      <c r="AG442" s="49"/>
      <c r="AH442" s="50"/>
      <c r="AI442" s="50"/>
      <c r="AO442" s="38"/>
      <c r="AP442" s="38"/>
    </row>
    <row r="443" spans="21:42" x14ac:dyDescent="0.2">
      <c r="U443" s="47"/>
      <c r="X443" s="48"/>
      <c r="Y443" s="48"/>
      <c r="Z443" s="48"/>
      <c r="AA443" s="49"/>
      <c r="AB443" s="49"/>
      <c r="AC443" s="48"/>
      <c r="AD443" s="49"/>
      <c r="AE443" s="48"/>
      <c r="AF443" s="48"/>
      <c r="AG443" s="49"/>
      <c r="AH443" s="50"/>
      <c r="AI443" s="50"/>
      <c r="AO443" s="38"/>
      <c r="AP443" s="38"/>
    </row>
    <row r="444" spans="21:42" x14ac:dyDescent="0.2">
      <c r="U444" s="47"/>
      <c r="X444" s="48"/>
      <c r="Y444" s="48"/>
      <c r="Z444" s="48"/>
      <c r="AA444" s="49"/>
      <c r="AB444" s="49"/>
      <c r="AC444" s="48"/>
      <c r="AD444" s="49"/>
      <c r="AE444" s="48"/>
      <c r="AF444" s="48"/>
      <c r="AG444" s="49"/>
      <c r="AH444" s="50"/>
      <c r="AI444" s="50"/>
      <c r="AO444" s="38"/>
      <c r="AP444" s="38"/>
    </row>
    <row r="445" spans="21:42" x14ac:dyDescent="0.2">
      <c r="U445" s="47"/>
      <c r="X445" s="48"/>
      <c r="Y445" s="48"/>
      <c r="Z445" s="48"/>
      <c r="AA445" s="49"/>
      <c r="AB445" s="49"/>
      <c r="AC445" s="48"/>
      <c r="AD445" s="49"/>
      <c r="AE445" s="48"/>
      <c r="AF445" s="48"/>
      <c r="AG445" s="49"/>
      <c r="AH445" s="50"/>
      <c r="AI445" s="50"/>
      <c r="AO445" s="38"/>
      <c r="AP445" s="38"/>
    </row>
    <row r="446" spans="21:42" x14ac:dyDescent="0.2">
      <c r="U446" s="47"/>
      <c r="X446" s="48"/>
      <c r="Y446" s="48"/>
      <c r="Z446" s="48"/>
      <c r="AA446" s="49"/>
      <c r="AB446" s="49"/>
      <c r="AC446" s="48"/>
      <c r="AD446" s="49"/>
      <c r="AE446" s="48"/>
      <c r="AF446" s="48"/>
      <c r="AG446" s="49"/>
      <c r="AH446" s="50"/>
      <c r="AI446" s="50"/>
      <c r="AO446" s="38"/>
      <c r="AP446" s="38"/>
    </row>
    <row r="447" spans="21:42" x14ac:dyDescent="0.2">
      <c r="U447" s="47"/>
      <c r="X447" s="48"/>
      <c r="Y447" s="48"/>
      <c r="Z447" s="48"/>
      <c r="AA447" s="49"/>
      <c r="AB447" s="49"/>
      <c r="AC447" s="48"/>
      <c r="AD447" s="49"/>
      <c r="AE447" s="48"/>
      <c r="AF447" s="48"/>
      <c r="AG447" s="49"/>
      <c r="AH447" s="50"/>
      <c r="AI447" s="50"/>
      <c r="AO447" s="38"/>
      <c r="AP447" s="38"/>
    </row>
    <row r="448" spans="21:42" x14ac:dyDescent="0.2">
      <c r="U448" s="47"/>
      <c r="X448" s="48"/>
      <c r="Y448" s="48"/>
      <c r="Z448" s="48"/>
      <c r="AA448" s="49"/>
      <c r="AB448" s="49"/>
      <c r="AC448" s="48"/>
      <c r="AD448" s="49"/>
      <c r="AE448" s="48"/>
      <c r="AF448" s="48"/>
      <c r="AG448" s="49"/>
      <c r="AH448" s="50"/>
      <c r="AI448" s="50"/>
      <c r="AO448" s="38"/>
      <c r="AP448" s="38"/>
    </row>
    <row r="449" spans="21:42" x14ac:dyDescent="0.2">
      <c r="U449" s="47"/>
      <c r="X449" s="48"/>
      <c r="Y449" s="48"/>
      <c r="Z449" s="48"/>
      <c r="AA449" s="49"/>
      <c r="AB449" s="49"/>
      <c r="AC449" s="48"/>
      <c r="AD449" s="49"/>
      <c r="AE449" s="48"/>
      <c r="AF449" s="48"/>
      <c r="AG449" s="49"/>
      <c r="AH449" s="50"/>
      <c r="AI449" s="50"/>
      <c r="AO449" s="38"/>
      <c r="AP449" s="38"/>
    </row>
    <row r="450" spans="21:42" x14ac:dyDescent="0.2">
      <c r="U450" s="47"/>
      <c r="X450" s="48"/>
      <c r="Y450" s="48"/>
      <c r="Z450" s="48"/>
      <c r="AA450" s="49"/>
      <c r="AB450" s="49"/>
      <c r="AC450" s="48"/>
      <c r="AD450" s="49"/>
      <c r="AE450" s="48"/>
      <c r="AF450" s="48"/>
      <c r="AG450" s="49"/>
      <c r="AH450" s="50"/>
      <c r="AI450" s="50"/>
      <c r="AO450" s="38"/>
      <c r="AP450" s="38"/>
    </row>
    <row r="451" spans="21:42" x14ac:dyDescent="0.2">
      <c r="U451" s="47"/>
      <c r="X451" s="48"/>
      <c r="Y451" s="48"/>
      <c r="Z451" s="48"/>
      <c r="AA451" s="49"/>
      <c r="AB451" s="49"/>
      <c r="AC451" s="48"/>
      <c r="AD451" s="49"/>
      <c r="AE451" s="48"/>
      <c r="AF451" s="48"/>
      <c r="AG451" s="49"/>
      <c r="AH451" s="50"/>
      <c r="AI451" s="50"/>
      <c r="AO451" s="38"/>
      <c r="AP451" s="38"/>
    </row>
    <row r="452" spans="21:42" x14ac:dyDescent="0.2">
      <c r="U452" s="47"/>
      <c r="X452" s="48"/>
      <c r="Y452" s="48"/>
      <c r="Z452" s="48"/>
      <c r="AA452" s="49"/>
      <c r="AB452" s="49"/>
      <c r="AC452" s="48"/>
      <c r="AD452" s="49"/>
      <c r="AE452" s="48"/>
      <c r="AF452" s="48"/>
      <c r="AG452" s="49"/>
      <c r="AH452" s="50"/>
      <c r="AI452" s="50"/>
      <c r="AO452" s="38"/>
      <c r="AP452" s="38"/>
    </row>
    <row r="453" spans="21:42" x14ac:dyDescent="0.2">
      <c r="U453" s="47"/>
      <c r="X453" s="48"/>
      <c r="Y453" s="48"/>
      <c r="Z453" s="48"/>
      <c r="AA453" s="49"/>
      <c r="AB453" s="49"/>
      <c r="AC453" s="48"/>
      <c r="AD453" s="49"/>
      <c r="AE453" s="48"/>
      <c r="AF453" s="48"/>
      <c r="AG453" s="49"/>
      <c r="AH453" s="50"/>
      <c r="AI453" s="50"/>
      <c r="AO453" s="38"/>
      <c r="AP453" s="38"/>
    </row>
    <row r="454" spans="21:42" x14ac:dyDescent="0.2">
      <c r="U454" s="47"/>
      <c r="X454" s="48"/>
      <c r="Y454" s="48"/>
      <c r="Z454" s="48"/>
      <c r="AA454" s="49"/>
      <c r="AB454" s="49"/>
      <c r="AC454" s="48"/>
      <c r="AD454" s="49"/>
      <c r="AE454" s="48"/>
      <c r="AF454" s="48"/>
      <c r="AG454" s="49"/>
      <c r="AH454" s="50"/>
      <c r="AI454" s="50"/>
      <c r="AO454" s="38"/>
      <c r="AP454" s="38"/>
    </row>
  </sheetData>
  <sortState ref="A2:BC297">
    <sortCondition ref="B2:B297"/>
    <sortCondition ref="R2:R297"/>
  </sortState>
  <printOptions gridLines="1"/>
  <pageMargins left="0.45" right="0.45" top="0.78" bottom="0.5" header="0.2" footer="0.3"/>
  <pageSetup paperSize="5" scale="72" fitToHeight="9" orientation="landscape" r:id="rId1"/>
  <headerFooter>
    <oddHeader>&amp;CIowa Department of Transportation Bid Tab
for 
2012 Vehicles Pickups ,Vans and SUVs
Proposal 5887 Let on August 28, 2011</oddHeader>
    <oddFooter>&amp;L&amp;D  &amp;T&amp;CPage &amp;P  of  &amp;N&amp;RBy Jerry Giebelstein</oddFooter>
  </headerFooter>
  <rowBreaks count="1" manualBreakCount="1">
    <brk id="181" min="1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5887 Bid Tab All</vt:lpstr>
      <vt:lpstr>'5887 Bid Tab All'!Print_Area</vt:lpstr>
      <vt:lpstr>'5887 Bid Tab All'!Print_Titles</vt:lpstr>
    </vt:vector>
  </TitlesOfParts>
  <Company>Iowa Department of Transportation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jgiebel</dc:creator>
  <cp:lastModifiedBy>Roovaart, Ryan [DAS]</cp:lastModifiedBy>
  <cp:lastPrinted>2011-10-06T20:01:13Z</cp:lastPrinted>
  <dcterms:created xsi:type="dcterms:W3CDTF">2009-10-27T19:41:42Z</dcterms:created>
  <dcterms:modified xsi:type="dcterms:W3CDTF">2011-10-13T19:29:37Z</dcterms:modified>
</cp:coreProperties>
</file>